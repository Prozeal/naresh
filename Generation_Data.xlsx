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rozealinfraeng-my.sharepoint.com/personal/naresh_rajput_prozealgreen_com/Documents/Dashboard/"/>
    </mc:Choice>
  </mc:AlternateContent>
  <xr:revisionPtr revIDLastSave="146" documentId="8_{FC20CFE5-6038-42B9-A0F1-DA8E54EB0372}" xr6:coauthVersionLast="47" xr6:coauthVersionMax="47" xr10:uidLastSave="{B0D46BD5-A04B-4FE6-A67C-DEA54FBC5028}"/>
  <bookViews>
    <workbookView xWindow="-110" yWindow="-110" windowWidth="19420" windowHeight="10420" firstSheet="6" activeTab="6" xr2:uid="{00000000-000D-0000-FFFF-FFFF00000000}"/>
  </bookViews>
  <sheets>
    <sheet name="Daily Data" sheetId="96" r:id="rId1"/>
    <sheet name="Master" sheetId="97" state="hidden" r:id="rId2"/>
    <sheet name="May-26" sheetId="100" r:id="rId3"/>
    <sheet name="Capcity" sheetId="103" r:id="rId4"/>
    <sheet name="Dashboard" sheetId="104" r:id="rId5"/>
    <sheet name="Cuf" sheetId="105" r:id="rId6"/>
    <sheet name="April-26" sheetId="3" r:id="rId7"/>
    <sheet name="Vivekanand" sheetId="87" r:id="rId8"/>
    <sheet name="Prince" sheetId="83" r:id="rId9"/>
    <sheet name="Majethiya" sheetId="75" r:id="rId10"/>
    <sheet name="Kiran" sheetId="73" r:id="rId11"/>
    <sheet name="Centenary" sheetId="80" r:id="rId12"/>
    <sheet name="Sainest" sheetId="81" r:id="rId13"/>
    <sheet name="Orito" sheetId="79" r:id="rId14"/>
    <sheet name="Universal" sheetId="76" r:id="rId15"/>
    <sheet name="Aditya-Arka" sheetId="72" r:id="rId16"/>
    <sheet name="GHCL-1" sheetId="13" r:id="rId17"/>
    <sheet name="GHCL-2" sheetId="11" r:id="rId18"/>
    <sheet name="GHCL-3" sheetId="15" r:id="rId19"/>
    <sheet name="TMILLS" sheetId="16" r:id="rId20"/>
    <sheet name="VTM" sheetId="14" r:id="rId21"/>
    <sheet name="Pollax" sheetId="28" r:id="rId22"/>
    <sheet name="JOTHI" sheetId="17" r:id="rId23"/>
    <sheet name="SURIYA" sheetId="12" r:id="rId24"/>
    <sheet name="PANTECH" sheetId="10" r:id="rId25"/>
    <sheet name="PARVATHI" sheetId="9" r:id="rId26"/>
    <sheet name="GHCL MANA" sheetId="4" r:id="rId27"/>
    <sheet name="GHCL Para" sheetId="18" r:id="rId28"/>
    <sheet name="GHCL Para-2" sheetId="19" r:id="rId29"/>
    <sheet name="BIAL" sheetId="21" r:id="rId30"/>
    <sheet name="BRPL" sheetId="22" r:id="rId31"/>
    <sheet name="Pidilite" sheetId="20" r:id="rId32"/>
    <sheet name="Greenbloom" sheetId="23" r:id="rId33"/>
    <sheet name="Isha" sheetId="26" r:id="rId34"/>
    <sheet name="Enviro" sheetId="25" r:id="rId35"/>
    <sheet name="Vimalachal" sheetId="27" r:id="rId36"/>
    <sheet name="PGP5" sheetId="40" r:id="rId37"/>
    <sheet name="Rishi Bommalapura" sheetId="38" r:id="rId38"/>
    <sheet name="AAL GO-1" sheetId="37" r:id="rId39"/>
    <sheet name="AAL GO-2" sheetId="41" r:id="rId40"/>
    <sheet name="RISHI Terakanambi" sheetId="39" r:id="rId41"/>
    <sheet name="Kamal" sheetId="101" r:id="rId42"/>
    <sheet name="MBR" sheetId="102" r:id="rId43"/>
    <sheet name="Vasundhara" sheetId="29" r:id="rId44"/>
    <sheet name="Pudumjee" sheetId="30" r:id="rId45"/>
    <sheet name="Venus Denim-01" sheetId="31" r:id="rId46"/>
    <sheet name="Venus Denim-02" sheetId="32" r:id="rId47"/>
    <sheet name="Vishal Spintex" sheetId="33" r:id="rId48"/>
    <sheet name="Madura textiles" sheetId="34" r:id="rId49"/>
    <sheet name="Alkyl Amines" sheetId="35" r:id="rId50"/>
    <sheet name="Italia Ceramics" sheetId="99" r:id="rId51"/>
    <sheet name="Ajay cotspin " sheetId="42" r:id="rId52"/>
    <sheet name="Unitech cotspin" sheetId="43" r:id="rId53"/>
    <sheet name="Lincoln Pharma" sheetId="44" r:id="rId54"/>
    <sheet name="Kamdhenu Yarn" sheetId="45" r:id="rId55"/>
    <sheet name="Kikani Exports" sheetId="46" r:id="rId56"/>
    <sheet name="Linde Engineering" sheetId="47" r:id="rId57"/>
    <sheet name="Alembic Pharma Phase 1" sheetId="48" r:id="rId58"/>
    <sheet name="Alembic Pharma Phase 2" sheetId="49" r:id="rId59"/>
    <sheet name="Mark Alloys" sheetId="50" r:id="rId60"/>
    <sheet name="Ujjaval Alloys" sheetId="51" r:id="rId61"/>
    <sheet name="Diamond stones" sheetId="52" r:id="rId62"/>
    <sheet name="Airona Tiles" sheetId="53" r:id="rId63"/>
    <sheet name="Airolam Ltd." sheetId="54" r:id="rId64"/>
    <sheet name="Advatech Cera" sheetId="55" r:id="rId65"/>
    <sheet name="BPCL" sheetId="56" r:id="rId66"/>
    <sheet name="GSECL_ Vitthalpar" sheetId="60" r:id="rId67"/>
    <sheet name="GSECL_Jambudiya" sheetId="61" r:id="rId68"/>
    <sheet name="ACG_Tuljapur" sheetId="62" r:id="rId69"/>
    <sheet name="Aarti_Akola" sheetId="63" r:id="rId70"/>
    <sheet name="ACG_PZ4" sheetId="64" r:id="rId71"/>
    <sheet name="ACG_PAM" sheetId="65" r:id="rId72"/>
    <sheet name="ACG_PGP3" sheetId="66" r:id="rId73"/>
    <sheet name="Asahi Songwon_ Balasinor" sheetId="67" r:id="rId74"/>
    <sheet name="August Energy_Akola" sheetId="68" r:id="rId75"/>
    <sheet name="Benzo_Chem" sheetId="69" r:id="rId76"/>
    <sheet name="Blue Jet" sheetId="70" r:id="rId77"/>
    <sheet name="EESL Narayan Doho" sheetId="71" r:id="rId78"/>
    <sheet name="EESL Limbala Dau" sheetId="74" r:id="rId79"/>
    <sheet name="EESL Potra" sheetId="78" r:id="rId80"/>
    <sheet name="Narayan Spinning - 1" sheetId="84" r:id="rId81"/>
    <sheet name="Narayan Spinning - 2" sheetId="85" r:id="rId82"/>
    <sheet name="Rishi FIBC, Balasinor" sheetId="86" r:id="rId83"/>
    <sheet name="SS Flour Mills, Akola" sheetId="89" r:id="rId84"/>
    <sheet name="Sumati Spintex" sheetId="90" r:id="rId85"/>
    <sheet name="Tulsi Industries" sheetId="91" r:id="rId86"/>
    <sheet name="Tulsi Udyog" sheetId="92" r:id="rId87"/>
    <sheet name="Saanika Industries, Bharuch" sheetId="88" r:id="rId88"/>
    <sheet name="IGCL, Bharuch" sheetId="82" r:id="rId89"/>
    <sheet name="Val Organics" sheetId="93" r:id="rId90"/>
    <sheet name="ZEIT - 1, Akola" sheetId="94" r:id="rId91"/>
    <sheet name="ZEIT - 2, Akola" sheetId="95" r:id="rId92"/>
    <sheet name="Sheet1" sheetId="98" r:id="rId93"/>
  </sheets>
  <externalReferences>
    <externalReference r:id="rId94"/>
  </externalReferences>
  <definedNames>
    <definedName name="_xlnm._FilterDatabase" localSheetId="1" hidden="1">Master!$A$1:$D$100</definedName>
  </definedNames>
  <calcPr calcId="191028"/>
  <pivotCaches>
    <pivotCache cacheId="0" r:id="rId95"/>
    <pivotCache cacheId="1" r:id="rId9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49" l="1"/>
  <c r="L29" i="49"/>
  <c r="K30" i="49"/>
  <c r="L30" i="49"/>
  <c r="K31" i="49"/>
  <c r="L31" i="49"/>
  <c r="K32" i="49"/>
  <c r="L32" i="49"/>
  <c r="K33" i="49"/>
  <c r="L33" i="49"/>
  <c r="F29" i="49"/>
  <c r="G29" i="49"/>
  <c r="H29" i="49"/>
  <c r="F30" i="49"/>
  <c r="G30" i="49"/>
  <c r="H30" i="49"/>
  <c r="F31" i="49"/>
  <c r="G31" i="49"/>
  <c r="H31" i="49"/>
  <c r="F32" i="49"/>
  <c r="G32" i="49"/>
  <c r="H32" i="49"/>
  <c r="F33" i="49"/>
  <c r="G33" i="49"/>
  <c r="H33" i="49"/>
  <c r="K29" i="48"/>
  <c r="L29" i="48"/>
  <c r="K30" i="48"/>
  <c r="L30" i="48"/>
  <c r="K31" i="48"/>
  <c r="L31" i="48"/>
  <c r="K32" i="48"/>
  <c r="L32" i="48"/>
  <c r="K33" i="48"/>
  <c r="L33" i="48"/>
  <c r="F29" i="48"/>
  <c r="G29" i="48"/>
  <c r="H29" i="48"/>
  <c r="F30" i="48"/>
  <c r="G30" i="48"/>
  <c r="H30" i="48"/>
  <c r="F31" i="48"/>
  <c r="G31" i="48"/>
  <c r="H31" i="48"/>
  <c r="F32" i="48"/>
  <c r="G32" i="48"/>
  <c r="H32" i="48"/>
  <c r="F33" i="48"/>
  <c r="G33" i="48"/>
  <c r="H33" i="48"/>
  <c r="K29" i="47"/>
  <c r="L29" i="47"/>
  <c r="K30" i="47"/>
  <c r="L30" i="47"/>
  <c r="K31" i="47"/>
  <c r="L31" i="47"/>
  <c r="K32" i="47"/>
  <c r="L32" i="47"/>
  <c r="K33" i="47"/>
  <c r="L33" i="47"/>
  <c r="F29" i="47"/>
  <c r="G29" i="47"/>
  <c r="H29" i="47"/>
  <c r="F30" i="47"/>
  <c r="G30" i="47"/>
  <c r="H30" i="47"/>
  <c r="F31" i="47"/>
  <c r="G31" i="47"/>
  <c r="H31" i="47"/>
  <c r="F32" i="47"/>
  <c r="G32" i="47"/>
  <c r="H32" i="47"/>
  <c r="F33" i="47"/>
  <c r="G33" i="47"/>
  <c r="H33" i="47"/>
  <c r="P34" i="74"/>
  <c r="I66" i="74"/>
  <c r="L34" i="23"/>
  <c r="J66" i="10"/>
  <c r="G28" i="27"/>
  <c r="H28" i="27"/>
  <c r="G29" i="27"/>
  <c r="H29" i="27"/>
  <c r="G30" i="27"/>
  <c r="H30" i="27"/>
  <c r="G31" i="27"/>
  <c r="H31" i="27"/>
  <c r="G32" i="27"/>
  <c r="H32" i="27"/>
  <c r="G33" i="27"/>
  <c r="H33" i="27"/>
  <c r="G28" i="25"/>
  <c r="H28" i="25"/>
  <c r="G29" i="25"/>
  <c r="H29" i="25"/>
  <c r="G30" i="25"/>
  <c r="H30" i="25"/>
  <c r="G31" i="25"/>
  <c r="H31" i="25"/>
  <c r="G32" i="25"/>
  <c r="H32" i="25"/>
  <c r="G33" i="25"/>
  <c r="H33" i="25"/>
  <c r="G28" i="26"/>
  <c r="H28" i="26"/>
  <c r="G29" i="26"/>
  <c r="H29" i="26"/>
  <c r="G30" i="26"/>
  <c r="H30" i="26"/>
  <c r="G31" i="26"/>
  <c r="H31" i="26"/>
  <c r="G32" i="26"/>
  <c r="H32" i="26"/>
  <c r="G33" i="26"/>
  <c r="H33" i="26"/>
  <c r="B36" i="17"/>
  <c r="B37" i="17"/>
  <c r="B38" i="17"/>
  <c r="B35" i="17"/>
  <c r="L27" i="60"/>
  <c r="L28" i="60"/>
  <c r="L29" i="60"/>
  <c r="L30" i="60"/>
  <c r="L31" i="60"/>
  <c r="L32" i="60"/>
  <c r="L33" i="60"/>
  <c r="K27" i="60"/>
  <c r="K28" i="60"/>
  <c r="K29" i="60"/>
  <c r="K30" i="60"/>
  <c r="K31" i="60"/>
  <c r="K32" i="60"/>
  <c r="K33" i="60"/>
  <c r="I34" i="60"/>
  <c r="F28" i="60"/>
  <c r="F29" i="60"/>
  <c r="F30" i="60"/>
  <c r="F31" i="60"/>
  <c r="F32" i="60"/>
  <c r="F33" i="60"/>
  <c r="F35" i="60"/>
  <c r="F36" i="60"/>
  <c r="F37" i="60"/>
  <c r="F38" i="60"/>
  <c r="F39" i="60"/>
  <c r="F40" i="60"/>
  <c r="F41" i="60"/>
  <c r="F42" i="60"/>
  <c r="F43" i="60"/>
  <c r="F44" i="60"/>
  <c r="F45" i="60"/>
  <c r="F46" i="60"/>
  <c r="F47" i="60"/>
  <c r="F48" i="60"/>
  <c r="F49" i="60"/>
  <c r="F50" i="60"/>
  <c r="F51" i="60"/>
  <c r="F52" i="60"/>
  <c r="F53" i="60"/>
  <c r="F54" i="60"/>
  <c r="F55" i="60"/>
  <c r="F56" i="60"/>
  <c r="F57" i="60"/>
  <c r="F58" i="60"/>
  <c r="F59" i="60"/>
  <c r="F60" i="60"/>
  <c r="F61" i="60"/>
  <c r="F62" i="60"/>
  <c r="F63" i="60"/>
  <c r="F64" i="60"/>
  <c r="F65" i="60"/>
  <c r="G28" i="60"/>
  <c r="G29" i="60"/>
  <c r="G30" i="60"/>
  <c r="G31" i="60"/>
  <c r="G32" i="60"/>
  <c r="G33" i="60"/>
  <c r="G35" i="60"/>
  <c r="G36" i="60"/>
  <c r="G37" i="60"/>
  <c r="G38" i="60"/>
  <c r="G39" i="60"/>
  <c r="G40" i="60"/>
  <c r="G41" i="60"/>
  <c r="G42" i="60"/>
  <c r="G43" i="60"/>
  <c r="G44" i="60"/>
  <c r="G45" i="60"/>
  <c r="G46" i="60"/>
  <c r="G47" i="60"/>
  <c r="G48" i="60"/>
  <c r="G49" i="60"/>
  <c r="G50" i="60"/>
  <c r="G51" i="60"/>
  <c r="G52" i="60"/>
  <c r="G53" i="60"/>
  <c r="G54" i="60"/>
  <c r="G55" i="60"/>
  <c r="G56" i="60"/>
  <c r="G57" i="60"/>
  <c r="G58" i="60"/>
  <c r="G59" i="60"/>
  <c r="G60" i="60"/>
  <c r="G61" i="60"/>
  <c r="G62" i="60"/>
  <c r="G63" i="60"/>
  <c r="G64" i="60"/>
  <c r="G65" i="60"/>
  <c r="H27" i="60"/>
  <c r="H28" i="60"/>
  <c r="H29" i="60"/>
  <c r="H30" i="60"/>
  <c r="H31" i="60"/>
  <c r="H32" i="60"/>
  <c r="H33" i="60"/>
  <c r="G27" i="60"/>
  <c r="H26" i="60"/>
  <c r="F27" i="60"/>
  <c r="F35" i="55"/>
  <c r="J34" i="29"/>
  <c r="L5" i="29"/>
  <c r="L6" i="29"/>
  <c r="L7" i="29"/>
  <c r="L8" i="29"/>
  <c r="L9" i="29"/>
  <c r="L10" i="29"/>
  <c r="L11" i="29"/>
  <c r="L12" i="29"/>
  <c r="L13" i="29"/>
  <c r="L14" i="29"/>
  <c r="L15" i="29"/>
  <c r="L16" i="29"/>
  <c r="L17" i="29"/>
  <c r="L18" i="29"/>
  <c r="L19" i="29"/>
  <c r="L20" i="29"/>
  <c r="L21" i="29"/>
  <c r="L22" i="29"/>
  <c r="L23" i="29"/>
  <c r="L24" i="29"/>
  <c r="L25" i="29"/>
  <c r="L26" i="29"/>
  <c r="L27" i="29"/>
  <c r="L28" i="29"/>
  <c r="L29" i="29"/>
  <c r="L30" i="29"/>
  <c r="L31" i="29"/>
  <c r="L32" i="29"/>
  <c r="L33" i="29"/>
  <c r="L4" i="29"/>
  <c r="K5" i="29"/>
  <c r="K6" i="29"/>
  <c r="K7" i="29"/>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4" i="29"/>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4" i="29"/>
  <c r="F5" i="29"/>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G34" i="29"/>
  <c r="F35" i="29"/>
  <c r="G35" i="29"/>
  <c r="F36" i="29"/>
  <c r="G36" i="29"/>
  <c r="F37" i="29"/>
  <c r="G37" i="29"/>
  <c r="F38" i="29"/>
  <c r="G38" i="29"/>
  <c r="F39" i="29"/>
  <c r="G39" i="29"/>
  <c r="F40" i="29"/>
  <c r="G40" i="29"/>
  <c r="F41" i="29"/>
  <c r="G41" i="29"/>
  <c r="F42" i="29"/>
  <c r="G42" i="29"/>
  <c r="F43" i="29"/>
  <c r="G43" i="29"/>
  <c r="F44" i="29"/>
  <c r="G44" i="29"/>
  <c r="F45" i="29"/>
  <c r="G45" i="29"/>
  <c r="F46" i="29"/>
  <c r="G46" i="29"/>
  <c r="F47" i="29"/>
  <c r="G47" i="29"/>
  <c r="F48" i="29"/>
  <c r="G48" i="29"/>
  <c r="F49" i="29"/>
  <c r="G49" i="29"/>
  <c r="F50" i="29"/>
  <c r="G50" i="29"/>
  <c r="F51" i="29"/>
  <c r="G51" i="29"/>
  <c r="F52" i="29"/>
  <c r="G52" i="29"/>
  <c r="F53" i="29"/>
  <c r="G53" i="29"/>
  <c r="F54" i="29"/>
  <c r="G54" i="29"/>
  <c r="F55" i="29"/>
  <c r="G55" i="29"/>
  <c r="F56" i="29"/>
  <c r="G56" i="29"/>
  <c r="F57" i="29"/>
  <c r="G57" i="29"/>
  <c r="F58" i="29"/>
  <c r="G58" i="29"/>
  <c r="F59" i="29"/>
  <c r="G59" i="29"/>
  <c r="F60" i="29"/>
  <c r="G60" i="29"/>
  <c r="F61" i="29"/>
  <c r="G61" i="29"/>
  <c r="F62" i="29"/>
  <c r="G62" i="29"/>
  <c r="F63" i="29"/>
  <c r="G63" i="29"/>
  <c r="F64" i="29"/>
  <c r="G64" i="29"/>
  <c r="F65" i="29"/>
  <c r="G65" i="29"/>
  <c r="F4" i="29"/>
  <c r="L30" i="56"/>
  <c r="L31" i="56"/>
  <c r="L32" i="56"/>
  <c r="L33" i="56"/>
  <c r="K30" i="56"/>
  <c r="K31" i="56"/>
  <c r="K32" i="56"/>
  <c r="K33" i="56"/>
  <c r="H30" i="56"/>
  <c r="H31" i="56"/>
  <c r="H32" i="56"/>
  <c r="H33" i="56"/>
  <c r="G30" i="56"/>
  <c r="G31" i="56"/>
  <c r="G32" i="56"/>
  <c r="G33" i="56"/>
  <c r="F30" i="56"/>
  <c r="F31" i="56"/>
  <c r="F32" i="56"/>
  <c r="F33" i="56"/>
  <c r="L36" i="55"/>
  <c r="L27" i="61"/>
  <c r="L28" i="61"/>
  <c r="L29" i="61"/>
  <c r="L30" i="61"/>
  <c r="L31" i="61"/>
  <c r="L32" i="61"/>
  <c r="L33" i="61"/>
  <c r="K27" i="61"/>
  <c r="K28" i="61"/>
  <c r="K29" i="61"/>
  <c r="K30" i="61"/>
  <c r="K31" i="61"/>
  <c r="K32" i="61"/>
  <c r="K33" i="61"/>
  <c r="I34" i="61"/>
  <c r="F27" i="61"/>
  <c r="G27" i="61"/>
  <c r="H27" i="61"/>
  <c r="F28" i="61"/>
  <c r="G28" i="61"/>
  <c r="H28" i="61"/>
  <c r="F29" i="61"/>
  <c r="G29" i="61"/>
  <c r="H29" i="61"/>
  <c r="F30" i="61"/>
  <c r="G30" i="61"/>
  <c r="H30" i="61"/>
  <c r="F31" i="61"/>
  <c r="G31" i="61"/>
  <c r="H31" i="61"/>
  <c r="F32" i="61"/>
  <c r="G32" i="61"/>
  <c r="H32" i="61"/>
  <c r="F33" i="61"/>
  <c r="G33" i="61"/>
  <c r="H33" i="61"/>
  <c r="L33" i="22"/>
  <c r="L28" i="22"/>
  <c r="L29" i="22"/>
  <c r="L30" i="22"/>
  <c r="L31" i="22"/>
  <c r="L32" i="22"/>
  <c r="L25" i="22"/>
  <c r="L26" i="22"/>
  <c r="K31" i="22"/>
  <c r="K32" i="22"/>
  <c r="K33" i="22"/>
  <c r="K28" i="22"/>
  <c r="K29" i="22"/>
  <c r="K30" i="22"/>
  <c r="H28" i="22"/>
  <c r="H29" i="22"/>
  <c r="H30" i="22"/>
  <c r="H31" i="22"/>
  <c r="H32" i="22"/>
  <c r="H33" i="22"/>
  <c r="G28" i="22"/>
  <c r="G29" i="22"/>
  <c r="G30" i="22"/>
  <c r="G31" i="22"/>
  <c r="G32" i="22"/>
  <c r="G33" i="22"/>
  <c r="F28" i="22"/>
  <c r="F29" i="22"/>
  <c r="F30" i="22"/>
  <c r="F31" i="22"/>
  <c r="F32" i="22"/>
  <c r="F33" i="22"/>
  <c r="A4" i="102"/>
  <c r="F4" i="102"/>
  <c r="G4" i="102"/>
  <c r="H4" i="102"/>
  <c r="K4" i="102"/>
  <c r="L4" i="102"/>
  <c r="A5" i="102"/>
  <c r="F5" i="102"/>
  <c r="G5" i="102"/>
  <c r="H5" i="102"/>
  <c r="K5" i="102"/>
  <c r="L5" i="102"/>
  <c r="A6" i="102"/>
  <c r="F6" i="102"/>
  <c r="G6" i="102"/>
  <c r="H6" i="102"/>
  <c r="K6" i="102"/>
  <c r="L6" i="102"/>
  <c r="A7" i="102"/>
  <c r="F7" i="102"/>
  <c r="G7" i="102"/>
  <c r="H7" i="102"/>
  <c r="K7" i="102"/>
  <c r="L7" i="102"/>
  <c r="A8" i="102"/>
  <c r="F8" i="102"/>
  <c r="G8" i="102"/>
  <c r="H8" i="102"/>
  <c r="K8" i="102"/>
  <c r="L8" i="102"/>
  <c r="A9" i="102"/>
  <c r="F9" i="102"/>
  <c r="G9" i="102"/>
  <c r="H9" i="102"/>
  <c r="K9" i="102"/>
  <c r="L9" i="102"/>
  <c r="A10" i="102"/>
  <c r="F10" i="102"/>
  <c r="G10" i="102"/>
  <c r="H10" i="102"/>
  <c r="K10" i="102"/>
  <c r="L10" i="102"/>
  <c r="A11" i="102"/>
  <c r="F11" i="102"/>
  <c r="G11" i="102"/>
  <c r="H11" i="102"/>
  <c r="K11" i="102"/>
  <c r="L11" i="102"/>
  <c r="A12" i="102"/>
  <c r="F12" i="102"/>
  <c r="G12" i="102"/>
  <c r="H12" i="102"/>
  <c r="K12" i="102"/>
  <c r="L12" i="102"/>
  <c r="A13" i="102"/>
  <c r="F13" i="102"/>
  <c r="G13" i="102"/>
  <c r="H13" i="102"/>
  <c r="K13" i="102"/>
  <c r="L13" i="102"/>
  <c r="A14" i="102"/>
  <c r="F14" i="102"/>
  <c r="G14" i="102"/>
  <c r="H14" i="102"/>
  <c r="K14" i="102"/>
  <c r="L14" i="102"/>
  <c r="A15" i="102"/>
  <c r="F15" i="102"/>
  <c r="G15" i="102"/>
  <c r="H15" i="102"/>
  <c r="K15" i="102"/>
  <c r="L15" i="102"/>
  <c r="A16" i="102"/>
  <c r="F16" i="102"/>
  <c r="G16" i="102"/>
  <c r="H16" i="102"/>
  <c r="K16" i="102"/>
  <c r="L16" i="102"/>
  <c r="A17" i="102"/>
  <c r="F17" i="102"/>
  <c r="G17" i="102"/>
  <c r="H17" i="102"/>
  <c r="K17" i="102"/>
  <c r="L17" i="102"/>
  <c r="A18" i="102"/>
  <c r="F18" i="102"/>
  <c r="G18" i="102"/>
  <c r="H18" i="102"/>
  <c r="K18" i="102"/>
  <c r="L18" i="102"/>
  <c r="A19" i="102"/>
  <c r="F19" i="102"/>
  <c r="G19" i="102"/>
  <c r="H19" i="102"/>
  <c r="K19" i="102"/>
  <c r="L19" i="102"/>
  <c r="A20" i="102"/>
  <c r="F20" i="102"/>
  <c r="G20" i="102"/>
  <c r="H20" i="102"/>
  <c r="K20" i="102"/>
  <c r="L20" i="102"/>
  <c r="A21" i="102"/>
  <c r="F21" i="102"/>
  <c r="G21" i="102"/>
  <c r="H21" i="102"/>
  <c r="K21" i="102"/>
  <c r="L21" i="102"/>
  <c r="A22" i="102"/>
  <c r="F22" i="102"/>
  <c r="G22" i="102"/>
  <c r="H22" i="102"/>
  <c r="K22" i="102"/>
  <c r="L22" i="102"/>
  <c r="A23" i="102"/>
  <c r="F23" i="102"/>
  <c r="G23" i="102"/>
  <c r="H23" i="102"/>
  <c r="K23" i="102"/>
  <c r="L23" i="102"/>
  <c r="A24" i="102"/>
  <c r="F24" i="102"/>
  <c r="G24" i="102"/>
  <c r="H24" i="102"/>
  <c r="K24" i="102"/>
  <c r="L24" i="102"/>
  <c r="A25" i="102"/>
  <c r="F25" i="102"/>
  <c r="G25" i="102"/>
  <c r="H25" i="102"/>
  <c r="K25" i="102"/>
  <c r="L25" i="102"/>
  <c r="A26" i="102"/>
  <c r="F26" i="102"/>
  <c r="G26" i="102"/>
  <c r="H26" i="102"/>
  <c r="K26" i="102"/>
  <c r="L26" i="102"/>
  <c r="A27" i="102"/>
  <c r="F27" i="102"/>
  <c r="G27" i="102"/>
  <c r="H27" i="102"/>
  <c r="K27" i="102"/>
  <c r="L27" i="102"/>
  <c r="A28" i="102"/>
  <c r="F28" i="102"/>
  <c r="G28" i="102"/>
  <c r="H28" i="102"/>
  <c r="K28" i="102"/>
  <c r="L28" i="102"/>
  <c r="A29" i="102"/>
  <c r="F29" i="102"/>
  <c r="G29" i="102"/>
  <c r="H29" i="102"/>
  <c r="K29" i="102"/>
  <c r="L29" i="102"/>
  <c r="A30" i="102"/>
  <c r="F30" i="102"/>
  <c r="G30" i="102"/>
  <c r="H30" i="102"/>
  <c r="K30" i="102"/>
  <c r="L30" i="102"/>
  <c r="A31" i="102"/>
  <c r="F31" i="102"/>
  <c r="G31" i="102"/>
  <c r="H31" i="102"/>
  <c r="K31" i="102"/>
  <c r="L31" i="102"/>
  <c r="A32" i="102"/>
  <c r="F32" i="102"/>
  <c r="G32" i="102"/>
  <c r="H32" i="102"/>
  <c r="K32" i="102"/>
  <c r="L32" i="102"/>
  <c r="A33" i="102"/>
  <c r="F33" i="102"/>
  <c r="G33" i="102"/>
  <c r="H33" i="102"/>
  <c r="K33" i="102"/>
  <c r="L33" i="102"/>
  <c r="B34" i="102"/>
  <c r="C34" i="102"/>
  <c r="D34" i="102"/>
  <c r="E34" i="102"/>
  <c r="F34" i="102"/>
  <c r="G34" i="102"/>
  <c r="H34" i="102"/>
  <c r="I34" i="102"/>
  <c r="J34" i="102"/>
  <c r="K34" i="102"/>
  <c r="L34" i="102"/>
  <c r="M34" i="102"/>
  <c r="N34" i="102"/>
  <c r="O34" i="102"/>
  <c r="P34" i="102"/>
  <c r="F35" i="102"/>
  <c r="G35" i="102"/>
  <c r="H35" i="102"/>
  <c r="K35" i="102"/>
  <c r="L35" i="102"/>
  <c r="A36" i="102"/>
  <c r="F36" i="102"/>
  <c r="G36" i="102"/>
  <c r="H36" i="102"/>
  <c r="K36" i="102"/>
  <c r="L36" i="102"/>
  <c r="A37" i="102"/>
  <c r="F37" i="102"/>
  <c r="G37" i="102"/>
  <c r="H37" i="102"/>
  <c r="K37" i="102"/>
  <c r="L37" i="102"/>
  <c r="A38" i="102"/>
  <c r="F38" i="102"/>
  <c r="G38" i="102"/>
  <c r="H38" i="102"/>
  <c r="K38" i="102"/>
  <c r="L38" i="102"/>
  <c r="A39" i="102"/>
  <c r="F39" i="102"/>
  <c r="G39" i="102"/>
  <c r="H39" i="102"/>
  <c r="K39" i="102"/>
  <c r="L39" i="102"/>
  <c r="A40" i="102"/>
  <c r="F40" i="102"/>
  <c r="G40" i="102"/>
  <c r="H40" i="102"/>
  <c r="K40" i="102"/>
  <c r="L40" i="102"/>
  <c r="A41" i="102"/>
  <c r="F41" i="102"/>
  <c r="G41" i="102"/>
  <c r="H41" i="102"/>
  <c r="K41" i="102"/>
  <c r="L41" i="102"/>
  <c r="A42" i="102"/>
  <c r="F42" i="102"/>
  <c r="G42" i="102"/>
  <c r="H42" i="102"/>
  <c r="K42" i="102"/>
  <c r="L42" i="102"/>
  <c r="A43" i="102"/>
  <c r="F43" i="102"/>
  <c r="G43" i="102"/>
  <c r="H43" i="102"/>
  <c r="K43" i="102"/>
  <c r="L43" i="102"/>
  <c r="A44" i="102"/>
  <c r="F44" i="102"/>
  <c r="G44" i="102"/>
  <c r="H44" i="102"/>
  <c r="K44" i="102"/>
  <c r="L44" i="102"/>
  <c r="A45" i="102"/>
  <c r="F45" i="102"/>
  <c r="G45" i="102"/>
  <c r="H45" i="102"/>
  <c r="K45" i="102"/>
  <c r="L45" i="102"/>
  <c r="A46" i="102"/>
  <c r="F46" i="102"/>
  <c r="G46" i="102"/>
  <c r="H46" i="102"/>
  <c r="K46" i="102"/>
  <c r="L46" i="102"/>
  <c r="A47" i="102"/>
  <c r="F47" i="102"/>
  <c r="G47" i="102"/>
  <c r="H47" i="102"/>
  <c r="K47" i="102"/>
  <c r="L47" i="102"/>
  <c r="A48" i="102"/>
  <c r="F48" i="102"/>
  <c r="G48" i="102"/>
  <c r="H48" i="102"/>
  <c r="K48" i="102"/>
  <c r="L48" i="102"/>
  <c r="A49" i="102"/>
  <c r="F49" i="102"/>
  <c r="G49" i="102"/>
  <c r="H49" i="102"/>
  <c r="K49" i="102"/>
  <c r="L49" i="102"/>
  <c r="A50" i="102"/>
  <c r="F50" i="102"/>
  <c r="G50" i="102"/>
  <c r="H50" i="102"/>
  <c r="K50" i="102"/>
  <c r="L50" i="102"/>
  <c r="A51" i="102"/>
  <c r="F51" i="102"/>
  <c r="G51" i="102"/>
  <c r="H51" i="102"/>
  <c r="K51" i="102"/>
  <c r="L51" i="102"/>
  <c r="A52" i="102"/>
  <c r="F52" i="102"/>
  <c r="G52" i="102"/>
  <c r="H52" i="102"/>
  <c r="K52" i="102"/>
  <c r="L52" i="102"/>
  <c r="A53" i="102"/>
  <c r="F53" i="102"/>
  <c r="G53" i="102"/>
  <c r="H53" i="102"/>
  <c r="K53" i="102"/>
  <c r="L53" i="102"/>
  <c r="A54" i="102"/>
  <c r="F54" i="102"/>
  <c r="G54" i="102"/>
  <c r="H54" i="102"/>
  <c r="K54" i="102"/>
  <c r="L54" i="102"/>
  <c r="A55" i="102"/>
  <c r="F55" i="102"/>
  <c r="G55" i="102"/>
  <c r="H55" i="102"/>
  <c r="K55" i="102"/>
  <c r="L55" i="102"/>
  <c r="A56" i="102"/>
  <c r="F56" i="102"/>
  <c r="G56" i="102"/>
  <c r="H56" i="102"/>
  <c r="K56" i="102"/>
  <c r="L56" i="102"/>
  <c r="A57" i="102"/>
  <c r="F57" i="102"/>
  <c r="G57" i="102"/>
  <c r="H57" i="102"/>
  <c r="K57" i="102"/>
  <c r="L57" i="102"/>
  <c r="A58" i="102"/>
  <c r="F58" i="102"/>
  <c r="G58" i="102"/>
  <c r="H58" i="102"/>
  <c r="K58" i="102"/>
  <c r="L58" i="102"/>
  <c r="A59" i="102"/>
  <c r="F59" i="102"/>
  <c r="G59" i="102"/>
  <c r="H59" i="102"/>
  <c r="K59" i="102"/>
  <c r="L59" i="102"/>
  <c r="A60" i="102"/>
  <c r="F60" i="102"/>
  <c r="G60" i="102"/>
  <c r="H60" i="102"/>
  <c r="K60" i="102"/>
  <c r="L60" i="102"/>
  <c r="A61" i="102"/>
  <c r="F61" i="102"/>
  <c r="G61" i="102"/>
  <c r="H61" i="102"/>
  <c r="K61" i="102"/>
  <c r="L61" i="102"/>
  <c r="A62" i="102"/>
  <c r="F62" i="102"/>
  <c r="G62" i="102"/>
  <c r="H62" i="102"/>
  <c r="K62" i="102"/>
  <c r="L62" i="102"/>
  <c r="A63" i="102"/>
  <c r="F63" i="102"/>
  <c r="G63" i="102"/>
  <c r="H63" i="102"/>
  <c r="K63" i="102"/>
  <c r="L63" i="102"/>
  <c r="A64" i="102"/>
  <c r="F64" i="102"/>
  <c r="G64" i="102"/>
  <c r="H64" i="102"/>
  <c r="K64" i="102"/>
  <c r="L64" i="102"/>
  <c r="A65" i="102"/>
  <c r="F65" i="102"/>
  <c r="G65" i="102"/>
  <c r="H65" i="102"/>
  <c r="K65" i="102"/>
  <c r="L65" i="102"/>
  <c r="B66" i="102"/>
  <c r="C66" i="102"/>
  <c r="D66" i="102"/>
  <c r="E66" i="102"/>
  <c r="F66" i="102"/>
  <c r="G66" i="102"/>
  <c r="H66" i="102"/>
  <c r="I66" i="102"/>
  <c r="J66" i="102"/>
  <c r="K66" i="102"/>
  <c r="L66" i="102"/>
  <c r="M66" i="102"/>
  <c r="N66" i="102"/>
  <c r="O66" i="102"/>
  <c r="P66" i="102"/>
  <c r="A4" i="101"/>
  <c r="F4" i="101"/>
  <c r="G4" i="101"/>
  <c r="H4" i="101"/>
  <c r="K4" i="101"/>
  <c r="L4" i="101"/>
  <c r="A5" i="101"/>
  <c r="F5" i="101"/>
  <c r="G5" i="101"/>
  <c r="H5" i="101"/>
  <c r="K5" i="101"/>
  <c r="L5" i="101"/>
  <c r="A6" i="101"/>
  <c r="F6" i="101"/>
  <c r="G6" i="101"/>
  <c r="H6" i="101"/>
  <c r="K6" i="101"/>
  <c r="L6" i="101"/>
  <c r="A7" i="101"/>
  <c r="F7" i="101"/>
  <c r="G7" i="101"/>
  <c r="H7" i="101"/>
  <c r="K7" i="101"/>
  <c r="L7" i="101"/>
  <c r="A8" i="101"/>
  <c r="F8" i="101"/>
  <c r="G8" i="101"/>
  <c r="H8" i="101"/>
  <c r="K8" i="101"/>
  <c r="L8" i="101"/>
  <c r="A9" i="101"/>
  <c r="F9" i="101"/>
  <c r="G9" i="101"/>
  <c r="H9" i="101"/>
  <c r="K9" i="101"/>
  <c r="L9" i="101"/>
  <c r="A10" i="101"/>
  <c r="F10" i="101"/>
  <c r="G10" i="101"/>
  <c r="H10" i="101"/>
  <c r="K10" i="101"/>
  <c r="L10" i="101"/>
  <c r="A11" i="101"/>
  <c r="F11" i="101"/>
  <c r="G11" i="101"/>
  <c r="H11" i="101"/>
  <c r="K11" i="101"/>
  <c r="L11" i="101"/>
  <c r="A12" i="101"/>
  <c r="F12" i="101"/>
  <c r="G12" i="101"/>
  <c r="H12" i="101"/>
  <c r="K12" i="101"/>
  <c r="L12" i="101"/>
  <c r="A13" i="101"/>
  <c r="F13" i="101"/>
  <c r="G13" i="101"/>
  <c r="H13" i="101"/>
  <c r="K13" i="101"/>
  <c r="L13" i="101"/>
  <c r="A14" i="101"/>
  <c r="F14" i="101"/>
  <c r="G14" i="101"/>
  <c r="H14" i="101"/>
  <c r="K14" i="101"/>
  <c r="L14" i="101"/>
  <c r="A15" i="101"/>
  <c r="F15" i="101"/>
  <c r="G15" i="101"/>
  <c r="H15" i="101"/>
  <c r="K15" i="101"/>
  <c r="L15" i="101"/>
  <c r="A16" i="101"/>
  <c r="F16" i="101"/>
  <c r="G16" i="101"/>
  <c r="H16" i="101"/>
  <c r="K16" i="101"/>
  <c r="L16" i="101"/>
  <c r="A17" i="101"/>
  <c r="F17" i="101"/>
  <c r="G17" i="101"/>
  <c r="H17" i="101"/>
  <c r="K17" i="101"/>
  <c r="L17" i="101"/>
  <c r="A18" i="101"/>
  <c r="F18" i="101"/>
  <c r="G18" i="101"/>
  <c r="H18" i="101"/>
  <c r="K18" i="101"/>
  <c r="L18" i="101"/>
  <c r="A19" i="101"/>
  <c r="F19" i="101"/>
  <c r="G19" i="101"/>
  <c r="H19" i="101"/>
  <c r="K19" i="101"/>
  <c r="L19" i="101"/>
  <c r="A20" i="101"/>
  <c r="F20" i="101"/>
  <c r="G20" i="101"/>
  <c r="H20" i="101"/>
  <c r="K20" i="101"/>
  <c r="L20" i="101"/>
  <c r="A21" i="101"/>
  <c r="F21" i="101"/>
  <c r="G21" i="101"/>
  <c r="H21" i="101"/>
  <c r="K21" i="101"/>
  <c r="L21" i="101"/>
  <c r="A22" i="101"/>
  <c r="F22" i="101"/>
  <c r="G22" i="101"/>
  <c r="H22" i="101"/>
  <c r="K22" i="101"/>
  <c r="L22" i="101"/>
  <c r="A23" i="101"/>
  <c r="F23" i="101"/>
  <c r="G23" i="101"/>
  <c r="H23" i="101"/>
  <c r="K23" i="101"/>
  <c r="L23" i="101"/>
  <c r="A24" i="101"/>
  <c r="F24" i="101"/>
  <c r="G24" i="101"/>
  <c r="H24" i="101"/>
  <c r="K24" i="101"/>
  <c r="L24" i="101"/>
  <c r="A25" i="101"/>
  <c r="F25" i="101"/>
  <c r="G25" i="101"/>
  <c r="H25" i="101"/>
  <c r="K25" i="101"/>
  <c r="L25" i="101"/>
  <c r="A26" i="101"/>
  <c r="F26" i="101"/>
  <c r="G26" i="101"/>
  <c r="H26" i="101"/>
  <c r="K26" i="101"/>
  <c r="L26" i="101"/>
  <c r="A27" i="101"/>
  <c r="F27" i="101"/>
  <c r="G27" i="101"/>
  <c r="H27" i="101"/>
  <c r="K27" i="101"/>
  <c r="L27" i="101"/>
  <c r="A28" i="101"/>
  <c r="F28" i="101"/>
  <c r="G28" i="101"/>
  <c r="H28" i="101"/>
  <c r="K28" i="101"/>
  <c r="L28" i="101"/>
  <c r="A29" i="101"/>
  <c r="F29" i="101"/>
  <c r="G29" i="101"/>
  <c r="H29" i="101"/>
  <c r="K29" i="101"/>
  <c r="L29" i="101"/>
  <c r="A30" i="101"/>
  <c r="F30" i="101"/>
  <c r="G30" i="101"/>
  <c r="H30" i="101"/>
  <c r="K30" i="101"/>
  <c r="L30" i="101"/>
  <c r="A31" i="101"/>
  <c r="F31" i="101"/>
  <c r="G31" i="101"/>
  <c r="H31" i="101"/>
  <c r="K31" i="101"/>
  <c r="L31" i="101"/>
  <c r="A32" i="101"/>
  <c r="F32" i="101"/>
  <c r="G32" i="101"/>
  <c r="H32" i="101"/>
  <c r="K32" i="101"/>
  <c r="L32" i="101"/>
  <c r="A33" i="101"/>
  <c r="F33" i="101"/>
  <c r="G33" i="101"/>
  <c r="H33" i="101"/>
  <c r="K33" i="101"/>
  <c r="L33" i="101"/>
  <c r="B34" i="101"/>
  <c r="C34" i="101"/>
  <c r="D34" i="101"/>
  <c r="E34" i="101"/>
  <c r="F34" i="101"/>
  <c r="G34" i="101"/>
  <c r="H34" i="101"/>
  <c r="I34" i="101"/>
  <c r="J34" i="101"/>
  <c r="K34" i="101"/>
  <c r="L34" i="101"/>
  <c r="M34" i="101"/>
  <c r="N34" i="101"/>
  <c r="O34" i="101"/>
  <c r="P34" i="101"/>
  <c r="F35" i="101"/>
  <c r="G35" i="101"/>
  <c r="H35" i="101"/>
  <c r="K35" i="101"/>
  <c r="L35" i="101"/>
  <c r="A36" i="101"/>
  <c r="F36" i="101"/>
  <c r="G36" i="101"/>
  <c r="H36" i="101"/>
  <c r="K36" i="101"/>
  <c r="L36" i="101"/>
  <c r="A37" i="101"/>
  <c r="F37" i="101"/>
  <c r="G37" i="101"/>
  <c r="H37" i="101"/>
  <c r="K37" i="101"/>
  <c r="L37" i="101"/>
  <c r="A38" i="101"/>
  <c r="F38" i="101"/>
  <c r="G38" i="101"/>
  <c r="H38" i="101"/>
  <c r="K38" i="101"/>
  <c r="L38" i="101"/>
  <c r="A39" i="101"/>
  <c r="F39" i="101"/>
  <c r="G39" i="101"/>
  <c r="H39" i="101"/>
  <c r="K39" i="101"/>
  <c r="L39" i="101"/>
  <c r="A40" i="101"/>
  <c r="F40" i="101"/>
  <c r="G40" i="101"/>
  <c r="H40" i="101"/>
  <c r="K40" i="101"/>
  <c r="L40" i="101"/>
  <c r="A41" i="101"/>
  <c r="F41" i="101"/>
  <c r="G41" i="101"/>
  <c r="H41" i="101"/>
  <c r="K41" i="101"/>
  <c r="L41" i="101"/>
  <c r="A42" i="101"/>
  <c r="F42" i="101"/>
  <c r="G42" i="101"/>
  <c r="H42" i="101"/>
  <c r="K42" i="101"/>
  <c r="L42" i="101"/>
  <c r="A43" i="101"/>
  <c r="F43" i="101"/>
  <c r="G43" i="101"/>
  <c r="H43" i="101"/>
  <c r="K43" i="101"/>
  <c r="L43" i="101"/>
  <c r="A44" i="101"/>
  <c r="F44" i="101"/>
  <c r="G44" i="101"/>
  <c r="H44" i="101"/>
  <c r="K44" i="101"/>
  <c r="L44" i="101"/>
  <c r="A45" i="101"/>
  <c r="F45" i="101"/>
  <c r="G45" i="101"/>
  <c r="H45" i="101"/>
  <c r="K45" i="101"/>
  <c r="L45" i="101"/>
  <c r="A46" i="101"/>
  <c r="F46" i="101"/>
  <c r="G46" i="101"/>
  <c r="H46" i="101"/>
  <c r="K46" i="101"/>
  <c r="L46" i="101"/>
  <c r="A47" i="101"/>
  <c r="F47" i="101"/>
  <c r="G47" i="101"/>
  <c r="H47" i="101"/>
  <c r="K47" i="101"/>
  <c r="L47" i="101"/>
  <c r="A48" i="101"/>
  <c r="F48" i="101"/>
  <c r="G48" i="101"/>
  <c r="H48" i="101"/>
  <c r="K48" i="101"/>
  <c r="L48" i="101"/>
  <c r="A49" i="101"/>
  <c r="F49" i="101"/>
  <c r="G49" i="101"/>
  <c r="H49" i="101"/>
  <c r="K49" i="101"/>
  <c r="L49" i="101"/>
  <c r="A50" i="101"/>
  <c r="F50" i="101"/>
  <c r="G50" i="101"/>
  <c r="H50" i="101"/>
  <c r="K50" i="101"/>
  <c r="L50" i="101"/>
  <c r="A51" i="101"/>
  <c r="F51" i="101"/>
  <c r="G51" i="101"/>
  <c r="H51" i="101"/>
  <c r="K51" i="101"/>
  <c r="L51" i="101"/>
  <c r="A52" i="101"/>
  <c r="F52" i="101"/>
  <c r="G52" i="101"/>
  <c r="H52" i="101"/>
  <c r="K52" i="101"/>
  <c r="L52" i="101"/>
  <c r="A53" i="101"/>
  <c r="F53" i="101"/>
  <c r="G53" i="101"/>
  <c r="H53" i="101"/>
  <c r="K53" i="101"/>
  <c r="L53" i="101"/>
  <c r="A54" i="101"/>
  <c r="F54" i="101"/>
  <c r="G54" i="101"/>
  <c r="H54" i="101"/>
  <c r="K54" i="101"/>
  <c r="L54" i="101"/>
  <c r="A55" i="101"/>
  <c r="F55" i="101"/>
  <c r="G55" i="101"/>
  <c r="H55" i="101"/>
  <c r="K55" i="101"/>
  <c r="L55" i="101"/>
  <c r="A56" i="101"/>
  <c r="F56" i="101"/>
  <c r="G56" i="101"/>
  <c r="H56" i="101"/>
  <c r="K56" i="101"/>
  <c r="L56" i="101"/>
  <c r="A57" i="101"/>
  <c r="F57" i="101"/>
  <c r="G57" i="101"/>
  <c r="H57" i="101"/>
  <c r="K57" i="101"/>
  <c r="L57" i="101"/>
  <c r="A58" i="101"/>
  <c r="F58" i="101"/>
  <c r="G58" i="101"/>
  <c r="H58" i="101"/>
  <c r="K58" i="101"/>
  <c r="L58" i="101"/>
  <c r="A59" i="101"/>
  <c r="F59" i="101"/>
  <c r="G59" i="101"/>
  <c r="H59" i="101"/>
  <c r="K59" i="101"/>
  <c r="L59" i="101"/>
  <c r="A60" i="101"/>
  <c r="F60" i="101"/>
  <c r="G60" i="101"/>
  <c r="H60" i="101"/>
  <c r="K60" i="101"/>
  <c r="L60" i="101"/>
  <c r="A61" i="101"/>
  <c r="F61" i="101"/>
  <c r="G61" i="101"/>
  <c r="H61" i="101"/>
  <c r="K61" i="101"/>
  <c r="L61" i="101"/>
  <c r="A62" i="101"/>
  <c r="F62" i="101"/>
  <c r="G62" i="101"/>
  <c r="H62" i="101"/>
  <c r="K62" i="101"/>
  <c r="L62" i="101"/>
  <c r="A63" i="101"/>
  <c r="F63" i="101"/>
  <c r="G63" i="101"/>
  <c r="H63" i="101"/>
  <c r="K63" i="101"/>
  <c r="L63" i="101"/>
  <c r="A64" i="101"/>
  <c r="F64" i="101"/>
  <c r="G64" i="101"/>
  <c r="H64" i="101"/>
  <c r="K64" i="101"/>
  <c r="L64" i="101"/>
  <c r="A65" i="101"/>
  <c r="F65" i="101"/>
  <c r="G65" i="101"/>
  <c r="H65" i="101"/>
  <c r="K65" i="101"/>
  <c r="L65" i="101"/>
  <c r="B66" i="101"/>
  <c r="C66" i="101"/>
  <c r="D66" i="101"/>
  <c r="E66" i="101"/>
  <c r="F66" i="101"/>
  <c r="G66" i="101"/>
  <c r="H66" i="101"/>
  <c r="I66" i="101"/>
  <c r="J66" i="101"/>
  <c r="K66" i="101"/>
  <c r="L66" i="101"/>
  <c r="M66" i="101"/>
  <c r="N66" i="101"/>
  <c r="O66" i="101"/>
  <c r="P66" i="101"/>
  <c r="I36" i="92"/>
  <c r="I37" i="92"/>
  <c r="I38" i="92"/>
  <c r="I39" i="92"/>
  <c r="I40" i="92"/>
  <c r="I41" i="92"/>
  <c r="I42" i="92"/>
  <c r="I43" i="92"/>
  <c r="I44" i="92"/>
  <c r="I45" i="92"/>
  <c r="I46" i="92"/>
  <c r="I47" i="92"/>
  <c r="I48" i="92"/>
  <c r="I49" i="92"/>
  <c r="I50" i="92"/>
  <c r="I51" i="92"/>
  <c r="I52" i="92"/>
  <c r="I53" i="92"/>
  <c r="I54" i="92"/>
  <c r="I55" i="92"/>
  <c r="I56" i="92"/>
  <c r="I57" i="92"/>
  <c r="I58" i="92"/>
  <c r="I59" i="92"/>
  <c r="I60" i="92"/>
  <c r="I61" i="92"/>
  <c r="I62" i="92"/>
  <c r="I63" i="92"/>
  <c r="I64" i="92"/>
  <c r="I65" i="92"/>
  <c r="I35" i="92"/>
  <c r="C36" i="92"/>
  <c r="C37" i="92"/>
  <c r="C38" i="92"/>
  <c r="C39" i="92"/>
  <c r="C40" i="92"/>
  <c r="C41" i="92"/>
  <c r="C42" i="92"/>
  <c r="C43" i="92"/>
  <c r="C44" i="92"/>
  <c r="C45" i="92"/>
  <c r="C46" i="92"/>
  <c r="C47" i="92"/>
  <c r="C48" i="92"/>
  <c r="C49" i="92"/>
  <c r="C50" i="92"/>
  <c r="C51" i="92"/>
  <c r="C52" i="92"/>
  <c r="C53" i="92"/>
  <c r="C54" i="92"/>
  <c r="C55" i="92"/>
  <c r="C56" i="92"/>
  <c r="C57" i="92"/>
  <c r="C58" i="92"/>
  <c r="C59" i="92"/>
  <c r="C60" i="92"/>
  <c r="C61" i="92"/>
  <c r="C62" i="92"/>
  <c r="C63" i="92"/>
  <c r="C64" i="92"/>
  <c r="C65" i="92"/>
  <c r="C35" i="92"/>
  <c r="B36" i="92"/>
  <c r="B37" i="92"/>
  <c r="B38" i="92"/>
  <c r="B39" i="92"/>
  <c r="B40" i="92"/>
  <c r="B41" i="92"/>
  <c r="B42" i="92"/>
  <c r="B43" i="92"/>
  <c r="B44" i="92"/>
  <c r="B45" i="92"/>
  <c r="B46" i="92"/>
  <c r="B47" i="92"/>
  <c r="B48" i="92"/>
  <c r="B49" i="92"/>
  <c r="B50" i="92"/>
  <c r="B51" i="92"/>
  <c r="B52" i="92"/>
  <c r="B53" i="92"/>
  <c r="B54" i="92"/>
  <c r="B55" i="92"/>
  <c r="B56" i="92"/>
  <c r="B57" i="92"/>
  <c r="B58" i="92"/>
  <c r="B59" i="92"/>
  <c r="B60" i="92"/>
  <c r="B61" i="92"/>
  <c r="B62" i="92"/>
  <c r="B63" i="92"/>
  <c r="B64" i="92"/>
  <c r="B65" i="92"/>
  <c r="B35" i="92"/>
  <c r="I36" i="91"/>
  <c r="I37" i="91"/>
  <c r="I38" i="91"/>
  <c r="I39" i="91"/>
  <c r="I40" i="91"/>
  <c r="I41" i="91"/>
  <c r="I42" i="91"/>
  <c r="I43" i="91"/>
  <c r="I44" i="91"/>
  <c r="I45" i="91"/>
  <c r="I46" i="91"/>
  <c r="I47" i="91"/>
  <c r="I48" i="91"/>
  <c r="I49" i="91"/>
  <c r="I50" i="91"/>
  <c r="I51" i="91"/>
  <c r="I52" i="91"/>
  <c r="I53" i="91"/>
  <c r="I54" i="91"/>
  <c r="I55" i="91"/>
  <c r="I56" i="91"/>
  <c r="I57" i="91"/>
  <c r="I58" i="91"/>
  <c r="I59" i="91"/>
  <c r="I60" i="91"/>
  <c r="I61" i="91"/>
  <c r="I62" i="91"/>
  <c r="I63" i="91"/>
  <c r="I64" i="91"/>
  <c r="I65" i="91"/>
  <c r="I35" i="91"/>
  <c r="C36" i="91"/>
  <c r="C37" i="91"/>
  <c r="C38" i="91"/>
  <c r="C39" i="91"/>
  <c r="C40" i="91"/>
  <c r="C41" i="91"/>
  <c r="C42" i="91"/>
  <c r="C43" i="91"/>
  <c r="C44" i="91"/>
  <c r="C45" i="91"/>
  <c r="C46" i="91"/>
  <c r="C47" i="91"/>
  <c r="C48" i="91"/>
  <c r="C49" i="91"/>
  <c r="C50" i="91"/>
  <c r="C51" i="91"/>
  <c r="C52" i="91"/>
  <c r="C53" i="91"/>
  <c r="C54" i="91"/>
  <c r="C55" i="91"/>
  <c r="C56" i="91"/>
  <c r="C57" i="91"/>
  <c r="C58" i="91"/>
  <c r="C59" i="91"/>
  <c r="C60" i="91"/>
  <c r="C61" i="91"/>
  <c r="C62" i="91"/>
  <c r="C63" i="91"/>
  <c r="C64" i="91"/>
  <c r="C65" i="91"/>
  <c r="C35" i="91"/>
  <c r="B36" i="91"/>
  <c r="B37" i="91"/>
  <c r="B38" i="91"/>
  <c r="B39" i="91"/>
  <c r="B40" i="91"/>
  <c r="B41" i="91"/>
  <c r="B42" i="91"/>
  <c r="B43" i="91"/>
  <c r="B44" i="91"/>
  <c r="B45" i="91"/>
  <c r="B46" i="91"/>
  <c r="B47" i="91"/>
  <c r="B48" i="91"/>
  <c r="B49" i="91"/>
  <c r="B50" i="91"/>
  <c r="B51" i="91"/>
  <c r="B52" i="91"/>
  <c r="B53" i="91"/>
  <c r="B54" i="91"/>
  <c r="B55" i="91"/>
  <c r="B56" i="91"/>
  <c r="B57" i="91"/>
  <c r="B58" i="91"/>
  <c r="B59" i="91"/>
  <c r="B60" i="91"/>
  <c r="B61" i="91"/>
  <c r="B62" i="91"/>
  <c r="B63" i="91"/>
  <c r="B64" i="91"/>
  <c r="B65" i="91"/>
  <c r="B35" i="91"/>
  <c r="E66" i="99"/>
  <c r="C66" i="99"/>
  <c r="B66" i="99"/>
  <c r="P66" i="99"/>
  <c r="O66" i="99"/>
  <c r="N66" i="99"/>
  <c r="M66" i="99"/>
  <c r="J66" i="99"/>
  <c r="I66" i="99"/>
  <c r="D66" i="99"/>
  <c r="L66" i="99" s="1"/>
  <c r="L65" i="99"/>
  <c r="K65" i="99"/>
  <c r="H65" i="99"/>
  <c r="G65" i="99"/>
  <c r="F65" i="99"/>
  <c r="L64" i="99"/>
  <c r="K64" i="99"/>
  <c r="H64" i="99"/>
  <c r="G64" i="99"/>
  <c r="F64" i="99"/>
  <c r="L63" i="99"/>
  <c r="K63" i="99"/>
  <c r="H63" i="99"/>
  <c r="G63" i="99"/>
  <c r="F63" i="99"/>
  <c r="L62" i="99"/>
  <c r="K62" i="99"/>
  <c r="H62" i="99"/>
  <c r="G62" i="99"/>
  <c r="F62" i="99"/>
  <c r="L61" i="99"/>
  <c r="K61" i="99"/>
  <c r="H61" i="99"/>
  <c r="G61" i="99"/>
  <c r="F61" i="99"/>
  <c r="L60" i="99"/>
  <c r="K60" i="99"/>
  <c r="H60" i="99"/>
  <c r="G60" i="99"/>
  <c r="F60" i="99"/>
  <c r="L59" i="99"/>
  <c r="K59" i="99"/>
  <c r="H59" i="99"/>
  <c r="G59" i="99"/>
  <c r="F59" i="99"/>
  <c r="L58" i="99"/>
  <c r="K58" i="99"/>
  <c r="H58" i="99"/>
  <c r="G58" i="99"/>
  <c r="F58" i="99"/>
  <c r="L57" i="99"/>
  <c r="K57" i="99"/>
  <c r="H57" i="99"/>
  <c r="G57" i="99"/>
  <c r="F57" i="99"/>
  <c r="L56" i="99"/>
  <c r="K56" i="99"/>
  <c r="H56" i="99"/>
  <c r="G56" i="99"/>
  <c r="F56" i="99"/>
  <c r="L55" i="99"/>
  <c r="K55" i="99"/>
  <c r="H55" i="99"/>
  <c r="G55" i="99"/>
  <c r="F55" i="99"/>
  <c r="L54" i="99"/>
  <c r="K54" i="99"/>
  <c r="H54" i="99"/>
  <c r="G54" i="99"/>
  <c r="F54" i="99"/>
  <c r="L53" i="99"/>
  <c r="K53" i="99"/>
  <c r="H53" i="99"/>
  <c r="G53" i="99"/>
  <c r="F53" i="99"/>
  <c r="L52" i="99"/>
  <c r="K52" i="99"/>
  <c r="H52" i="99"/>
  <c r="G52" i="99"/>
  <c r="F52" i="99"/>
  <c r="L51" i="99"/>
  <c r="K51" i="99"/>
  <c r="H51" i="99"/>
  <c r="G51" i="99"/>
  <c r="F51" i="99"/>
  <c r="L50" i="99"/>
  <c r="K50" i="99"/>
  <c r="H50" i="99"/>
  <c r="G50" i="99"/>
  <c r="F50" i="99"/>
  <c r="L49" i="99"/>
  <c r="K49" i="99"/>
  <c r="H49" i="99"/>
  <c r="G49" i="99"/>
  <c r="F49" i="99"/>
  <c r="L48" i="99"/>
  <c r="K48" i="99"/>
  <c r="H48" i="99"/>
  <c r="G48" i="99"/>
  <c r="F48" i="99"/>
  <c r="L47" i="99"/>
  <c r="K47" i="99"/>
  <c r="H47" i="99"/>
  <c r="G47" i="99"/>
  <c r="F47" i="99"/>
  <c r="L46" i="99"/>
  <c r="K46" i="99"/>
  <c r="H46" i="99"/>
  <c r="G46" i="99"/>
  <c r="F46" i="99"/>
  <c r="L45" i="99"/>
  <c r="K45" i="99"/>
  <c r="H45" i="99"/>
  <c r="G45" i="99"/>
  <c r="F45" i="99"/>
  <c r="L44" i="99"/>
  <c r="K44" i="99"/>
  <c r="H44" i="99"/>
  <c r="G44" i="99"/>
  <c r="F44" i="99"/>
  <c r="L43" i="99"/>
  <c r="K43" i="99"/>
  <c r="H43" i="99"/>
  <c r="G43" i="99"/>
  <c r="F43" i="99"/>
  <c r="L42" i="99"/>
  <c r="K42" i="99"/>
  <c r="H42" i="99"/>
  <c r="G42" i="99"/>
  <c r="F42" i="99"/>
  <c r="L41" i="99"/>
  <c r="K41" i="99"/>
  <c r="H41" i="99"/>
  <c r="G41" i="99"/>
  <c r="F41" i="99"/>
  <c r="L40" i="99"/>
  <c r="K40" i="99"/>
  <c r="H40" i="99"/>
  <c r="G40" i="99"/>
  <c r="F40" i="99"/>
  <c r="L39" i="99"/>
  <c r="K39" i="99"/>
  <c r="H39" i="99"/>
  <c r="G39" i="99"/>
  <c r="F39" i="99"/>
  <c r="L38" i="99"/>
  <c r="K38" i="99"/>
  <c r="H38" i="99"/>
  <c r="G38" i="99"/>
  <c r="F38" i="99"/>
  <c r="L37" i="99"/>
  <c r="K37" i="99"/>
  <c r="H37" i="99"/>
  <c r="G37" i="99"/>
  <c r="F37" i="99"/>
  <c r="L36" i="99"/>
  <c r="K36" i="99"/>
  <c r="H36" i="99"/>
  <c r="G36" i="99"/>
  <c r="F36" i="99"/>
  <c r="A36" i="99"/>
  <c r="A37" i="99" s="1"/>
  <c r="A38" i="99" s="1"/>
  <c r="A39" i="99" s="1"/>
  <c r="A40" i="99" s="1"/>
  <c r="A41" i="99" s="1"/>
  <c r="A42" i="99" s="1"/>
  <c r="A43" i="99" s="1"/>
  <c r="A44" i="99" s="1"/>
  <c r="A45" i="99" s="1"/>
  <c r="A46" i="99" s="1"/>
  <c r="A47" i="99" s="1"/>
  <c r="A48" i="99" s="1"/>
  <c r="A49" i="99" s="1"/>
  <c r="A50" i="99" s="1"/>
  <c r="A51" i="99" s="1"/>
  <c r="A52" i="99" s="1"/>
  <c r="A53" i="99" s="1"/>
  <c r="A54" i="99" s="1"/>
  <c r="A55" i="99" s="1"/>
  <c r="A56" i="99" s="1"/>
  <c r="A57" i="99" s="1"/>
  <c r="A58" i="99" s="1"/>
  <c r="A59" i="99" s="1"/>
  <c r="A60" i="99" s="1"/>
  <c r="A61" i="99" s="1"/>
  <c r="A62" i="99" s="1"/>
  <c r="A63" i="99" s="1"/>
  <c r="A64" i="99" s="1"/>
  <c r="A65" i="99" s="1"/>
  <c r="L35" i="99"/>
  <c r="K35" i="99"/>
  <c r="H35" i="99"/>
  <c r="H66" i="99" s="1"/>
  <c r="G35" i="99"/>
  <c r="G66" i="99" s="1"/>
  <c r="F35" i="99"/>
  <c r="P35" i="98"/>
  <c r="O35" i="98"/>
  <c r="N35" i="98"/>
  <c r="M35" i="98"/>
  <c r="J35" i="98"/>
  <c r="I35" i="98"/>
  <c r="E35" i="98"/>
  <c r="D35" i="98"/>
  <c r="L35" i="98" s="1"/>
  <c r="C35" i="98"/>
  <c r="B35" i="98"/>
  <c r="L34" i="98"/>
  <c r="K34" i="98"/>
  <c r="H34" i="98"/>
  <c r="G34" i="98"/>
  <c r="F34" i="98"/>
  <c r="L33" i="98"/>
  <c r="K33" i="98"/>
  <c r="H33" i="98"/>
  <c r="G33" i="98"/>
  <c r="F33" i="98"/>
  <c r="L32" i="98"/>
  <c r="K32" i="98"/>
  <c r="H32" i="98"/>
  <c r="G32" i="98"/>
  <c r="F32" i="98"/>
  <c r="L31" i="98"/>
  <c r="K31" i="98"/>
  <c r="H31" i="98"/>
  <c r="G31" i="98"/>
  <c r="F31" i="98"/>
  <c r="L30" i="98"/>
  <c r="K30" i="98"/>
  <c r="H30" i="98"/>
  <c r="G30" i="98"/>
  <c r="F30" i="98"/>
  <c r="L29" i="98"/>
  <c r="K29" i="98"/>
  <c r="H29" i="98"/>
  <c r="G29" i="98"/>
  <c r="F29" i="98"/>
  <c r="L28" i="98"/>
  <c r="K28" i="98"/>
  <c r="H28" i="98"/>
  <c r="G28" i="98"/>
  <c r="F28" i="98"/>
  <c r="L27" i="98"/>
  <c r="K27" i="98"/>
  <c r="H27" i="98"/>
  <c r="G27" i="98"/>
  <c r="F27" i="98"/>
  <c r="L26" i="98"/>
  <c r="K26" i="98"/>
  <c r="H26" i="98"/>
  <c r="G26" i="98"/>
  <c r="F26" i="98"/>
  <c r="L25" i="98"/>
  <c r="K25" i="98"/>
  <c r="H25" i="98"/>
  <c r="G25" i="98"/>
  <c r="F25" i="98"/>
  <c r="L24" i="98"/>
  <c r="K24" i="98"/>
  <c r="H24" i="98"/>
  <c r="G24" i="98"/>
  <c r="F24" i="98"/>
  <c r="L23" i="98"/>
  <c r="K23" i="98"/>
  <c r="H23" i="98"/>
  <c r="G23" i="98"/>
  <c r="F23" i="98"/>
  <c r="L22" i="98"/>
  <c r="K22" i="98"/>
  <c r="H22" i="98"/>
  <c r="G22" i="98"/>
  <c r="F22" i="98"/>
  <c r="L21" i="98"/>
  <c r="K21" i="98"/>
  <c r="H21" i="98"/>
  <c r="G21" i="98"/>
  <c r="F21" i="98"/>
  <c r="L20" i="98"/>
  <c r="K20" i="98"/>
  <c r="H20" i="98"/>
  <c r="G20" i="98"/>
  <c r="F20" i="98"/>
  <c r="L19" i="98"/>
  <c r="K19" i="98"/>
  <c r="H19" i="98"/>
  <c r="G19" i="98"/>
  <c r="F19" i="98"/>
  <c r="L18" i="98"/>
  <c r="K18" i="98"/>
  <c r="H18" i="98"/>
  <c r="G18" i="98"/>
  <c r="F18" i="98"/>
  <c r="L17" i="98"/>
  <c r="K17" i="98"/>
  <c r="H17" i="98"/>
  <c r="G17" i="98"/>
  <c r="F17" i="98"/>
  <c r="L16" i="98"/>
  <c r="K16" i="98"/>
  <c r="H16" i="98"/>
  <c r="G16" i="98"/>
  <c r="F16" i="98"/>
  <c r="L15" i="98"/>
  <c r="K15" i="98"/>
  <c r="H15" i="98"/>
  <c r="G15" i="98"/>
  <c r="F15" i="98"/>
  <c r="L14" i="98"/>
  <c r="K14" i="98"/>
  <c r="H14" i="98"/>
  <c r="G14" i="98"/>
  <c r="F14" i="98"/>
  <c r="L13" i="98"/>
  <c r="K13" i="98"/>
  <c r="H13" i="98"/>
  <c r="G13" i="98"/>
  <c r="F13" i="98"/>
  <c r="L12" i="98"/>
  <c r="K12" i="98"/>
  <c r="H12" i="98"/>
  <c r="G12" i="98"/>
  <c r="F12" i="98"/>
  <c r="L11" i="98"/>
  <c r="K11" i="98"/>
  <c r="H11" i="98"/>
  <c r="G11" i="98"/>
  <c r="F11" i="98"/>
  <c r="L10" i="98"/>
  <c r="K10" i="98"/>
  <c r="H10" i="98"/>
  <c r="G10" i="98"/>
  <c r="F10" i="98"/>
  <c r="L9" i="98"/>
  <c r="K9" i="98"/>
  <c r="H9" i="98"/>
  <c r="G9" i="98"/>
  <c r="F9" i="98"/>
  <c r="L8" i="98"/>
  <c r="K8" i="98"/>
  <c r="H8" i="98"/>
  <c r="G8" i="98"/>
  <c r="F8" i="98"/>
  <c r="L7" i="98"/>
  <c r="K7" i="98"/>
  <c r="H7" i="98"/>
  <c r="G7" i="98"/>
  <c r="F7" i="98"/>
  <c r="L6" i="98"/>
  <c r="K6" i="98"/>
  <c r="H6" i="98"/>
  <c r="G6" i="98"/>
  <c r="F6" i="98"/>
  <c r="L5" i="98"/>
  <c r="K5" i="98"/>
  <c r="H5" i="98"/>
  <c r="G5" i="98"/>
  <c r="F5" i="98"/>
  <c r="A5" i="98"/>
  <c r="A6" i="98" s="1"/>
  <c r="A7" i="98" s="1"/>
  <c r="A8" i="98" s="1"/>
  <c r="A9" i="98" s="1"/>
  <c r="A10" i="98" s="1"/>
  <c r="A11" i="98" s="1"/>
  <c r="A12" i="98" s="1"/>
  <c r="A13" i="98" s="1"/>
  <c r="A14" i="98" s="1"/>
  <c r="A15" i="98" s="1"/>
  <c r="A16" i="98" s="1"/>
  <c r="A17" i="98" s="1"/>
  <c r="A18" i="98" s="1"/>
  <c r="A19" i="98" s="1"/>
  <c r="A20" i="98" s="1"/>
  <c r="A21" i="98" s="1"/>
  <c r="A22" i="98" s="1"/>
  <c r="A23" i="98" s="1"/>
  <c r="A24" i="98" s="1"/>
  <c r="A25" i="98" s="1"/>
  <c r="A26" i="98" s="1"/>
  <c r="A27" i="98" s="1"/>
  <c r="A28" i="98" s="1"/>
  <c r="A29" i="98" s="1"/>
  <c r="A30" i="98" s="1"/>
  <c r="A31" i="98" s="1"/>
  <c r="A32" i="98" s="1"/>
  <c r="A33" i="98" s="1"/>
  <c r="A34" i="98" s="1"/>
  <c r="L4" i="98"/>
  <c r="K4" i="98"/>
  <c r="H4" i="98"/>
  <c r="H35" i="98" s="1"/>
  <c r="G4" i="98"/>
  <c r="G35" i="98" s="1"/>
  <c r="F4" i="98"/>
  <c r="P66" i="94"/>
  <c r="O66" i="94"/>
  <c r="N66" i="94"/>
  <c r="M66" i="94"/>
  <c r="L66" i="94"/>
  <c r="K66" i="94"/>
  <c r="J66" i="94"/>
  <c r="I66" i="94"/>
  <c r="H66" i="94"/>
  <c r="G66" i="94"/>
  <c r="F66" i="94"/>
  <c r="E66" i="94"/>
  <c r="D66" i="94"/>
  <c r="C66" i="94"/>
  <c r="B66" i="94"/>
  <c r="B66" i="95"/>
  <c r="P66" i="95"/>
  <c r="O66" i="95"/>
  <c r="N66" i="95"/>
  <c r="M66" i="95"/>
  <c r="J66" i="95"/>
  <c r="I66" i="95"/>
  <c r="E66" i="95"/>
  <c r="D66" i="95"/>
  <c r="L66" i="95" s="1"/>
  <c r="C66" i="95"/>
  <c r="L65" i="95"/>
  <c r="K65" i="95"/>
  <c r="H65" i="95"/>
  <c r="G65" i="95"/>
  <c r="F65" i="95"/>
  <c r="L64" i="95"/>
  <c r="K64" i="95"/>
  <c r="H64" i="95"/>
  <c r="G64" i="95"/>
  <c r="F64" i="95"/>
  <c r="L63" i="95"/>
  <c r="K63" i="95"/>
  <c r="H63" i="95"/>
  <c r="G63" i="95"/>
  <c r="F63" i="95"/>
  <c r="L62" i="95"/>
  <c r="K62" i="95"/>
  <c r="H62" i="95"/>
  <c r="G62" i="95"/>
  <c r="F62" i="95"/>
  <c r="L61" i="95"/>
  <c r="K61" i="95"/>
  <c r="H61" i="95"/>
  <c r="G61" i="95"/>
  <c r="F61" i="95"/>
  <c r="L60" i="95"/>
  <c r="K60" i="95"/>
  <c r="H60" i="95"/>
  <c r="G60" i="95"/>
  <c r="F60" i="95"/>
  <c r="L59" i="95"/>
  <c r="K59" i="95"/>
  <c r="H59" i="95"/>
  <c r="G59" i="95"/>
  <c r="F59" i="95"/>
  <c r="L58" i="95"/>
  <c r="K58" i="95"/>
  <c r="H58" i="95"/>
  <c r="G58" i="95"/>
  <c r="F58" i="95"/>
  <c r="L57" i="95"/>
  <c r="K57" i="95"/>
  <c r="H57" i="95"/>
  <c r="G57" i="95"/>
  <c r="F57" i="95"/>
  <c r="L56" i="95"/>
  <c r="K56" i="95"/>
  <c r="H56" i="95"/>
  <c r="G56" i="95"/>
  <c r="F56" i="95"/>
  <c r="L55" i="95"/>
  <c r="K55" i="95"/>
  <c r="H55" i="95"/>
  <c r="G55" i="95"/>
  <c r="F55" i="95"/>
  <c r="L54" i="95"/>
  <c r="K54" i="95"/>
  <c r="H54" i="95"/>
  <c r="G54" i="95"/>
  <c r="F54" i="95"/>
  <c r="L53" i="95"/>
  <c r="K53" i="95"/>
  <c r="H53" i="95"/>
  <c r="G53" i="95"/>
  <c r="F53" i="95"/>
  <c r="L52" i="95"/>
  <c r="K52" i="95"/>
  <c r="H52" i="95"/>
  <c r="G52" i="95"/>
  <c r="F52" i="95"/>
  <c r="L51" i="95"/>
  <c r="K51" i="95"/>
  <c r="H51" i="95"/>
  <c r="G51" i="95"/>
  <c r="F51" i="95"/>
  <c r="L50" i="95"/>
  <c r="K50" i="95"/>
  <c r="H50" i="95"/>
  <c r="G50" i="95"/>
  <c r="F50" i="95"/>
  <c r="L49" i="95"/>
  <c r="K49" i="95"/>
  <c r="H49" i="95"/>
  <c r="G49" i="95"/>
  <c r="F49" i="95"/>
  <c r="L48" i="95"/>
  <c r="K48" i="95"/>
  <c r="H48" i="95"/>
  <c r="G48" i="95"/>
  <c r="F48" i="95"/>
  <c r="L47" i="95"/>
  <c r="K47" i="95"/>
  <c r="H47" i="95"/>
  <c r="G47" i="95"/>
  <c r="F47" i="95"/>
  <c r="L46" i="95"/>
  <c r="K46" i="95"/>
  <c r="H46" i="95"/>
  <c r="G46" i="95"/>
  <c r="F46" i="95"/>
  <c r="L45" i="95"/>
  <c r="K45" i="95"/>
  <c r="H45" i="95"/>
  <c r="G45" i="95"/>
  <c r="F45" i="95"/>
  <c r="L44" i="95"/>
  <c r="K44" i="95"/>
  <c r="H44" i="95"/>
  <c r="G44" i="95"/>
  <c r="F44" i="95"/>
  <c r="L43" i="95"/>
  <c r="K43" i="95"/>
  <c r="H43" i="95"/>
  <c r="G43" i="95"/>
  <c r="F43" i="95"/>
  <c r="L42" i="95"/>
  <c r="K42" i="95"/>
  <c r="H42" i="95"/>
  <c r="G42" i="95"/>
  <c r="F42" i="95"/>
  <c r="L41" i="95"/>
  <c r="K41" i="95"/>
  <c r="H41" i="95"/>
  <c r="G41" i="95"/>
  <c r="F41" i="95"/>
  <c r="L40" i="95"/>
  <c r="K40" i="95"/>
  <c r="H40" i="95"/>
  <c r="G40" i="95"/>
  <c r="F40" i="95"/>
  <c r="L39" i="95"/>
  <c r="K39" i="95"/>
  <c r="H39" i="95"/>
  <c r="G39" i="95"/>
  <c r="F39" i="95"/>
  <c r="L38" i="95"/>
  <c r="K38" i="95"/>
  <c r="H38" i="95"/>
  <c r="G38" i="95"/>
  <c r="F38" i="95"/>
  <c r="L37" i="95"/>
  <c r="K37" i="95"/>
  <c r="H37" i="95"/>
  <c r="G37" i="95"/>
  <c r="F37" i="95"/>
  <c r="L36" i="95"/>
  <c r="K36" i="95"/>
  <c r="H36" i="95"/>
  <c r="G36" i="95"/>
  <c r="F36" i="95"/>
  <c r="A36" i="95"/>
  <c r="A37" i="95" s="1"/>
  <c r="A38" i="95" s="1"/>
  <c r="A39" i="95" s="1"/>
  <c r="A40" i="95" s="1"/>
  <c r="A41" i="95" s="1"/>
  <c r="A42" i="95" s="1"/>
  <c r="A43" i="95" s="1"/>
  <c r="A44" i="95" s="1"/>
  <c r="A45" i="95" s="1"/>
  <c r="A46" i="95" s="1"/>
  <c r="A47" i="95" s="1"/>
  <c r="A48" i="95" s="1"/>
  <c r="A49" i="95" s="1"/>
  <c r="A50" i="95" s="1"/>
  <c r="A51" i="95" s="1"/>
  <c r="A52" i="95" s="1"/>
  <c r="A53" i="95" s="1"/>
  <c r="A54" i="95" s="1"/>
  <c r="A55" i="95" s="1"/>
  <c r="A56" i="95" s="1"/>
  <c r="A57" i="95" s="1"/>
  <c r="A58" i="95" s="1"/>
  <c r="A59" i="95" s="1"/>
  <c r="A60" i="95" s="1"/>
  <c r="A61" i="95" s="1"/>
  <c r="A62" i="95" s="1"/>
  <c r="A63" i="95" s="1"/>
  <c r="A64" i="95" s="1"/>
  <c r="A65" i="95" s="1"/>
  <c r="L35" i="95"/>
  <c r="K35" i="95"/>
  <c r="H35" i="95"/>
  <c r="H66" i="95" s="1"/>
  <c r="G35" i="95"/>
  <c r="G66" i="95" s="1"/>
  <c r="F35" i="95"/>
  <c r="L65" i="94"/>
  <c r="K65" i="94"/>
  <c r="H65" i="94"/>
  <c r="G65" i="94"/>
  <c r="F65" i="94"/>
  <c r="L64" i="94"/>
  <c r="K64" i="94"/>
  <c r="H64" i="94"/>
  <c r="G64" i="94"/>
  <c r="F64" i="94"/>
  <c r="L63" i="94"/>
  <c r="K63" i="94"/>
  <c r="H63" i="94"/>
  <c r="G63" i="94"/>
  <c r="F63" i="94"/>
  <c r="L62" i="94"/>
  <c r="K62" i="94"/>
  <c r="H62" i="94"/>
  <c r="G62" i="94"/>
  <c r="F62" i="94"/>
  <c r="L61" i="94"/>
  <c r="K61" i="94"/>
  <c r="H61" i="94"/>
  <c r="G61" i="94"/>
  <c r="F61" i="94"/>
  <c r="L60" i="94"/>
  <c r="K60" i="94"/>
  <c r="H60" i="94"/>
  <c r="G60" i="94"/>
  <c r="F60" i="94"/>
  <c r="L59" i="94"/>
  <c r="K59" i="94"/>
  <c r="H59" i="94"/>
  <c r="G59" i="94"/>
  <c r="F59" i="94"/>
  <c r="L58" i="94"/>
  <c r="K58" i="94"/>
  <c r="H58" i="94"/>
  <c r="G58" i="94"/>
  <c r="F58" i="94"/>
  <c r="L57" i="94"/>
  <c r="K57" i="94"/>
  <c r="H57" i="94"/>
  <c r="G57" i="94"/>
  <c r="F57" i="94"/>
  <c r="L56" i="94"/>
  <c r="K56" i="94"/>
  <c r="H56" i="94"/>
  <c r="G56" i="94"/>
  <c r="F56" i="94"/>
  <c r="L55" i="94"/>
  <c r="K55" i="94"/>
  <c r="H55" i="94"/>
  <c r="G55" i="94"/>
  <c r="F55" i="94"/>
  <c r="L54" i="94"/>
  <c r="K54" i="94"/>
  <c r="H54" i="94"/>
  <c r="G54" i="94"/>
  <c r="F54" i="94"/>
  <c r="L53" i="94"/>
  <c r="K53" i="94"/>
  <c r="H53" i="94"/>
  <c r="G53" i="94"/>
  <c r="F53" i="94"/>
  <c r="L52" i="94"/>
  <c r="K52" i="94"/>
  <c r="H52" i="94"/>
  <c r="G52" i="94"/>
  <c r="F52" i="94"/>
  <c r="L51" i="94"/>
  <c r="K51" i="94"/>
  <c r="H51" i="94"/>
  <c r="G51" i="94"/>
  <c r="F51" i="94"/>
  <c r="L50" i="94"/>
  <c r="K50" i="94"/>
  <c r="H50" i="94"/>
  <c r="G50" i="94"/>
  <c r="F50" i="94"/>
  <c r="L49" i="94"/>
  <c r="K49" i="94"/>
  <c r="H49" i="94"/>
  <c r="G49" i="94"/>
  <c r="F49" i="94"/>
  <c r="L48" i="94"/>
  <c r="K48" i="94"/>
  <c r="H48" i="94"/>
  <c r="G48" i="94"/>
  <c r="F48" i="94"/>
  <c r="L47" i="94"/>
  <c r="K47" i="94"/>
  <c r="H47" i="94"/>
  <c r="G47" i="94"/>
  <c r="F47" i="94"/>
  <c r="L46" i="94"/>
  <c r="K46" i="94"/>
  <c r="H46" i="94"/>
  <c r="G46" i="94"/>
  <c r="F46" i="94"/>
  <c r="L45" i="94"/>
  <c r="K45" i="94"/>
  <c r="H45" i="94"/>
  <c r="G45" i="94"/>
  <c r="F45" i="94"/>
  <c r="L44" i="94"/>
  <c r="K44" i="94"/>
  <c r="H44" i="94"/>
  <c r="G44" i="94"/>
  <c r="F44" i="94"/>
  <c r="L43" i="94"/>
  <c r="K43" i="94"/>
  <c r="H43" i="94"/>
  <c r="G43" i="94"/>
  <c r="F43" i="94"/>
  <c r="L42" i="94"/>
  <c r="K42" i="94"/>
  <c r="H42" i="94"/>
  <c r="G42" i="94"/>
  <c r="F42" i="94"/>
  <c r="L41" i="94"/>
  <c r="K41" i="94"/>
  <c r="H41" i="94"/>
  <c r="G41" i="94"/>
  <c r="F41" i="94"/>
  <c r="L40" i="94"/>
  <c r="K40" i="94"/>
  <c r="H40" i="94"/>
  <c r="G40" i="94"/>
  <c r="F40" i="94"/>
  <c r="L39" i="94"/>
  <c r="K39" i="94"/>
  <c r="H39" i="94"/>
  <c r="G39" i="94"/>
  <c r="F39" i="94"/>
  <c r="L38" i="94"/>
  <c r="K38" i="94"/>
  <c r="H38" i="94"/>
  <c r="G38" i="94"/>
  <c r="F38" i="94"/>
  <c r="L37" i="94"/>
  <c r="K37" i="94"/>
  <c r="H37" i="94"/>
  <c r="G37" i="94"/>
  <c r="F37" i="94"/>
  <c r="L36" i="94"/>
  <c r="K36" i="94"/>
  <c r="H36" i="94"/>
  <c r="G36" i="94"/>
  <c r="F36" i="94"/>
  <c r="A36" i="94"/>
  <c r="A37" i="94" s="1"/>
  <c r="A38" i="94" s="1"/>
  <c r="A39" i="94" s="1"/>
  <c r="A40" i="94" s="1"/>
  <c r="A41" i="94" s="1"/>
  <c r="A42" i="94" s="1"/>
  <c r="A43" i="94" s="1"/>
  <c r="A44" i="94" s="1"/>
  <c r="A45" i="94" s="1"/>
  <c r="A46" i="94" s="1"/>
  <c r="A47" i="94" s="1"/>
  <c r="A48" i="94" s="1"/>
  <c r="A49" i="94" s="1"/>
  <c r="A50" i="94" s="1"/>
  <c r="A51" i="94" s="1"/>
  <c r="A52" i="94" s="1"/>
  <c r="A53" i="94" s="1"/>
  <c r="A54" i="94" s="1"/>
  <c r="A55" i="94" s="1"/>
  <c r="A56" i="94" s="1"/>
  <c r="A57" i="94" s="1"/>
  <c r="A58" i="94" s="1"/>
  <c r="A59" i="94" s="1"/>
  <c r="A60" i="94" s="1"/>
  <c r="A61" i="94" s="1"/>
  <c r="A62" i="94" s="1"/>
  <c r="A63" i="94" s="1"/>
  <c r="A64" i="94" s="1"/>
  <c r="A65" i="94" s="1"/>
  <c r="L35" i="94"/>
  <c r="K35" i="94"/>
  <c r="H35" i="94"/>
  <c r="G35" i="94"/>
  <c r="F35" i="94"/>
  <c r="P66" i="93"/>
  <c r="O66" i="93"/>
  <c r="N66" i="93"/>
  <c r="M66" i="93"/>
  <c r="J66" i="93"/>
  <c r="I66" i="93"/>
  <c r="E66" i="93"/>
  <c r="D66" i="93"/>
  <c r="L66" i="93" s="1"/>
  <c r="C66" i="93"/>
  <c r="B66" i="93"/>
  <c r="L65" i="93"/>
  <c r="K65" i="93"/>
  <c r="H65" i="93"/>
  <c r="G65" i="93"/>
  <c r="F65" i="93"/>
  <c r="L64" i="93"/>
  <c r="K64" i="93"/>
  <c r="H64" i="93"/>
  <c r="G64" i="93"/>
  <c r="F64" i="93"/>
  <c r="L63" i="93"/>
  <c r="K63" i="93"/>
  <c r="H63" i="93"/>
  <c r="G63" i="93"/>
  <c r="F63" i="93"/>
  <c r="L62" i="93"/>
  <c r="K62" i="93"/>
  <c r="H62" i="93"/>
  <c r="G62" i="93"/>
  <c r="F62" i="93"/>
  <c r="L61" i="93"/>
  <c r="K61" i="93"/>
  <c r="H61" i="93"/>
  <c r="G61" i="93"/>
  <c r="F61" i="93"/>
  <c r="L60" i="93"/>
  <c r="K60" i="93"/>
  <c r="H60" i="93"/>
  <c r="G60" i="93"/>
  <c r="F60" i="93"/>
  <c r="L59" i="93"/>
  <c r="K59" i="93"/>
  <c r="H59" i="93"/>
  <c r="G59" i="93"/>
  <c r="F59" i="93"/>
  <c r="L58" i="93"/>
  <c r="K58" i="93"/>
  <c r="H58" i="93"/>
  <c r="G58" i="93"/>
  <c r="F58" i="93"/>
  <c r="L57" i="93"/>
  <c r="K57" i="93"/>
  <c r="H57" i="93"/>
  <c r="G57" i="93"/>
  <c r="F57" i="93"/>
  <c r="L56" i="93"/>
  <c r="K56" i="93"/>
  <c r="H56" i="93"/>
  <c r="G56" i="93"/>
  <c r="F56" i="93"/>
  <c r="L55" i="93"/>
  <c r="K55" i="93"/>
  <c r="H55" i="93"/>
  <c r="G55" i="93"/>
  <c r="F55" i="93"/>
  <c r="L54" i="93"/>
  <c r="K54" i="93"/>
  <c r="H54" i="93"/>
  <c r="G54" i="93"/>
  <c r="F54" i="93"/>
  <c r="L53" i="93"/>
  <c r="K53" i="93"/>
  <c r="H53" i="93"/>
  <c r="G53" i="93"/>
  <c r="F53" i="93"/>
  <c r="L52" i="93"/>
  <c r="K52" i="93"/>
  <c r="H52" i="93"/>
  <c r="G52" i="93"/>
  <c r="F52" i="93"/>
  <c r="L51" i="93"/>
  <c r="K51" i="93"/>
  <c r="H51" i="93"/>
  <c r="G51" i="93"/>
  <c r="F51" i="93"/>
  <c r="L50" i="93"/>
  <c r="K50" i="93"/>
  <c r="H50" i="93"/>
  <c r="G50" i="93"/>
  <c r="F50" i="93"/>
  <c r="L49" i="93"/>
  <c r="K49" i="93"/>
  <c r="H49" i="93"/>
  <c r="G49" i="93"/>
  <c r="F49" i="93"/>
  <c r="L48" i="93"/>
  <c r="K48" i="93"/>
  <c r="H48" i="93"/>
  <c r="G48" i="93"/>
  <c r="F48" i="93"/>
  <c r="L47" i="93"/>
  <c r="K47" i="93"/>
  <c r="H47" i="93"/>
  <c r="G47" i="93"/>
  <c r="F47" i="93"/>
  <c r="L46" i="93"/>
  <c r="K46" i="93"/>
  <c r="H46" i="93"/>
  <c r="G46" i="93"/>
  <c r="F46" i="93"/>
  <c r="L45" i="93"/>
  <c r="K45" i="93"/>
  <c r="H45" i="93"/>
  <c r="G45" i="93"/>
  <c r="F45" i="93"/>
  <c r="L44" i="93"/>
  <c r="K44" i="93"/>
  <c r="H44" i="93"/>
  <c r="G44" i="93"/>
  <c r="F44" i="93"/>
  <c r="L43" i="93"/>
  <c r="K43" i="93"/>
  <c r="H43" i="93"/>
  <c r="G43" i="93"/>
  <c r="F43" i="93"/>
  <c r="L42" i="93"/>
  <c r="K42" i="93"/>
  <c r="H42" i="93"/>
  <c r="G42" i="93"/>
  <c r="F42" i="93"/>
  <c r="L41" i="93"/>
  <c r="K41" i="93"/>
  <c r="H41" i="93"/>
  <c r="G41" i="93"/>
  <c r="F41" i="93"/>
  <c r="L40" i="93"/>
  <c r="K40" i="93"/>
  <c r="H40" i="93"/>
  <c r="G40" i="93"/>
  <c r="F40" i="93"/>
  <c r="L39" i="93"/>
  <c r="K39" i="93"/>
  <c r="H39" i="93"/>
  <c r="G39" i="93"/>
  <c r="F39" i="93"/>
  <c r="L38" i="93"/>
  <c r="K38" i="93"/>
  <c r="H38" i="93"/>
  <c r="G38" i="93"/>
  <c r="F38" i="93"/>
  <c r="L37" i="93"/>
  <c r="K37" i="93"/>
  <c r="H37" i="93"/>
  <c r="G37" i="93"/>
  <c r="F37" i="93"/>
  <c r="L36" i="93"/>
  <c r="K36" i="93"/>
  <c r="H36" i="93"/>
  <c r="G36" i="93"/>
  <c r="F36" i="93"/>
  <c r="A36" i="93"/>
  <c r="A37" i="93" s="1"/>
  <c r="A38" i="93" s="1"/>
  <c r="A39" i="93" s="1"/>
  <c r="A40" i="93" s="1"/>
  <c r="A41" i="93" s="1"/>
  <c r="A42" i="93" s="1"/>
  <c r="A43" i="93" s="1"/>
  <c r="A44" i="93" s="1"/>
  <c r="A45" i="93" s="1"/>
  <c r="A46" i="93" s="1"/>
  <c r="A47" i="93" s="1"/>
  <c r="A48" i="93" s="1"/>
  <c r="A49" i="93" s="1"/>
  <c r="A50" i="93" s="1"/>
  <c r="A51" i="93" s="1"/>
  <c r="A52" i="93" s="1"/>
  <c r="A53" i="93" s="1"/>
  <c r="A54" i="93" s="1"/>
  <c r="A55" i="93" s="1"/>
  <c r="A56" i="93" s="1"/>
  <c r="A57" i="93" s="1"/>
  <c r="A58" i="93" s="1"/>
  <c r="A59" i="93" s="1"/>
  <c r="A60" i="93" s="1"/>
  <c r="A61" i="93" s="1"/>
  <c r="A62" i="93" s="1"/>
  <c r="A63" i="93" s="1"/>
  <c r="A64" i="93" s="1"/>
  <c r="A65" i="93" s="1"/>
  <c r="L35" i="93"/>
  <c r="K35" i="93"/>
  <c r="H35" i="93"/>
  <c r="H66" i="93" s="1"/>
  <c r="G35" i="93"/>
  <c r="G66" i="93" s="1"/>
  <c r="F35" i="93"/>
  <c r="P66" i="82"/>
  <c r="O66" i="82"/>
  <c r="N66" i="82"/>
  <c r="M66" i="82"/>
  <c r="J66" i="82"/>
  <c r="I66" i="82"/>
  <c r="E66" i="82"/>
  <c r="D66" i="82"/>
  <c r="L66" i="82" s="1"/>
  <c r="C66" i="82"/>
  <c r="B66" i="82"/>
  <c r="L65" i="82"/>
  <c r="K65" i="82"/>
  <c r="H65" i="82"/>
  <c r="G65" i="82"/>
  <c r="F65" i="82"/>
  <c r="L64" i="82"/>
  <c r="K64" i="82"/>
  <c r="H64" i="82"/>
  <c r="G64" i="82"/>
  <c r="F64" i="82"/>
  <c r="L63" i="82"/>
  <c r="K63" i="82"/>
  <c r="H63" i="82"/>
  <c r="G63" i="82"/>
  <c r="F63" i="82"/>
  <c r="L62" i="82"/>
  <c r="K62" i="82"/>
  <c r="H62" i="82"/>
  <c r="G62" i="82"/>
  <c r="F62" i="82"/>
  <c r="L61" i="82"/>
  <c r="K61" i="82"/>
  <c r="H61" i="82"/>
  <c r="G61" i="82"/>
  <c r="F61" i="82"/>
  <c r="L60" i="82"/>
  <c r="K60" i="82"/>
  <c r="H60" i="82"/>
  <c r="G60" i="82"/>
  <c r="F60" i="82"/>
  <c r="L59" i="82"/>
  <c r="K59" i="82"/>
  <c r="H59" i="82"/>
  <c r="G59" i="82"/>
  <c r="F59" i="82"/>
  <c r="L58" i="82"/>
  <c r="K58" i="82"/>
  <c r="H58" i="82"/>
  <c r="G58" i="82"/>
  <c r="F58" i="82"/>
  <c r="L57" i="82"/>
  <c r="K57" i="82"/>
  <c r="H57" i="82"/>
  <c r="G57" i="82"/>
  <c r="F57" i="82"/>
  <c r="L56" i="82"/>
  <c r="K56" i="82"/>
  <c r="H56" i="82"/>
  <c r="G56" i="82"/>
  <c r="F56" i="82"/>
  <c r="L55" i="82"/>
  <c r="K55" i="82"/>
  <c r="H55" i="82"/>
  <c r="G55" i="82"/>
  <c r="F55" i="82"/>
  <c r="L54" i="82"/>
  <c r="K54" i="82"/>
  <c r="H54" i="82"/>
  <c r="G54" i="82"/>
  <c r="F54" i="82"/>
  <c r="L53" i="82"/>
  <c r="K53" i="82"/>
  <c r="H53" i="82"/>
  <c r="G53" i="82"/>
  <c r="F53" i="82"/>
  <c r="L52" i="82"/>
  <c r="K52" i="82"/>
  <c r="H52" i="82"/>
  <c r="G52" i="82"/>
  <c r="F52" i="82"/>
  <c r="L51" i="82"/>
  <c r="K51" i="82"/>
  <c r="H51" i="82"/>
  <c r="G51" i="82"/>
  <c r="F51" i="82"/>
  <c r="L50" i="82"/>
  <c r="K50" i="82"/>
  <c r="H50" i="82"/>
  <c r="G50" i="82"/>
  <c r="F50" i="82"/>
  <c r="L49" i="82"/>
  <c r="K49" i="82"/>
  <c r="H49" i="82"/>
  <c r="G49" i="82"/>
  <c r="F49" i="82"/>
  <c r="L48" i="82"/>
  <c r="K48" i="82"/>
  <c r="H48" i="82"/>
  <c r="G48" i="82"/>
  <c r="F48" i="82"/>
  <c r="L47" i="82"/>
  <c r="K47" i="82"/>
  <c r="H47" i="82"/>
  <c r="G47" i="82"/>
  <c r="F47" i="82"/>
  <c r="L46" i="82"/>
  <c r="K46" i="82"/>
  <c r="H46" i="82"/>
  <c r="G46" i="82"/>
  <c r="F46" i="82"/>
  <c r="L45" i="82"/>
  <c r="K45" i="82"/>
  <c r="H45" i="82"/>
  <c r="G45" i="82"/>
  <c r="F45" i="82"/>
  <c r="L44" i="82"/>
  <c r="K44" i="82"/>
  <c r="H44" i="82"/>
  <c r="G44" i="82"/>
  <c r="F44" i="82"/>
  <c r="L43" i="82"/>
  <c r="K43" i="82"/>
  <c r="H43" i="82"/>
  <c r="G43" i="82"/>
  <c r="F43" i="82"/>
  <c r="L42" i="82"/>
  <c r="K42" i="82"/>
  <c r="H42" i="82"/>
  <c r="G42" i="82"/>
  <c r="F42" i="82"/>
  <c r="L41" i="82"/>
  <c r="K41" i="82"/>
  <c r="H41" i="82"/>
  <c r="G41" i="82"/>
  <c r="F41" i="82"/>
  <c r="L40" i="82"/>
  <c r="K40" i="82"/>
  <c r="H40" i="82"/>
  <c r="G40" i="82"/>
  <c r="F40" i="82"/>
  <c r="L39" i="82"/>
  <c r="K39" i="82"/>
  <c r="H39" i="82"/>
  <c r="G39" i="82"/>
  <c r="F39" i="82"/>
  <c r="L38" i="82"/>
  <c r="K38" i="82"/>
  <c r="H38" i="82"/>
  <c r="G38" i="82"/>
  <c r="F38" i="82"/>
  <c r="L37" i="82"/>
  <c r="K37" i="82"/>
  <c r="H37" i="82"/>
  <c r="G37" i="82"/>
  <c r="F37" i="82"/>
  <c r="L36" i="82"/>
  <c r="K36" i="82"/>
  <c r="H36" i="82"/>
  <c r="G36" i="82"/>
  <c r="F36" i="82"/>
  <c r="A36" i="82"/>
  <c r="A37" i="82" s="1"/>
  <c r="A38" i="82" s="1"/>
  <c r="A39" i="82" s="1"/>
  <c r="A40" i="82" s="1"/>
  <c r="A41" i="82" s="1"/>
  <c r="A42" i="82" s="1"/>
  <c r="A43" i="82" s="1"/>
  <c r="A44" i="82" s="1"/>
  <c r="A45" i="82" s="1"/>
  <c r="A46" i="82" s="1"/>
  <c r="A47" i="82" s="1"/>
  <c r="A48" i="82" s="1"/>
  <c r="A49" i="82" s="1"/>
  <c r="A50" i="82" s="1"/>
  <c r="A51" i="82" s="1"/>
  <c r="A52" i="82" s="1"/>
  <c r="A53" i="82" s="1"/>
  <c r="A54" i="82" s="1"/>
  <c r="A55" i="82" s="1"/>
  <c r="A56" i="82" s="1"/>
  <c r="A57" i="82" s="1"/>
  <c r="A58" i="82" s="1"/>
  <c r="A59" i="82" s="1"/>
  <c r="A60" i="82" s="1"/>
  <c r="A61" i="82" s="1"/>
  <c r="A62" i="82" s="1"/>
  <c r="A63" i="82" s="1"/>
  <c r="A64" i="82" s="1"/>
  <c r="A65" i="82" s="1"/>
  <c r="L35" i="82"/>
  <c r="K35" i="82"/>
  <c r="H35" i="82"/>
  <c r="H66" i="82" s="1"/>
  <c r="G35" i="82"/>
  <c r="G66" i="82" s="1"/>
  <c r="F35" i="82"/>
  <c r="P66" i="88"/>
  <c r="O66" i="88"/>
  <c r="N66" i="88"/>
  <c r="M66" i="88"/>
  <c r="J66" i="88"/>
  <c r="I66" i="88"/>
  <c r="E66" i="88"/>
  <c r="D66" i="88"/>
  <c r="L66" i="88" s="1"/>
  <c r="C66" i="88"/>
  <c r="B66" i="88"/>
  <c r="L65" i="88"/>
  <c r="K65" i="88"/>
  <c r="H65" i="88"/>
  <c r="G65" i="88"/>
  <c r="F65" i="88"/>
  <c r="L64" i="88"/>
  <c r="K64" i="88"/>
  <c r="H64" i="88"/>
  <c r="G64" i="88"/>
  <c r="F64" i="88"/>
  <c r="L63" i="88"/>
  <c r="K63" i="88"/>
  <c r="H63" i="88"/>
  <c r="G63" i="88"/>
  <c r="F63" i="88"/>
  <c r="L62" i="88"/>
  <c r="K62" i="88"/>
  <c r="H62" i="88"/>
  <c r="G62" i="88"/>
  <c r="F62" i="88"/>
  <c r="L61" i="88"/>
  <c r="K61" i="88"/>
  <c r="H61" i="88"/>
  <c r="G61" i="88"/>
  <c r="F61" i="88"/>
  <c r="L60" i="88"/>
  <c r="K60" i="88"/>
  <c r="H60" i="88"/>
  <c r="G60" i="88"/>
  <c r="F60" i="88"/>
  <c r="L59" i="88"/>
  <c r="K59" i="88"/>
  <c r="H59" i="88"/>
  <c r="G59" i="88"/>
  <c r="F59" i="88"/>
  <c r="L58" i="88"/>
  <c r="K58" i="88"/>
  <c r="H58" i="88"/>
  <c r="G58" i="88"/>
  <c r="F58" i="88"/>
  <c r="L57" i="88"/>
  <c r="K57" i="88"/>
  <c r="H57" i="88"/>
  <c r="G57" i="88"/>
  <c r="F57" i="88"/>
  <c r="L56" i="88"/>
  <c r="K56" i="88"/>
  <c r="H56" i="88"/>
  <c r="G56" i="88"/>
  <c r="F56" i="88"/>
  <c r="L55" i="88"/>
  <c r="K55" i="88"/>
  <c r="H55" i="88"/>
  <c r="G55" i="88"/>
  <c r="F55" i="88"/>
  <c r="L54" i="88"/>
  <c r="K54" i="88"/>
  <c r="H54" i="88"/>
  <c r="G54" i="88"/>
  <c r="F54" i="88"/>
  <c r="L53" i="88"/>
  <c r="K53" i="88"/>
  <c r="H53" i="88"/>
  <c r="G53" i="88"/>
  <c r="F53" i="88"/>
  <c r="L52" i="88"/>
  <c r="K52" i="88"/>
  <c r="H52" i="88"/>
  <c r="G52" i="88"/>
  <c r="F52" i="88"/>
  <c r="L51" i="88"/>
  <c r="K51" i="88"/>
  <c r="H51" i="88"/>
  <c r="G51" i="88"/>
  <c r="F51" i="88"/>
  <c r="L50" i="88"/>
  <c r="K50" i="88"/>
  <c r="H50" i="88"/>
  <c r="G50" i="88"/>
  <c r="F50" i="88"/>
  <c r="L49" i="88"/>
  <c r="K49" i="88"/>
  <c r="H49" i="88"/>
  <c r="G49" i="88"/>
  <c r="F49" i="88"/>
  <c r="L48" i="88"/>
  <c r="K48" i="88"/>
  <c r="H48" i="88"/>
  <c r="G48" i="88"/>
  <c r="F48" i="88"/>
  <c r="L47" i="88"/>
  <c r="K47" i="88"/>
  <c r="H47" i="88"/>
  <c r="G47" i="88"/>
  <c r="F47" i="88"/>
  <c r="L46" i="88"/>
  <c r="K46" i="88"/>
  <c r="H46" i="88"/>
  <c r="G46" i="88"/>
  <c r="F46" i="88"/>
  <c r="L45" i="88"/>
  <c r="K45" i="88"/>
  <c r="H45" i="88"/>
  <c r="G45" i="88"/>
  <c r="F45" i="88"/>
  <c r="L44" i="88"/>
  <c r="K44" i="88"/>
  <c r="H44" i="88"/>
  <c r="G44" i="88"/>
  <c r="F44" i="88"/>
  <c r="L43" i="88"/>
  <c r="K43" i="88"/>
  <c r="H43" i="88"/>
  <c r="G43" i="88"/>
  <c r="F43" i="88"/>
  <c r="L42" i="88"/>
  <c r="K42" i="88"/>
  <c r="H42" i="88"/>
  <c r="G42" i="88"/>
  <c r="F42" i="88"/>
  <c r="L41" i="88"/>
  <c r="K41" i="88"/>
  <c r="H41" i="88"/>
  <c r="G41" i="88"/>
  <c r="F41" i="88"/>
  <c r="L40" i="88"/>
  <c r="K40" i="88"/>
  <c r="H40" i="88"/>
  <c r="G40" i="88"/>
  <c r="F40" i="88"/>
  <c r="L39" i="88"/>
  <c r="K39" i="88"/>
  <c r="H39" i="88"/>
  <c r="G39" i="88"/>
  <c r="F39" i="88"/>
  <c r="L38" i="88"/>
  <c r="K38" i="88"/>
  <c r="H38" i="88"/>
  <c r="G38" i="88"/>
  <c r="F38" i="88"/>
  <c r="L37" i="88"/>
  <c r="K37" i="88"/>
  <c r="H37" i="88"/>
  <c r="G37" i="88"/>
  <c r="F37" i="88"/>
  <c r="L36" i="88"/>
  <c r="K36" i="88"/>
  <c r="H36" i="88"/>
  <c r="G36" i="88"/>
  <c r="F36" i="88"/>
  <c r="A36" i="88"/>
  <c r="A37" i="88" s="1"/>
  <c r="A38" i="88" s="1"/>
  <c r="A39" i="88" s="1"/>
  <c r="A40" i="88" s="1"/>
  <c r="A41" i="88" s="1"/>
  <c r="A42" i="88" s="1"/>
  <c r="A43" i="88" s="1"/>
  <c r="A44" i="88" s="1"/>
  <c r="A45" i="88" s="1"/>
  <c r="A46" i="88" s="1"/>
  <c r="A47" i="88" s="1"/>
  <c r="A48" i="88" s="1"/>
  <c r="A49" i="88" s="1"/>
  <c r="A50" i="88" s="1"/>
  <c r="A51" i="88" s="1"/>
  <c r="A52" i="88" s="1"/>
  <c r="A53" i="88" s="1"/>
  <c r="A54" i="88" s="1"/>
  <c r="A55" i="88" s="1"/>
  <c r="A56" i="88" s="1"/>
  <c r="A57" i="88" s="1"/>
  <c r="A58" i="88" s="1"/>
  <c r="A59" i="88" s="1"/>
  <c r="A60" i="88" s="1"/>
  <c r="A61" i="88" s="1"/>
  <c r="A62" i="88" s="1"/>
  <c r="A63" i="88" s="1"/>
  <c r="A64" i="88" s="1"/>
  <c r="A65" i="88" s="1"/>
  <c r="L35" i="88"/>
  <c r="K35" i="88"/>
  <c r="H35" i="88"/>
  <c r="H66" i="88" s="1"/>
  <c r="G35" i="88"/>
  <c r="G66" i="88" s="1"/>
  <c r="F35" i="88"/>
  <c r="P66" i="92"/>
  <c r="O66" i="92"/>
  <c r="N66" i="92"/>
  <c r="M66" i="92"/>
  <c r="J66" i="92"/>
  <c r="I66" i="92"/>
  <c r="E66" i="92"/>
  <c r="D66" i="92"/>
  <c r="L66" i="92" s="1"/>
  <c r="C66" i="92"/>
  <c r="B66" i="92"/>
  <c r="L65" i="92"/>
  <c r="K65" i="92"/>
  <c r="H65" i="92"/>
  <c r="G65" i="92"/>
  <c r="F65" i="92"/>
  <c r="L64" i="92"/>
  <c r="K64" i="92"/>
  <c r="H64" i="92"/>
  <c r="G64" i="92"/>
  <c r="F64" i="92"/>
  <c r="L63" i="92"/>
  <c r="K63" i="92"/>
  <c r="H63" i="92"/>
  <c r="G63" i="92"/>
  <c r="F63" i="92"/>
  <c r="L62" i="92"/>
  <c r="K62" i="92"/>
  <c r="H62" i="92"/>
  <c r="G62" i="92"/>
  <c r="F62" i="92"/>
  <c r="L61" i="92"/>
  <c r="K61" i="92"/>
  <c r="H61" i="92"/>
  <c r="G61" i="92"/>
  <c r="F61" i="92"/>
  <c r="L60" i="92"/>
  <c r="K60" i="92"/>
  <c r="H60" i="92"/>
  <c r="G60" i="92"/>
  <c r="F60" i="92"/>
  <c r="L59" i="92"/>
  <c r="K59" i="92"/>
  <c r="H59" i="92"/>
  <c r="G59" i="92"/>
  <c r="F59" i="92"/>
  <c r="L58" i="92"/>
  <c r="K58" i="92"/>
  <c r="H58" i="92"/>
  <c r="G58" i="92"/>
  <c r="F58" i="92"/>
  <c r="L57" i="92"/>
  <c r="K57" i="92"/>
  <c r="H57" i="92"/>
  <c r="G57" i="92"/>
  <c r="F57" i="92"/>
  <c r="L56" i="92"/>
  <c r="K56" i="92"/>
  <c r="H56" i="92"/>
  <c r="G56" i="92"/>
  <c r="F56" i="92"/>
  <c r="L55" i="92"/>
  <c r="K55" i="92"/>
  <c r="H55" i="92"/>
  <c r="G55" i="92"/>
  <c r="F55" i="92"/>
  <c r="L54" i="92"/>
  <c r="K54" i="92"/>
  <c r="H54" i="92"/>
  <c r="G54" i="92"/>
  <c r="F54" i="92"/>
  <c r="L53" i="92"/>
  <c r="K53" i="92"/>
  <c r="H53" i="92"/>
  <c r="G53" i="92"/>
  <c r="F53" i="92"/>
  <c r="L52" i="92"/>
  <c r="K52" i="92"/>
  <c r="H52" i="92"/>
  <c r="G52" i="92"/>
  <c r="F52" i="92"/>
  <c r="L51" i="92"/>
  <c r="K51" i="92"/>
  <c r="H51" i="92"/>
  <c r="G51" i="92"/>
  <c r="F51" i="92"/>
  <c r="L50" i="92"/>
  <c r="K50" i="92"/>
  <c r="H50" i="92"/>
  <c r="G50" i="92"/>
  <c r="F50" i="92"/>
  <c r="L49" i="92"/>
  <c r="K49" i="92"/>
  <c r="H49" i="92"/>
  <c r="G49" i="92"/>
  <c r="F49" i="92"/>
  <c r="L48" i="92"/>
  <c r="K48" i="92"/>
  <c r="H48" i="92"/>
  <c r="G48" i="92"/>
  <c r="F48" i="92"/>
  <c r="L47" i="92"/>
  <c r="K47" i="92"/>
  <c r="H47" i="92"/>
  <c r="G47" i="92"/>
  <c r="F47" i="92"/>
  <c r="L46" i="92"/>
  <c r="K46" i="92"/>
  <c r="H46" i="92"/>
  <c r="G46" i="92"/>
  <c r="F46" i="92"/>
  <c r="L45" i="92"/>
  <c r="K45" i="92"/>
  <c r="H45" i="92"/>
  <c r="G45" i="92"/>
  <c r="F45" i="92"/>
  <c r="L44" i="92"/>
  <c r="K44" i="92"/>
  <c r="H44" i="92"/>
  <c r="G44" i="92"/>
  <c r="F44" i="92"/>
  <c r="L43" i="92"/>
  <c r="K43" i="92"/>
  <c r="H43" i="92"/>
  <c r="G43" i="92"/>
  <c r="F43" i="92"/>
  <c r="L42" i="92"/>
  <c r="K42" i="92"/>
  <c r="H42" i="92"/>
  <c r="G42" i="92"/>
  <c r="F42" i="92"/>
  <c r="L41" i="92"/>
  <c r="K41" i="92"/>
  <c r="H41" i="92"/>
  <c r="G41" i="92"/>
  <c r="F41" i="92"/>
  <c r="L40" i="92"/>
  <c r="K40" i="92"/>
  <c r="H40" i="92"/>
  <c r="G40" i="92"/>
  <c r="F40" i="92"/>
  <c r="L39" i="92"/>
  <c r="K39" i="92"/>
  <c r="H39" i="92"/>
  <c r="G39" i="92"/>
  <c r="F39" i="92"/>
  <c r="L38" i="92"/>
  <c r="K38" i="92"/>
  <c r="H38" i="92"/>
  <c r="G38" i="92"/>
  <c r="F38" i="92"/>
  <c r="L37" i="92"/>
  <c r="K37" i="92"/>
  <c r="H37" i="92"/>
  <c r="G37" i="92"/>
  <c r="F37" i="92"/>
  <c r="L36" i="92"/>
  <c r="K36" i="92"/>
  <c r="H36" i="92"/>
  <c r="G36" i="92"/>
  <c r="F36" i="92"/>
  <c r="A36" i="92"/>
  <c r="A37" i="92" s="1"/>
  <c r="A38" i="92" s="1"/>
  <c r="A39" i="92" s="1"/>
  <c r="A40" i="92" s="1"/>
  <c r="A41" i="92" s="1"/>
  <c r="A42" i="92" s="1"/>
  <c r="A43" i="92" s="1"/>
  <c r="A44" i="92" s="1"/>
  <c r="A45" i="92" s="1"/>
  <c r="A46" i="92" s="1"/>
  <c r="A47" i="92" s="1"/>
  <c r="A48" i="92" s="1"/>
  <c r="A49" i="92" s="1"/>
  <c r="A50" i="92" s="1"/>
  <c r="A51" i="92" s="1"/>
  <c r="A52" i="92" s="1"/>
  <c r="A53" i="92" s="1"/>
  <c r="A54" i="92" s="1"/>
  <c r="A55" i="92" s="1"/>
  <c r="A56" i="92" s="1"/>
  <c r="A57" i="92" s="1"/>
  <c r="A58" i="92" s="1"/>
  <c r="A59" i="92" s="1"/>
  <c r="A60" i="92" s="1"/>
  <c r="A61" i="92" s="1"/>
  <c r="A62" i="92" s="1"/>
  <c r="A63" i="92" s="1"/>
  <c r="A64" i="92" s="1"/>
  <c r="A65" i="92" s="1"/>
  <c r="L35" i="92"/>
  <c r="K35" i="92"/>
  <c r="H35" i="92"/>
  <c r="H66" i="92" s="1"/>
  <c r="G35" i="92"/>
  <c r="G66" i="92" s="1"/>
  <c r="F35" i="92"/>
  <c r="P66" i="91"/>
  <c r="O66" i="91"/>
  <c r="N66" i="91"/>
  <c r="M66" i="91"/>
  <c r="J66" i="91"/>
  <c r="I66" i="91"/>
  <c r="E66" i="91"/>
  <c r="D66" i="91"/>
  <c r="L66" i="91" s="1"/>
  <c r="C66" i="91"/>
  <c r="B66" i="91"/>
  <c r="L65" i="91"/>
  <c r="K65" i="91"/>
  <c r="H65" i="91"/>
  <c r="G65" i="91"/>
  <c r="F65" i="91"/>
  <c r="L64" i="91"/>
  <c r="K64" i="91"/>
  <c r="H64" i="91"/>
  <c r="G64" i="91"/>
  <c r="F64" i="91"/>
  <c r="L63" i="91"/>
  <c r="K63" i="91"/>
  <c r="H63" i="91"/>
  <c r="G63" i="91"/>
  <c r="F63" i="91"/>
  <c r="L62" i="91"/>
  <c r="K62" i="91"/>
  <c r="H62" i="91"/>
  <c r="G62" i="91"/>
  <c r="F62" i="91"/>
  <c r="L61" i="91"/>
  <c r="K61" i="91"/>
  <c r="H61" i="91"/>
  <c r="G61" i="91"/>
  <c r="F61" i="91"/>
  <c r="L60" i="91"/>
  <c r="K60" i="91"/>
  <c r="H60" i="91"/>
  <c r="G60" i="91"/>
  <c r="F60" i="91"/>
  <c r="L59" i="91"/>
  <c r="K59" i="91"/>
  <c r="H59" i="91"/>
  <c r="G59" i="91"/>
  <c r="F59" i="91"/>
  <c r="L58" i="91"/>
  <c r="K58" i="91"/>
  <c r="H58" i="91"/>
  <c r="G58" i="91"/>
  <c r="F58" i="91"/>
  <c r="L57" i="91"/>
  <c r="K57" i="91"/>
  <c r="H57" i="91"/>
  <c r="G57" i="91"/>
  <c r="F57" i="91"/>
  <c r="L56" i="91"/>
  <c r="K56" i="91"/>
  <c r="H56" i="91"/>
  <c r="G56" i="91"/>
  <c r="F56" i="91"/>
  <c r="L55" i="91"/>
  <c r="K55" i="91"/>
  <c r="H55" i="91"/>
  <c r="G55" i="91"/>
  <c r="F55" i="91"/>
  <c r="L54" i="91"/>
  <c r="K54" i="91"/>
  <c r="H54" i="91"/>
  <c r="G54" i="91"/>
  <c r="F54" i="91"/>
  <c r="L53" i="91"/>
  <c r="K53" i="91"/>
  <c r="H53" i="91"/>
  <c r="G53" i="91"/>
  <c r="F53" i="91"/>
  <c r="L52" i="91"/>
  <c r="K52" i="91"/>
  <c r="H52" i="91"/>
  <c r="G52" i="91"/>
  <c r="F52" i="91"/>
  <c r="L51" i="91"/>
  <c r="K51" i="91"/>
  <c r="H51" i="91"/>
  <c r="G51" i="91"/>
  <c r="F51" i="91"/>
  <c r="L50" i="91"/>
  <c r="K50" i="91"/>
  <c r="H50" i="91"/>
  <c r="G50" i="91"/>
  <c r="F50" i="91"/>
  <c r="L49" i="91"/>
  <c r="K49" i="91"/>
  <c r="H49" i="91"/>
  <c r="G49" i="91"/>
  <c r="F49" i="91"/>
  <c r="L48" i="91"/>
  <c r="K48" i="91"/>
  <c r="H48" i="91"/>
  <c r="G48" i="91"/>
  <c r="F48" i="91"/>
  <c r="L47" i="91"/>
  <c r="K47" i="91"/>
  <c r="H47" i="91"/>
  <c r="G47" i="91"/>
  <c r="F47" i="91"/>
  <c r="L46" i="91"/>
  <c r="K46" i="91"/>
  <c r="H46" i="91"/>
  <c r="G46" i="91"/>
  <c r="F46" i="91"/>
  <c r="L45" i="91"/>
  <c r="K45" i="91"/>
  <c r="H45" i="91"/>
  <c r="G45" i="91"/>
  <c r="F45" i="91"/>
  <c r="L44" i="91"/>
  <c r="K44" i="91"/>
  <c r="H44" i="91"/>
  <c r="G44" i="91"/>
  <c r="F44" i="91"/>
  <c r="L43" i="91"/>
  <c r="K43" i="91"/>
  <c r="H43" i="91"/>
  <c r="G43" i="91"/>
  <c r="F43" i="91"/>
  <c r="L42" i="91"/>
  <c r="K42" i="91"/>
  <c r="H42" i="91"/>
  <c r="G42" i="91"/>
  <c r="F42" i="91"/>
  <c r="L41" i="91"/>
  <c r="K41" i="91"/>
  <c r="H41" i="91"/>
  <c r="G41" i="91"/>
  <c r="F41" i="91"/>
  <c r="L40" i="91"/>
  <c r="K40" i="91"/>
  <c r="H40" i="91"/>
  <c r="G40" i="91"/>
  <c r="F40" i="91"/>
  <c r="L39" i="91"/>
  <c r="K39" i="91"/>
  <c r="H39" i="91"/>
  <c r="G39" i="91"/>
  <c r="F39" i="91"/>
  <c r="L38" i="91"/>
  <c r="K38" i="91"/>
  <c r="H38" i="91"/>
  <c r="G38" i="91"/>
  <c r="F38" i="91"/>
  <c r="L37" i="91"/>
  <c r="K37" i="91"/>
  <c r="H37" i="91"/>
  <c r="G37" i="91"/>
  <c r="F37" i="91"/>
  <c r="L36" i="91"/>
  <c r="K36" i="91"/>
  <c r="H36" i="91"/>
  <c r="G36" i="91"/>
  <c r="F36" i="91"/>
  <c r="A36" i="91"/>
  <c r="A37" i="91" s="1"/>
  <c r="A38" i="91" s="1"/>
  <c r="A39" i="91" s="1"/>
  <c r="A40" i="91" s="1"/>
  <c r="A41" i="91" s="1"/>
  <c r="A42" i="91" s="1"/>
  <c r="A43" i="91" s="1"/>
  <c r="A44" i="91" s="1"/>
  <c r="A45" i="91" s="1"/>
  <c r="A46" i="91" s="1"/>
  <c r="A47" i="91" s="1"/>
  <c r="A48" i="91" s="1"/>
  <c r="A49" i="91" s="1"/>
  <c r="A50" i="91" s="1"/>
  <c r="A51" i="91" s="1"/>
  <c r="A52" i="91" s="1"/>
  <c r="A53" i="91" s="1"/>
  <c r="A54" i="91" s="1"/>
  <c r="A55" i="91" s="1"/>
  <c r="A56" i="91" s="1"/>
  <c r="A57" i="91" s="1"/>
  <c r="A58" i="91" s="1"/>
  <c r="A59" i="91" s="1"/>
  <c r="A60" i="91" s="1"/>
  <c r="A61" i="91" s="1"/>
  <c r="A62" i="91" s="1"/>
  <c r="A63" i="91" s="1"/>
  <c r="A64" i="91" s="1"/>
  <c r="A65" i="91" s="1"/>
  <c r="L35" i="91"/>
  <c r="K35" i="91"/>
  <c r="H35" i="91"/>
  <c r="H66" i="91" s="1"/>
  <c r="G35" i="91"/>
  <c r="G66" i="91" s="1"/>
  <c r="F35" i="91"/>
  <c r="P66" i="90"/>
  <c r="O66" i="90"/>
  <c r="N66" i="90"/>
  <c r="M66" i="90"/>
  <c r="J66" i="90"/>
  <c r="I66" i="90"/>
  <c r="E66" i="90"/>
  <c r="D66" i="90"/>
  <c r="L66" i="90" s="1"/>
  <c r="C66" i="90"/>
  <c r="B66" i="90"/>
  <c r="L65" i="90"/>
  <c r="K65" i="90"/>
  <c r="H65" i="90"/>
  <c r="G65" i="90"/>
  <c r="F65" i="90"/>
  <c r="L64" i="90"/>
  <c r="K64" i="90"/>
  <c r="H64" i="90"/>
  <c r="G64" i="90"/>
  <c r="F64" i="90"/>
  <c r="L63" i="90"/>
  <c r="K63" i="90"/>
  <c r="H63" i="90"/>
  <c r="G63" i="90"/>
  <c r="F63" i="90"/>
  <c r="L62" i="90"/>
  <c r="K62" i="90"/>
  <c r="H62" i="90"/>
  <c r="G62" i="90"/>
  <c r="F62" i="90"/>
  <c r="L61" i="90"/>
  <c r="K61" i="90"/>
  <c r="H61" i="90"/>
  <c r="G61" i="90"/>
  <c r="F61" i="90"/>
  <c r="L60" i="90"/>
  <c r="K60" i="90"/>
  <c r="H60" i="90"/>
  <c r="G60" i="90"/>
  <c r="F60" i="90"/>
  <c r="L59" i="90"/>
  <c r="K59" i="90"/>
  <c r="H59" i="90"/>
  <c r="G59" i="90"/>
  <c r="F59" i="90"/>
  <c r="L58" i="90"/>
  <c r="K58" i="90"/>
  <c r="H58" i="90"/>
  <c r="G58" i="90"/>
  <c r="F58" i="90"/>
  <c r="L57" i="90"/>
  <c r="K57" i="90"/>
  <c r="H57" i="90"/>
  <c r="G57" i="90"/>
  <c r="F57" i="90"/>
  <c r="L56" i="90"/>
  <c r="K56" i="90"/>
  <c r="H56" i="90"/>
  <c r="G56" i="90"/>
  <c r="F56" i="90"/>
  <c r="L55" i="90"/>
  <c r="K55" i="90"/>
  <c r="H55" i="90"/>
  <c r="G55" i="90"/>
  <c r="F55" i="90"/>
  <c r="L54" i="90"/>
  <c r="K54" i="90"/>
  <c r="H54" i="90"/>
  <c r="G54" i="90"/>
  <c r="F54" i="90"/>
  <c r="L53" i="90"/>
  <c r="K53" i="90"/>
  <c r="H53" i="90"/>
  <c r="G53" i="90"/>
  <c r="F53" i="90"/>
  <c r="L52" i="90"/>
  <c r="K52" i="90"/>
  <c r="H52" i="90"/>
  <c r="G52" i="90"/>
  <c r="F52" i="90"/>
  <c r="L51" i="90"/>
  <c r="K51" i="90"/>
  <c r="H51" i="90"/>
  <c r="G51" i="90"/>
  <c r="F51" i="90"/>
  <c r="L50" i="90"/>
  <c r="K50" i="90"/>
  <c r="H50" i="90"/>
  <c r="G50" i="90"/>
  <c r="F50" i="90"/>
  <c r="L49" i="90"/>
  <c r="K49" i="90"/>
  <c r="H49" i="90"/>
  <c r="G49" i="90"/>
  <c r="F49" i="90"/>
  <c r="L48" i="90"/>
  <c r="K48" i="90"/>
  <c r="H48" i="90"/>
  <c r="G48" i="90"/>
  <c r="F48" i="90"/>
  <c r="L47" i="90"/>
  <c r="K47" i="90"/>
  <c r="H47" i="90"/>
  <c r="G47" i="90"/>
  <c r="F47" i="90"/>
  <c r="L46" i="90"/>
  <c r="K46" i="90"/>
  <c r="H46" i="90"/>
  <c r="G46" i="90"/>
  <c r="F46" i="90"/>
  <c r="L45" i="90"/>
  <c r="K45" i="90"/>
  <c r="H45" i="90"/>
  <c r="G45" i="90"/>
  <c r="F45" i="90"/>
  <c r="L44" i="90"/>
  <c r="K44" i="90"/>
  <c r="H44" i="90"/>
  <c r="G44" i="90"/>
  <c r="F44" i="90"/>
  <c r="L43" i="90"/>
  <c r="K43" i="90"/>
  <c r="H43" i="90"/>
  <c r="G43" i="90"/>
  <c r="F43" i="90"/>
  <c r="L42" i="90"/>
  <c r="K42" i="90"/>
  <c r="H42" i="90"/>
  <c r="G42" i="90"/>
  <c r="F42" i="90"/>
  <c r="L41" i="90"/>
  <c r="K41" i="90"/>
  <c r="H41" i="90"/>
  <c r="G41" i="90"/>
  <c r="F41" i="90"/>
  <c r="L40" i="90"/>
  <c r="K40" i="90"/>
  <c r="H40" i="90"/>
  <c r="G40" i="90"/>
  <c r="F40" i="90"/>
  <c r="L39" i="90"/>
  <c r="K39" i="90"/>
  <c r="H39" i="90"/>
  <c r="G39" i="90"/>
  <c r="F39" i="90"/>
  <c r="L38" i="90"/>
  <c r="K38" i="90"/>
  <c r="H38" i="90"/>
  <c r="G38" i="90"/>
  <c r="F38" i="90"/>
  <c r="L37" i="90"/>
  <c r="K37" i="90"/>
  <c r="H37" i="90"/>
  <c r="G37" i="90"/>
  <c r="F37" i="90"/>
  <c r="L36" i="90"/>
  <c r="K36" i="90"/>
  <c r="H36" i="90"/>
  <c r="G36" i="90"/>
  <c r="F36" i="90"/>
  <c r="A36" i="90"/>
  <c r="A37" i="90" s="1"/>
  <c r="A38" i="90" s="1"/>
  <c r="A39" i="90" s="1"/>
  <c r="A40" i="90" s="1"/>
  <c r="A41" i="90" s="1"/>
  <c r="A42" i="90" s="1"/>
  <c r="A43" i="90" s="1"/>
  <c r="A44" i="90" s="1"/>
  <c r="A45" i="90" s="1"/>
  <c r="A46" i="90" s="1"/>
  <c r="A47" i="90" s="1"/>
  <c r="A48" i="90" s="1"/>
  <c r="A49" i="90" s="1"/>
  <c r="A50" i="90" s="1"/>
  <c r="A51" i="90" s="1"/>
  <c r="A52" i="90" s="1"/>
  <c r="A53" i="90" s="1"/>
  <c r="A54" i="90" s="1"/>
  <c r="A55" i="90" s="1"/>
  <c r="A56" i="90" s="1"/>
  <c r="A57" i="90" s="1"/>
  <c r="A58" i="90" s="1"/>
  <c r="A59" i="90" s="1"/>
  <c r="A60" i="90" s="1"/>
  <c r="A61" i="90" s="1"/>
  <c r="A62" i="90" s="1"/>
  <c r="A63" i="90" s="1"/>
  <c r="A64" i="90" s="1"/>
  <c r="A65" i="90" s="1"/>
  <c r="L35" i="90"/>
  <c r="K35" i="90"/>
  <c r="H35" i="90"/>
  <c r="H66" i="90" s="1"/>
  <c r="G35" i="90"/>
  <c r="G66" i="90" s="1"/>
  <c r="F35" i="90"/>
  <c r="P66" i="89"/>
  <c r="O66" i="89"/>
  <c r="N66" i="89"/>
  <c r="M66" i="89"/>
  <c r="J66" i="89"/>
  <c r="I66" i="89"/>
  <c r="E66" i="89"/>
  <c r="D66" i="89"/>
  <c r="L66" i="89" s="1"/>
  <c r="C66" i="89"/>
  <c r="B66" i="89"/>
  <c r="L65" i="89"/>
  <c r="K65" i="89"/>
  <c r="H65" i="89"/>
  <c r="G65" i="89"/>
  <c r="F65" i="89"/>
  <c r="L64" i="89"/>
  <c r="K64" i="89"/>
  <c r="H64" i="89"/>
  <c r="G64" i="89"/>
  <c r="F64" i="89"/>
  <c r="L63" i="89"/>
  <c r="K63" i="89"/>
  <c r="H63" i="89"/>
  <c r="G63" i="89"/>
  <c r="F63" i="89"/>
  <c r="L62" i="89"/>
  <c r="K62" i="89"/>
  <c r="H62" i="89"/>
  <c r="G62" i="89"/>
  <c r="F62" i="89"/>
  <c r="L61" i="89"/>
  <c r="K61" i="89"/>
  <c r="H61" i="89"/>
  <c r="G61" i="89"/>
  <c r="F61" i="89"/>
  <c r="L60" i="89"/>
  <c r="K60" i="89"/>
  <c r="H60" i="89"/>
  <c r="G60" i="89"/>
  <c r="F60" i="89"/>
  <c r="L59" i="89"/>
  <c r="K59" i="89"/>
  <c r="H59" i="89"/>
  <c r="G59" i="89"/>
  <c r="F59" i="89"/>
  <c r="L58" i="89"/>
  <c r="K58" i="89"/>
  <c r="H58" i="89"/>
  <c r="G58" i="89"/>
  <c r="F58" i="89"/>
  <c r="L57" i="89"/>
  <c r="K57" i="89"/>
  <c r="H57" i="89"/>
  <c r="G57" i="89"/>
  <c r="F57" i="89"/>
  <c r="L56" i="89"/>
  <c r="K56" i="89"/>
  <c r="H56" i="89"/>
  <c r="G56" i="89"/>
  <c r="F56" i="89"/>
  <c r="L55" i="89"/>
  <c r="K55" i="89"/>
  <c r="H55" i="89"/>
  <c r="G55" i="89"/>
  <c r="F55" i="89"/>
  <c r="L54" i="89"/>
  <c r="K54" i="89"/>
  <c r="H54" i="89"/>
  <c r="G54" i="89"/>
  <c r="F54" i="89"/>
  <c r="L53" i="89"/>
  <c r="K53" i="89"/>
  <c r="H53" i="89"/>
  <c r="G53" i="89"/>
  <c r="F53" i="89"/>
  <c r="L52" i="89"/>
  <c r="K52" i="89"/>
  <c r="H52" i="89"/>
  <c r="G52" i="89"/>
  <c r="F52" i="89"/>
  <c r="L51" i="89"/>
  <c r="K51" i="89"/>
  <c r="H51" i="89"/>
  <c r="G51" i="89"/>
  <c r="F51" i="89"/>
  <c r="L50" i="89"/>
  <c r="K50" i="89"/>
  <c r="H50" i="89"/>
  <c r="G50" i="89"/>
  <c r="F50" i="89"/>
  <c r="L49" i="89"/>
  <c r="K49" i="89"/>
  <c r="H49" i="89"/>
  <c r="G49" i="89"/>
  <c r="F49" i="89"/>
  <c r="L48" i="89"/>
  <c r="K48" i="89"/>
  <c r="H48" i="89"/>
  <c r="G48" i="89"/>
  <c r="F48" i="89"/>
  <c r="L47" i="89"/>
  <c r="K47" i="89"/>
  <c r="H47" i="89"/>
  <c r="G47" i="89"/>
  <c r="F47" i="89"/>
  <c r="L46" i="89"/>
  <c r="K46" i="89"/>
  <c r="H46" i="89"/>
  <c r="G46" i="89"/>
  <c r="F46" i="89"/>
  <c r="L45" i="89"/>
  <c r="K45" i="89"/>
  <c r="H45" i="89"/>
  <c r="G45" i="89"/>
  <c r="F45" i="89"/>
  <c r="L44" i="89"/>
  <c r="K44" i="89"/>
  <c r="H44" i="89"/>
  <c r="G44" i="89"/>
  <c r="F44" i="89"/>
  <c r="L43" i="89"/>
  <c r="K43" i="89"/>
  <c r="H43" i="89"/>
  <c r="G43" i="89"/>
  <c r="F43" i="89"/>
  <c r="L42" i="89"/>
  <c r="K42" i="89"/>
  <c r="H42" i="89"/>
  <c r="G42" i="89"/>
  <c r="F42" i="89"/>
  <c r="L41" i="89"/>
  <c r="K41" i="89"/>
  <c r="H41" i="89"/>
  <c r="G41" i="89"/>
  <c r="F41" i="89"/>
  <c r="L40" i="89"/>
  <c r="K40" i="89"/>
  <c r="H40" i="89"/>
  <c r="G40" i="89"/>
  <c r="F40" i="89"/>
  <c r="L39" i="89"/>
  <c r="K39" i="89"/>
  <c r="H39" i="89"/>
  <c r="G39" i="89"/>
  <c r="F39" i="89"/>
  <c r="L38" i="89"/>
  <c r="K38" i="89"/>
  <c r="H38" i="89"/>
  <c r="G38" i="89"/>
  <c r="F38" i="89"/>
  <c r="L37" i="89"/>
  <c r="K37" i="89"/>
  <c r="H37" i="89"/>
  <c r="G37" i="89"/>
  <c r="F37" i="89"/>
  <c r="L36" i="89"/>
  <c r="K36" i="89"/>
  <c r="H36" i="89"/>
  <c r="G36" i="89"/>
  <c r="F36" i="89"/>
  <c r="A36" i="89"/>
  <c r="A37" i="89" s="1"/>
  <c r="A38" i="89" s="1"/>
  <c r="A39" i="89" s="1"/>
  <c r="A40" i="89" s="1"/>
  <c r="A41" i="89" s="1"/>
  <c r="A42" i="89" s="1"/>
  <c r="A43" i="89" s="1"/>
  <c r="A44" i="89" s="1"/>
  <c r="A45" i="89" s="1"/>
  <c r="A46" i="89" s="1"/>
  <c r="A47" i="89" s="1"/>
  <c r="A48" i="89" s="1"/>
  <c r="A49" i="89" s="1"/>
  <c r="A50" i="89" s="1"/>
  <c r="A51" i="89" s="1"/>
  <c r="A52" i="89" s="1"/>
  <c r="A53" i="89" s="1"/>
  <c r="A54" i="89" s="1"/>
  <c r="A55" i="89" s="1"/>
  <c r="A56" i="89" s="1"/>
  <c r="A57" i="89" s="1"/>
  <c r="A58" i="89" s="1"/>
  <c r="A59" i="89" s="1"/>
  <c r="A60" i="89" s="1"/>
  <c r="A61" i="89" s="1"/>
  <c r="A62" i="89" s="1"/>
  <c r="A63" i="89" s="1"/>
  <c r="A64" i="89" s="1"/>
  <c r="A65" i="89" s="1"/>
  <c r="L35" i="89"/>
  <c r="K35" i="89"/>
  <c r="H35" i="89"/>
  <c r="H66" i="89" s="1"/>
  <c r="G35" i="89"/>
  <c r="G66" i="89" s="1"/>
  <c r="F35" i="89"/>
  <c r="P66" i="86"/>
  <c r="O66" i="86"/>
  <c r="N66" i="86"/>
  <c r="M66" i="86"/>
  <c r="J66" i="86"/>
  <c r="I66" i="86"/>
  <c r="E66" i="86"/>
  <c r="D66" i="86"/>
  <c r="L66" i="86" s="1"/>
  <c r="C66" i="86"/>
  <c r="B66" i="86"/>
  <c r="L65" i="86"/>
  <c r="K65" i="86"/>
  <c r="H65" i="86"/>
  <c r="G65" i="86"/>
  <c r="F65" i="86"/>
  <c r="L64" i="86"/>
  <c r="K64" i="86"/>
  <c r="H64" i="86"/>
  <c r="G64" i="86"/>
  <c r="F64" i="86"/>
  <c r="L63" i="86"/>
  <c r="K63" i="86"/>
  <c r="H63" i="86"/>
  <c r="G63" i="86"/>
  <c r="F63" i="86"/>
  <c r="L62" i="86"/>
  <c r="K62" i="86"/>
  <c r="H62" i="86"/>
  <c r="G62" i="86"/>
  <c r="F62" i="86"/>
  <c r="L61" i="86"/>
  <c r="K61" i="86"/>
  <c r="H61" i="86"/>
  <c r="G61" i="86"/>
  <c r="F61" i="86"/>
  <c r="L60" i="86"/>
  <c r="K60" i="86"/>
  <c r="H60" i="86"/>
  <c r="G60" i="86"/>
  <c r="F60" i="86"/>
  <c r="L59" i="86"/>
  <c r="K59" i="86"/>
  <c r="H59" i="86"/>
  <c r="G59" i="86"/>
  <c r="F59" i="86"/>
  <c r="L58" i="86"/>
  <c r="K58" i="86"/>
  <c r="H58" i="86"/>
  <c r="G58" i="86"/>
  <c r="F58" i="86"/>
  <c r="L57" i="86"/>
  <c r="K57" i="86"/>
  <c r="H57" i="86"/>
  <c r="G57" i="86"/>
  <c r="F57" i="86"/>
  <c r="L56" i="86"/>
  <c r="K56" i="86"/>
  <c r="H56" i="86"/>
  <c r="G56" i="86"/>
  <c r="F56" i="86"/>
  <c r="L55" i="86"/>
  <c r="K55" i="86"/>
  <c r="H55" i="86"/>
  <c r="G55" i="86"/>
  <c r="F55" i="86"/>
  <c r="L54" i="86"/>
  <c r="K54" i="86"/>
  <c r="H54" i="86"/>
  <c r="G54" i="86"/>
  <c r="F54" i="86"/>
  <c r="L53" i="86"/>
  <c r="K53" i="86"/>
  <c r="H53" i="86"/>
  <c r="G53" i="86"/>
  <c r="F53" i="86"/>
  <c r="L52" i="86"/>
  <c r="K52" i="86"/>
  <c r="H52" i="86"/>
  <c r="G52" i="86"/>
  <c r="F52" i="86"/>
  <c r="L51" i="86"/>
  <c r="K51" i="86"/>
  <c r="H51" i="86"/>
  <c r="G51" i="86"/>
  <c r="F51" i="86"/>
  <c r="L50" i="86"/>
  <c r="K50" i="86"/>
  <c r="H50" i="86"/>
  <c r="G50" i="86"/>
  <c r="F50" i="86"/>
  <c r="L49" i="86"/>
  <c r="K49" i="86"/>
  <c r="H49" i="86"/>
  <c r="G49" i="86"/>
  <c r="F49" i="86"/>
  <c r="L48" i="86"/>
  <c r="K48" i="86"/>
  <c r="H48" i="86"/>
  <c r="G48" i="86"/>
  <c r="F48" i="86"/>
  <c r="L47" i="86"/>
  <c r="K47" i="86"/>
  <c r="H47" i="86"/>
  <c r="G47" i="86"/>
  <c r="F47" i="86"/>
  <c r="L46" i="86"/>
  <c r="K46" i="86"/>
  <c r="H46" i="86"/>
  <c r="G46" i="86"/>
  <c r="F46" i="86"/>
  <c r="L45" i="86"/>
  <c r="K45" i="86"/>
  <c r="H45" i="86"/>
  <c r="G45" i="86"/>
  <c r="F45" i="86"/>
  <c r="L44" i="86"/>
  <c r="K44" i="86"/>
  <c r="H44" i="86"/>
  <c r="G44" i="86"/>
  <c r="F44" i="86"/>
  <c r="L43" i="86"/>
  <c r="K43" i="86"/>
  <c r="H43" i="86"/>
  <c r="G43" i="86"/>
  <c r="F43" i="86"/>
  <c r="L42" i="86"/>
  <c r="K42" i="86"/>
  <c r="H42" i="86"/>
  <c r="G42" i="86"/>
  <c r="F42" i="86"/>
  <c r="L41" i="86"/>
  <c r="K41" i="86"/>
  <c r="H41" i="86"/>
  <c r="G41" i="86"/>
  <c r="F41" i="86"/>
  <c r="L40" i="86"/>
  <c r="K40" i="86"/>
  <c r="H40" i="86"/>
  <c r="G40" i="86"/>
  <c r="F40" i="86"/>
  <c r="L39" i="86"/>
  <c r="K39" i="86"/>
  <c r="H39" i="86"/>
  <c r="G39" i="86"/>
  <c r="F39" i="86"/>
  <c r="L38" i="86"/>
  <c r="K38" i="86"/>
  <c r="H38" i="86"/>
  <c r="G38" i="86"/>
  <c r="F38" i="86"/>
  <c r="L37" i="86"/>
  <c r="K37" i="86"/>
  <c r="H37" i="86"/>
  <c r="G37" i="86"/>
  <c r="F37" i="86"/>
  <c r="L36" i="86"/>
  <c r="K36" i="86"/>
  <c r="H36" i="86"/>
  <c r="G36" i="86"/>
  <c r="F36" i="86"/>
  <c r="A36" i="86"/>
  <c r="A37" i="86" s="1"/>
  <c r="A38" i="86" s="1"/>
  <c r="A39" i="86" s="1"/>
  <c r="A40" i="86" s="1"/>
  <c r="A41" i="86" s="1"/>
  <c r="A42" i="86" s="1"/>
  <c r="A43" i="86" s="1"/>
  <c r="A44" i="86" s="1"/>
  <c r="A45" i="86" s="1"/>
  <c r="A46" i="86" s="1"/>
  <c r="A47" i="86" s="1"/>
  <c r="A48" i="86" s="1"/>
  <c r="A49" i="86" s="1"/>
  <c r="A50" i="86" s="1"/>
  <c r="A51" i="86" s="1"/>
  <c r="A52" i="86" s="1"/>
  <c r="A53" i="86" s="1"/>
  <c r="A54" i="86" s="1"/>
  <c r="A55" i="86" s="1"/>
  <c r="A56" i="86" s="1"/>
  <c r="A57" i="86" s="1"/>
  <c r="A58" i="86" s="1"/>
  <c r="A59" i="86" s="1"/>
  <c r="A60" i="86" s="1"/>
  <c r="A61" i="86" s="1"/>
  <c r="A62" i="86" s="1"/>
  <c r="A63" i="86" s="1"/>
  <c r="A64" i="86" s="1"/>
  <c r="A65" i="86" s="1"/>
  <c r="L35" i="86"/>
  <c r="K35" i="86"/>
  <c r="H35" i="86"/>
  <c r="H66" i="86" s="1"/>
  <c r="G35" i="86"/>
  <c r="G66" i="86" s="1"/>
  <c r="F35" i="86"/>
  <c r="P66" i="85"/>
  <c r="O66" i="85"/>
  <c r="N66" i="85"/>
  <c r="M66" i="85"/>
  <c r="J66" i="85"/>
  <c r="I66" i="85"/>
  <c r="E66" i="85"/>
  <c r="D66" i="85"/>
  <c r="L66" i="85" s="1"/>
  <c r="C66" i="85"/>
  <c r="B66" i="85"/>
  <c r="L65" i="85"/>
  <c r="K65" i="85"/>
  <c r="H65" i="85"/>
  <c r="G65" i="85"/>
  <c r="F65" i="85"/>
  <c r="L64" i="85"/>
  <c r="K64" i="85"/>
  <c r="H64" i="85"/>
  <c r="G64" i="85"/>
  <c r="F64" i="85"/>
  <c r="L63" i="85"/>
  <c r="K63" i="85"/>
  <c r="H63" i="85"/>
  <c r="G63" i="85"/>
  <c r="F63" i="85"/>
  <c r="L62" i="85"/>
  <c r="K62" i="85"/>
  <c r="H62" i="85"/>
  <c r="G62" i="85"/>
  <c r="F62" i="85"/>
  <c r="L61" i="85"/>
  <c r="K61" i="85"/>
  <c r="H61" i="85"/>
  <c r="G61" i="85"/>
  <c r="F61" i="85"/>
  <c r="L60" i="85"/>
  <c r="K60" i="85"/>
  <c r="H60" i="85"/>
  <c r="G60" i="85"/>
  <c r="F60" i="85"/>
  <c r="L59" i="85"/>
  <c r="K59" i="85"/>
  <c r="H59" i="85"/>
  <c r="G59" i="85"/>
  <c r="F59" i="85"/>
  <c r="L58" i="85"/>
  <c r="K58" i="85"/>
  <c r="H58" i="85"/>
  <c r="G58" i="85"/>
  <c r="F58" i="85"/>
  <c r="L57" i="85"/>
  <c r="K57" i="85"/>
  <c r="H57" i="85"/>
  <c r="G57" i="85"/>
  <c r="F57" i="85"/>
  <c r="L56" i="85"/>
  <c r="K56" i="85"/>
  <c r="H56" i="85"/>
  <c r="G56" i="85"/>
  <c r="F56" i="85"/>
  <c r="L55" i="85"/>
  <c r="K55" i="85"/>
  <c r="H55" i="85"/>
  <c r="G55" i="85"/>
  <c r="F55" i="85"/>
  <c r="L54" i="85"/>
  <c r="K54" i="85"/>
  <c r="H54" i="85"/>
  <c r="G54" i="85"/>
  <c r="F54" i="85"/>
  <c r="L53" i="85"/>
  <c r="K53" i="85"/>
  <c r="H53" i="85"/>
  <c r="G53" i="85"/>
  <c r="F53" i="85"/>
  <c r="L52" i="85"/>
  <c r="K52" i="85"/>
  <c r="H52" i="85"/>
  <c r="G52" i="85"/>
  <c r="F52" i="85"/>
  <c r="L51" i="85"/>
  <c r="K51" i="85"/>
  <c r="H51" i="85"/>
  <c r="G51" i="85"/>
  <c r="F51" i="85"/>
  <c r="L50" i="85"/>
  <c r="K50" i="85"/>
  <c r="H50" i="85"/>
  <c r="G50" i="85"/>
  <c r="F50" i="85"/>
  <c r="L49" i="85"/>
  <c r="K49" i="85"/>
  <c r="H49" i="85"/>
  <c r="G49" i="85"/>
  <c r="F49" i="85"/>
  <c r="L48" i="85"/>
  <c r="K48" i="85"/>
  <c r="H48" i="85"/>
  <c r="G48" i="85"/>
  <c r="F48" i="85"/>
  <c r="L47" i="85"/>
  <c r="K47" i="85"/>
  <c r="H47" i="85"/>
  <c r="G47" i="85"/>
  <c r="F47" i="85"/>
  <c r="L46" i="85"/>
  <c r="K46" i="85"/>
  <c r="H46" i="85"/>
  <c r="G46" i="85"/>
  <c r="F46" i="85"/>
  <c r="L45" i="85"/>
  <c r="K45" i="85"/>
  <c r="H45" i="85"/>
  <c r="G45" i="85"/>
  <c r="F45" i="85"/>
  <c r="L44" i="85"/>
  <c r="K44" i="85"/>
  <c r="H44" i="85"/>
  <c r="G44" i="85"/>
  <c r="F44" i="85"/>
  <c r="L43" i="85"/>
  <c r="K43" i="85"/>
  <c r="H43" i="85"/>
  <c r="G43" i="85"/>
  <c r="F43" i="85"/>
  <c r="L42" i="85"/>
  <c r="K42" i="85"/>
  <c r="H42" i="85"/>
  <c r="G42" i="85"/>
  <c r="F42" i="85"/>
  <c r="L41" i="85"/>
  <c r="K41" i="85"/>
  <c r="H41" i="85"/>
  <c r="G41" i="85"/>
  <c r="F41" i="85"/>
  <c r="L40" i="85"/>
  <c r="K40" i="85"/>
  <c r="H40" i="85"/>
  <c r="G40" i="85"/>
  <c r="F40" i="85"/>
  <c r="L39" i="85"/>
  <c r="K39" i="85"/>
  <c r="H39" i="85"/>
  <c r="G39" i="85"/>
  <c r="F39" i="85"/>
  <c r="L38" i="85"/>
  <c r="K38" i="85"/>
  <c r="H38" i="85"/>
  <c r="G38" i="85"/>
  <c r="F38" i="85"/>
  <c r="L37" i="85"/>
  <c r="K37" i="85"/>
  <c r="H37" i="85"/>
  <c r="G37" i="85"/>
  <c r="F37" i="85"/>
  <c r="L36" i="85"/>
  <c r="K36" i="85"/>
  <c r="H36" i="85"/>
  <c r="G36" i="85"/>
  <c r="F36" i="85"/>
  <c r="A36" i="85"/>
  <c r="A37" i="85" s="1"/>
  <c r="A38" i="85" s="1"/>
  <c r="A39" i="85" s="1"/>
  <c r="A40" i="85" s="1"/>
  <c r="A41" i="85" s="1"/>
  <c r="A42" i="85" s="1"/>
  <c r="A43" i="85" s="1"/>
  <c r="A44" i="85" s="1"/>
  <c r="A45" i="85" s="1"/>
  <c r="A46" i="85" s="1"/>
  <c r="A47" i="85" s="1"/>
  <c r="A48" i="85" s="1"/>
  <c r="A49" i="85" s="1"/>
  <c r="A50" i="85" s="1"/>
  <c r="A51" i="85" s="1"/>
  <c r="A52" i="85" s="1"/>
  <c r="A53" i="85" s="1"/>
  <c r="A54" i="85" s="1"/>
  <c r="A55" i="85" s="1"/>
  <c r="A56" i="85" s="1"/>
  <c r="A57" i="85" s="1"/>
  <c r="A58" i="85" s="1"/>
  <c r="A59" i="85" s="1"/>
  <c r="A60" i="85" s="1"/>
  <c r="A61" i="85" s="1"/>
  <c r="A62" i="85" s="1"/>
  <c r="A63" i="85" s="1"/>
  <c r="A64" i="85" s="1"/>
  <c r="A65" i="85" s="1"/>
  <c r="L35" i="85"/>
  <c r="K35" i="85"/>
  <c r="H35" i="85"/>
  <c r="H66" i="85" s="1"/>
  <c r="G35" i="85"/>
  <c r="G66" i="85" s="1"/>
  <c r="F35" i="85"/>
  <c r="P66" i="84"/>
  <c r="O66" i="84"/>
  <c r="N66" i="84"/>
  <c r="M66" i="84"/>
  <c r="J66" i="84"/>
  <c r="I66" i="84"/>
  <c r="E66" i="84"/>
  <c r="D66" i="84"/>
  <c r="L66" i="84" s="1"/>
  <c r="C66" i="84"/>
  <c r="B66" i="84"/>
  <c r="L65" i="84"/>
  <c r="K65" i="84"/>
  <c r="H65" i="84"/>
  <c r="G65" i="84"/>
  <c r="F65" i="84"/>
  <c r="L64" i="84"/>
  <c r="K64" i="84"/>
  <c r="H64" i="84"/>
  <c r="G64" i="84"/>
  <c r="F64" i="84"/>
  <c r="L63" i="84"/>
  <c r="K63" i="84"/>
  <c r="H63" i="84"/>
  <c r="G63" i="84"/>
  <c r="F63" i="84"/>
  <c r="L62" i="84"/>
  <c r="K62" i="84"/>
  <c r="H62" i="84"/>
  <c r="G62" i="84"/>
  <c r="F62" i="84"/>
  <c r="L61" i="84"/>
  <c r="K61" i="84"/>
  <c r="H61" i="84"/>
  <c r="G61" i="84"/>
  <c r="F61" i="84"/>
  <c r="L60" i="84"/>
  <c r="K60" i="84"/>
  <c r="H60" i="84"/>
  <c r="G60" i="84"/>
  <c r="F60" i="84"/>
  <c r="L59" i="84"/>
  <c r="K59" i="84"/>
  <c r="H59" i="84"/>
  <c r="G59" i="84"/>
  <c r="F59" i="84"/>
  <c r="L58" i="84"/>
  <c r="K58" i="84"/>
  <c r="H58" i="84"/>
  <c r="G58" i="84"/>
  <c r="F58" i="84"/>
  <c r="L57" i="84"/>
  <c r="K57" i="84"/>
  <c r="H57" i="84"/>
  <c r="G57" i="84"/>
  <c r="F57" i="84"/>
  <c r="L56" i="84"/>
  <c r="K56" i="84"/>
  <c r="H56" i="84"/>
  <c r="G56" i="84"/>
  <c r="F56" i="84"/>
  <c r="L55" i="84"/>
  <c r="K55" i="84"/>
  <c r="H55" i="84"/>
  <c r="G55" i="84"/>
  <c r="F55" i="84"/>
  <c r="L54" i="84"/>
  <c r="K54" i="84"/>
  <c r="H54" i="84"/>
  <c r="G54" i="84"/>
  <c r="F54" i="84"/>
  <c r="L53" i="84"/>
  <c r="K53" i="84"/>
  <c r="H53" i="84"/>
  <c r="G53" i="84"/>
  <c r="F53" i="84"/>
  <c r="L52" i="84"/>
  <c r="K52" i="84"/>
  <c r="H52" i="84"/>
  <c r="G52" i="84"/>
  <c r="F52" i="84"/>
  <c r="L51" i="84"/>
  <c r="K51" i="84"/>
  <c r="H51" i="84"/>
  <c r="G51" i="84"/>
  <c r="F51" i="84"/>
  <c r="L50" i="84"/>
  <c r="K50" i="84"/>
  <c r="H50" i="84"/>
  <c r="G50" i="84"/>
  <c r="F50" i="84"/>
  <c r="L49" i="84"/>
  <c r="K49" i="84"/>
  <c r="H49" i="84"/>
  <c r="G49" i="84"/>
  <c r="F49" i="84"/>
  <c r="L48" i="84"/>
  <c r="K48" i="84"/>
  <c r="H48" i="84"/>
  <c r="G48" i="84"/>
  <c r="F48" i="84"/>
  <c r="L47" i="84"/>
  <c r="K47" i="84"/>
  <c r="H47" i="84"/>
  <c r="G47" i="84"/>
  <c r="F47" i="84"/>
  <c r="L46" i="84"/>
  <c r="K46" i="84"/>
  <c r="H46" i="84"/>
  <c r="G46" i="84"/>
  <c r="F46" i="84"/>
  <c r="L45" i="84"/>
  <c r="K45" i="84"/>
  <c r="H45" i="84"/>
  <c r="G45" i="84"/>
  <c r="F45" i="84"/>
  <c r="L44" i="84"/>
  <c r="K44" i="84"/>
  <c r="H44" i="84"/>
  <c r="G44" i="84"/>
  <c r="F44" i="84"/>
  <c r="L43" i="84"/>
  <c r="K43" i="84"/>
  <c r="H43" i="84"/>
  <c r="G43" i="84"/>
  <c r="F43" i="84"/>
  <c r="L42" i="84"/>
  <c r="K42" i="84"/>
  <c r="H42" i="84"/>
  <c r="G42" i="84"/>
  <c r="F42" i="84"/>
  <c r="L41" i="84"/>
  <c r="K41" i="84"/>
  <c r="H41" i="84"/>
  <c r="G41" i="84"/>
  <c r="F41" i="84"/>
  <c r="L40" i="84"/>
  <c r="K40" i="84"/>
  <c r="H40" i="84"/>
  <c r="G40" i="84"/>
  <c r="F40" i="84"/>
  <c r="L39" i="84"/>
  <c r="K39" i="84"/>
  <c r="H39" i="84"/>
  <c r="G39" i="84"/>
  <c r="F39" i="84"/>
  <c r="L38" i="84"/>
  <c r="K38" i="84"/>
  <c r="H38" i="84"/>
  <c r="G38" i="84"/>
  <c r="F38" i="84"/>
  <c r="L37" i="84"/>
  <c r="K37" i="84"/>
  <c r="H37" i="84"/>
  <c r="G37" i="84"/>
  <c r="F37" i="84"/>
  <c r="L36" i="84"/>
  <c r="K36" i="84"/>
  <c r="H36" i="84"/>
  <c r="G36" i="84"/>
  <c r="F36" i="84"/>
  <c r="A36" i="84"/>
  <c r="A37" i="84" s="1"/>
  <c r="A38" i="84" s="1"/>
  <c r="A39" i="84" s="1"/>
  <c r="A40" i="84" s="1"/>
  <c r="A41" i="84" s="1"/>
  <c r="A42" i="84" s="1"/>
  <c r="A43" i="84" s="1"/>
  <c r="A44" i="84" s="1"/>
  <c r="A45" i="84" s="1"/>
  <c r="A46" i="84" s="1"/>
  <c r="A47" i="84" s="1"/>
  <c r="A48" i="84" s="1"/>
  <c r="A49" i="84" s="1"/>
  <c r="A50" i="84" s="1"/>
  <c r="A51" i="84" s="1"/>
  <c r="A52" i="84" s="1"/>
  <c r="A53" i="84" s="1"/>
  <c r="A54" i="84" s="1"/>
  <c r="A55" i="84" s="1"/>
  <c r="A56" i="84" s="1"/>
  <c r="A57" i="84" s="1"/>
  <c r="A58" i="84" s="1"/>
  <c r="A59" i="84" s="1"/>
  <c r="A60" i="84" s="1"/>
  <c r="A61" i="84" s="1"/>
  <c r="A62" i="84" s="1"/>
  <c r="A63" i="84" s="1"/>
  <c r="A64" i="84" s="1"/>
  <c r="A65" i="84" s="1"/>
  <c r="L35" i="84"/>
  <c r="K35" i="84"/>
  <c r="H35" i="84"/>
  <c r="H66" i="84" s="1"/>
  <c r="G35" i="84"/>
  <c r="G66" i="84" s="1"/>
  <c r="F35" i="84"/>
  <c r="P66" i="78"/>
  <c r="O66" i="78"/>
  <c r="N66" i="78"/>
  <c r="M66" i="78"/>
  <c r="J66" i="78"/>
  <c r="I66" i="78"/>
  <c r="E66" i="78"/>
  <c r="D66" i="78"/>
  <c r="L66" i="78" s="1"/>
  <c r="C66" i="78"/>
  <c r="B66" i="78"/>
  <c r="L65" i="78"/>
  <c r="K65" i="78"/>
  <c r="H65" i="78"/>
  <c r="G65" i="78"/>
  <c r="F65" i="78"/>
  <c r="L64" i="78"/>
  <c r="K64" i="78"/>
  <c r="H64" i="78"/>
  <c r="G64" i="78"/>
  <c r="F64" i="78"/>
  <c r="L63" i="78"/>
  <c r="K63" i="78"/>
  <c r="H63" i="78"/>
  <c r="G63" i="78"/>
  <c r="F63" i="78"/>
  <c r="L62" i="78"/>
  <c r="K62" i="78"/>
  <c r="H62" i="78"/>
  <c r="G62" i="78"/>
  <c r="F62" i="78"/>
  <c r="L61" i="78"/>
  <c r="K61" i="78"/>
  <c r="H61" i="78"/>
  <c r="G61" i="78"/>
  <c r="F61" i="78"/>
  <c r="L60" i="78"/>
  <c r="K60" i="78"/>
  <c r="H60" i="78"/>
  <c r="G60" i="78"/>
  <c r="F60" i="78"/>
  <c r="L59" i="78"/>
  <c r="K59" i="78"/>
  <c r="H59" i="78"/>
  <c r="G59" i="78"/>
  <c r="F59" i="78"/>
  <c r="L58" i="78"/>
  <c r="K58" i="78"/>
  <c r="H58" i="78"/>
  <c r="G58" i="78"/>
  <c r="F58" i="78"/>
  <c r="L57" i="78"/>
  <c r="K57" i="78"/>
  <c r="H57" i="78"/>
  <c r="G57" i="78"/>
  <c r="F57" i="78"/>
  <c r="L56" i="78"/>
  <c r="K56" i="78"/>
  <c r="H56" i="78"/>
  <c r="G56" i="78"/>
  <c r="F56" i="78"/>
  <c r="L55" i="78"/>
  <c r="K55" i="78"/>
  <c r="H55" i="78"/>
  <c r="G55" i="78"/>
  <c r="F55" i="78"/>
  <c r="L54" i="78"/>
  <c r="K54" i="78"/>
  <c r="H54" i="78"/>
  <c r="G54" i="78"/>
  <c r="F54" i="78"/>
  <c r="L53" i="78"/>
  <c r="K53" i="78"/>
  <c r="H53" i="78"/>
  <c r="G53" i="78"/>
  <c r="F53" i="78"/>
  <c r="L52" i="78"/>
  <c r="K52" i="78"/>
  <c r="H52" i="78"/>
  <c r="G52" i="78"/>
  <c r="F52" i="78"/>
  <c r="L51" i="78"/>
  <c r="K51" i="78"/>
  <c r="H51" i="78"/>
  <c r="G51" i="78"/>
  <c r="F51" i="78"/>
  <c r="L50" i="78"/>
  <c r="K50" i="78"/>
  <c r="H50" i="78"/>
  <c r="G50" i="78"/>
  <c r="F50" i="78"/>
  <c r="L49" i="78"/>
  <c r="K49" i="78"/>
  <c r="H49" i="78"/>
  <c r="G49" i="78"/>
  <c r="F49" i="78"/>
  <c r="L48" i="78"/>
  <c r="K48" i="78"/>
  <c r="H48" i="78"/>
  <c r="G48" i="78"/>
  <c r="F48" i="78"/>
  <c r="L47" i="78"/>
  <c r="K47" i="78"/>
  <c r="H47" i="78"/>
  <c r="G47" i="78"/>
  <c r="F47" i="78"/>
  <c r="L46" i="78"/>
  <c r="K46" i="78"/>
  <c r="H46" i="78"/>
  <c r="G46" i="78"/>
  <c r="F46" i="78"/>
  <c r="L45" i="78"/>
  <c r="K45" i="78"/>
  <c r="H45" i="78"/>
  <c r="G45" i="78"/>
  <c r="F45" i="78"/>
  <c r="L44" i="78"/>
  <c r="K44" i="78"/>
  <c r="H44" i="78"/>
  <c r="G44" i="78"/>
  <c r="F44" i="78"/>
  <c r="L43" i="78"/>
  <c r="K43" i="78"/>
  <c r="H43" i="78"/>
  <c r="G43" i="78"/>
  <c r="F43" i="78"/>
  <c r="L42" i="78"/>
  <c r="K42" i="78"/>
  <c r="H42" i="78"/>
  <c r="G42" i="78"/>
  <c r="F42" i="78"/>
  <c r="L41" i="78"/>
  <c r="K41" i="78"/>
  <c r="H41" i="78"/>
  <c r="G41" i="78"/>
  <c r="F41" i="78"/>
  <c r="L40" i="78"/>
  <c r="K40" i="78"/>
  <c r="H40" i="78"/>
  <c r="G40" i="78"/>
  <c r="F40" i="78"/>
  <c r="L39" i="78"/>
  <c r="K39" i="78"/>
  <c r="H39" i="78"/>
  <c r="G39" i="78"/>
  <c r="F39" i="78"/>
  <c r="L38" i="78"/>
  <c r="K38" i="78"/>
  <c r="H38" i="78"/>
  <c r="G38" i="78"/>
  <c r="F38" i="78"/>
  <c r="L37" i="78"/>
  <c r="K37" i="78"/>
  <c r="H37" i="78"/>
  <c r="G37" i="78"/>
  <c r="F37" i="78"/>
  <c r="L36" i="78"/>
  <c r="K36" i="78"/>
  <c r="H36" i="78"/>
  <c r="G36" i="78"/>
  <c r="F36" i="78"/>
  <c r="A36" i="78"/>
  <c r="A37" i="78" s="1"/>
  <c r="A38" i="78" s="1"/>
  <c r="A39" i="78" s="1"/>
  <c r="A40" i="78" s="1"/>
  <c r="A41" i="78" s="1"/>
  <c r="A42" i="78" s="1"/>
  <c r="A43" i="78" s="1"/>
  <c r="A44" i="78" s="1"/>
  <c r="A45" i="78" s="1"/>
  <c r="A46" i="78" s="1"/>
  <c r="A47" i="78" s="1"/>
  <c r="A48" i="78" s="1"/>
  <c r="A49" i="78" s="1"/>
  <c r="A50" i="78" s="1"/>
  <c r="A51" i="78" s="1"/>
  <c r="A52" i="78" s="1"/>
  <c r="A53" i="78" s="1"/>
  <c r="A54" i="78" s="1"/>
  <c r="A55" i="78" s="1"/>
  <c r="A56" i="78" s="1"/>
  <c r="A57" i="78" s="1"/>
  <c r="A58" i="78" s="1"/>
  <c r="A59" i="78" s="1"/>
  <c r="A60" i="78" s="1"/>
  <c r="A61" i="78" s="1"/>
  <c r="A62" i="78" s="1"/>
  <c r="A63" i="78" s="1"/>
  <c r="A64" i="78" s="1"/>
  <c r="A65" i="78" s="1"/>
  <c r="L35" i="78"/>
  <c r="K35" i="78"/>
  <c r="H35" i="78"/>
  <c r="H66" i="78" s="1"/>
  <c r="G35" i="78"/>
  <c r="G66" i="78" s="1"/>
  <c r="F35" i="78"/>
  <c r="P66" i="74"/>
  <c r="O66" i="74"/>
  <c r="N66" i="74"/>
  <c r="M66" i="74"/>
  <c r="J66" i="74"/>
  <c r="E66" i="74"/>
  <c r="D66" i="74"/>
  <c r="L66" i="74" s="1"/>
  <c r="C66" i="74"/>
  <c r="B66" i="74"/>
  <c r="L65" i="74"/>
  <c r="K65" i="74"/>
  <c r="H65" i="74"/>
  <c r="G65" i="74"/>
  <c r="F65" i="74"/>
  <c r="L64" i="74"/>
  <c r="K64" i="74"/>
  <c r="H64" i="74"/>
  <c r="G64" i="74"/>
  <c r="F64" i="74"/>
  <c r="L63" i="74"/>
  <c r="K63" i="74"/>
  <c r="H63" i="74"/>
  <c r="G63" i="74"/>
  <c r="F63" i="74"/>
  <c r="L62" i="74"/>
  <c r="K62" i="74"/>
  <c r="H62" i="74"/>
  <c r="G62" i="74"/>
  <c r="F62" i="74"/>
  <c r="L61" i="74"/>
  <c r="K61" i="74"/>
  <c r="H61" i="74"/>
  <c r="G61" i="74"/>
  <c r="F61" i="74"/>
  <c r="L60" i="74"/>
  <c r="K60" i="74"/>
  <c r="H60" i="74"/>
  <c r="G60" i="74"/>
  <c r="F60" i="74"/>
  <c r="L59" i="74"/>
  <c r="K59" i="74"/>
  <c r="H59" i="74"/>
  <c r="G59" i="74"/>
  <c r="F59" i="74"/>
  <c r="L58" i="74"/>
  <c r="K58" i="74"/>
  <c r="H58" i="74"/>
  <c r="G58" i="74"/>
  <c r="F58" i="74"/>
  <c r="L57" i="74"/>
  <c r="K57" i="74"/>
  <c r="H57" i="74"/>
  <c r="G57" i="74"/>
  <c r="F57" i="74"/>
  <c r="L56" i="74"/>
  <c r="K56" i="74"/>
  <c r="H56" i="74"/>
  <c r="G56" i="74"/>
  <c r="F56" i="74"/>
  <c r="L55" i="74"/>
  <c r="K55" i="74"/>
  <c r="H55" i="74"/>
  <c r="G55" i="74"/>
  <c r="F55" i="74"/>
  <c r="L54" i="74"/>
  <c r="K54" i="74"/>
  <c r="H54" i="74"/>
  <c r="G54" i="74"/>
  <c r="F54" i="74"/>
  <c r="L53" i="74"/>
  <c r="K53" i="74"/>
  <c r="H53" i="74"/>
  <c r="G53" i="74"/>
  <c r="F53" i="74"/>
  <c r="L52" i="74"/>
  <c r="K52" i="74"/>
  <c r="H52" i="74"/>
  <c r="G52" i="74"/>
  <c r="F52" i="74"/>
  <c r="L51" i="74"/>
  <c r="K51" i="74"/>
  <c r="H51" i="74"/>
  <c r="G51" i="74"/>
  <c r="F51" i="74"/>
  <c r="L50" i="74"/>
  <c r="K50" i="74"/>
  <c r="H50" i="74"/>
  <c r="G50" i="74"/>
  <c r="F50" i="74"/>
  <c r="L49" i="74"/>
  <c r="K49" i="74"/>
  <c r="H49" i="74"/>
  <c r="G49" i="74"/>
  <c r="F49" i="74"/>
  <c r="L48" i="74"/>
  <c r="K48" i="74"/>
  <c r="H48" i="74"/>
  <c r="G48" i="74"/>
  <c r="F48" i="74"/>
  <c r="L47" i="74"/>
  <c r="K47" i="74"/>
  <c r="H47" i="74"/>
  <c r="G47" i="74"/>
  <c r="F47" i="74"/>
  <c r="L46" i="74"/>
  <c r="K46" i="74"/>
  <c r="H46" i="74"/>
  <c r="G46" i="74"/>
  <c r="F46" i="74"/>
  <c r="L45" i="74"/>
  <c r="K45" i="74"/>
  <c r="H45" i="74"/>
  <c r="G45" i="74"/>
  <c r="F45" i="74"/>
  <c r="L44" i="74"/>
  <c r="K44" i="74"/>
  <c r="H44" i="74"/>
  <c r="G44" i="74"/>
  <c r="F44" i="74"/>
  <c r="L43" i="74"/>
  <c r="K43" i="74"/>
  <c r="H43" i="74"/>
  <c r="G43" i="74"/>
  <c r="F43" i="74"/>
  <c r="L42" i="74"/>
  <c r="K42" i="74"/>
  <c r="H42" i="74"/>
  <c r="G42" i="74"/>
  <c r="F42" i="74"/>
  <c r="L41" i="74"/>
  <c r="K41" i="74"/>
  <c r="H41" i="74"/>
  <c r="G41" i="74"/>
  <c r="F41" i="74"/>
  <c r="L40" i="74"/>
  <c r="K40" i="74"/>
  <c r="H40" i="74"/>
  <c r="G40" i="74"/>
  <c r="F40" i="74"/>
  <c r="L39" i="74"/>
  <c r="K39" i="74"/>
  <c r="H39" i="74"/>
  <c r="G39" i="74"/>
  <c r="F39" i="74"/>
  <c r="L38" i="74"/>
  <c r="K38" i="74"/>
  <c r="H38" i="74"/>
  <c r="G38" i="74"/>
  <c r="F38" i="74"/>
  <c r="L37" i="74"/>
  <c r="K37" i="74"/>
  <c r="H37" i="74"/>
  <c r="G37" i="74"/>
  <c r="F37" i="74"/>
  <c r="L36" i="74"/>
  <c r="K36" i="74"/>
  <c r="H36" i="74"/>
  <c r="G36" i="74"/>
  <c r="F36" i="74"/>
  <c r="A36" i="74"/>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L35" i="74"/>
  <c r="K35" i="74"/>
  <c r="H35" i="74"/>
  <c r="H66" i="74" s="1"/>
  <c r="G35" i="74"/>
  <c r="G66" i="74" s="1"/>
  <c r="F35" i="74"/>
  <c r="P66" i="71"/>
  <c r="O66" i="71"/>
  <c r="N66" i="71"/>
  <c r="M66" i="71"/>
  <c r="J66" i="71"/>
  <c r="I66" i="71"/>
  <c r="E66" i="71"/>
  <c r="D66" i="71"/>
  <c r="L66" i="71" s="1"/>
  <c r="C66" i="71"/>
  <c r="B66" i="71"/>
  <c r="L65" i="71"/>
  <c r="K65" i="71"/>
  <c r="H65" i="71"/>
  <c r="G65" i="71"/>
  <c r="F65" i="71"/>
  <c r="L64" i="71"/>
  <c r="K64" i="71"/>
  <c r="H64" i="71"/>
  <c r="G64" i="71"/>
  <c r="F64" i="71"/>
  <c r="L63" i="71"/>
  <c r="K63" i="71"/>
  <c r="H63" i="71"/>
  <c r="G63" i="71"/>
  <c r="F63" i="71"/>
  <c r="L62" i="71"/>
  <c r="K62" i="71"/>
  <c r="H62" i="71"/>
  <c r="G62" i="71"/>
  <c r="F62" i="71"/>
  <c r="L61" i="71"/>
  <c r="K61" i="71"/>
  <c r="H61" i="71"/>
  <c r="G61" i="71"/>
  <c r="F61" i="71"/>
  <c r="L60" i="71"/>
  <c r="K60" i="71"/>
  <c r="H60" i="71"/>
  <c r="G60" i="71"/>
  <c r="F60" i="71"/>
  <c r="L59" i="71"/>
  <c r="K59" i="71"/>
  <c r="H59" i="71"/>
  <c r="G59" i="71"/>
  <c r="F59" i="71"/>
  <c r="L58" i="71"/>
  <c r="K58" i="71"/>
  <c r="H58" i="71"/>
  <c r="G58" i="71"/>
  <c r="F58" i="71"/>
  <c r="L57" i="71"/>
  <c r="K57" i="71"/>
  <c r="H57" i="71"/>
  <c r="G57" i="71"/>
  <c r="F57" i="71"/>
  <c r="L56" i="71"/>
  <c r="K56" i="71"/>
  <c r="H56" i="71"/>
  <c r="G56" i="71"/>
  <c r="F56" i="71"/>
  <c r="L55" i="71"/>
  <c r="K55" i="71"/>
  <c r="H55" i="71"/>
  <c r="G55" i="71"/>
  <c r="F55" i="71"/>
  <c r="L54" i="71"/>
  <c r="K54" i="71"/>
  <c r="H54" i="71"/>
  <c r="G54" i="71"/>
  <c r="F54" i="71"/>
  <c r="L53" i="71"/>
  <c r="K53" i="71"/>
  <c r="H53" i="71"/>
  <c r="G53" i="71"/>
  <c r="F53" i="71"/>
  <c r="L52" i="71"/>
  <c r="K52" i="71"/>
  <c r="H52" i="71"/>
  <c r="G52" i="71"/>
  <c r="F52" i="71"/>
  <c r="L51" i="71"/>
  <c r="K51" i="71"/>
  <c r="H51" i="71"/>
  <c r="G51" i="71"/>
  <c r="F51" i="71"/>
  <c r="L50" i="71"/>
  <c r="K50" i="71"/>
  <c r="H50" i="71"/>
  <c r="G50" i="71"/>
  <c r="F50" i="71"/>
  <c r="L49" i="71"/>
  <c r="K49" i="71"/>
  <c r="H49" i="71"/>
  <c r="G49" i="71"/>
  <c r="F49" i="71"/>
  <c r="L48" i="71"/>
  <c r="K48" i="71"/>
  <c r="H48" i="71"/>
  <c r="G48" i="71"/>
  <c r="F48" i="71"/>
  <c r="L47" i="71"/>
  <c r="K47" i="71"/>
  <c r="H47" i="71"/>
  <c r="G47" i="71"/>
  <c r="F47" i="71"/>
  <c r="L46" i="71"/>
  <c r="K46" i="71"/>
  <c r="H46" i="71"/>
  <c r="G46" i="71"/>
  <c r="F46" i="71"/>
  <c r="L45" i="71"/>
  <c r="K45" i="71"/>
  <c r="H45" i="71"/>
  <c r="G45" i="71"/>
  <c r="F45" i="71"/>
  <c r="L44" i="71"/>
  <c r="K44" i="71"/>
  <c r="H44" i="71"/>
  <c r="G44" i="71"/>
  <c r="F44" i="71"/>
  <c r="L43" i="71"/>
  <c r="K43" i="71"/>
  <c r="H43" i="71"/>
  <c r="G43" i="71"/>
  <c r="F43" i="71"/>
  <c r="L42" i="71"/>
  <c r="K42" i="71"/>
  <c r="H42" i="71"/>
  <c r="G42" i="71"/>
  <c r="F42" i="71"/>
  <c r="L41" i="71"/>
  <c r="K41" i="71"/>
  <c r="H41" i="71"/>
  <c r="G41" i="71"/>
  <c r="F41" i="71"/>
  <c r="L40" i="71"/>
  <c r="K40" i="71"/>
  <c r="H40" i="71"/>
  <c r="G40" i="71"/>
  <c r="F40" i="71"/>
  <c r="L39" i="71"/>
  <c r="K39" i="71"/>
  <c r="H39" i="71"/>
  <c r="G39" i="71"/>
  <c r="F39" i="71"/>
  <c r="L38" i="71"/>
  <c r="K38" i="71"/>
  <c r="H38" i="71"/>
  <c r="G38" i="71"/>
  <c r="F38" i="71"/>
  <c r="L37" i="71"/>
  <c r="K37" i="71"/>
  <c r="H37" i="71"/>
  <c r="G37" i="71"/>
  <c r="F37" i="71"/>
  <c r="L36" i="71"/>
  <c r="K36" i="71"/>
  <c r="H36" i="71"/>
  <c r="G36" i="71"/>
  <c r="F36" i="71"/>
  <c r="A36" i="71"/>
  <c r="A37" i="71" s="1"/>
  <c r="A38" i="71" s="1"/>
  <c r="A39" i="71" s="1"/>
  <c r="A40" i="71" s="1"/>
  <c r="A41" i="71" s="1"/>
  <c r="A42" i="71" s="1"/>
  <c r="A43" i="71" s="1"/>
  <c r="A44" i="71" s="1"/>
  <c r="A45" i="71" s="1"/>
  <c r="A46" i="71" s="1"/>
  <c r="A47" i="71" s="1"/>
  <c r="A48" i="71" s="1"/>
  <c r="A49" i="71" s="1"/>
  <c r="A50" i="71" s="1"/>
  <c r="A51" i="71" s="1"/>
  <c r="A52" i="71" s="1"/>
  <c r="A53" i="71" s="1"/>
  <c r="A54" i="71" s="1"/>
  <c r="A55" i="71" s="1"/>
  <c r="A56" i="71" s="1"/>
  <c r="A57" i="71" s="1"/>
  <c r="A58" i="71" s="1"/>
  <c r="A59" i="71" s="1"/>
  <c r="A60" i="71" s="1"/>
  <c r="A61" i="71" s="1"/>
  <c r="A62" i="71" s="1"/>
  <c r="A63" i="71" s="1"/>
  <c r="A64" i="71" s="1"/>
  <c r="A65" i="71" s="1"/>
  <c r="L35" i="71"/>
  <c r="K35" i="71"/>
  <c r="H35" i="71"/>
  <c r="H66" i="71" s="1"/>
  <c r="G35" i="71"/>
  <c r="G66" i="71" s="1"/>
  <c r="F35" i="71"/>
  <c r="P66" i="70"/>
  <c r="O66" i="70"/>
  <c r="N66" i="70"/>
  <c r="M66" i="70"/>
  <c r="J66" i="70"/>
  <c r="I66" i="70"/>
  <c r="E66" i="70"/>
  <c r="D66" i="70"/>
  <c r="L66" i="70" s="1"/>
  <c r="C66" i="70"/>
  <c r="B66" i="70"/>
  <c r="L65" i="70"/>
  <c r="K65" i="70"/>
  <c r="H65" i="70"/>
  <c r="G65" i="70"/>
  <c r="F65" i="70"/>
  <c r="L64" i="70"/>
  <c r="K64" i="70"/>
  <c r="H64" i="70"/>
  <c r="G64" i="70"/>
  <c r="F64" i="70"/>
  <c r="L63" i="70"/>
  <c r="K63" i="70"/>
  <c r="H63" i="70"/>
  <c r="G63" i="70"/>
  <c r="F63" i="70"/>
  <c r="L62" i="70"/>
  <c r="K62" i="70"/>
  <c r="H62" i="70"/>
  <c r="G62" i="70"/>
  <c r="F62" i="70"/>
  <c r="L61" i="70"/>
  <c r="K61" i="70"/>
  <c r="H61" i="70"/>
  <c r="G61" i="70"/>
  <c r="F61" i="70"/>
  <c r="L60" i="70"/>
  <c r="K60" i="70"/>
  <c r="H60" i="70"/>
  <c r="G60" i="70"/>
  <c r="F60" i="70"/>
  <c r="L59" i="70"/>
  <c r="K59" i="70"/>
  <c r="H59" i="70"/>
  <c r="G59" i="70"/>
  <c r="F59" i="70"/>
  <c r="L58" i="70"/>
  <c r="K58" i="70"/>
  <c r="H58" i="70"/>
  <c r="G58" i="70"/>
  <c r="F58" i="70"/>
  <c r="L57" i="70"/>
  <c r="K57" i="70"/>
  <c r="H57" i="70"/>
  <c r="G57" i="70"/>
  <c r="F57" i="70"/>
  <c r="L56" i="70"/>
  <c r="K56" i="70"/>
  <c r="H56" i="70"/>
  <c r="G56" i="70"/>
  <c r="F56" i="70"/>
  <c r="L55" i="70"/>
  <c r="K55" i="70"/>
  <c r="H55" i="70"/>
  <c r="G55" i="70"/>
  <c r="F55" i="70"/>
  <c r="L54" i="70"/>
  <c r="K54" i="70"/>
  <c r="H54" i="70"/>
  <c r="G54" i="70"/>
  <c r="F54" i="70"/>
  <c r="L53" i="70"/>
  <c r="K53" i="70"/>
  <c r="H53" i="70"/>
  <c r="G53" i="70"/>
  <c r="F53" i="70"/>
  <c r="L52" i="70"/>
  <c r="K52" i="70"/>
  <c r="H52" i="70"/>
  <c r="G52" i="70"/>
  <c r="F52" i="70"/>
  <c r="L51" i="70"/>
  <c r="K51" i="70"/>
  <c r="H51" i="70"/>
  <c r="G51" i="70"/>
  <c r="F51" i="70"/>
  <c r="L50" i="70"/>
  <c r="K50" i="70"/>
  <c r="H50" i="70"/>
  <c r="G50" i="70"/>
  <c r="F50" i="70"/>
  <c r="L49" i="70"/>
  <c r="K49" i="70"/>
  <c r="H49" i="70"/>
  <c r="G49" i="70"/>
  <c r="F49" i="70"/>
  <c r="L48" i="70"/>
  <c r="K48" i="70"/>
  <c r="H48" i="70"/>
  <c r="G48" i="70"/>
  <c r="F48" i="70"/>
  <c r="L47" i="70"/>
  <c r="K47" i="70"/>
  <c r="H47" i="70"/>
  <c r="G47" i="70"/>
  <c r="F47" i="70"/>
  <c r="L46" i="70"/>
  <c r="K46" i="70"/>
  <c r="H46" i="70"/>
  <c r="G46" i="70"/>
  <c r="F46" i="70"/>
  <c r="L45" i="70"/>
  <c r="K45" i="70"/>
  <c r="H45" i="70"/>
  <c r="G45" i="70"/>
  <c r="F45" i="70"/>
  <c r="L44" i="70"/>
  <c r="K44" i="70"/>
  <c r="H44" i="70"/>
  <c r="G44" i="70"/>
  <c r="F44" i="70"/>
  <c r="L43" i="70"/>
  <c r="K43" i="70"/>
  <c r="H43" i="70"/>
  <c r="G43" i="70"/>
  <c r="F43" i="70"/>
  <c r="L42" i="70"/>
  <c r="K42" i="70"/>
  <c r="H42" i="70"/>
  <c r="G42" i="70"/>
  <c r="F42" i="70"/>
  <c r="L41" i="70"/>
  <c r="K41" i="70"/>
  <c r="H41" i="70"/>
  <c r="G41" i="70"/>
  <c r="F41" i="70"/>
  <c r="L40" i="70"/>
  <c r="K40" i="70"/>
  <c r="H40" i="70"/>
  <c r="G40" i="70"/>
  <c r="F40" i="70"/>
  <c r="L39" i="70"/>
  <c r="K39" i="70"/>
  <c r="H39" i="70"/>
  <c r="G39" i="70"/>
  <c r="F39" i="70"/>
  <c r="L38" i="70"/>
  <c r="K38" i="70"/>
  <c r="H38" i="70"/>
  <c r="G38" i="70"/>
  <c r="F38" i="70"/>
  <c r="L37" i="70"/>
  <c r="K37" i="70"/>
  <c r="H37" i="70"/>
  <c r="G37" i="70"/>
  <c r="F37" i="70"/>
  <c r="L36" i="70"/>
  <c r="K36" i="70"/>
  <c r="H36" i="70"/>
  <c r="G36" i="70"/>
  <c r="F36" i="70"/>
  <c r="A36" i="70"/>
  <c r="A37" i="70" s="1"/>
  <c r="A38" i="70" s="1"/>
  <c r="A39" i="70" s="1"/>
  <c r="A40" i="70" s="1"/>
  <c r="A41" i="70" s="1"/>
  <c r="A42" i="70" s="1"/>
  <c r="A43" i="70" s="1"/>
  <c r="A44" i="70" s="1"/>
  <c r="A45" i="70" s="1"/>
  <c r="A46" i="70" s="1"/>
  <c r="A47" i="70" s="1"/>
  <c r="A48" i="70" s="1"/>
  <c r="A49" i="70" s="1"/>
  <c r="A50" i="70" s="1"/>
  <c r="A51" i="70" s="1"/>
  <c r="A52" i="70" s="1"/>
  <c r="A53" i="70" s="1"/>
  <c r="A54" i="70" s="1"/>
  <c r="A55" i="70" s="1"/>
  <c r="A56" i="70" s="1"/>
  <c r="A57" i="70" s="1"/>
  <c r="A58" i="70" s="1"/>
  <c r="A59" i="70" s="1"/>
  <c r="A60" i="70" s="1"/>
  <c r="A61" i="70" s="1"/>
  <c r="A62" i="70" s="1"/>
  <c r="A63" i="70" s="1"/>
  <c r="A64" i="70" s="1"/>
  <c r="A65" i="70" s="1"/>
  <c r="L35" i="70"/>
  <c r="K35" i="70"/>
  <c r="H35" i="70"/>
  <c r="H66" i="70" s="1"/>
  <c r="G35" i="70"/>
  <c r="G66" i="70" s="1"/>
  <c r="F35" i="70"/>
  <c r="P66" i="69"/>
  <c r="O66" i="69"/>
  <c r="N66" i="69"/>
  <c r="M66" i="69"/>
  <c r="J66" i="69"/>
  <c r="I66" i="69"/>
  <c r="E66" i="69"/>
  <c r="D66" i="69"/>
  <c r="L66" i="69" s="1"/>
  <c r="C66" i="69"/>
  <c r="B66" i="69"/>
  <c r="L65" i="69"/>
  <c r="K65" i="69"/>
  <c r="H65" i="69"/>
  <c r="G65" i="69"/>
  <c r="F65" i="69"/>
  <c r="L64" i="69"/>
  <c r="K64" i="69"/>
  <c r="H64" i="69"/>
  <c r="G64" i="69"/>
  <c r="F64" i="69"/>
  <c r="L63" i="69"/>
  <c r="K63" i="69"/>
  <c r="H63" i="69"/>
  <c r="G63" i="69"/>
  <c r="F63" i="69"/>
  <c r="L62" i="69"/>
  <c r="K62" i="69"/>
  <c r="H62" i="69"/>
  <c r="G62" i="69"/>
  <c r="F62" i="69"/>
  <c r="L61" i="69"/>
  <c r="K61" i="69"/>
  <c r="H61" i="69"/>
  <c r="G61" i="69"/>
  <c r="F61" i="69"/>
  <c r="L60" i="69"/>
  <c r="K60" i="69"/>
  <c r="H60" i="69"/>
  <c r="G60" i="69"/>
  <c r="F60" i="69"/>
  <c r="L59" i="69"/>
  <c r="K59" i="69"/>
  <c r="H59" i="69"/>
  <c r="G59" i="69"/>
  <c r="F59" i="69"/>
  <c r="L58" i="69"/>
  <c r="K58" i="69"/>
  <c r="H58" i="69"/>
  <c r="G58" i="69"/>
  <c r="F58" i="69"/>
  <c r="L57" i="69"/>
  <c r="K57" i="69"/>
  <c r="H57" i="69"/>
  <c r="G57" i="69"/>
  <c r="F57" i="69"/>
  <c r="L56" i="69"/>
  <c r="K56" i="69"/>
  <c r="H56" i="69"/>
  <c r="G56" i="69"/>
  <c r="F56" i="69"/>
  <c r="L55" i="69"/>
  <c r="K55" i="69"/>
  <c r="H55" i="69"/>
  <c r="G55" i="69"/>
  <c r="F55" i="69"/>
  <c r="L54" i="69"/>
  <c r="K54" i="69"/>
  <c r="H54" i="69"/>
  <c r="G54" i="69"/>
  <c r="F54" i="69"/>
  <c r="L53" i="69"/>
  <c r="K53" i="69"/>
  <c r="H53" i="69"/>
  <c r="G53" i="69"/>
  <c r="F53" i="69"/>
  <c r="L52" i="69"/>
  <c r="K52" i="69"/>
  <c r="H52" i="69"/>
  <c r="G52" i="69"/>
  <c r="F52" i="69"/>
  <c r="L51" i="69"/>
  <c r="K51" i="69"/>
  <c r="H51" i="69"/>
  <c r="G51" i="69"/>
  <c r="F51" i="69"/>
  <c r="L50" i="69"/>
  <c r="K50" i="69"/>
  <c r="H50" i="69"/>
  <c r="G50" i="69"/>
  <c r="F50" i="69"/>
  <c r="L49" i="69"/>
  <c r="K49" i="69"/>
  <c r="H49" i="69"/>
  <c r="G49" i="69"/>
  <c r="F49" i="69"/>
  <c r="L48" i="69"/>
  <c r="K48" i="69"/>
  <c r="H48" i="69"/>
  <c r="G48" i="69"/>
  <c r="F48" i="69"/>
  <c r="L47" i="69"/>
  <c r="K47" i="69"/>
  <c r="H47" i="69"/>
  <c r="G47" i="69"/>
  <c r="F47" i="69"/>
  <c r="L46" i="69"/>
  <c r="K46" i="69"/>
  <c r="H46" i="69"/>
  <c r="G46" i="69"/>
  <c r="F46" i="69"/>
  <c r="L45" i="69"/>
  <c r="K45" i="69"/>
  <c r="H45" i="69"/>
  <c r="G45" i="69"/>
  <c r="F45" i="69"/>
  <c r="L44" i="69"/>
  <c r="K44" i="69"/>
  <c r="H44" i="69"/>
  <c r="G44" i="69"/>
  <c r="F44" i="69"/>
  <c r="L43" i="69"/>
  <c r="K43" i="69"/>
  <c r="H43" i="69"/>
  <c r="G43" i="69"/>
  <c r="F43" i="69"/>
  <c r="L42" i="69"/>
  <c r="K42" i="69"/>
  <c r="H42" i="69"/>
  <c r="G42" i="69"/>
  <c r="F42" i="69"/>
  <c r="L41" i="69"/>
  <c r="K41" i="69"/>
  <c r="H41" i="69"/>
  <c r="G41" i="69"/>
  <c r="F41" i="69"/>
  <c r="L40" i="69"/>
  <c r="K40" i="69"/>
  <c r="H40" i="69"/>
  <c r="G40" i="69"/>
  <c r="F40" i="69"/>
  <c r="L39" i="69"/>
  <c r="K39" i="69"/>
  <c r="H39" i="69"/>
  <c r="G39" i="69"/>
  <c r="F39" i="69"/>
  <c r="L38" i="69"/>
  <c r="K38" i="69"/>
  <c r="H38" i="69"/>
  <c r="G38" i="69"/>
  <c r="F38" i="69"/>
  <c r="L37" i="69"/>
  <c r="K37" i="69"/>
  <c r="H37" i="69"/>
  <c r="G37" i="69"/>
  <c r="F37" i="69"/>
  <c r="L36" i="69"/>
  <c r="K36" i="69"/>
  <c r="H36" i="69"/>
  <c r="G36" i="69"/>
  <c r="F36" i="69"/>
  <c r="A36" i="69"/>
  <c r="A37" i="69" s="1"/>
  <c r="A38" i="69" s="1"/>
  <c r="A39" i="69" s="1"/>
  <c r="A40" i="69" s="1"/>
  <c r="A41" i="69" s="1"/>
  <c r="A42" i="69" s="1"/>
  <c r="A43" i="69" s="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L35" i="69"/>
  <c r="K35" i="69"/>
  <c r="H35" i="69"/>
  <c r="H66" i="69" s="1"/>
  <c r="G35" i="69"/>
  <c r="G66" i="69" s="1"/>
  <c r="F35" i="69"/>
  <c r="P66" i="68"/>
  <c r="O66" i="68"/>
  <c r="N66" i="68"/>
  <c r="M66" i="68"/>
  <c r="J66" i="68"/>
  <c r="I66" i="68"/>
  <c r="E66" i="68"/>
  <c r="D66" i="68"/>
  <c r="L66" i="68" s="1"/>
  <c r="C66" i="68"/>
  <c r="B66" i="68"/>
  <c r="L65" i="68"/>
  <c r="K65" i="68"/>
  <c r="H65" i="68"/>
  <c r="G65" i="68"/>
  <c r="F65" i="68"/>
  <c r="L64" i="68"/>
  <c r="K64" i="68"/>
  <c r="H64" i="68"/>
  <c r="G64" i="68"/>
  <c r="F64" i="68"/>
  <c r="L63" i="68"/>
  <c r="K63" i="68"/>
  <c r="H63" i="68"/>
  <c r="G63" i="68"/>
  <c r="F63" i="68"/>
  <c r="L62" i="68"/>
  <c r="K62" i="68"/>
  <c r="H62" i="68"/>
  <c r="G62" i="68"/>
  <c r="F62" i="68"/>
  <c r="L61" i="68"/>
  <c r="K61" i="68"/>
  <c r="H61" i="68"/>
  <c r="G61" i="68"/>
  <c r="F61" i="68"/>
  <c r="L60" i="68"/>
  <c r="K60" i="68"/>
  <c r="H60" i="68"/>
  <c r="G60" i="68"/>
  <c r="F60" i="68"/>
  <c r="L59" i="68"/>
  <c r="K59" i="68"/>
  <c r="H59" i="68"/>
  <c r="G59" i="68"/>
  <c r="F59" i="68"/>
  <c r="L58" i="68"/>
  <c r="K58" i="68"/>
  <c r="H58" i="68"/>
  <c r="G58" i="68"/>
  <c r="F58" i="68"/>
  <c r="L57" i="68"/>
  <c r="K57" i="68"/>
  <c r="H57" i="68"/>
  <c r="G57" i="68"/>
  <c r="F57" i="68"/>
  <c r="L56" i="68"/>
  <c r="K56" i="68"/>
  <c r="H56" i="68"/>
  <c r="G56" i="68"/>
  <c r="F56" i="68"/>
  <c r="L55" i="68"/>
  <c r="K55" i="68"/>
  <c r="H55" i="68"/>
  <c r="G55" i="68"/>
  <c r="F55" i="68"/>
  <c r="L54" i="68"/>
  <c r="K54" i="68"/>
  <c r="H54" i="68"/>
  <c r="G54" i="68"/>
  <c r="F54" i="68"/>
  <c r="L53" i="68"/>
  <c r="K53" i="68"/>
  <c r="H53" i="68"/>
  <c r="G53" i="68"/>
  <c r="F53" i="68"/>
  <c r="L52" i="68"/>
  <c r="K52" i="68"/>
  <c r="H52" i="68"/>
  <c r="G52" i="68"/>
  <c r="F52" i="68"/>
  <c r="L51" i="68"/>
  <c r="K51" i="68"/>
  <c r="H51" i="68"/>
  <c r="G51" i="68"/>
  <c r="F51" i="68"/>
  <c r="L50" i="68"/>
  <c r="K50" i="68"/>
  <c r="H50" i="68"/>
  <c r="G50" i="68"/>
  <c r="F50" i="68"/>
  <c r="L49" i="68"/>
  <c r="K49" i="68"/>
  <c r="H49" i="68"/>
  <c r="G49" i="68"/>
  <c r="F49" i="68"/>
  <c r="L48" i="68"/>
  <c r="K48" i="68"/>
  <c r="H48" i="68"/>
  <c r="G48" i="68"/>
  <c r="F48" i="68"/>
  <c r="L47" i="68"/>
  <c r="K47" i="68"/>
  <c r="H47" i="68"/>
  <c r="G47" i="68"/>
  <c r="F47" i="68"/>
  <c r="L46" i="68"/>
  <c r="K46" i="68"/>
  <c r="H46" i="68"/>
  <c r="G46" i="68"/>
  <c r="F46" i="68"/>
  <c r="L45" i="68"/>
  <c r="K45" i="68"/>
  <c r="H45" i="68"/>
  <c r="G45" i="68"/>
  <c r="F45" i="68"/>
  <c r="L44" i="68"/>
  <c r="K44" i="68"/>
  <c r="H44" i="68"/>
  <c r="G44" i="68"/>
  <c r="F44" i="68"/>
  <c r="L43" i="68"/>
  <c r="K43" i="68"/>
  <c r="H43" i="68"/>
  <c r="G43" i="68"/>
  <c r="F43" i="68"/>
  <c r="L42" i="68"/>
  <c r="K42" i="68"/>
  <c r="H42" i="68"/>
  <c r="G42" i="68"/>
  <c r="F42" i="68"/>
  <c r="L41" i="68"/>
  <c r="K41" i="68"/>
  <c r="H41" i="68"/>
  <c r="G41" i="68"/>
  <c r="F41" i="68"/>
  <c r="L40" i="68"/>
  <c r="K40" i="68"/>
  <c r="H40" i="68"/>
  <c r="G40" i="68"/>
  <c r="F40" i="68"/>
  <c r="L39" i="68"/>
  <c r="K39" i="68"/>
  <c r="H39" i="68"/>
  <c r="G39" i="68"/>
  <c r="F39" i="68"/>
  <c r="L38" i="68"/>
  <c r="K38" i="68"/>
  <c r="H38" i="68"/>
  <c r="G38" i="68"/>
  <c r="F38" i="68"/>
  <c r="L37" i="68"/>
  <c r="K37" i="68"/>
  <c r="H37" i="68"/>
  <c r="G37" i="68"/>
  <c r="F37" i="68"/>
  <c r="L36" i="68"/>
  <c r="K36" i="68"/>
  <c r="H36" i="68"/>
  <c r="G36" i="68"/>
  <c r="F36" i="68"/>
  <c r="A36" i="68"/>
  <c r="A37" i="68" s="1"/>
  <c r="A38" i="68" s="1"/>
  <c r="A39" i="68" s="1"/>
  <c r="A40" i="68" s="1"/>
  <c r="A41" i="68" s="1"/>
  <c r="A42" i="68" s="1"/>
  <c r="A43" i="68" s="1"/>
  <c r="A44" i="68" s="1"/>
  <c r="A45" i="68" s="1"/>
  <c r="A46" i="68" s="1"/>
  <c r="A47" i="68" s="1"/>
  <c r="A48" i="68" s="1"/>
  <c r="A49" i="68" s="1"/>
  <c r="A50" i="68" s="1"/>
  <c r="A51" i="68" s="1"/>
  <c r="A52" i="68" s="1"/>
  <c r="A53" i="68" s="1"/>
  <c r="A54" i="68" s="1"/>
  <c r="A55" i="68" s="1"/>
  <c r="A56" i="68" s="1"/>
  <c r="A57" i="68" s="1"/>
  <c r="A58" i="68" s="1"/>
  <c r="A59" i="68" s="1"/>
  <c r="A60" i="68" s="1"/>
  <c r="A61" i="68" s="1"/>
  <c r="A62" i="68" s="1"/>
  <c r="A63" i="68" s="1"/>
  <c r="A64" i="68" s="1"/>
  <c r="A65" i="68" s="1"/>
  <c r="L35" i="68"/>
  <c r="K35" i="68"/>
  <c r="H35" i="68"/>
  <c r="H66" i="68" s="1"/>
  <c r="G35" i="68"/>
  <c r="G66" i="68" s="1"/>
  <c r="F35" i="68"/>
  <c r="P66" i="67"/>
  <c r="O66" i="67"/>
  <c r="N66" i="67"/>
  <c r="M66" i="67"/>
  <c r="J66" i="67"/>
  <c r="I66" i="67"/>
  <c r="E66" i="67"/>
  <c r="D66" i="67"/>
  <c r="L66" i="67" s="1"/>
  <c r="C66" i="67"/>
  <c r="B66" i="67"/>
  <c r="L65" i="67"/>
  <c r="K65" i="67"/>
  <c r="H65" i="67"/>
  <c r="G65" i="67"/>
  <c r="F65" i="67"/>
  <c r="L64" i="67"/>
  <c r="K64" i="67"/>
  <c r="H64" i="67"/>
  <c r="G64" i="67"/>
  <c r="F64" i="67"/>
  <c r="L63" i="67"/>
  <c r="K63" i="67"/>
  <c r="H63" i="67"/>
  <c r="G63" i="67"/>
  <c r="F63" i="67"/>
  <c r="L62" i="67"/>
  <c r="K62" i="67"/>
  <c r="H62" i="67"/>
  <c r="G62" i="67"/>
  <c r="F62" i="67"/>
  <c r="L61" i="67"/>
  <c r="K61" i="67"/>
  <c r="H61" i="67"/>
  <c r="G61" i="67"/>
  <c r="F61" i="67"/>
  <c r="L60" i="67"/>
  <c r="K60" i="67"/>
  <c r="H60" i="67"/>
  <c r="G60" i="67"/>
  <c r="F60" i="67"/>
  <c r="L59" i="67"/>
  <c r="K59" i="67"/>
  <c r="H59" i="67"/>
  <c r="G59" i="67"/>
  <c r="F59" i="67"/>
  <c r="L58" i="67"/>
  <c r="K58" i="67"/>
  <c r="H58" i="67"/>
  <c r="G58" i="67"/>
  <c r="F58" i="67"/>
  <c r="L57" i="67"/>
  <c r="K57" i="67"/>
  <c r="H57" i="67"/>
  <c r="G57" i="67"/>
  <c r="F57" i="67"/>
  <c r="L56" i="67"/>
  <c r="K56" i="67"/>
  <c r="H56" i="67"/>
  <c r="G56" i="67"/>
  <c r="F56" i="67"/>
  <c r="L55" i="67"/>
  <c r="K55" i="67"/>
  <c r="H55" i="67"/>
  <c r="G55" i="67"/>
  <c r="F55" i="67"/>
  <c r="L54" i="67"/>
  <c r="K54" i="67"/>
  <c r="H54" i="67"/>
  <c r="G54" i="67"/>
  <c r="F54" i="67"/>
  <c r="L53" i="67"/>
  <c r="K53" i="67"/>
  <c r="H53" i="67"/>
  <c r="G53" i="67"/>
  <c r="F53" i="67"/>
  <c r="L52" i="67"/>
  <c r="K52" i="67"/>
  <c r="H52" i="67"/>
  <c r="G52" i="67"/>
  <c r="F52" i="67"/>
  <c r="L51" i="67"/>
  <c r="K51" i="67"/>
  <c r="H51" i="67"/>
  <c r="G51" i="67"/>
  <c r="F51" i="67"/>
  <c r="L50" i="67"/>
  <c r="K50" i="67"/>
  <c r="H50" i="67"/>
  <c r="G50" i="67"/>
  <c r="F50" i="67"/>
  <c r="L49" i="67"/>
  <c r="K49" i="67"/>
  <c r="H49" i="67"/>
  <c r="G49" i="67"/>
  <c r="F49" i="67"/>
  <c r="L48" i="67"/>
  <c r="K48" i="67"/>
  <c r="H48" i="67"/>
  <c r="G48" i="67"/>
  <c r="F48" i="67"/>
  <c r="L47" i="67"/>
  <c r="K47" i="67"/>
  <c r="H47" i="67"/>
  <c r="G47" i="67"/>
  <c r="F47" i="67"/>
  <c r="L46" i="67"/>
  <c r="K46" i="67"/>
  <c r="H46" i="67"/>
  <c r="G46" i="67"/>
  <c r="F46" i="67"/>
  <c r="L45" i="67"/>
  <c r="K45" i="67"/>
  <c r="H45" i="67"/>
  <c r="G45" i="67"/>
  <c r="F45" i="67"/>
  <c r="L44" i="67"/>
  <c r="K44" i="67"/>
  <c r="H44" i="67"/>
  <c r="G44" i="67"/>
  <c r="F44" i="67"/>
  <c r="L43" i="67"/>
  <c r="K43" i="67"/>
  <c r="H43" i="67"/>
  <c r="G43" i="67"/>
  <c r="F43" i="67"/>
  <c r="L42" i="67"/>
  <c r="K42" i="67"/>
  <c r="H42" i="67"/>
  <c r="G42" i="67"/>
  <c r="F42" i="67"/>
  <c r="L41" i="67"/>
  <c r="K41" i="67"/>
  <c r="H41" i="67"/>
  <c r="G41" i="67"/>
  <c r="F41" i="67"/>
  <c r="L40" i="67"/>
  <c r="K40" i="67"/>
  <c r="H40" i="67"/>
  <c r="G40" i="67"/>
  <c r="F40" i="67"/>
  <c r="L39" i="67"/>
  <c r="K39" i="67"/>
  <c r="H39" i="67"/>
  <c r="G39" i="67"/>
  <c r="F39" i="67"/>
  <c r="L38" i="67"/>
  <c r="K38" i="67"/>
  <c r="H38" i="67"/>
  <c r="G38" i="67"/>
  <c r="F38" i="67"/>
  <c r="L37" i="67"/>
  <c r="K37" i="67"/>
  <c r="H37" i="67"/>
  <c r="G37" i="67"/>
  <c r="F37" i="67"/>
  <c r="L36" i="67"/>
  <c r="K36" i="67"/>
  <c r="H36" i="67"/>
  <c r="G36" i="67"/>
  <c r="F36" i="67"/>
  <c r="A36" i="67"/>
  <c r="A37" i="67" s="1"/>
  <c r="A38" i="67" s="1"/>
  <c r="A39" i="67" s="1"/>
  <c r="A40" i="67" s="1"/>
  <c r="A41" i="67" s="1"/>
  <c r="A42" i="67" s="1"/>
  <c r="A43" i="67" s="1"/>
  <c r="A44" i="67" s="1"/>
  <c r="A45" i="67" s="1"/>
  <c r="A46" i="67" s="1"/>
  <c r="A47" i="67" s="1"/>
  <c r="A48" i="67" s="1"/>
  <c r="A49" i="67" s="1"/>
  <c r="A50" i="67" s="1"/>
  <c r="A51" i="67" s="1"/>
  <c r="A52" i="67" s="1"/>
  <c r="A53" i="67" s="1"/>
  <c r="A54" i="67" s="1"/>
  <c r="A55" i="67" s="1"/>
  <c r="A56" i="67" s="1"/>
  <c r="A57" i="67" s="1"/>
  <c r="A58" i="67" s="1"/>
  <c r="A59" i="67" s="1"/>
  <c r="A60" i="67" s="1"/>
  <c r="A61" i="67" s="1"/>
  <c r="A62" i="67" s="1"/>
  <c r="A63" i="67" s="1"/>
  <c r="A64" i="67" s="1"/>
  <c r="A65" i="67" s="1"/>
  <c r="L35" i="67"/>
  <c r="K35" i="67"/>
  <c r="H35" i="67"/>
  <c r="H66" i="67" s="1"/>
  <c r="G35" i="67"/>
  <c r="G66" i="67" s="1"/>
  <c r="F35" i="67"/>
  <c r="P66" i="66"/>
  <c r="O66" i="66"/>
  <c r="N66" i="66"/>
  <c r="M66" i="66"/>
  <c r="J66" i="66"/>
  <c r="I66" i="66"/>
  <c r="E66" i="66"/>
  <c r="D66" i="66"/>
  <c r="L66" i="66" s="1"/>
  <c r="C66" i="66"/>
  <c r="B66" i="66"/>
  <c r="L65" i="66"/>
  <c r="K65" i="66"/>
  <c r="H65" i="66"/>
  <c r="G65" i="66"/>
  <c r="F65" i="66"/>
  <c r="L64" i="66"/>
  <c r="K64" i="66"/>
  <c r="H64" i="66"/>
  <c r="G64" i="66"/>
  <c r="F64" i="66"/>
  <c r="L63" i="66"/>
  <c r="K63" i="66"/>
  <c r="H63" i="66"/>
  <c r="G63" i="66"/>
  <c r="F63" i="66"/>
  <c r="L62" i="66"/>
  <c r="K62" i="66"/>
  <c r="H62" i="66"/>
  <c r="G62" i="66"/>
  <c r="F62" i="66"/>
  <c r="L61" i="66"/>
  <c r="K61" i="66"/>
  <c r="H61" i="66"/>
  <c r="G61" i="66"/>
  <c r="F61" i="66"/>
  <c r="L60" i="66"/>
  <c r="K60" i="66"/>
  <c r="H60" i="66"/>
  <c r="G60" i="66"/>
  <c r="F60" i="66"/>
  <c r="L59" i="66"/>
  <c r="K59" i="66"/>
  <c r="H59" i="66"/>
  <c r="G59" i="66"/>
  <c r="F59" i="66"/>
  <c r="L58" i="66"/>
  <c r="K58" i="66"/>
  <c r="H58" i="66"/>
  <c r="G58" i="66"/>
  <c r="F58" i="66"/>
  <c r="L57" i="66"/>
  <c r="K57" i="66"/>
  <c r="H57" i="66"/>
  <c r="G57" i="66"/>
  <c r="F57" i="66"/>
  <c r="L56" i="66"/>
  <c r="K56" i="66"/>
  <c r="H56" i="66"/>
  <c r="G56" i="66"/>
  <c r="F56" i="66"/>
  <c r="L55" i="66"/>
  <c r="K55" i="66"/>
  <c r="H55" i="66"/>
  <c r="G55" i="66"/>
  <c r="F55" i="66"/>
  <c r="L54" i="66"/>
  <c r="K54" i="66"/>
  <c r="H54" i="66"/>
  <c r="G54" i="66"/>
  <c r="F54" i="66"/>
  <c r="L53" i="66"/>
  <c r="K53" i="66"/>
  <c r="H53" i="66"/>
  <c r="G53" i="66"/>
  <c r="F53" i="66"/>
  <c r="L52" i="66"/>
  <c r="K52" i="66"/>
  <c r="H52" i="66"/>
  <c r="G52" i="66"/>
  <c r="F52" i="66"/>
  <c r="L51" i="66"/>
  <c r="K51" i="66"/>
  <c r="H51" i="66"/>
  <c r="G51" i="66"/>
  <c r="F51" i="66"/>
  <c r="L50" i="66"/>
  <c r="K50" i="66"/>
  <c r="H50" i="66"/>
  <c r="G50" i="66"/>
  <c r="F50" i="66"/>
  <c r="L49" i="66"/>
  <c r="K49" i="66"/>
  <c r="H49" i="66"/>
  <c r="G49" i="66"/>
  <c r="F49" i="66"/>
  <c r="L48" i="66"/>
  <c r="K48" i="66"/>
  <c r="H48" i="66"/>
  <c r="G48" i="66"/>
  <c r="F48" i="66"/>
  <c r="L47" i="66"/>
  <c r="K47" i="66"/>
  <c r="H47" i="66"/>
  <c r="G47" i="66"/>
  <c r="F47" i="66"/>
  <c r="L46" i="66"/>
  <c r="K46" i="66"/>
  <c r="H46" i="66"/>
  <c r="G46" i="66"/>
  <c r="F46" i="66"/>
  <c r="L45" i="66"/>
  <c r="K45" i="66"/>
  <c r="H45" i="66"/>
  <c r="G45" i="66"/>
  <c r="F45" i="66"/>
  <c r="L44" i="66"/>
  <c r="K44" i="66"/>
  <c r="H44" i="66"/>
  <c r="G44" i="66"/>
  <c r="F44" i="66"/>
  <c r="L43" i="66"/>
  <c r="K43" i="66"/>
  <c r="H43" i="66"/>
  <c r="G43" i="66"/>
  <c r="F43" i="66"/>
  <c r="L42" i="66"/>
  <c r="K42" i="66"/>
  <c r="H42" i="66"/>
  <c r="G42" i="66"/>
  <c r="F42" i="66"/>
  <c r="L41" i="66"/>
  <c r="K41" i="66"/>
  <c r="H41" i="66"/>
  <c r="G41" i="66"/>
  <c r="F41" i="66"/>
  <c r="L40" i="66"/>
  <c r="K40" i="66"/>
  <c r="H40" i="66"/>
  <c r="G40" i="66"/>
  <c r="F40" i="66"/>
  <c r="L39" i="66"/>
  <c r="K39" i="66"/>
  <c r="H39" i="66"/>
  <c r="G39" i="66"/>
  <c r="F39" i="66"/>
  <c r="L38" i="66"/>
  <c r="K38" i="66"/>
  <c r="H38" i="66"/>
  <c r="G38" i="66"/>
  <c r="F38" i="66"/>
  <c r="L37" i="66"/>
  <c r="K37" i="66"/>
  <c r="H37" i="66"/>
  <c r="G37" i="66"/>
  <c r="F37" i="66"/>
  <c r="L36" i="66"/>
  <c r="K36" i="66"/>
  <c r="H36" i="66"/>
  <c r="G36" i="66"/>
  <c r="F36" i="66"/>
  <c r="A36" i="66"/>
  <c r="A37" i="66" s="1"/>
  <c r="A38" i="66" s="1"/>
  <c r="A39" i="66" s="1"/>
  <c r="A40" i="66" s="1"/>
  <c r="A41" i="66" s="1"/>
  <c r="A42" i="66" s="1"/>
  <c r="A43" i="66" s="1"/>
  <c r="A44" i="66" s="1"/>
  <c r="A45" i="66" s="1"/>
  <c r="A46" i="66" s="1"/>
  <c r="A47" i="66" s="1"/>
  <c r="A48" i="66" s="1"/>
  <c r="A49" i="66" s="1"/>
  <c r="A50" i="66" s="1"/>
  <c r="A51" i="66" s="1"/>
  <c r="A52" i="66" s="1"/>
  <c r="A53" i="66" s="1"/>
  <c r="A54" i="66" s="1"/>
  <c r="A55" i="66" s="1"/>
  <c r="A56" i="66" s="1"/>
  <c r="A57" i="66" s="1"/>
  <c r="A58" i="66" s="1"/>
  <c r="A59" i="66" s="1"/>
  <c r="A60" i="66" s="1"/>
  <c r="A61" i="66" s="1"/>
  <c r="A62" i="66" s="1"/>
  <c r="A63" i="66" s="1"/>
  <c r="A64" i="66" s="1"/>
  <c r="A65" i="66" s="1"/>
  <c r="L35" i="66"/>
  <c r="K35" i="66"/>
  <c r="H35" i="66"/>
  <c r="H66" i="66" s="1"/>
  <c r="G35" i="66"/>
  <c r="G66" i="66" s="1"/>
  <c r="F35" i="66"/>
  <c r="P66" i="65"/>
  <c r="O66" i="65"/>
  <c r="N66" i="65"/>
  <c r="M66" i="65"/>
  <c r="J66" i="65"/>
  <c r="I66" i="65"/>
  <c r="E66" i="65"/>
  <c r="D66" i="65"/>
  <c r="L66" i="65" s="1"/>
  <c r="C66" i="65"/>
  <c r="B66" i="65"/>
  <c r="L65" i="65"/>
  <c r="K65" i="65"/>
  <c r="H65" i="65"/>
  <c r="G65" i="65"/>
  <c r="F65" i="65"/>
  <c r="L64" i="65"/>
  <c r="K64" i="65"/>
  <c r="H64" i="65"/>
  <c r="G64" i="65"/>
  <c r="F64" i="65"/>
  <c r="L63" i="65"/>
  <c r="K63" i="65"/>
  <c r="H63" i="65"/>
  <c r="G63" i="65"/>
  <c r="F63" i="65"/>
  <c r="L62" i="65"/>
  <c r="K62" i="65"/>
  <c r="H62" i="65"/>
  <c r="G62" i="65"/>
  <c r="F62" i="65"/>
  <c r="L61" i="65"/>
  <c r="K61" i="65"/>
  <c r="H61" i="65"/>
  <c r="G61" i="65"/>
  <c r="F61" i="65"/>
  <c r="L60" i="65"/>
  <c r="K60" i="65"/>
  <c r="H60" i="65"/>
  <c r="G60" i="65"/>
  <c r="F60" i="65"/>
  <c r="L59" i="65"/>
  <c r="K59" i="65"/>
  <c r="H59" i="65"/>
  <c r="G59" i="65"/>
  <c r="F59" i="65"/>
  <c r="L58" i="65"/>
  <c r="K58" i="65"/>
  <c r="H58" i="65"/>
  <c r="G58" i="65"/>
  <c r="F58" i="65"/>
  <c r="L57" i="65"/>
  <c r="K57" i="65"/>
  <c r="H57" i="65"/>
  <c r="G57" i="65"/>
  <c r="F57" i="65"/>
  <c r="L56" i="65"/>
  <c r="K56" i="65"/>
  <c r="H56" i="65"/>
  <c r="G56" i="65"/>
  <c r="F56" i="65"/>
  <c r="L55" i="65"/>
  <c r="K55" i="65"/>
  <c r="H55" i="65"/>
  <c r="G55" i="65"/>
  <c r="F55" i="65"/>
  <c r="L54" i="65"/>
  <c r="K54" i="65"/>
  <c r="H54" i="65"/>
  <c r="G54" i="65"/>
  <c r="F54" i="65"/>
  <c r="L53" i="65"/>
  <c r="K53" i="65"/>
  <c r="H53" i="65"/>
  <c r="G53" i="65"/>
  <c r="F53" i="65"/>
  <c r="L52" i="65"/>
  <c r="K52" i="65"/>
  <c r="H52" i="65"/>
  <c r="G52" i="65"/>
  <c r="F52" i="65"/>
  <c r="L51" i="65"/>
  <c r="K51" i="65"/>
  <c r="H51" i="65"/>
  <c r="G51" i="65"/>
  <c r="F51" i="65"/>
  <c r="L50" i="65"/>
  <c r="K50" i="65"/>
  <c r="H50" i="65"/>
  <c r="G50" i="65"/>
  <c r="F50" i="65"/>
  <c r="L49" i="65"/>
  <c r="K49" i="65"/>
  <c r="H49" i="65"/>
  <c r="G49" i="65"/>
  <c r="F49" i="65"/>
  <c r="L48" i="65"/>
  <c r="K48" i="65"/>
  <c r="H48" i="65"/>
  <c r="G48" i="65"/>
  <c r="F48" i="65"/>
  <c r="L47" i="65"/>
  <c r="K47" i="65"/>
  <c r="H47" i="65"/>
  <c r="G47" i="65"/>
  <c r="F47" i="65"/>
  <c r="L46" i="65"/>
  <c r="K46" i="65"/>
  <c r="H46" i="65"/>
  <c r="G46" i="65"/>
  <c r="F46" i="65"/>
  <c r="L45" i="65"/>
  <c r="K45" i="65"/>
  <c r="H45" i="65"/>
  <c r="G45" i="65"/>
  <c r="F45" i="65"/>
  <c r="L44" i="65"/>
  <c r="K44" i="65"/>
  <c r="H44" i="65"/>
  <c r="G44" i="65"/>
  <c r="F44" i="65"/>
  <c r="L43" i="65"/>
  <c r="K43" i="65"/>
  <c r="H43" i="65"/>
  <c r="G43" i="65"/>
  <c r="F43" i="65"/>
  <c r="L42" i="65"/>
  <c r="K42" i="65"/>
  <c r="H42" i="65"/>
  <c r="G42" i="65"/>
  <c r="F42" i="65"/>
  <c r="L41" i="65"/>
  <c r="K41" i="65"/>
  <c r="H41" i="65"/>
  <c r="G41" i="65"/>
  <c r="F41" i="65"/>
  <c r="L40" i="65"/>
  <c r="K40" i="65"/>
  <c r="H40" i="65"/>
  <c r="G40" i="65"/>
  <c r="F40" i="65"/>
  <c r="L39" i="65"/>
  <c r="K39" i="65"/>
  <c r="H39" i="65"/>
  <c r="G39" i="65"/>
  <c r="F39" i="65"/>
  <c r="L38" i="65"/>
  <c r="K38" i="65"/>
  <c r="H38" i="65"/>
  <c r="G38" i="65"/>
  <c r="F38" i="65"/>
  <c r="L37" i="65"/>
  <c r="K37" i="65"/>
  <c r="H37" i="65"/>
  <c r="G37" i="65"/>
  <c r="F37" i="65"/>
  <c r="L36" i="65"/>
  <c r="K36" i="65"/>
  <c r="H36" i="65"/>
  <c r="G36" i="65"/>
  <c r="F36" i="65"/>
  <c r="A36" i="65"/>
  <c r="A37" i="65" s="1"/>
  <c r="A38" i="65" s="1"/>
  <c r="A39" i="65" s="1"/>
  <c r="A40" i="65" s="1"/>
  <c r="A41" i="65" s="1"/>
  <c r="A42" i="65" s="1"/>
  <c r="A43" i="65" s="1"/>
  <c r="A44" i="65" s="1"/>
  <c r="A45" i="65" s="1"/>
  <c r="A46" i="65" s="1"/>
  <c r="A47" i="65" s="1"/>
  <c r="A48" i="65" s="1"/>
  <c r="A49" i="65" s="1"/>
  <c r="A50" i="65" s="1"/>
  <c r="A51" i="65" s="1"/>
  <c r="A52" i="65" s="1"/>
  <c r="A53" i="65" s="1"/>
  <c r="A54" i="65" s="1"/>
  <c r="A55" i="65" s="1"/>
  <c r="A56" i="65" s="1"/>
  <c r="A57" i="65" s="1"/>
  <c r="A58" i="65" s="1"/>
  <c r="A59" i="65" s="1"/>
  <c r="A60" i="65" s="1"/>
  <c r="A61" i="65" s="1"/>
  <c r="A62" i="65" s="1"/>
  <c r="A63" i="65" s="1"/>
  <c r="A64" i="65" s="1"/>
  <c r="A65" i="65" s="1"/>
  <c r="L35" i="65"/>
  <c r="K35" i="65"/>
  <c r="H35" i="65"/>
  <c r="H66" i="65" s="1"/>
  <c r="G35" i="65"/>
  <c r="G66" i="65" s="1"/>
  <c r="F35" i="65"/>
  <c r="P66" i="64"/>
  <c r="O66" i="64"/>
  <c r="N66" i="64"/>
  <c r="M66" i="64"/>
  <c r="J66" i="64"/>
  <c r="I66" i="64"/>
  <c r="E66" i="64"/>
  <c r="D66" i="64"/>
  <c r="L66" i="64" s="1"/>
  <c r="C66" i="64"/>
  <c r="B66" i="64"/>
  <c r="L65" i="64"/>
  <c r="K65" i="64"/>
  <c r="H65" i="64"/>
  <c r="G65" i="64"/>
  <c r="F65" i="64"/>
  <c r="L64" i="64"/>
  <c r="K64" i="64"/>
  <c r="H64" i="64"/>
  <c r="G64" i="64"/>
  <c r="F64" i="64"/>
  <c r="L63" i="64"/>
  <c r="K63" i="64"/>
  <c r="H63" i="64"/>
  <c r="G63" i="64"/>
  <c r="F63" i="64"/>
  <c r="L62" i="64"/>
  <c r="K62" i="64"/>
  <c r="H62" i="64"/>
  <c r="G62" i="64"/>
  <c r="F62" i="64"/>
  <c r="L61" i="64"/>
  <c r="K61" i="64"/>
  <c r="H61" i="64"/>
  <c r="G61" i="64"/>
  <c r="F61" i="64"/>
  <c r="L60" i="64"/>
  <c r="K60" i="64"/>
  <c r="H60" i="64"/>
  <c r="G60" i="64"/>
  <c r="F60" i="64"/>
  <c r="L59" i="64"/>
  <c r="K59" i="64"/>
  <c r="H59" i="64"/>
  <c r="G59" i="64"/>
  <c r="F59" i="64"/>
  <c r="L58" i="64"/>
  <c r="K58" i="64"/>
  <c r="H58" i="64"/>
  <c r="G58" i="64"/>
  <c r="F58" i="64"/>
  <c r="L57" i="64"/>
  <c r="K57" i="64"/>
  <c r="H57" i="64"/>
  <c r="G57" i="64"/>
  <c r="F57" i="64"/>
  <c r="L56" i="64"/>
  <c r="K56" i="64"/>
  <c r="H56" i="64"/>
  <c r="G56" i="64"/>
  <c r="F56" i="64"/>
  <c r="L55" i="64"/>
  <c r="K55" i="64"/>
  <c r="H55" i="64"/>
  <c r="G55" i="64"/>
  <c r="F55" i="64"/>
  <c r="L54" i="64"/>
  <c r="K54" i="64"/>
  <c r="H54" i="64"/>
  <c r="G54" i="64"/>
  <c r="F54" i="64"/>
  <c r="L53" i="64"/>
  <c r="K53" i="64"/>
  <c r="H53" i="64"/>
  <c r="G53" i="64"/>
  <c r="F53" i="64"/>
  <c r="L52" i="64"/>
  <c r="K52" i="64"/>
  <c r="H52" i="64"/>
  <c r="G52" i="64"/>
  <c r="F52" i="64"/>
  <c r="L51" i="64"/>
  <c r="K51" i="64"/>
  <c r="H51" i="64"/>
  <c r="G51" i="64"/>
  <c r="F51" i="64"/>
  <c r="L50" i="64"/>
  <c r="K50" i="64"/>
  <c r="H50" i="64"/>
  <c r="G50" i="64"/>
  <c r="F50" i="64"/>
  <c r="L49" i="64"/>
  <c r="K49" i="64"/>
  <c r="H49" i="64"/>
  <c r="G49" i="64"/>
  <c r="F49" i="64"/>
  <c r="L48" i="64"/>
  <c r="K48" i="64"/>
  <c r="H48" i="64"/>
  <c r="G48" i="64"/>
  <c r="F48" i="64"/>
  <c r="L47" i="64"/>
  <c r="K47" i="64"/>
  <c r="H47" i="64"/>
  <c r="G47" i="64"/>
  <c r="F47" i="64"/>
  <c r="L46" i="64"/>
  <c r="K46" i="64"/>
  <c r="H46" i="64"/>
  <c r="G46" i="64"/>
  <c r="F46" i="64"/>
  <c r="L45" i="64"/>
  <c r="K45" i="64"/>
  <c r="H45" i="64"/>
  <c r="G45" i="64"/>
  <c r="F45" i="64"/>
  <c r="L44" i="64"/>
  <c r="K44" i="64"/>
  <c r="H44" i="64"/>
  <c r="G44" i="64"/>
  <c r="F44" i="64"/>
  <c r="L43" i="64"/>
  <c r="K43" i="64"/>
  <c r="H43" i="64"/>
  <c r="G43" i="64"/>
  <c r="F43" i="64"/>
  <c r="L42" i="64"/>
  <c r="K42" i="64"/>
  <c r="H42" i="64"/>
  <c r="G42" i="64"/>
  <c r="F42" i="64"/>
  <c r="L41" i="64"/>
  <c r="K41" i="64"/>
  <c r="H41" i="64"/>
  <c r="G41" i="64"/>
  <c r="F41" i="64"/>
  <c r="L40" i="64"/>
  <c r="K40" i="64"/>
  <c r="H40" i="64"/>
  <c r="G40" i="64"/>
  <c r="F40" i="64"/>
  <c r="L39" i="64"/>
  <c r="K39" i="64"/>
  <c r="H39" i="64"/>
  <c r="G39" i="64"/>
  <c r="F39" i="64"/>
  <c r="L38" i="64"/>
  <c r="K38" i="64"/>
  <c r="H38" i="64"/>
  <c r="G38" i="64"/>
  <c r="F38" i="64"/>
  <c r="L37" i="64"/>
  <c r="K37" i="64"/>
  <c r="H37" i="64"/>
  <c r="G37" i="64"/>
  <c r="F37" i="64"/>
  <c r="L36" i="64"/>
  <c r="K36" i="64"/>
  <c r="H36" i="64"/>
  <c r="G36" i="64"/>
  <c r="F36" i="64"/>
  <c r="A36" i="64"/>
  <c r="A37" i="64" s="1"/>
  <c r="A38" i="64" s="1"/>
  <c r="A39" i="64" s="1"/>
  <c r="A40" i="64" s="1"/>
  <c r="A41" i="64" s="1"/>
  <c r="A42" i="64" s="1"/>
  <c r="A43" i="64" s="1"/>
  <c r="A44" i="64" s="1"/>
  <c r="A45" i="64" s="1"/>
  <c r="A46" i="64" s="1"/>
  <c r="A47" i="64" s="1"/>
  <c r="A48" i="64" s="1"/>
  <c r="A49" i="64" s="1"/>
  <c r="A50" i="64" s="1"/>
  <c r="A51" i="64" s="1"/>
  <c r="A52" i="64" s="1"/>
  <c r="A53" i="64" s="1"/>
  <c r="A54" i="64" s="1"/>
  <c r="A55" i="64" s="1"/>
  <c r="A56" i="64" s="1"/>
  <c r="A57" i="64" s="1"/>
  <c r="A58" i="64" s="1"/>
  <c r="A59" i="64" s="1"/>
  <c r="A60" i="64" s="1"/>
  <c r="A61" i="64" s="1"/>
  <c r="A62" i="64" s="1"/>
  <c r="A63" i="64" s="1"/>
  <c r="A64" i="64" s="1"/>
  <c r="A65" i="64" s="1"/>
  <c r="L35" i="64"/>
  <c r="K35" i="64"/>
  <c r="H35" i="64"/>
  <c r="H66" i="64" s="1"/>
  <c r="G35" i="64"/>
  <c r="G66" i="64" s="1"/>
  <c r="F35" i="64"/>
  <c r="P66" i="63"/>
  <c r="O66" i="63"/>
  <c r="N66" i="63"/>
  <c r="M66" i="63"/>
  <c r="J66" i="63"/>
  <c r="I66" i="63"/>
  <c r="E66" i="63"/>
  <c r="D66" i="63"/>
  <c r="L66" i="63" s="1"/>
  <c r="C66" i="63"/>
  <c r="B66" i="63"/>
  <c r="L65" i="63"/>
  <c r="K65" i="63"/>
  <c r="H65" i="63"/>
  <c r="G65" i="63"/>
  <c r="F65" i="63"/>
  <c r="L64" i="63"/>
  <c r="K64" i="63"/>
  <c r="H64" i="63"/>
  <c r="G64" i="63"/>
  <c r="F64" i="63"/>
  <c r="L63" i="63"/>
  <c r="K63" i="63"/>
  <c r="H63" i="63"/>
  <c r="G63" i="63"/>
  <c r="F63" i="63"/>
  <c r="L62" i="63"/>
  <c r="K62" i="63"/>
  <c r="H62" i="63"/>
  <c r="G62" i="63"/>
  <c r="F62" i="63"/>
  <c r="L61" i="63"/>
  <c r="K61" i="63"/>
  <c r="H61" i="63"/>
  <c r="G61" i="63"/>
  <c r="F61" i="63"/>
  <c r="L60" i="63"/>
  <c r="K60" i="63"/>
  <c r="H60" i="63"/>
  <c r="G60" i="63"/>
  <c r="F60" i="63"/>
  <c r="L59" i="63"/>
  <c r="K59" i="63"/>
  <c r="H59" i="63"/>
  <c r="G59" i="63"/>
  <c r="F59" i="63"/>
  <c r="L58" i="63"/>
  <c r="K58" i="63"/>
  <c r="H58" i="63"/>
  <c r="G58" i="63"/>
  <c r="F58" i="63"/>
  <c r="L57" i="63"/>
  <c r="K57" i="63"/>
  <c r="H57" i="63"/>
  <c r="G57" i="63"/>
  <c r="F57" i="63"/>
  <c r="L56" i="63"/>
  <c r="K56" i="63"/>
  <c r="H56" i="63"/>
  <c r="G56" i="63"/>
  <c r="F56" i="63"/>
  <c r="L55" i="63"/>
  <c r="K55" i="63"/>
  <c r="H55" i="63"/>
  <c r="G55" i="63"/>
  <c r="F55" i="63"/>
  <c r="L54" i="63"/>
  <c r="K54" i="63"/>
  <c r="H54" i="63"/>
  <c r="G54" i="63"/>
  <c r="F54" i="63"/>
  <c r="L53" i="63"/>
  <c r="K53" i="63"/>
  <c r="H53" i="63"/>
  <c r="G53" i="63"/>
  <c r="F53" i="63"/>
  <c r="L52" i="63"/>
  <c r="K52" i="63"/>
  <c r="H52" i="63"/>
  <c r="G52" i="63"/>
  <c r="F52" i="63"/>
  <c r="L51" i="63"/>
  <c r="K51" i="63"/>
  <c r="H51" i="63"/>
  <c r="G51" i="63"/>
  <c r="F51" i="63"/>
  <c r="L50" i="63"/>
  <c r="K50" i="63"/>
  <c r="H50" i="63"/>
  <c r="G50" i="63"/>
  <c r="F50" i="63"/>
  <c r="L49" i="63"/>
  <c r="K49" i="63"/>
  <c r="H49" i="63"/>
  <c r="G49" i="63"/>
  <c r="F49" i="63"/>
  <c r="L48" i="63"/>
  <c r="K48" i="63"/>
  <c r="H48" i="63"/>
  <c r="G48" i="63"/>
  <c r="F48" i="63"/>
  <c r="L47" i="63"/>
  <c r="K47" i="63"/>
  <c r="H47" i="63"/>
  <c r="G47" i="63"/>
  <c r="F47" i="63"/>
  <c r="L46" i="63"/>
  <c r="K46" i="63"/>
  <c r="H46" i="63"/>
  <c r="G46" i="63"/>
  <c r="F46" i="63"/>
  <c r="L45" i="63"/>
  <c r="K45" i="63"/>
  <c r="H45" i="63"/>
  <c r="G45" i="63"/>
  <c r="F45" i="63"/>
  <c r="L44" i="63"/>
  <c r="K44" i="63"/>
  <c r="H44" i="63"/>
  <c r="G44" i="63"/>
  <c r="F44" i="63"/>
  <c r="L43" i="63"/>
  <c r="K43" i="63"/>
  <c r="H43" i="63"/>
  <c r="G43" i="63"/>
  <c r="F43" i="63"/>
  <c r="L42" i="63"/>
  <c r="K42" i="63"/>
  <c r="H42" i="63"/>
  <c r="G42" i="63"/>
  <c r="F42" i="63"/>
  <c r="L41" i="63"/>
  <c r="K41" i="63"/>
  <c r="H41" i="63"/>
  <c r="G41" i="63"/>
  <c r="F41" i="63"/>
  <c r="L40" i="63"/>
  <c r="K40" i="63"/>
  <c r="H40" i="63"/>
  <c r="G40" i="63"/>
  <c r="F40" i="63"/>
  <c r="L39" i="63"/>
  <c r="K39" i="63"/>
  <c r="H39" i="63"/>
  <c r="G39" i="63"/>
  <c r="F39" i="63"/>
  <c r="L38" i="63"/>
  <c r="K38" i="63"/>
  <c r="H38" i="63"/>
  <c r="G38" i="63"/>
  <c r="F38" i="63"/>
  <c r="L37" i="63"/>
  <c r="K37" i="63"/>
  <c r="H37" i="63"/>
  <c r="G37" i="63"/>
  <c r="F37" i="63"/>
  <c r="L36" i="63"/>
  <c r="K36" i="63"/>
  <c r="H36" i="63"/>
  <c r="G36" i="63"/>
  <c r="F36" i="63"/>
  <c r="A36" i="63"/>
  <c r="A37" i="63" s="1"/>
  <c r="A38" i="63" s="1"/>
  <c r="A39" i="63" s="1"/>
  <c r="A40" i="63" s="1"/>
  <c r="A41" i="63" s="1"/>
  <c r="A42" i="63" s="1"/>
  <c r="A43" i="63" s="1"/>
  <c r="A44" i="63" s="1"/>
  <c r="A45" i="63" s="1"/>
  <c r="A46" i="63" s="1"/>
  <c r="A47" i="63" s="1"/>
  <c r="A48" i="63" s="1"/>
  <c r="A49" i="63" s="1"/>
  <c r="A50" i="63" s="1"/>
  <c r="A51" i="63" s="1"/>
  <c r="A52" i="63" s="1"/>
  <c r="A53" i="63" s="1"/>
  <c r="A54" i="63" s="1"/>
  <c r="A55" i="63" s="1"/>
  <c r="A56" i="63" s="1"/>
  <c r="A57" i="63" s="1"/>
  <c r="A58" i="63" s="1"/>
  <c r="A59" i="63" s="1"/>
  <c r="A60" i="63" s="1"/>
  <c r="A61" i="63" s="1"/>
  <c r="A62" i="63" s="1"/>
  <c r="A63" i="63" s="1"/>
  <c r="A64" i="63" s="1"/>
  <c r="A65" i="63" s="1"/>
  <c r="L35" i="63"/>
  <c r="K35" i="63"/>
  <c r="H35" i="63"/>
  <c r="H66" i="63" s="1"/>
  <c r="G35" i="63"/>
  <c r="G66" i="63" s="1"/>
  <c r="F35" i="63"/>
  <c r="P66" i="62"/>
  <c r="O66" i="62"/>
  <c r="N66" i="62"/>
  <c r="M66" i="62"/>
  <c r="J66" i="62"/>
  <c r="I66" i="62"/>
  <c r="E66" i="62"/>
  <c r="D66" i="62"/>
  <c r="L66" i="62" s="1"/>
  <c r="C66" i="62"/>
  <c r="B66" i="62"/>
  <c r="L65" i="62"/>
  <c r="K65" i="62"/>
  <c r="H65" i="62"/>
  <c r="G65" i="62"/>
  <c r="F65" i="62"/>
  <c r="L64" i="62"/>
  <c r="K64" i="62"/>
  <c r="H64" i="62"/>
  <c r="G64" i="62"/>
  <c r="F64" i="62"/>
  <c r="L63" i="62"/>
  <c r="K63" i="62"/>
  <c r="H63" i="62"/>
  <c r="G63" i="62"/>
  <c r="F63" i="62"/>
  <c r="L62" i="62"/>
  <c r="K62" i="62"/>
  <c r="H62" i="62"/>
  <c r="G62" i="62"/>
  <c r="F62" i="62"/>
  <c r="L61" i="62"/>
  <c r="K61" i="62"/>
  <c r="H61" i="62"/>
  <c r="G61" i="62"/>
  <c r="F61" i="62"/>
  <c r="L60" i="62"/>
  <c r="K60" i="62"/>
  <c r="H60" i="62"/>
  <c r="G60" i="62"/>
  <c r="F60" i="62"/>
  <c r="L59" i="62"/>
  <c r="K59" i="62"/>
  <c r="H59" i="62"/>
  <c r="G59" i="62"/>
  <c r="F59" i="62"/>
  <c r="L58" i="62"/>
  <c r="K58" i="62"/>
  <c r="H58" i="62"/>
  <c r="G58" i="62"/>
  <c r="F58" i="62"/>
  <c r="L57" i="62"/>
  <c r="K57" i="62"/>
  <c r="H57" i="62"/>
  <c r="G57" i="62"/>
  <c r="F57" i="62"/>
  <c r="L56" i="62"/>
  <c r="K56" i="62"/>
  <c r="H56" i="62"/>
  <c r="G56" i="62"/>
  <c r="F56" i="62"/>
  <c r="L55" i="62"/>
  <c r="K55" i="62"/>
  <c r="H55" i="62"/>
  <c r="G55" i="62"/>
  <c r="F55" i="62"/>
  <c r="L54" i="62"/>
  <c r="K54" i="62"/>
  <c r="H54" i="62"/>
  <c r="G54" i="62"/>
  <c r="F54" i="62"/>
  <c r="L53" i="62"/>
  <c r="K53" i="62"/>
  <c r="H53" i="62"/>
  <c r="G53" i="62"/>
  <c r="F53" i="62"/>
  <c r="L52" i="62"/>
  <c r="K52" i="62"/>
  <c r="H52" i="62"/>
  <c r="G52" i="62"/>
  <c r="F52" i="62"/>
  <c r="L51" i="62"/>
  <c r="K51" i="62"/>
  <c r="H51" i="62"/>
  <c r="G51" i="62"/>
  <c r="F51" i="62"/>
  <c r="L50" i="62"/>
  <c r="K50" i="62"/>
  <c r="H50" i="62"/>
  <c r="G50" i="62"/>
  <c r="F50" i="62"/>
  <c r="L49" i="62"/>
  <c r="K49" i="62"/>
  <c r="H49" i="62"/>
  <c r="G49" i="62"/>
  <c r="F49" i="62"/>
  <c r="L48" i="62"/>
  <c r="K48" i="62"/>
  <c r="H48" i="62"/>
  <c r="G48" i="62"/>
  <c r="F48" i="62"/>
  <c r="L47" i="62"/>
  <c r="K47" i="62"/>
  <c r="H47" i="62"/>
  <c r="G47" i="62"/>
  <c r="F47" i="62"/>
  <c r="L46" i="62"/>
  <c r="K46" i="62"/>
  <c r="H46" i="62"/>
  <c r="G46" i="62"/>
  <c r="F46" i="62"/>
  <c r="L45" i="62"/>
  <c r="K45" i="62"/>
  <c r="H45" i="62"/>
  <c r="G45" i="62"/>
  <c r="F45" i="62"/>
  <c r="L44" i="62"/>
  <c r="K44" i="62"/>
  <c r="H44" i="62"/>
  <c r="G44" i="62"/>
  <c r="F44" i="62"/>
  <c r="L43" i="62"/>
  <c r="K43" i="62"/>
  <c r="H43" i="62"/>
  <c r="G43" i="62"/>
  <c r="F43" i="62"/>
  <c r="L42" i="62"/>
  <c r="K42" i="62"/>
  <c r="H42" i="62"/>
  <c r="G42" i="62"/>
  <c r="F42" i="62"/>
  <c r="L41" i="62"/>
  <c r="K41" i="62"/>
  <c r="H41" i="62"/>
  <c r="G41" i="62"/>
  <c r="F41" i="62"/>
  <c r="L40" i="62"/>
  <c r="K40" i="62"/>
  <c r="H40" i="62"/>
  <c r="G40" i="62"/>
  <c r="F40" i="62"/>
  <c r="L39" i="62"/>
  <c r="K39" i="62"/>
  <c r="H39" i="62"/>
  <c r="G39" i="62"/>
  <c r="F39" i="62"/>
  <c r="L38" i="62"/>
  <c r="K38" i="62"/>
  <c r="H38" i="62"/>
  <c r="G38" i="62"/>
  <c r="F38" i="62"/>
  <c r="L37" i="62"/>
  <c r="K37" i="62"/>
  <c r="H37" i="62"/>
  <c r="G37" i="62"/>
  <c r="F37" i="62"/>
  <c r="L36" i="62"/>
  <c r="K36" i="62"/>
  <c r="H36" i="62"/>
  <c r="G36" i="62"/>
  <c r="F36" i="62"/>
  <c r="A36" i="62"/>
  <c r="A37" i="62" s="1"/>
  <c r="A38" i="62" s="1"/>
  <c r="A39" i="62" s="1"/>
  <c r="A40" i="62" s="1"/>
  <c r="A41" i="62" s="1"/>
  <c r="A42" i="62" s="1"/>
  <c r="A43" i="62" s="1"/>
  <c r="A44" i="62" s="1"/>
  <c r="A45" i="62" s="1"/>
  <c r="A46" i="62" s="1"/>
  <c r="A47" i="62" s="1"/>
  <c r="A48" i="62" s="1"/>
  <c r="A49" i="62" s="1"/>
  <c r="A50" i="62" s="1"/>
  <c r="A51" i="62" s="1"/>
  <c r="A52" i="62" s="1"/>
  <c r="A53" i="62" s="1"/>
  <c r="A54" i="62" s="1"/>
  <c r="A55" i="62" s="1"/>
  <c r="A56" i="62" s="1"/>
  <c r="A57" i="62" s="1"/>
  <c r="A58" i="62" s="1"/>
  <c r="A59" i="62" s="1"/>
  <c r="A60" i="62" s="1"/>
  <c r="A61" i="62" s="1"/>
  <c r="A62" i="62" s="1"/>
  <c r="A63" i="62" s="1"/>
  <c r="A64" i="62" s="1"/>
  <c r="A65" i="62" s="1"/>
  <c r="L35" i="62"/>
  <c r="K35" i="62"/>
  <c r="H35" i="62"/>
  <c r="H66" i="62" s="1"/>
  <c r="G35" i="62"/>
  <c r="G66" i="62" s="1"/>
  <c r="F35" i="62"/>
  <c r="P66" i="61"/>
  <c r="O66" i="61"/>
  <c r="N66" i="61"/>
  <c r="M66" i="61"/>
  <c r="J66" i="61"/>
  <c r="I66" i="61"/>
  <c r="E66" i="61"/>
  <c r="D66" i="61"/>
  <c r="L66" i="61" s="1"/>
  <c r="C66" i="61"/>
  <c r="B66" i="61"/>
  <c r="L65" i="61"/>
  <c r="K65" i="61"/>
  <c r="H65" i="61"/>
  <c r="G65" i="61"/>
  <c r="F65" i="61"/>
  <c r="L64" i="61"/>
  <c r="K64" i="61"/>
  <c r="H64" i="61"/>
  <c r="G64" i="61"/>
  <c r="F64" i="61"/>
  <c r="L63" i="61"/>
  <c r="K63" i="61"/>
  <c r="H63" i="61"/>
  <c r="G63" i="61"/>
  <c r="F63" i="61"/>
  <c r="L62" i="61"/>
  <c r="K62" i="61"/>
  <c r="H62" i="61"/>
  <c r="G62" i="61"/>
  <c r="F62" i="61"/>
  <c r="L61" i="61"/>
  <c r="K61" i="61"/>
  <c r="H61" i="61"/>
  <c r="G61" i="61"/>
  <c r="F61" i="61"/>
  <c r="L60" i="61"/>
  <c r="K60" i="61"/>
  <c r="H60" i="61"/>
  <c r="G60" i="61"/>
  <c r="F60" i="61"/>
  <c r="L59" i="61"/>
  <c r="K59" i="61"/>
  <c r="H59" i="61"/>
  <c r="G59" i="61"/>
  <c r="F59" i="61"/>
  <c r="L58" i="61"/>
  <c r="K58" i="61"/>
  <c r="H58" i="61"/>
  <c r="G58" i="61"/>
  <c r="F58" i="61"/>
  <c r="L57" i="61"/>
  <c r="K57" i="61"/>
  <c r="H57" i="61"/>
  <c r="G57" i="61"/>
  <c r="F57" i="61"/>
  <c r="L56" i="61"/>
  <c r="K56" i="61"/>
  <c r="H56" i="61"/>
  <c r="G56" i="61"/>
  <c r="F56" i="61"/>
  <c r="L55" i="61"/>
  <c r="K55" i="61"/>
  <c r="H55" i="61"/>
  <c r="G55" i="61"/>
  <c r="F55" i="61"/>
  <c r="L54" i="61"/>
  <c r="K54" i="61"/>
  <c r="H54" i="61"/>
  <c r="G54" i="61"/>
  <c r="F54" i="61"/>
  <c r="L53" i="61"/>
  <c r="K53" i="61"/>
  <c r="H53" i="61"/>
  <c r="G53" i="61"/>
  <c r="F53" i="61"/>
  <c r="L52" i="61"/>
  <c r="K52" i="61"/>
  <c r="H52" i="61"/>
  <c r="G52" i="61"/>
  <c r="F52" i="61"/>
  <c r="L51" i="61"/>
  <c r="K51" i="61"/>
  <c r="H51" i="61"/>
  <c r="G51" i="61"/>
  <c r="F51" i="61"/>
  <c r="L50" i="61"/>
  <c r="K50" i="61"/>
  <c r="H50" i="61"/>
  <c r="G50" i="61"/>
  <c r="F50" i="61"/>
  <c r="L49" i="61"/>
  <c r="K49" i="61"/>
  <c r="H49" i="61"/>
  <c r="G49" i="61"/>
  <c r="F49" i="61"/>
  <c r="L48" i="61"/>
  <c r="K48" i="61"/>
  <c r="H48" i="61"/>
  <c r="G48" i="61"/>
  <c r="F48" i="61"/>
  <c r="L47" i="61"/>
  <c r="K47" i="61"/>
  <c r="H47" i="61"/>
  <c r="G47" i="61"/>
  <c r="F47" i="61"/>
  <c r="L46" i="61"/>
  <c r="K46" i="61"/>
  <c r="H46" i="61"/>
  <c r="G46" i="61"/>
  <c r="F46" i="61"/>
  <c r="L45" i="61"/>
  <c r="K45" i="61"/>
  <c r="H45" i="61"/>
  <c r="G45" i="61"/>
  <c r="F45" i="61"/>
  <c r="L44" i="61"/>
  <c r="K44" i="61"/>
  <c r="H44" i="61"/>
  <c r="G44" i="61"/>
  <c r="F44" i="61"/>
  <c r="L43" i="61"/>
  <c r="K43" i="61"/>
  <c r="H43" i="61"/>
  <c r="G43" i="61"/>
  <c r="F43" i="61"/>
  <c r="L42" i="61"/>
  <c r="K42" i="61"/>
  <c r="H42" i="61"/>
  <c r="G42" i="61"/>
  <c r="F42" i="61"/>
  <c r="L41" i="61"/>
  <c r="K41" i="61"/>
  <c r="H41" i="61"/>
  <c r="G41" i="61"/>
  <c r="F41" i="61"/>
  <c r="L40" i="61"/>
  <c r="K40" i="61"/>
  <c r="H40" i="61"/>
  <c r="G40" i="61"/>
  <c r="F40" i="61"/>
  <c r="L39" i="61"/>
  <c r="K39" i="61"/>
  <c r="H39" i="61"/>
  <c r="G39" i="61"/>
  <c r="F39" i="61"/>
  <c r="L38" i="61"/>
  <c r="K38" i="61"/>
  <c r="H38" i="61"/>
  <c r="G38" i="61"/>
  <c r="F38" i="61"/>
  <c r="L37" i="61"/>
  <c r="K37" i="61"/>
  <c r="H37" i="61"/>
  <c r="G37" i="61"/>
  <c r="F37" i="61"/>
  <c r="L36" i="61"/>
  <c r="K36" i="61"/>
  <c r="H36" i="61"/>
  <c r="G36" i="61"/>
  <c r="F36" i="61"/>
  <c r="A36" i="61"/>
  <c r="A37" i="61" s="1"/>
  <c r="A38" i="61" s="1"/>
  <c r="A39" i="61" s="1"/>
  <c r="A40" i="61" s="1"/>
  <c r="A41" i="61" s="1"/>
  <c r="A42" i="61" s="1"/>
  <c r="A43" i="61" s="1"/>
  <c r="A44" i="61" s="1"/>
  <c r="A45" i="61" s="1"/>
  <c r="A46" i="61" s="1"/>
  <c r="A47" i="61" s="1"/>
  <c r="A48" i="61" s="1"/>
  <c r="A49" i="61" s="1"/>
  <c r="A50" i="61" s="1"/>
  <c r="A51" i="61" s="1"/>
  <c r="A52" i="61" s="1"/>
  <c r="A53" i="61" s="1"/>
  <c r="A54" i="61" s="1"/>
  <c r="A55" i="61" s="1"/>
  <c r="A56" i="61" s="1"/>
  <c r="A57" i="61" s="1"/>
  <c r="A58" i="61" s="1"/>
  <c r="A59" i="61" s="1"/>
  <c r="A60" i="61" s="1"/>
  <c r="A61" i="61" s="1"/>
  <c r="A62" i="61" s="1"/>
  <c r="A63" i="61" s="1"/>
  <c r="A64" i="61" s="1"/>
  <c r="A65" i="61" s="1"/>
  <c r="L35" i="61"/>
  <c r="K35" i="61"/>
  <c r="H35" i="61"/>
  <c r="H66" i="61" s="1"/>
  <c r="G35" i="61"/>
  <c r="G66" i="61" s="1"/>
  <c r="F35" i="61"/>
  <c r="P66" i="60"/>
  <c r="O66" i="60"/>
  <c r="N66" i="60"/>
  <c r="M66" i="60"/>
  <c r="J66" i="60"/>
  <c r="I66" i="60"/>
  <c r="E66" i="60"/>
  <c r="D66" i="60"/>
  <c r="L66" i="60" s="1"/>
  <c r="C66" i="60"/>
  <c r="B66" i="60"/>
  <c r="L65" i="60"/>
  <c r="K65" i="60"/>
  <c r="H65" i="60"/>
  <c r="L64" i="60"/>
  <c r="K64" i="60"/>
  <c r="H64" i="60"/>
  <c r="L63" i="60"/>
  <c r="K63" i="60"/>
  <c r="H63" i="60"/>
  <c r="L62" i="60"/>
  <c r="K62" i="60"/>
  <c r="H62" i="60"/>
  <c r="L61" i="60"/>
  <c r="K61" i="60"/>
  <c r="H61" i="60"/>
  <c r="L60" i="60"/>
  <c r="K60" i="60"/>
  <c r="H60" i="60"/>
  <c r="L59" i="60"/>
  <c r="K59" i="60"/>
  <c r="H59" i="60"/>
  <c r="L58" i="60"/>
  <c r="K58" i="60"/>
  <c r="H58" i="60"/>
  <c r="L57" i="60"/>
  <c r="K57" i="60"/>
  <c r="H57" i="60"/>
  <c r="L56" i="60"/>
  <c r="K56" i="60"/>
  <c r="H56" i="60"/>
  <c r="L55" i="60"/>
  <c r="K55" i="60"/>
  <c r="H55" i="60"/>
  <c r="L54" i="60"/>
  <c r="K54" i="60"/>
  <c r="H54" i="60"/>
  <c r="L53" i="60"/>
  <c r="K53" i="60"/>
  <c r="H53" i="60"/>
  <c r="L52" i="60"/>
  <c r="K52" i="60"/>
  <c r="H52" i="60"/>
  <c r="L51" i="60"/>
  <c r="K51" i="60"/>
  <c r="H51" i="60"/>
  <c r="L50" i="60"/>
  <c r="K50" i="60"/>
  <c r="H50" i="60"/>
  <c r="L49" i="60"/>
  <c r="K49" i="60"/>
  <c r="H49" i="60"/>
  <c r="L48" i="60"/>
  <c r="K48" i="60"/>
  <c r="H48" i="60"/>
  <c r="L47" i="60"/>
  <c r="K47" i="60"/>
  <c r="H47" i="60"/>
  <c r="L46" i="60"/>
  <c r="K46" i="60"/>
  <c r="H46" i="60"/>
  <c r="L45" i="60"/>
  <c r="K45" i="60"/>
  <c r="H45" i="60"/>
  <c r="L44" i="60"/>
  <c r="K44" i="60"/>
  <c r="H44" i="60"/>
  <c r="L43" i="60"/>
  <c r="K43" i="60"/>
  <c r="H43" i="60"/>
  <c r="L42" i="60"/>
  <c r="K42" i="60"/>
  <c r="H42" i="60"/>
  <c r="L41" i="60"/>
  <c r="K41" i="60"/>
  <c r="H41" i="60"/>
  <c r="L40" i="60"/>
  <c r="K40" i="60"/>
  <c r="H40" i="60"/>
  <c r="L39" i="60"/>
  <c r="K39" i="60"/>
  <c r="H39" i="60"/>
  <c r="L38" i="60"/>
  <c r="K38" i="60"/>
  <c r="H38" i="60"/>
  <c r="L37" i="60"/>
  <c r="K37" i="60"/>
  <c r="H37" i="60"/>
  <c r="L36" i="60"/>
  <c r="K36" i="60"/>
  <c r="H36" i="60"/>
  <c r="A36" i="60"/>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L35" i="60"/>
  <c r="K35" i="60"/>
  <c r="H35" i="60"/>
  <c r="H66" i="60" s="1"/>
  <c r="G66" i="60"/>
  <c r="P66" i="56"/>
  <c r="O66" i="56"/>
  <c r="N66" i="56"/>
  <c r="M66" i="56"/>
  <c r="J66" i="56"/>
  <c r="I66" i="56"/>
  <c r="E66" i="56"/>
  <c r="D66" i="56"/>
  <c r="L66" i="56" s="1"/>
  <c r="C66" i="56"/>
  <c r="B66" i="56"/>
  <c r="L65" i="56"/>
  <c r="K65" i="56"/>
  <c r="H65" i="56"/>
  <c r="G65" i="56"/>
  <c r="F65" i="56"/>
  <c r="L64" i="56"/>
  <c r="K64" i="56"/>
  <c r="H64" i="56"/>
  <c r="G64" i="56"/>
  <c r="F64" i="56"/>
  <c r="L63" i="56"/>
  <c r="K63" i="56"/>
  <c r="H63" i="56"/>
  <c r="G63" i="56"/>
  <c r="F63" i="56"/>
  <c r="L62" i="56"/>
  <c r="K62" i="56"/>
  <c r="H62" i="56"/>
  <c r="G62" i="56"/>
  <c r="F62" i="56"/>
  <c r="L61" i="56"/>
  <c r="K61" i="56"/>
  <c r="H61" i="56"/>
  <c r="G61" i="56"/>
  <c r="F61" i="56"/>
  <c r="L60" i="56"/>
  <c r="K60" i="56"/>
  <c r="H60" i="56"/>
  <c r="G60" i="56"/>
  <c r="F60" i="56"/>
  <c r="L59" i="56"/>
  <c r="K59" i="56"/>
  <c r="H59" i="56"/>
  <c r="G59" i="56"/>
  <c r="F59" i="56"/>
  <c r="L58" i="56"/>
  <c r="K58" i="56"/>
  <c r="H58" i="56"/>
  <c r="G58" i="56"/>
  <c r="F58" i="56"/>
  <c r="L57" i="56"/>
  <c r="K57" i="56"/>
  <c r="H57" i="56"/>
  <c r="G57" i="56"/>
  <c r="F57" i="56"/>
  <c r="L56" i="56"/>
  <c r="K56" i="56"/>
  <c r="H56" i="56"/>
  <c r="G56" i="56"/>
  <c r="F56" i="56"/>
  <c r="L55" i="56"/>
  <c r="K55" i="56"/>
  <c r="H55" i="56"/>
  <c r="G55" i="56"/>
  <c r="F55" i="56"/>
  <c r="L54" i="56"/>
  <c r="K54" i="56"/>
  <c r="H54" i="56"/>
  <c r="G54" i="56"/>
  <c r="F54" i="56"/>
  <c r="L53" i="56"/>
  <c r="K53" i="56"/>
  <c r="H53" i="56"/>
  <c r="G53" i="56"/>
  <c r="F53" i="56"/>
  <c r="L52" i="56"/>
  <c r="K52" i="56"/>
  <c r="H52" i="56"/>
  <c r="G52" i="56"/>
  <c r="F52" i="56"/>
  <c r="L51" i="56"/>
  <c r="K51" i="56"/>
  <c r="H51" i="56"/>
  <c r="G51" i="56"/>
  <c r="F51" i="56"/>
  <c r="L50" i="56"/>
  <c r="K50" i="56"/>
  <c r="H50" i="56"/>
  <c r="G50" i="56"/>
  <c r="F50" i="56"/>
  <c r="L49" i="56"/>
  <c r="K49" i="56"/>
  <c r="H49" i="56"/>
  <c r="G49" i="56"/>
  <c r="F49" i="56"/>
  <c r="L48" i="56"/>
  <c r="K48" i="56"/>
  <c r="H48" i="56"/>
  <c r="G48" i="56"/>
  <c r="F48" i="56"/>
  <c r="L47" i="56"/>
  <c r="K47" i="56"/>
  <c r="H47" i="56"/>
  <c r="G47" i="56"/>
  <c r="F47" i="56"/>
  <c r="L46" i="56"/>
  <c r="K46" i="56"/>
  <c r="H46" i="56"/>
  <c r="G46" i="56"/>
  <c r="F46" i="56"/>
  <c r="L45" i="56"/>
  <c r="K45" i="56"/>
  <c r="H45" i="56"/>
  <c r="G45" i="56"/>
  <c r="F45" i="56"/>
  <c r="L44" i="56"/>
  <c r="K44" i="56"/>
  <c r="H44" i="56"/>
  <c r="G44" i="56"/>
  <c r="F44" i="56"/>
  <c r="L43" i="56"/>
  <c r="K43" i="56"/>
  <c r="H43" i="56"/>
  <c r="G43" i="56"/>
  <c r="F43" i="56"/>
  <c r="L42" i="56"/>
  <c r="K42" i="56"/>
  <c r="H42" i="56"/>
  <c r="G42" i="56"/>
  <c r="F42" i="56"/>
  <c r="L41" i="56"/>
  <c r="K41" i="56"/>
  <c r="H41" i="56"/>
  <c r="G41" i="56"/>
  <c r="F41" i="56"/>
  <c r="L40" i="56"/>
  <c r="K40" i="56"/>
  <c r="H40" i="56"/>
  <c r="G40" i="56"/>
  <c r="F40" i="56"/>
  <c r="L39" i="56"/>
  <c r="K39" i="56"/>
  <c r="H39" i="56"/>
  <c r="G39" i="56"/>
  <c r="F39" i="56"/>
  <c r="L38" i="56"/>
  <c r="K38" i="56"/>
  <c r="H38" i="56"/>
  <c r="G38" i="56"/>
  <c r="F38" i="56"/>
  <c r="L37" i="56"/>
  <c r="K37" i="56"/>
  <c r="H37" i="56"/>
  <c r="G37" i="56"/>
  <c r="F37" i="56"/>
  <c r="L36" i="56"/>
  <c r="K36" i="56"/>
  <c r="H36" i="56"/>
  <c r="G36" i="56"/>
  <c r="F36" i="56"/>
  <c r="A36" i="56"/>
  <c r="A37" i="56" s="1"/>
  <c r="A38" i="56" s="1"/>
  <c r="A39" i="56" s="1"/>
  <c r="A40" i="56" s="1"/>
  <c r="A41" i="56" s="1"/>
  <c r="A42" i="56" s="1"/>
  <c r="A43" i="56" s="1"/>
  <c r="A44" i="56" s="1"/>
  <c r="A45" i="56" s="1"/>
  <c r="A46" i="56" s="1"/>
  <c r="A47" i="56" s="1"/>
  <c r="A48" i="56" s="1"/>
  <c r="A49" i="56" s="1"/>
  <c r="A50" i="56" s="1"/>
  <c r="A51" i="56" s="1"/>
  <c r="A52" i="56" s="1"/>
  <c r="A53" i="56" s="1"/>
  <c r="A54" i="56" s="1"/>
  <c r="A55" i="56" s="1"/>
  <c r="A56" i="56" s="1"/>
  <c r="A57" i="56" s="1"/>
  <c r="A58" i="56" s="1"/>
  <c r="A59" i="56" s="1"/>
  <c r="A60" i="56" s="1"/>
  <c r="A61" i="56" s="1"/>
  <c r="A62" i="56" s="1"/>
  <c r="A63" i="56" s="1"/>
  <c r="A64" i="56" s="1"/>
  <c r="A65" i="56" s="1"/>
  <c r="L35" i="56"/>
  <c r="K35" i="56"/>
  <c r="H35" i="56"/>
  <c r="H66" i="56" s="1"/>
  <c r="G35" i="56"/>
  <c r="G66" i="56" s="1"/>
  <c r="F35" i="56"/>
  <c r="P66" i="55"/>
  <c r="O66" i="55"/>
  <c r="N66" i="55"/>
  <c r="M66" i="55"/>
  <c r="J66" i="55"/>
  <c r="I66" i="55"/>
  <c r="E66" i="55"/>
  <c r="D66" i="55"/>
  <c r="L66" i="55" s="1"/>
  <c r="C66" i="55"/>
  <c r="B66" i="55"/>
  <c r="L65" i="55"/>
  <c r="K65" i="55"/>
  <c r="H65" i="55"/>
  <c r="G65" i="55"/>
  <c r="F65" i="55"/>
  <c r="L64" i="55"/>
  <c r="K64" i="55"/>
  <c r="H64" i="55"/>
  <c r="G64" i="55"/>
  <c r="F64" i="55"/>
  <c r="L63" i="55"/>
  <c r="K63" i="55"/>
  <c r="H63" i="55"/>
  <c r="G63" i="55"/>
  <c r="F63" i="55"/>
  <c r="L62" i="55"/>
  <c r="K62" i="55"/>
  <c r="H62" i="55"/>
  <c r="G62" i="55"/>
  <c r="F62" i="55"/>
  <c r="L61" i="55"/>
  <c r="K61" i="55"/>
  <c r="H61" i="55"/>
  <c r="G61" i="55"/>
  <c r="F61" i="55"/>
  <c r="L60" i="55"/>
  <c r="K60" i="55"/>
  <c r="H60" i="55"/>
  <c r="G60" i="55"/>
  <c r="F60" i="55"/>
  <c r="L59" i="55"/>
  <c r="K59" i="55"/>
  <c r="H59" i="55"/>
  <c r="G59" i="55"/>
  <c r="F59" i="55"/>
  <c r="L58" i="55"/>
  <c r="K58" i="55"/>
  <c r="H58" i="55"/>
  <c r="G58" i="55"/>
  <c r="F58" i="55"/>
  <c r="L57" i="55"/>
  <c r="K57" i="55"/>
  <c r="H57" i="55"/>
  <c r="G57" i="55"/>
  <c r="F57" i="55"/>
  <c r="L56" i="55"/>
  <c r="K56" i="55"/>
  <c r="H56" i="55"/>
  <c r="G56" i="55"/>
  <c r="F56" i="55"/>
  <c r="L55" i="55"/>
  <c r="K55" i="55"/>
  <c r="H55" i="55"/>
  <c r="G55" i="55"/>
  <c r="F55" i="55"/>
  <c r="L54" i="55"/>
  <c r="K54" i="55"/>
  <c r="H54" i="55"/>
  <c r="G54" i="55"/>
  <c r="F54" i="55"/>
  <c r="L53" i="55"/>
  <c r="K53" i="55"/>
  <c r="H53" i="55"/>
  <c r="G53" i="55"/>
  <c r="F53" i="55"/>
  <c r="L52" i="55"/>
  <c r="K52" i="55"/>
  <c r="H52" i="55"/>
  <c r="G52" i="55"/>
  <c r="F52" i="55"/>
  <c r="L51" i="55"/>
  <c r="K51" i="55"/>
  <c r="H51" i="55"/>
  <c r="G51" i="55"/>
  <c r="F51" i="55"/>
  <c r="L50" i="55"/>
  <c r="K50" i="55"/>
  <c r="H50" i="55"/>
  <c r="G50" i="55"/>
  <c r="F50" i="55"/>
  <c r="L49" i="55"/>
  <c r="K49" i="55"/>
  <c r="H49" i="55"/>
  <c r="G49" i="55"/>
  <c r="F49" i="55"/>
  <c r="L48" i="55"/>
  <c r="K48" i="55"/>
  <c r="H48" i="55"/>
  <c r="G48" i="55"/>
  <c r="F48" i="55"/>
  <c r="L47" i="55"/>
  <c r="K47" i="55"/>
  <c r="H47" i="55"/>
  <c r="G47" i="55"/>
  <c r="F47" i="55"/>
  <c r="L46" i="55"/>
  <c r="K46" i="55"/>
  <c r="H46" i="55"/>
  <c r="G46" i="55"/>
  <c r="F46" i="55"/>
  <c r="L45" i="55"/>
  <c r="K45" i="55"/>
  <c r="H45" i="55"/>
  <c r="G45" i="55"/>
  <c r="F45" i="55"/>
  <c r="L44" i="55"/>
  <c r="K44" i="55"/>
  <c r="H44" i="55"/>
  <c r="G44" i="55"/>
  <c r="F44" i="55"/>
  <c r="L43" i="55"/>
  <c r="K43" i="55"/>
  <c r="H43" i="55"/>
  <c r="G43" i="55"/>
  <c r="F43" i="55"/>
  <c r="L42" i="55"/>
  <c r="K42" i="55"/>
  <c r="H42" i="55"/>
  <c r="G42" i="55"/>
  <c r="F42" i="55"/>
  <c r="L41" i="55"/>
  <c r="K41" i="55"/>
  <c r="H41" i="55"/>
  <c r="G41" i="55"/>
  <c r="F41" i="55"/>
  <c r="L40" i="55"/>
  <c r="K40" i="55"/>
  <c r="H40" i="55"/>
  <c r="G40" i="55"/>
  <c r="F40" i="55"/>
  <c r="L39" i="55"/>
  <c r="K39" i="55"/>
  <c r="H39" i="55"/>
  <c r="G39" i="55"/>
  <c r="F39" i="55"/>
  <c r="L38" i="55"/>
  <c r="K38" i="55"/>
  <c r="H38" i="55"/>
  <c r="G38" i="55"/>
  <c r="F38" i="55"/>
  <c r="L37" i="55"/>
  <c r="K37" i="55"/>
  <c r="H37" i="55"/>
  <c r="G37" i="55"/>
  <c r="F37" i="55"/>
  <c r="K36" i="55"/>
  <c r="H36" i="55"/>
  <c r="G36" i="55"/>
  <c r="F36" i="55"/>
  <c r="A36" i="55"/>
  <c r="A37" i="55" s="1"/>
  <c r="A38" i="55" s="1"/>
  <c r="A39" i="55" s="1"/>
  <c r="A40" i="55" s="1"/>
  <c r="A41" i="55" s="1"/>
  <c r="A42" i="55" s="1"/>
  <c r="A43" i="55" s="1"/>
  <c r="A44" i="55" s="1"/>
  <c r="A45" i="55" s="1"/>
  <c r="A46" i="55" s="1"/>
  <c r="A47" i="55" s="1"/>
  <c r="A48" i="55" s="1"/>
  <c r="A49" i="55" s="1"/>
  <c r="A50" i="55" s="1"/>
  <c r="A51" i="55" s="1"/>
  <c r="A52" i="55" s="1"/>
  <c r="A53" i="55" s="1"/>
  <c r="A54" i="55" s="1"/>
  <c r="A55" i="55" s="1"/>
  <c r="A56" i="55" s="1"/>
  <c r="A57" i="55" s="1"/>
  <c r="A58" i="55" s="1"/>
  <c r="A59" i="55" s="1"/>
  <c r="A60" i="55" s="1"/>
  <c r="A61" i="55" s="1"/>
  <c r="A62" i="55" s="1"/>
  <c r="A63" i="55" s="1"/>
  <c r="A64" i="55" s="1"/>
  <c r="A65" i="55" s="1"/>
  <c r="L35" i="55"/>
  <c r="K35" i="55"/>
  <c r="H35" i="55"/>
  <c r="H66" i="55" s="1"/>
  <c r="G35" i="55"/>
  <c r="G66" i="55" s="1"/>
  <c r="P66" i="54"/>
  <c r="O66" i="54"/>
  <c r="N66" i="54"/>
  <c r="M66" i="54"/>
  <c r="J66" i="54"/>
  <c r="I66" i="54"/>
  <c r="E66" i="54"/>
  <c r="D66" i="54"/>
  <c r="L66" i="54" s="1"/>
  <c r="C66" i="54"/>
  <c r="B66" i="54"/>
  <c r="L65" i="54"/>
  <c r="K65" i="54"/>
  <c r="H65" i="54"/>
  <c r="G65" i="54"/>
  <c r="F65" i="54"/>
  <c r="L64" i="54"/>
  <c r="K64" i="54"/>
  <c r="H64" i="54"/>
  <c r="G64" i="54"/>
  <c r="F64" i="54"/>
  <c r="L63" i="54"/>
  <c r="K63" i="54"/>
  <c r="H63" i="54"/>
  <c r="G63" i="54"/>
  <c r="F63" i="54"/>
  <c r="L62" i="54"/>
  <c r="K62" i="54"/>
  <c r="H62" i="54"/>
  <c r="G62" i="54"/>
  <c r="F62" i="54"/>
  <c r="L61" i="54"/>
  <c r="K61" i="54"/>
  <c r="H61" i="54"/>
  <c r="G61" i="54"/>
  <c r="F61" i="54"/>
  <c r="L60" i="54"/>
  <c r="K60" i="54"/>
  <c r="H60" i="54"/>
  <c r="G60" i="54"/>
  <c r="F60" i="54"/>
  <c r="L59" i="54"/>
  <c r="K59" i="54"/>
  <c r="H59" i="54"/>
  <c r="G59" i="54"/>
  <c r="F59" i="54"/>
  <c r="L58" i="54"/>
  <c r="K58" i="54"/>
  <c r="H58" i="54"/>
  <c r="G58" i="54"/>
  <c r="F58" i="54"/>
  <c r="L57" i="54"/>
  <c r="K57" i="54"/>
  <c r="H57" i="54"/>
  <c r="G57" i="54"/>
  <c r="F57" i="54"/>
  <c r="L56" i="54"/>
  <c r="K56" i="54"/>
  <c r="H56" i="54"/>
  <c r="G56" i="54"/>
  <c r="F56" i="54"/>
  <c r="L55" i="54"/>
  <c r="K55" i="54"/>
  <c r="H55" i="54"/>
  <c r="G55" i="54"/>
  <c r="F55" i="54"/>
  <c r="L54" i="54"/>
  <c r="K54" i="54"/>
  <c r="H54" i="54"/>
  <c r="G54" i="54"/>
  <c r="F54" i="54"/>
  <c r="L53" i="54"/>
  <c r="K53" i="54"/>
  <c r="H53" i="54"/>
  <c r="G53" i="54"/>
  <c r="F53" i="54"/>
  <c r="L52" i="54"/>
  <c r="K52" i="54"/>
  <c r="H52" i="54"/>
  <c r="G52" i="54"/>
  <c r="F52" i="54"/>
  <c r="L51" i="54"/>
  <c r="K51" i="54"/>
  <c r="H51" i="54"/>
  <c r="G51" i="54"/>
  <c r="F51" i="54"/>
  <c r="L50" i="54"/>
  <c r="K50" i="54"/>
  <c r="H50" i="54"/>
  <c r="G50" i="54"/>
  <c r="F50" i="54"/>
  <c r="L49" i="54"/>
  <c r="K49" i="54"/>
  <c r="H49" i="54"/>
  <c r="G49" i="54"/>
  <c r="F49" i="54"/>
  <c r="L48" i="54"/>
  <c r="K48" i="54"/>
  <c r="H48" i="54"/>
  <c r="G48" i="54"/>
  <c r="F48" i="54"/>
  <c r="L47" i="54"/>
  <c r="K47" i="54"/>
  <c r="H47" i="54"/>
  <c r="G47" i="54"/>
  <c r="F47" i="54"/>
  <c r="L46" i="54"/>
  <c r="K46" i="54"/>
  <c r="H46" i="54"/>
  <c r="G46" i="54"/>
  <c r="F46" i="54"/>
  <c r="L45" i="54"/>
  <c r="K45" i="54"/>
  <c r="H45" i="54"/>
  <c r="G45" i="54"/>
  <c r="F45" i="54"/>
  <c r="L44" i="54"/>
  <c r="K44" i="54"/>
  <c r="H44" i="54"/>
  <c r="G44" i="54"/>
  <c r="F44" i="54"/>
  <c r="L43" i="54"/>
  <c r="K43" i="54"/>
  <c r="H43" i="54"/>
  <c r="G43" i="54"/>
  <c r="F43" i="54"/>
  <c r="L42" i="54"/>
  <c r="K42" i="54"/>
  <c r="H42" i="54"/>
  <c r="G42" i="54"/>
  <c r="F42" i="54"/>
  <c r="L41" i="54"/>
  <c r="K41" i="54"/>
  <c r="H41" i="54"/>
  <c r="G41" i="54"/>
  <c r="F41" i="54"/>
  <c r="L40" i="54"/>
  <c r="K40" i="54"/>
  <c r="H40" i="54"/>
  <c r="G40" i="54"/>
  <c r="F40" i="54"/>
  <c r="L39" i="54"/>
  <c r="K39" i="54"/>
  <c r="H39" i="54"/>
  <c r="G39" i="54"/>
  <c r="F39" i="54"/>
  <c r="L38" i="54"/>
  <c r="K38" i="54"/>
  <c r="H38" i="54"/>
  <c r="G38" i="54"/>
  <c r="F38" i="54"/>
  <c r="L37" i="54"/>
  <c r="K37" i="54"/>
  <c r="H37" i="54"/>
  <c r="G37" i="54"/>
  <c r="F37" i="54"/>
  <c r="L36" i="54"/>
  <c r="K36" i="54"/>
  <c r="H36" i="54"/>
  <c r="G36" i="54"/>
  <c r="F36" i="54"/>
  <c r="A36" i="54"/>
  <c r="A37" i="54" s="1"/>
  <c r="A38" i="54" s="1"/>
  <c r="A39" i="54" s="1"/>
  <c r="A40" i="54" s="1"/>
  <c r="A41" i="54" s="1"/>
  <c r="A42" i="54" s="1"/>
  <c r="A43" i="54" s="1"/>
  <c r="A44" i="54" s="1"/>
  <c r="A45" i="54" s="1"/>
  <c r="A46" i="54" s="1"/>
  <c r="A47" i="54" s="1"/>
  <c r="A48" i="54" s="1"/>
  <c r="A49" i="54" s="1"/>
  <c r="A50" i="54" s="1"/>
  <c r="A51" i="54" s="1"/>
  <c r="A52" i="54" s="1"/>
  <c r="A53" i="54" s="1"/>
  <c r="A54" i="54" s="1"/>
  <c r="A55" i="54" s="1"/>
  <c r="A56" i="54" s="1"/>
  <c r="A57" i="54" s="1"/>
  <c r="A58" i="54" s="1"/>
  <c r="A59" i="54" s="1"/>
  <c r="A60" i="54" s="1"/>
  <c r="A61" i="54" s="1"/>
  <c r="A62" i="54" s="1"/>
  <c r="A63" i="54" s="1"/>
  <c r="A64" i="54" s="1"/>
  <c r="A65" i="54" s="1"/>
  <c r="L35" i="54"/>
  <c r="K35" i="54"/>
  <c r="H35" i="54"/>
  <c r="H66" i="54" s="1"/>
  <c r="G35" i="54"/>
  <c r="G66" i="54" s="1"/>
  <c r="F35" i="54"/>
  <c r="P66" i="53"/>
  <c r="O66" i="53"/>
  <c r="N66" i="53"/>
  <c r="M66" i="53"/>
  <c r="J66" i="53"/>
  <c r="I66" i="53"/>
  <c r="E66" i="53"/>
  <c r="D66" i="53"/>
  <c r="L66" i="53" s="1"/>
  <c r="C66" i="53"/>
  <c r="B66" i="53"/>
  <c r="L65" i="53"/>
  <c r="K65" i="53"/>
  <c r="H65" i="53"/>
  <c r="G65" i="53"/>
  <c r="F65" i="53"/>
  <c r="L64" i="53"/>
  <c r="K64" i="53"/>
  <c r="H64" i="53"/>
  <c r="G64" i="53"/>
  <c r="F64" i="53"/>
  <c r="L63" i="53"/>
  <c r="K63" i="53"/>
  <c r="H63" i="53"/>
  <c r="G63" i="53"/>
  <c r="F63" i="53"/>
  <c r="L62" i="53"/>
  <c r="K62" i="53"/>
  <c r="H62" i="53"/>
  <c r="G62" i="53"/>
  <c r="F62" i="53"/>
  <c r="L61" i="53"/>
  <c r="K61" i="53"/>
  <c r="H61" i="53"/>
  <c r="G61" i="53"/>
  <c r="F61" i="53"/>
  <c r="L60" i="53"/>
  <c r="K60" i="53"/>
  <c r="H60" i="53"/>
  <c r="G60" i="53"/>
  <c r="F60" i="53"/>
  <c r="L59" i="53"/>
  <c r="K59" i="53"/>
  <c r="H59" i="53"/>
  <c r="G59" i="53"/>
  <c r="F59" i="53"/>
  <c r="L58" i="53"/>
  <c r="K58" i="53"/>
  <c r="H58" i="53"/>
  <c r="G58" i="53"/>
  <c r="F58" i="53"/>
  <c r="L57" i="53"/>
  <c r="K57" i="53"/>
  <c r="H57" i="53"/>
  <c r="G57" i="53"/>
  <c r="F57" i="53"/>
  <c r="L56" i="53"/>
  <c r="K56" i="53"/>
  <c r="H56" i="53"/>
  <c r="G56" i="53"/>
  <c r="F56" i="53"/>
  <c r="L55" i="53"/>
  <c r="K55" i="53"/>
  <c r="H55" i="53"/>
  <c r="G55" i="53"/>
  <c r="F55" i="53"/>
  <c r="L54" i="53"/>
  <c r="K54" i="53"/>
  <c r="H54" i="53"/>
  <c r="G54" i="53"/>
  <c r="F54" i="53"/>
  <c r="L53" i="53"/>
  <c r="K53" i="53"/>
  <c r="H53" i="53"/>
  <c r="G53" i="53"/>
  <c r="F53" i="53"/>
  <c r="L52" i="53"/>
  <c r="K52" i="53"/>
  <c r="H52" i="53"/>
  <c r="G52" i="53"/>
  <c r="F52" i="53"/>
  <c r="L51" i="53"/>
  <c r="K51" i="53"/>
  <c r="H51" i="53"/>
  <c r="G51" i="53"/>
  <c r="F51" i="53"/>
  <c r="L50" i="53"/>
  <c r="K50" i="53"/>
  <c r="H50" i="53"/>
  <c r="G50" i="53"/>
  <c r="F50" i="53"/>
  <c r="L49" i="53"/>
  <c r="K49" i="53"/>
  <c r="H49" i="53"/>
  <c r="G49" i="53"/>
  <c r="F49" i="53"/>
  <c r="L48" i="53"/>
  <c r="K48" i="53"/>
  <c r="H48" i="53"/>
  <c r="G48" i="53"/>
  <c r="F48" i="53"/>
  <c r="L47" i="53"/>
  <c r="K47" i="53"/>
  <c r="H47" i="53"/>
  <c r="G47" i="53"/>
  <c r="F47" i="53"/>
  <c r="L46" i="53"/>
  <c r="K46" i="53"/>
  <c r="H46" i="53"/>
  <c r="G46" i="53"/>
  <c r="F46" i="53"/>
  <c r="L45" i="53"/>
  <c r="K45" i="53"/>
  <c r="H45" i="53"/>
  <c r="G45" i="53"/>
  <c r="F45" i="53"/>
  <c r="L44" i="53"/>
  <c r="K44" i="53"/>
  <c r="H44" i="53"/>
  <c r="G44" i="53"/>
  <c r="F44" i="53"/>
  <c r="L43" i="53"/>
  <c r="K43" i="53"/>
  <c r="H43" i="53"/>
  <c r="G43" i="53"/>
  <c r="F43" i="53"/>
  <c r="L42" i="53"/>
  <c r="K42" i="53"/>
  <c r="H42" i="53"/>
  <c r="G42" i="53"/>
  <c r="F42" i="53"/>
  <c r="L41" i="53"/>
  <c r="K41" i="53"/>
  <c r="H41" i="53"/>
  <c r="G41" i="53"/>
  <c r="F41" i="53"/>
  <c r="L40" i="53"/>
  <c r="K40" i="53"/>
  <c r="H40" i="53"/>
  <c r="G40" i="53"/>
  <c r="F40" i="53"/>
  <c r="L39" i="53"/>
  <c r="K39" i="53"/>
  <c r="H39" i="53"/>
  <c r="G39" i="53"/>
  <c r="F39" i="53"/>
  <c r="L38" i="53"/>
  <c r="K38" i="53"/>
  <c r="H38" i="53"/>
  <c r="G38" i="53"/>
  <c r="F38" i="53"/>
  <c r="L37" i="53"/>
  <c r="K37" i="53"/>
  <c r="H37" i="53"/>
  <c r="G37" i="53"/>
  <c r="F37" i="53"/>
  <c r="L36" i="53"/>
  <c r="K36" i="53"/>
  <c r="H36" i="53"/>
  <c r="G36" i="53"/>
  <c r="F36" i="53"/>
  <c r="A36" i="53"/>
  <c r="A37" i="53" s="1"/>
  <c r="A38" i="53" s="1"/>
  <c r="A39" i="53" s="1"/>
  <c r="A40" i="53" s="1"/>
  <c r="A41" i="53" s="1"/>
  <c r="A42" i="53" s="1"/>
  <c r="A43" i="53" s="1"/>
  <c r="A44" i="53" s="1"/>
  <c r="A45" i="53" s="1"/>
  <c r="A46" i="53" s="1"/>
  <c r="A47" i="53" s="1"/>
  <c r="A48" i="53" s="1"/>
  <c r="A49" i="53" s="1"/>
  <c r="A50" i="53" s="1"/>
  <c r="A51" i="53" s="1"/>
  <c r="A52" i="53" s="1"/>
  <c r="A53" i="53" s="1"/>
  <c r="A54" i="53" s="1"/>
  <c r="A55" i="53" s="1"/>
  <c r="A56" i="53" s="1"/>
  <c r="A57" i="53" s="1"/>
  <c r="A58" i="53" s="1"/>
  <c r="A59" i="53" s="1"/>
  <c r="A60" i="53" s="1"/>
  <c r="A61" i="53" s="1"/>
  <c r="A62" i="53" s="1"/>
  <c r="A63" i="53" s="1"/>
  <c r="A64" i="53" s="1"/>
  <c r="A65" i="53" s="1"/>
  <c r="L35" i="53"/>
  <c r="K35" i="53"/>
  <c r="H35" i="53"/>
  <c r="H66" i="53" s="1"/>
  <c r="G35" i="53"/>
  <c r="G66" i="53" s="1"/>
  <c r="F35" i="53"/>
  <c r="P66" i="52"/>
  <c r="O66" i="52"/>
  <c r="N66" i="52"/>
  <c r="M66" i="52"/>
  <c r="J66" i="52"/>
  <c r="I66" i="52"/>
  <c r="E66" i="52"/>
  <c r="D66" i="52"/>
  <c r="L66" i="52" s="1"/>
  <c r="C66" i="52"/>
  <c r="B66" i="52"/>
  <c r="L65" i="52"/>
  <c r="K65" i="52"/>
  <c r="H65" i="52"/>
  <c r="G65" i="52"/>
  <c r="F65" i="52"/>
  <c r="L64" i="52"/>
  <c r="K64" i="52"/>
  <c r="H64" i="52"/>
  <c r="G64" i="52"/>
  <c r="F64" i="52"/>
  <c r="L63" i="52"/>
  <c r="K63" i="52"/>
  <c r="H63" i="52"/>
  <c r="G63" i="52"/>
  <c r="F63" i="52"/>
  <c r="L62" i="52"/>
  <c r="K62" i="52"/>
  <c r="H62" i="52"/>
  <c r="G62" i="52"/>
  <c r="F62" i="52"/>
  <c r="L61" i="52"/>
  <c r="K61" i="52"/>
  <c r="H61" i="52"/>
  <c r="G61" i="52"/>
  <c r="F61" i="52"/>
  <c r="L60" i="52"/>
  <c r="K60" i="52"/>
  <c r="H60" i="52"/>
  <c r="G60" i="52"/>
  <c r="F60" i="52"/>
  <c r="L59" i="52"/>
  <c r="K59" i="52"/>
  <c r="H59" i="52"/>
  <c r="G59" i="52"/>
  <c r="F59" i="52"/>
  <c r="L58" i="52"/>
  <c r="K58" i="52"/>
  <c r="H58" i="52"/>
  <c r="G58" i="52"/>
  <c r="F58" i="52"/>
  <c r="L57" i="52"/>
  <c r="K57" i="52"/>
  <c r="H57" i="52"/>
  <c r="G57" i="52"/>
  <c r="F57" i="52"/>
  <c r="L56" i="52"/>
  <c r="K56" i="52"/>
  <c r="H56" i="52"/>
  <c r="G56" i="52"/>
  <c r="F56" i="52"/>
  <c r="L55" i="52"/>
  <c r="K55" i="52"/>
  <c r="H55" i="52"/>
  <c r="G55" i="52"/>
  <c r="F55" i="52"/>
  <c r="L54" i="52"/>
  <c r="K54" i="52"/>
  <c r="H54" i="52"/>
  <c r="G54" i="52"/>
  <c r="F54" i="52"/>
  <c r="L53" i="52"/>
  <c r="K53" i="52"/>
  <c r="H53" i="52"/>
  <c r="G53" i="52"/>
  <c r="F53" i="52"/>
  <c r="L52" i="52"/>
  <c r="K52" i="52"/>
  <c r="H52" i="52"/>
  <c r="G52" i="52"/>
  <c r="F52" i="52"/>
  <c r="L51" i="52"/>
  <c r="K51" i="52"/>
  <c r="H51" i="52"/>
  <c r="G51" i="52"/>
  <c r="F51" i="52"/>
  <c r="L50" i="52"/>
  <c r="K50" i="52"/>
  <c r="H50" i="52"/>
  <c r="G50" i="52"/>
  <c r="F50" i="52"/>
  <c r="L49" i="52"/>
  <c r="K49" i="52"/>
  <c r="H49" i="52"/>
  <c r="G49" i="52"/>
  <c r="F49" i="52"/>
  <c r="L48" i="52"/>
  <c r="K48" i="52"/>
  <c r="H48" i="52"/>
  <c r="G48" i="52"/>
  <c r="F48" i="52"/>
  <c r="L47" i="52"/>
  <c r="K47" i="52"/>
  <c r="H47" i="52"/>
  <c r="G47" i="52"/>
  <c r="F47" i="52"/>
  <c r="L46" i="52"/>
  <c r="K46" i="52"/>
  <c r="H46" i="52"/>
  <c r="G46" i="52"/>
  <c r="F46" i="52"/>
  <c r="L45" i="52"/>
  <c r="K45" i="52"/>
  <c r="H45" i="52"/>
  <c r="G45" i="52"/>
  <c r="F45" i="52"/>
  <c r="L44" i="52"/>
  <c r="K44" i="52"/>
  <c r="H44" i="52"/>
  <c r="G44" i="52"/>
  <c r="F44" i="52"/>
  <c r="L43" i="52"/>
  <c r="K43" i="52"/>
  <c r="H43" i="52"/>
  <c r="G43" i="52"/>
  <c r="F43" i="52"/>
  <c r="L42" i="52"/>
  <c r="K42" i="52"/>
  <c r="H42" i="52"/>
  <c r="G42" i="52"/>
  <c r="F42" i="52"/>
  <c r="L41" i="52"/>
  <c r="K41" i="52"/>
  <c r="H41" i="52"/>
  <c r="G41" i="52"/>
  <c r="F41" i="52"/>
  <c r="L40" i="52"/>
  <c r="K40" i="52"/>
  <c r="H40" i="52"/>
  <c r="G40" i="52"/>
  <c r="F40" i="52"/>
  <c r="L39" i="52"/>
  <c r="K39" i="52"/>
  <c r="H39" i="52"/>
  <c r="G39" i="52"/>
  <c r="F39" i="52"/>
  <c r="L38" i="52"/>
  <c r="K38" i="52"/>
  <c r="H38" i="52"/>
  <c r="G38" i="52"/>
  <c r="F38" i="52"/>
  <c r="L37" i="52"/>
  <c r="K37" i="52"/>
  <c r="H37" i="52"/>
  <c r="G37" i="52"/>
  <c r="F37" i="52"/>
  <c r="L36" i="52"/>
  <c r="K36" i="52"/>
  <c r="H36" i="52"/>
  <c r="G36" i="52"/>
  <c r="F36" i="52"/>
  <c r="A36" i="52"/>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L35" i="52"/>
  <c r="K35" i="52"/>
  <c r="H35" i="52"/>
  <c r="H66" i="52" s="1"/>
  <c r="G35" i="52"/>
  <c r="G66" i="52" s="1"/>
  <c r="F35" i="52"/>
  <c r="P66" i="51"/>
  <c r="O66" i="51"/>
  <c r="N66" i="51"/>
  <c r="M66" i="51"/>
  <c r="J66" i="51"/>
  <c r="I66" i="51"/>
  <c r="E66" i="51"/>
  <c r="D66" i="51"/>
  <c r="L66" i="51" s="1"/>
  <c r="C66" i="51"/>
  <c r="B66" i="51"/>
  <c r="L65" i="51"/>
  <c r="K65" i="51"/>
  <c r="H65" i="51"/>
  <c r="G65" i="51"/>
  <c r="F65" i="51"/>
  <c r="L64" i="51"/>
  <c r="K64" i="51"/>
  <c r="H64" i="51"/>
  <c r="G64" i="51"/>
  <c r="F64" i="51"/>
  <c r="L63" i="51"/>
  <c r="K63" i="51"/>
  <c r="H63" i="51"/>
  <c r="G63" i="51"/>
  <c r="F63" i="51"/>
  <c r="L62" i="51"/>
  <c r="K62" i="51"/>
  <c r="H62" i="51"/>
  <c r="G62" i="51"/>
  <c r="F62" i="51"/>
  <c r="L61" i="51"/>
  <c r="K61" i="51"/>
  <c r="H61" i="51"/>
  <c r="G61" i="51"/>
  <c r="F61" i="51"/>
  <c r="L60" i="51"/>
  <c r="K60" i="51"/>
  <c r="H60" i="51"/>
  <c r="G60" i="51"/>
  <c r="F60" i="51"/>
  <c r="L59" i="51"/>
  <c r="K59" i="51"/>
  <c r="H59" i="51"/>
  <c r="G59" i="51"/>
  <c r="F59" i="51"/>
  <c r="L58" i="51"/>
  <c r="K58" i="51"/>
  <c r="H58" i="51"/>
  <c r="G58" i="51"/>
  <c r="F58" i="51"/>
  <c r="L57" i="51"/>
  <c r="K57" i="51"/>
  <c r="H57" i="51"/>
  <c r="G57" i="51"/>
  <c r="F57" i="51"/>
  <c r="L56" i="51"/>
  <c r="K56" i="51"/>
  <c r="H56" i="51"/>
  <c r="G56" i="51"/>
  <c r="F56" i="51"/>
  <c r="L55" i="51"/>
  <c r="K55" i="51"/>
  <c r="H55" i="51"/>
  <c r="G55" i="51"/>
  <c r="F55" i="51"/>
  <c r="L54" i="51"/>
  <c r="K54" i="51"/>
  <c r="H54" i="51"/>
  <c r="G54" i="51"/>
  <c r="F54" i="51"/>
  <c r="L53" i="51"/>
  <c r="K53" i="51"/>
  <c r="H53" i="51"/>
  <c r="G53" i="51"/>
  <c r="F53" i="51"/>
  <c r="L52" i="51"/>
  <c r="K52" i="51"/>
  <c r="H52" i="51"/>
  <c r="G52" i="51"/>
  <c r="F52" i="51"/>
  <c r="L51" i="51"/>
  <c r="K51" i="51"/>
  <c r="H51" i="51"/>
  <c r="G51" i="51"/>
  <c r="F51" i="51"/>
  <c r="L50" i="51"/>
  <c r="K50" i="51"/>
  <c r="H50" i="51"/>
  <c r="G50" i="51"/>
  <c r="F50" i="51"/>
  <c r="L49" i="51"/>
  <c r="K49" i="51"/>
  <c r="H49" i="51"/>
  <c r="G49" i="51"/>
  <c r="F49" i="51"/>
  <c r="L48" i="51"/>
  <c r="K48" i="51"/>
  <c r="H48" i="51"/>
  <c r="G48" i="51"/>
  <c r="F48" i="51"/>
  <c r="L47" i="51"/>
  <c r="K47" i="51"/>
  <c r="H47" i="51"/>
  <c r="G47" i="51"/>
  <c r="F47" i="51"/>
  <c r="L46" i="51"/>
  <c r="K46" i="51"/>
  <c r="H46" i="51"/>
  <c r="G46" i="51"/>
  <c r="F46" i="51"/>
  <c r="L45" i="51"/>
  <c r="K45" i="51"/>
  <c r="H45" i="51"/>
  <c r="G45" i="51"/>
  <c r="F45" i="51"/>
  <c r="L44" i="51"/>
  <c r="K44" i="51"/>
  <c r="H44" i="51"/>
  <c r="G44" i="51"/>
  <c r="F44" i="51"/>
  <c r="L43" i="51"/>
  <c r="K43" i="51"/>
  <c r="H43" i="51"/>
  <c r="G43" i="51"/>
  <c r="F43" i="51"/>
  <c r="L42" i="51"/>
  <c r="K42" i="51"/>
  <c r="H42" i="51"/>
  <c r="G42" i="51"/>
  <c r="F42" i="51"/>
  <c r="L41" i="51"/>
  <c r="K41" i="51"/>
  <c r="H41" i="51"/>
  <c r="G41" i="51"/>
  <c r="F41" i="51"/>
  <c r="L40" i="51"/>
  <c r="K40" i="51"/>
  <c r="H40" i="51"/>
  <c r="G40" i="51"/>
  <c r="F40" i="51"/>
  <c r="L39" i="51"/>
  <c r="K39" i="51"/>
  <c r="H39" i="51"/>
  <c r="G39" i="51"/>
  <c r="F39" i="51"/>
  <c r="L38" i="51"/>
  <c r="K38" i="51"/>
  <c r="H38" i="51"/>
  <c r="G38" i="51"/>
  <c r="F38" i="51"/>
  <c r="L37" i="51"/>
  <c r="K37" i="51"/>
  <c r="H37" i="51"/>
  <c r="G37" i="51"/>
  <c r="F37" i="51"/>
  <c r="L36" i="51"/>
  <c r="K36" i="51"/>
  <c r="H36" i="51"/>
  <c r="G36" i="51"/>
  <c r="F36" i="51"/>
  <c r="A36" i="51"/>
  <c r="A37" i="51" s="1"/>
  <c r="A38" i="51" s="1"/>
  <c r="A39" i="51" s="1"/>
  <c r="A40" i="51" s="1"/>
  <c r="A41" i="51" s="1"/>
  <c r="A42" i="51" s="1"/>
  <c r="A43" i="51" s="1"/>
  <c r="A44" i="51" s="1"/>
  <c r="A45" i="51" s="1"/>
  <c r="A46" i="51" s="1"/>
  <c r="A47" i="51" s="1"/>
  <c r="A48" i="51" s="1"/>
  <c r="A49" i="51" s="1"/>
  <c r="A50" i="51" s="1"/>
  <c r="A51" i="51" s="1"/>
  <c r="A52" i="51" s="1"/>
  <c r="A53" i="51" s="1"/>
  <c r="A54" i="51" s="1"/>
  <c r="A55" i="51" s="1"/>
  <c r="A56" i="51" s="1"/>
  <c r="A57" i="51" s="1"/>
  <c r="A58" i="51" s="1"/>
  <c r="A59" i="51" s="1"/>
  <c r="A60" i="51" s="1"/>
  <c r="A61" i="51" s="1"/>
  <c r="A62" i="51" s="1"/>
  <c r="A63" i="51" s="1"/>
  <c r="A64" i="51" s="1"/>
  <c r="A65" i="51" s="1"/>
  <c r="L35" i="51"/>
  <c r="K35" i="51"/>
  <c r="H35" i="51"/>
  <c r="H66" i="51" s="1"/>
  <c r="G35" i="51"/>
  <c r="G66" i="51" s="1"/>
  <c r="F35" i="51"/>
  <c r="P66" i="50"/>
  <c r="O66" i="50"/>
  <c r="N66" i="50"/>
  <c r="M66" i="50"/>
  <c r="J66" i="50"/>
  <c r="I66" i="50"/>
  <c r="E66" i="50"/>
  <c r="D66" i="50"/>
  <c r="L66" i="50" s="1"/>
  <c r="C66" i="50"/>
  <c r="B66" i="50"/>
  <c r="L65" i="50"/>
  <c r="K65" i="50"/>
  <c r="H65" i="50"/>
  <c r="G65" i="50"/>
  <c r="F65" i="50"/>
  <c r="L64" i="50"/>
  <c r="K64" i="50"/>
  <c r="H64" i="50"/>
  <c r="G64" i="50"/>
  <c r="F64" i="50"/>
  <c r="L63" i="50"/>
  <c r="K63" i="50"/>
  <c r="H63" i="50"/>
  <c r="G63" i="50"/>
  <c r="F63" i="50"/>
  <c r="L62" i="50"/>
  <c r="K62" i="50"/>
  <c r="H62" i="50"/>
  <c r="G62" i="50"/>
  <c r="F62" i="50"/>
  <c r="L61" i="50"/>
  <c r="K61" i="50"/>
  <c r="H61" i="50"/>
  <c r="G61" i="50"/>
  <c r="F61" i="50"/>
  <c r="L60" i="50"/>
  <c r="K60" i="50"/>
  <c r="H60" i="50"/>
  <c r="G60" i="50"/>
  <c r="F60" i="50"/>
  <c r="L59" i="50"/>
  <c r="K59" i="50"/>
  <c r="H59" i="50"/>
  <c r="G59" i="50"/>
  <c r="F59" i="50"/>
  <c r="L58" i="50"/>
  <c r="K58" i="50"/>
  <c r="H58" i="50"/>
  <c r="G58" i="50"/>
  <c r="F58" i="50"/>
  <c r="L57" i="50"/>
  <c r="K57" i="50"/>
  <c r="H57" i="50"/>
  <c r="G57" i="50"/>
  <c r="F57" i="50"/>
  <c r="L56" i="50"/>
  <c r="K56" i="50"/>
  <c r="H56" i="50"/>
  <c r="G56" i="50"/>
  <c r="F56" i="50"/>
  <c r="L55" i="50"/>
  <c r="K55" i="50"/>
  <c r="H55" i="50"/>
  <c r="G55" i="50"/>
  <c r="F55" i="50"/>
  <c r="L54" i="50"/>
  <c r="K54" i="50"/>
  <c r="H54" i="50"/>
  <c r="G54" i="50"/>
  <c r="F54" i="50"/>
  <c r="L53" i="50"/>
  <c r="K53" i="50"/>
  <c r="H53" i="50"/>
  <c r="G53" i="50"/>
  <c r="F53" i="50"/>
  <c r="L52" i="50"/>
  <c r="K52" i="50"/>
  <c r="H52" i="50"/>
  <c r="G52" i="50"/>
  <c r="F52" i="50"/>
  <c r="L51" i="50"/>
  <c r="K51" i="50"/>
  <c r="H51" i="50"/>
  <c r="G51" i="50"/>
  <c r="F51" i="50"/>
  <c r="L50" i="50"/>
  <c r="K50" i="50"/>
  <c r="H50" i="50"/>
  <c r="G50" i="50"/>
  <c r="F50" i="50"/>
  <c r="L49" i="50"/>
  <c r="K49" i="50"/>
  <c r="H49" i="50"/>
  <c r="G49" i="50"/>
  <c r="F49" i="50"/>
  <c r="L48" i="50"/>
  <c r="K48" i="50"/>
  <c r="H48" i="50"/>
  <c r="G48" i="50"/>
  <c r="F48" i="50"/>
  <c r="L47" i="50"/>
  <c r="K47" i="50"/>
  <c r="H47" i="50"/>
  <c r="G47" i="50"/>
  <c r="F47" i="50"/>
  <c r="L46" i="50"/>
  <c r="K46" i="50"/>
  <c r="H46" i="50"/>
  <c r="G46" i="50"/>
  <c r="F46" i="50"/>
  <c r="L45" i="50"/>
  <c r="K45" i="50"/>
  <c r="H45" i="50"/>
  <c r="G45" i="50"/>
  <c r="F45" i="50"/>
  <c r="L44" i="50"/>
  <c r="K44" i="50"/>
  <c r="H44" i="50"/>
  <c r="G44" i="50"/>
  <c r="F44" i="50"/>
  <c r="L43" i="50"/>
  <c r="K43" i="50"/>
  <c r="H43" i="50"/>
  <c r="G43" i="50"/>
  <c r="F43" i="50"/>
  <c r="L42" i="50"/>
  <c r="K42" i="50"/>
  <c r="H42" i="50"/>
  <c r="G42" i="50"/>
  <c r="F42" i="50"/>
  <c r="L41" i="50"/>
  <c r="K41" i="50"/>
  <c r="H41" i="50"/>
  <c r="G41" i="50"/>
  <c r="F41" i="50"/>
  <c r="L40" i="50"/>
  <c r="K40" i="50"/>
  <c r="H40" i="50"/>
  <c r="G40" i="50"/>
  <c r="F40" i="50"/>
  <c r="L39" i="50"/>
  <c r="K39" i="50"/>
  <c r="H39" i="50"/>
  <c r="G39" i="50"/>
  <c r="F39" i="50"/>
  <c r="L38" i="50"/>
  <c r="K38" i="50"/>
  <c r="H38" i="50"/>
  <c r="G38" i="50"/>
  <c r="F38" i="50"/>
  <c r="L37" i="50"/>
  <c r="K37" i="50"/>
  <c r="H37" i="50"/>
  <c r="G37" i="50"/>
  <c r="F37" i="50"/>
  <c r="L36" i="50"/>
  <c r="K36" i="50"/>
  <c r="H36" i="50"/>
  <c r="G36" i="50"/>
  <c r="F36" i="50"/>
  <c r="A36" i="50"/>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L35" i="50"/>
  <c r="K35" i="50"/>
  <c r="H35" i="50"/>
  <c r="H66" i="50" s="1"/>
  <c r="G35" i="50"/>
  <c r="G66" i="50" s="1"/>
  <c r="F35" i="50"/>
  <c r="P66" i="49"/>
  <c r="O66" i="49"/>
  <c r="N66" i="49"/>
  <c r="M66" i="49"/>
  <c r="J66" i="49"/>
  <c r="I66" i="49"/>
  <c r="E66" i="49"/>
  <c r="D66" i="49"/>
  <c r="L66" i="49" s="1"/>
  <c r="C66" i="49"/>
  <c r="B66" i="49"/>
  <c r="L65" i="49"/>
  <c r="K65" i="49"/>
  <c r="H65" i="49"/>
  <c r="G65" i="49"/>
  <c r="F65" i="49"/>
  <c r="L64" i="49"/>
  <c r="K64" i="49"/>
  <c r="H64" i="49"/>
  <c r="G64" i="49"/>
  <c r="F64" i="49"/>
  <c r="L63" i="49"/>
  <c r="K63" i="49"/>
  <c r="H63" i="49"/>
  <c r="G63" i="49"/>
  <c r="F63" i="49"/>
  <c r="L62" i="49"/>
  <c r="K62" i="49"/>
  <c r="H62" i="49"/>
  <c r="G62" i="49"/>
  <c r="F62" i="49"/>
  <c r="L61" i="49"/>
  <c r="K61" i="49"/>
  <c r="H61" i="49"/>
  <c r="G61" i="49"/>
  <c r="F61" i="49"/>
  <c r="L60" i="49"/>
  <c r="K60" i="49"/>
  <c r="H60" i="49"/>
  <c r="G60" i="49"/>
  <c r="F60" i="49"/>
  <c r="L59" i="49"/>
  <c r="K59" i="49"/>
  <c r="H59" i="49"/>
  <c r="G59" i="49"/>
  <c r="F59" i="49"/>
  <c r="L58" i="49"/>
  <c r="K58" i="49"/>
  <c r="H58" i="49"/>
  <c r="G58" i="49"/>
  <c r="F58" i="49"/>
  <c r="L57" i="49"/>
  <c r="K57" i="49"/>
  <c r="H57" i="49"/>
  <c r="G57" i="49"/>
  <c r="F57" i="49"/>
  <c r="L56" i="49"/>
  <c r="K56" i="49"/>
  <c r="H56" i="49"/>
  <c r="G56" i="49"/>
  <c r="F56" i="49"/>
  <c r="L55" i="49"/>
  <c r="K55" i="49"/>
  <c r="H55" i="49"/>
  <c r="G55" i="49"/>
  <c r="F55" i="49"/>
  <c r="L54" i="49"/>
  <c r="K54" i="49"/>
  <c r="H54" i="49"/>
  <c r="G54" i="49"/>
  <c r="F54" i="49"/>
  <c r="L53" i="49"/>
  <c r="K53" i="49"/>
  <c r="H53" i="49"/>
  <c r="G53" i="49"/>
  <c r="F53" i="49"/>
  <c r="L52" i="49"/>
  <c r="K52" i="49"/>
  <c r="H52" i="49"/>
  <c r="G52" i="49"/>
  <c r="F52" i="49"/>
  <c r="L51" i="49"/>
  <c r="K51" i="49"/>
  <c r="H51" i="49"/>
  <c r="G51" i="49"/>
  <c r="F51" i="49"/>
  <c r="L50" i="49"/>
  <c r="K50" i="49"/>
  <c r="H50" i="49"/>
  <c r="G50" i="49"/>
  <c r="F50" i="49"/>
  <c r="L49" i="49"/>
  <c r="K49" i="49"/>
  <c r="H49" i="49"/>
  <c r="G49" i="49"/>
  <c r="F49" i="49"/>
  <c r="L48" i="49"/>
  <c r="K48" i="49"/>
  <c r="H48" i="49"/>
  <c r="G48" i="49"/>
  <c r="F48" i="49"/>
  <c r="L47" i="49"/>
  <c r="K47" i="49"/>
  <c r="H47" i="49"/>
  <c r="G47" i="49"/>
  <c r="F47" i="49"/>
  <c r="L46" i="49"/>
  <c r="K46" i="49"/>
  <c r="H46" i="49"/>
  <c r="G46" i="49"/>
  <c r="F46" i="49"/>
  <c r="L45" i="49"/>
  <c r="K45" i="49"/>
  <c r="H45" i="49"/>
  <c r="G45" i="49"/>
  <c r="F45" i="49"/>
  <c r="L44" i="49"/>
  <c r="K44" i="49"/>
  <c r="H44" i="49"/>
  <c r="G44" i="49"/>
  <c r="F44" i="49"/>
  <c r="L43" i="49"/>
  <c r="K43" i="49"/>
  <c r="H43" i="49"/>
  <c r="G43" i="49"/>
  <c r="F43" i="49"/>
  <c r="L42" i="49"/>
  <c r="K42" i="49"/>
  <c r="H42" i="49"/>
  <c r="G42" i="49"/>
  <c r="F42" i="49"/>
  <c r="L41" i="49"/>
  <c r="K41" i="49"/>
  <c r="H41" i="49"/>
  <c r="G41" i="49"/>
  <c r="F41" i="49"/>
  <c r="L40" i="49"/>
  <c r="K40" i="49"/>
  <c r="H40" i="49"/>
  <c r="G40" i="49"/>
  <c r="F40" i="49"/>
  <c r="L39" i="49"/>
  <c r="K39" i="49"/>
  <c r="H39" i="49"/>
  <c r="G39" i="49"/>
  <c r="F39" i="49"/>
  <c r="L38" i="49"/>
  <c r="K38" i="49"/>
  <c r="H38" i="49"/>
  <c r="G38" i="49"/>
  <c r="F38" i="49"/>
  <c r="L37" i="49"/>
  <c r="K37" i="49"/>
  <c r="H37" i="49"/>
  <c r="G37" i="49"/>
  <c r="F37" i="49"/>
  <c r="L36" i="49"/>
  <c r="K36" i="49"/>
  <c r="H36" i="49"/>
  <c r="G36" i="49"/>
  <c r="F36" i="49"/>
  <c r="A36" i="49"/>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A57" i="49" s="1"/>
  <c r="A58" i="49" s="1"/>
  <c r="A59" i="49" s="1"/>
  <c r="A60" i="49" s="1"/>
  <c r="A61" i="49" s="1"/>
  <c r="A62" i="49" s="1"/>
  <c r="A63" i="49" s="1"/>
  <c r="A64" i="49" s="1"/>
  <c r="A65" i="49" s="1"/>
  <c r="L35" i="49"/>
  <c r="K35" i="49"/>
  <c r="H35" i="49"/>
  <c r="H66" i="49" s="1"/>
  <c r="G35" i="49"/>
  <c r="G66" i="49" s="1"/>
  <c r="F35" i="49"/>
  <c r="B66" i="19"/>
  <c r="P66" i="19"/>
  <c r="O66" i="19"/>
  <c r="N66" i="19"/>
  <c r="M66" i="19"/>
  <c r="J66" i="19"/>
  <c r="I66" i="19"/>
  <c r="E66" i="19"/>
  <c r="D66" i="19"/>
  <c r="L66" i="19" s="1"/>
  <c r="C66" i="19"/>
  <c r="L65" i="19"/>
  <c r="K65" i="19"/>
  <c r="H65" i="19"/>
  <c r="G65" i="19"/>
  <c r="F65" i="19"/>
  <c r="L64" i="19"/>
  <c r="K64" i="19"/>
  <c r="H64" i="19"/>
  <c r="G64" i="19"/>
  <c r="F64" i="19"/>
  <c r="L63" i="19"/>
  <c r="K63" i="19"/>
  <c r="H63" i="19"/>
  <c r="G63" i="19"/>
  <c r="F63" i="19"/>
  <c r="L62" i="19"/>
  <c r="K62" i="19"/>
  <c r="H62" i="19"/>
  <c r="G62" i="19"/>
  <c r="F62" i="19"/>
  <c r="L61" i="19"/>
  <c r="K61" i="19"/>
  <c r="H61" i="19"/>
  <c r="G61" i="19"/>
  <c r="F61" i="19"/>
  <c r="L60" i="19"/>
  <c r="K60" i="19"/>
  <c r="H60" i="19"/>
  <c r="G60" i="19"/>
  <c r="F60" i="19"/>
  <c r="L59" i="19"/>
  <c r="K59" i="19"/>
  <c r="H59" i="19"/>
  <c r="G59" i="19"/>
  <c r="F59" i="19"/>
  <c r="L58" i="19"/>
  <c r="K58" i="19"/>
  <c r="H58" i="19"/>
  <c r="G58" i="19"/>
  <c r="F58" i="19"/>
  <c r="L57" i="19"/>
  <c r="K57" i="19"/>
  <c r="H57" i="19"/>
  <c r="G57" i="19"/>
  <c r="F57" i="19"/>
  <c r="L56" i="19"/>
  <c r="K56" i="19"/>
  <c r="H56" i="19"/>
  <c r="G56" i="19"/>
  <c r="F56" i="19"/>
  <c r="L55" i="19"/>
  <c r="K55" i="19"/>
  <c r="H55" i="19"/>
  <c r="G55" i="19"/>
  <c r="F55" i="19"/>
  <c r="L54" i="19"/>
  <c r="K54" i="19"/>
  <c r="H54" i="19"/>
  <c r="G54" i="19"/>
  <c r="F54" i="19"/>
  <c r="L53" i="19"/>
  <c r="K53" i="19"/>
  <c r="H53" i="19"/>
  <c r="G53" i="19"/>
  <c r="F53" i="19"/>
  <c r="L52" i="19"/>
  <c r="K52" i="19"/>
  <c r="H52" i="19"/>
  <c r="G52" i="19"/>
  <c r="F52" i="19"/>
  <c r="L51" i="19"/>
  <c r="K51" i="19"/>
  <c r="H51" i="19"/>
  <c r="G51" i="19"/>
  <c r="F51" i="19"/>
  <c r="L50" i="19"/>
  <c r="K50" i="19"/>
  <c r="H50" i="19"/>
  <c r="G50" i="19"/>
  <c r="F50" i="19"/>
  <c r="L49" i="19"/>
  <c r="K49" i="19"/>
  <c r="H49" i="19"/>
  <c r="G49" i="19"/>
  <c r="F49" i="19"/>
  <c r="L48" i="19"/>
  <c r="K48" i="19"/>
  <c r="H48" i="19"/>
  <c r="G48" i="19"/>
  <c r="F48" i="19"/>
  <c r="L47" i="19"/>
  <c r="K47" i="19"/>
  <c r="H47" i="19"/>
  <c r="G47" i="19"/>
  <c r="F47" i="19"/>
  <c r="L46" i="19"/>
  <c r="K46" i="19"/>
  <c r="H46" i="19"/>
  <c r="G46" i="19"/>
  <c r="F46" i="19"/>
  <c r="L45" i="19"/>
  <c r="K45" i="19"/>
  <c r="H45" i="19"/>
  <c r="G45" i="19"/>
  <c r="F45" i="19"/>
  <c r="L44" i="19"/>
  <c r="K44" i="19"/>
  <c r="H44" i="19"/>
  <c r="G44" i="19"/>
  <c r="F44" i="19"/>
  <c r="L43" i="19"/>
  <c r="K43" i="19"/>
  <c r="H43" i="19"/>
  <c r="G43" i="19"/>
  <c r="F43" i="19"/>
  <c r="L42" i="19"/>
  <c r="K42" i="19"/>
  <c r="H42" i="19"/>
  <c r="G42" i="19"/>
  <c r="F42" i="19"/>
  <c r="L41" i="19"/>
  <c r="K41" i="19"/>
  <c r="H41" i="19"/>
  <c r="G41" i="19"/>
  <c r="F41" i="19"/>
  <c r="L40" i="19"/>
  <c r="K40" i="19"/>
  <c r="H40" i="19"/>
  <c r="G40" i="19"/>
  <c r="F40" i="19"/>
  <c r="L39" i="19"/>
  <c r="K39" i="19"/>
  <c r="H39" i="19"/>
  <c r="G39" i="19"/>
  <c r="F39" i="19"/>
  <c r="L38" i="19"/>
  <c r="K38" i="19"/>
  <c r="H38" i="19"/>
  <c r="G38" i="19"/>
  <c r="F38" i="19"/>
  <c r="L37" i="19"/>
  <c r="K37" i="19"/>
  <c r="H37" i="19"/>
  <c r="G37" i="19"/>
  <c r="F37" i="19"/>
  <c r="L36" i="19"/>
  <c r="K36" i="19"/>
  <c r="H36" i="19"/>
  <c r="G36" i="19"/>
  <c r="F36" i="19"/>
  <c r="A36" i="19"/>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L35" i="19"/>
  <c r="K35" i="19"/>
  <c r="H35" i="19"/>
  <c r="H66" i="19" s="1"/>
  <c r="G35" i="19"/>
  <c r="G66" i="19" s="1"/>
  <c r="F35" i="19"/>
  <c r="P66" i="48"/>
  <c r="O66" i="48"/>
  <c r="N66" i="48"/>
  <c r="M66" i="48"/>
  <c r="L66" i="48"/>
  <c r="K66" i="48"/>
  <c r="J66" i="48"/>
  <c r="I66" i="48"/>
  <c r="H66" i="48"/>
  <c r="G66" i="48"/>
  <c r="F66" i="48"/>
  <c r="E66" i="48"/>
  <c r="D66" i="48"/>
  <c r="C66" i="48"/>
  <c r="B66" i="48"/>
  <c r="L65" i="48"/>
  <c r="K65" i="48"/>
  <c r="H65" i="48"/>
  <c r="G65" i="48"/>
  <c r="F65" i="48"/>
  <c r="L64" i="48"/>
  <c r="K64" i="48"/>
  <c r="H64" i="48"/>
  <c r="G64" i="48"/>
  <c r="F64" i="48"/>
  <c r="L63" i="48"/>
  <c r="K63" i="48"/>
  <c r="H63" i="48"/>
  <c r="G63" i="48"/>
  <c r="F63" i="48"/>
  <c r="L62" i="48"/>
  <c r="K62" i="48"/>
  <c r="H62" i="48"/>
  <c r="G62" i="48"/>
  <c r="F62" i="48"/>
  <c r="L61" i="48"/>
  <c r="K61" i="48"/>
  <c r="H61" i="48"/>
  <c r="G61" i="48"/>
  <c r="F61" i="48"/>
  <c r="L60" i="48"/>
  <c r="K60" i="48"/>
  <c r="H60" i="48"/>
  <c r="G60" i="48"/>
  <c r="F60" i="48"/>
  <c r="L59" i="48"/>
  <c r="K59" i="48"/>
  <c r="H59" i="48"/>
  <c r="G59" i="48"/>
  <c r="F59" i="48"/>
  <c r="L58" i="48"/>
  <c r="K58" i="48"/>
  <c r="H58" i="48"/>
  <c r="G58" i="48"/>
  <c r="F58" i="48"/>
  <c r="L57" i="48"/>
  <c r="K57" i="48"/>
  <c r="H57" i="48"/>
  <c r="G57" i="48"/>
  <c r="F57" i="48"/>
  <c r="L56" i="48"/>
  <c r="K56" i="48"/>
  <c r="H56" i="48"/>
  <c r="G56" i="48"/>
  <c r="F56" i="48"/>
  <c r="L55" i="48"/>
  <c r="K55" i="48"/>
  <c r="H55" i="48"/>
  <c r="G55" i="48"/>
  <c r="F55" i="48"/>
  <c r="L54" i="48"/>
  <c r="K54" i="48"/>
  <c r="H54" i="48"/>
  <c r="G54" i="48"/>
  <c r="F54" i="48"/>
  <c r="L53" i="48"/>
  <c r="K53" i="48"/>
  <c r="H53" i="48"/>
  <c r="G53" i="48"/>
  <c r="F53" i="48"/>
  <c r="L52" i="48"/>
  <c r="K52" i="48"/>
  <c r="H52" i="48"/>
  <c r="G52" i="48"/>
  <c r="F52" i="48"/>
  <c r="L51" i="48"/>
  <c r="K51" i="48"/>
  <c r="H51" i="48"/>
  <c r="G51" i="48"/>
  <c r="F51" i="48"/>
  <c r="L50" i="48"/>
  <c r="K50" i="48"/>
  <c r="H50" i="48"/>
  <c r="G50" i="48"/>
  <c r="F50" i="48"/>
  <c r="L49" i="48"/>
  <c r="K49" i="48"/>
  <c r="H49" i="48"/>
  <c r="G49" i="48"/>
  <c r="F49" i="48"/>
  <c r="L48" i="48"/>
  <c r="K48" i="48"/>
  <c r="H48" i="48"/>
  <c r="G48" i="48"/>
  <c r="F48" i="48"/>
  <c r="L47" i="48"/>
  <c r="K47" i="48"/>
  <c r="H47" i="48"/>
  <c r="G47" i="48"/>
  <c r="F47" i="48"/>
  <c r="L46" i="48"/>
  <c r="K46" i="48"/>
  <c r="H46" i="48"/>
  <c r="G46" i="48"/>
  <c r="F46" i="48"/>
  <c r="L45" i="48"/>
  <c r="K45" i="48"/>
  <c r="H45" i="48"/>
  <c r="G45" i="48"/>
  <c r="F45" i="48"/>
  <c r="L44" i="48"/>
  <c r="K44" i="48"/>
  <c r="H44" i="48"/>
  <c r="G44" i="48"/>
  <c r="F44" i="48"/>
  <c r="L43" i="48"/>
  <c r="K43" i="48"/>
  <c r="H43" i="48"/>
  <c r="G43" i="48"/>
  <c r="F43" i="48"/>
  <c r="L42" i="48"/>
  <c r="K42" i="48"/>
  <c r="H42" i="48"/>
  <c r="G42" i="48"/>
  <c r="F42" i="48"/>
  <c r="L41" i="48"/>
  <c r="K41" i="48"/>
  <c r="H41" i="48"/>
  <c r="G41" i="48"/>
  <c r="F41" i="48"/>
  <c r="L40" i="48"/>
  <c r="K40" i="48"/>
  <c r="H40" i="48"/>
  <c r="G40" i="48"/>
  <c r="F40" i="48"/>
  <c r="L39" i="48"/>
  <c r="K39" i="48"/>
  <c r="H39" i="48"/>
  <c r="G39" i="48"/>
  <c r="F39" i="48"/>
  <c r="L38" i="48"/>
  <c r="K38" i="48"/>
  <c r="H38" i="48"/>
  <c r="G38" i="48"/>
  <c r="F38" i="48"/>
  <c r="L37" i="48"/>
  <c r="K37" i="48"/>
  <c r="H37" i="48"/>
  <c r="G37" i="48"/>
  <c r="F37" i="48"/>
  <c r="L36" i="48"/>
  <c r="K36" i="48"/>
  <c r="H36" i="48"/>
  <c r="G36" i="48"/>
  <c r="F36" i="48"/>
  <c r="A36" i="48"/>
  <c r="A37" i="48" s="1"/>
  <c r="A38" i="48" s="1"/>
  <c r="A39" i="48" s="1"/>
  <c r="A40" i="48" s="1"/>
  <c r="A41" i="48" s="1"/>
  <c r="A42" i="48" s="1"/>
  <c r="A43" i="48" s="1"/>
  <c r="A44" i="48" s="1"/>
  <c r="A45" i="48" s="1"/>
  <c r="A46" i="48" s="1"/>
  <c r="A47" i="48" s="1"/>
  <c r="A48" i="48" s="1"/>
  <c r="A49" i="48" s="1"/>
  <c r="A50" i="48" s="1"/>
  <c r="A51" i="48" s="1"/>
  <c r="A52" i="48" s="1"/>
  <c r="A53" i="48" s="1"/>
  <c r="A54" i="48" s="1"/>
  <c r="A55" i="48" s="1"/>
  <c r="A56" i="48" s="1"/>
  <c r="A57" i="48" s="1"/>
  <c r="A58" i="48" s="1"/>
  <c r="A59" i="48" s="1"/>
  <c r="A60" i="48" s="1"/>
  <c r="A61" i="48" s="1"/>
  <c r="A62" i="48" s="1"/>
  <c r="A63" i="48" s="1"/>
  <c r="A64" i="48" s="1"/>
  <c r="A65" i="48" s="1"/>
  <c r="L35" i="48"/>
  <c r="K35" i="48"/>
  <c r="H35" i="48"/>
  <c r="G35" i="48"/>
  <c r="F35" i="48"/>
  <c r="P66" i="47"/>
  <c r="O66" i="47"/>
  <c r="N66" i="47"/>
  <c r="M66" i="47"/>
  <c r="J66" i="47"/>
  <c r="I66" i="47"/>
  <c r="E66" i="47"/>
  <c r="D66" i="47"/>
  <c r="L66" i="47" s="1"/>
  <c r="C66" i="47"/>
  <c r="B66" i="47"/>
  <c r="L65" i="47"/>
  <c r="K65" i="47"/>
  <c r="H65" i="47"/>
  <c r="G65" i="47"/>
  <c r="F65" i="47"/>
  <c r="L64" i="47"/>
  <c r="K64" i="47"/>
  <c r="H64" i="47"/>
  <c r="G64" i="47"/>
  <c r="F64" i="47"/>
  <c r="L63" i="47"/>
  <c r="K63" i="47"/>
  <c r="H63" i="47"/>
  <c r="G63" i="47"/>
  <c r="F63" i="47"/>
  <c r="L62" i="47"/>
  <c r="K62" i="47"/>
  <c r="H62" i="47"/>
  <c r="G62" i="47"/>
  <c r="F62" i="47"/>
  <c r="L61" i="47"/>
  <c r="K61" i="47"/>
  <c r="H61" i="47"/>
  <c r="G61" i="47"/>
  <c r="F61" i="47"/>
  <c r="L60" i="47"/>
  <c r="K60" i="47"/>
  <c r="H60" i="47"/>
  <c r="G60" i="47"/>
  <c r="F60" i="47"/>
  <c r="L59" i="47"/>
  <c r="K59" i="47"/>
  <c r="H59" i="47"/>
  <c r="G59" i="47"/>
  <c r="F59" i="47"/>
  <c r="L58" i="47"/>
  <c r="K58" i="47"/>
  <c r="H58" i="47"/>
  <c r="G58" i="47"/>
  <c r="F58" i="47"/>
  <c r="L57" i="47"/>
  <c r="K57" i="47"/>
  <c r="H57" i="47"/>
  <c r="G57" i="47"/>
  <c r="F57" i="47"/>
  <c r="L56" i="47"/>
  <c r="K56" i="47"/>
  <c r="H56" i="47"/>
  <c r="G56" i="47"/>
  <c r="F56" i="47"/>
  <c r="L55" i="47"/>
  <c r="K55" i="47"/>
  <c r="H55" i="47"/>
  <c r="G55" i="47"/>
  <c r="F55" i="47"/>
  <c r="L54" i="47"/>
  <c r="K54" i="47"/>
  <c r="H54" i="47"/>
  <c r="G54" i="47"/>
  <c r="F54" i="47"/>
  <c r="L53" i="47"/>
  <c r="K53" i="47"/>
  <c r="H53" i="47"/>
  <c r="G53" i="47"/>
  <c r="F53" i="47"/>
  <c r="L52" i="47"/>
  <c r="K52" i="47"/>
  <c r="H52" i="47"/>
  <c r="G52" i="47"/>
  <c r="F52" i="47"/>
  <c r="L51" i="47"/>
  <c r="K51" i="47"/>
  <c r="H51" i="47"/>
  <c r="G51" i="47"/>
  <c r="F51" i="47"/>
  <c r="L50" i="47"/>
  <c r="K50" i="47"/>
  <c r="H50" i="47"/>
  <c r="G50" i="47"/>
  <c r="F50" i="47"/>
  <c r="L49" i="47"/>
  <c r="K49" i="47"/>
  <c r="H49" i="47"/>
  <c r="G49" i="47"/>
  <c r="F49" i="47"/>
  <c r="L48" i="47"/>
  <c r="K48" i="47"/>
  <c r="H48" i="47"/>
  <c r="G48" i="47"/>
  <c r="F48" i="47"/>
  <c r="L47" i="47"/>
  <c r="K47" i="47"/>
  <c r="H47" i="47"/>
  <c r="G47" i="47"/>
  <c r="F47" i="47"/>
  <c r="L46" i="47"/>
  <c r="K46" i="47"/>
  <c r="H46" i="47"/>
  <c r="G46" i="47"/>
  <c r="F46" i="47"/>
  <c r="L45" i="47"/>
  <c r="K45" i="47"/>
  <c r="H45" i="47"/>
  <c r="G45" i="47"/>
  <c r="F45" i="47"/>
  <c r="L44" i="47"/>
  <c r="K44" i="47"/>
  <c r="H44" i="47"/>
  <c r="G44" i="47"/>
  <c r="F44" i="47"/>
  <c r="L43" i="47"/>
  <c r="K43" i="47"/>
  <c r="H43" i="47"/>
  <c r="G43" i="47"/>
  <c r="F43" i="47"/>
  <c r="L42" i="47"/>
  <c r="K42" i="47"/>
  <c r="H42" i="47"/>
  <c r="G42" i="47"/>
  <c r="F42" i="47"/>
  <c r="L41" i="47"/>
  <c r="K41" i="47"/>
  <c r="H41" i="47"/>
  <c r="G41" i="47"/>
  <c r="F41" i="47"/>
  <c r="L40" i="47"/>
  <c r="K40" i="47"/>
  <c r="H40" i="47"/>
  <c r="G40" i="47"/>
  <c r="F40" i="47"/>
  <c r="L39" i="47"/>
  <c r="K39" i="47"/>
  <c r="H39" i="47"/>
  <c r="G39" i="47"/>
  <c r="F39" i="47"/>
  <c r="L38" i="47"/>
  <c r="K38" i="47"/>
  <c r="H38" i="47"/>
  <c r="G38" i="47"/>
  <c r="F38" i="47"/>
  <c r="L37" i="47"/>
  <c r="K37" i="47"/>
  <c r="H37" i="47"/>
  <c r="G37" i="47"/>
  <c r="F37" i="47"/>
  <c r="L36" i="47"/>
  <c r="K36" i="47"/>
  <c r="H36" i="47"/>
  <c r="G36" i="47"/>
  <c r="F36" i="47"/>
  <c r="A36" i="47"/>
  <c r="A37" i="47" s="1"/>
  <c r="A38" i="47" s="1"/>
  <c r="A39" i="47" s="1"/>
  <c r="A40" i="47" s="1"/>
  <c r="A41" i="47" s="1"/>
  <c r="A42" i="47" s="1"/>
  <c r="A43" i="47" s="1"/>
  <c r="A44" i="47" s="1"/>
  <c r="A45" i="47" s="1"/>
  <c r="A46" i="47" s="1"/>
  <c r="A47" i="47" s="1"/>
  <c r="A48" i="47" s="1"/>
  <c r="A49" i="47" s="1"/>
  <c r="A50" i="47" s="1"/>
  <c r="A51" i="47" s="1"/>
  <c r="A52" i="47" s="1"/>
  <c r="A53" i="47" s="1"/>
  <c r="A54" i="47" s="1"/>
  <c r="A55" i="47" s="1"/>
  <c r="A56" i="47" s="1"/>
  <c r="A57" i="47" s="1"/>
  <c r="A58" i="47" s="1"/>
  <c r="A59" i="47" s="1"/>
  <c r="A60" i="47" s="1"/>
  <c r="A61" i="47" s="1"/>
  <c r="A62" i="47" s="1"/>
  <c r="A63" i="47" s="1"/>
  <c r="A64" i="47" s="1"/>
  <c r="A65" i="47" s="1"/>
  <c r="L35" i="47"/>
  <c r="K35" i="47"/>
  <c r="H35" i="47"/>
  <c r="H66" i="47" s="1"/>
  <c r="G35" i="47"/>
  <c r="G66" i="47" s="1"/>
  <c r="F35" i="47"/>
  <c r="P66" i="46"/>
  <c r="O66" i="46"/>
  <c r="N66" i="46"/>
  <c r="M66" i="46"/>
  <c r="J66" i="46"/>
  <c r="I66" i="46"/>
  <c r="E66" i="46"/>
  <c r="D66" i="46"/>
  <c r="L66" i="46" s="1"/>
  <c r="C66" i="46"/>
  <c r="B66" i="46"/>
  <c r="L65" i="46"/>
  <c r="K65" i="46"/>
  <c r="H65" i="46"/>
  <c r="G65" i="46"/>
  <c r="F65" i="46"/>
  <c r="L64" i="46"/>
  <c r="K64" i="46"/>
  <c r="H64" i="46"/>
  <c r="G64" i="46"/>
  <c r="F64" i="46"/>
  <c r="L63" i="46"/>
  <c r="K63" i="46"/>
  <c r="H63" i="46"/>
  <c r="G63" i="46"/>
  <c r="F63" i="46"/>
  <c r="L62" i="46"/>
  <c r="K62" i="46"/>
  <c r="H62" i="46"/>
  <c r="G62" i="46"/>
  <c r="F62" i="46"/>
  <c r="L61" i="46"/>
  <c r="K61" i="46"/>
  <c r="H61" i="46"/>
  <c r="G61" i="46"/>
  <c r="F61" i="46"/>
  <c r="L60" i="46"/>
  <c r="K60" i="46"/>
  <c r="H60" i="46"/>
  <c r="G60" i="46"/>
  <c r="F60" i="46"/>
  <c r="L59" i="46"/>
  <c r="K59" i="46"/>
  <c r="H59" i="46"/>
  <c r="G59" i="46"/>
  <c r="F59" i="46"/>
  <c r="L58" i="46"/>
  <c r="K58" i="46"/>
  <c r="H58" i="46"/>
  <c r="G58" i="46"/>
  <c r="F58" i="46"/>
  <c r="L57" i="46"/>
  <c r="K57" i="46"/>
  <c r="H57" i="46"/>
  <c r="G57" i="46"/>
  <c r="F57" i="46"/>
  <c r="L56" i="46"/>
  <c r="K56" i="46"/>
  <c r="H56" i="46"/>
  <c r="G56" i="46"/>
  <c r="F56" i="46"/>
  <c r="L55" i="46"/>
  <c r="K55" i="46"/>
  <c r="H55" i="46"/>
  <c r="G55" i="46"/>
  <c r="F55" i="46"/>
  <c r="L54" i="46"/>
  <c r="K54" i="46"/>
  <c r="H54" i="46"/>
  <c r="G54" i="46"/>
  <c r="F54" i="46"/>
  <c r="L53" i="46"/>
  <c r="K53" i="46"/>
  <c r="H53" i="46"/>
  <c r="G53" i="46"/>
  <c r="F53" i="46"/>
  <c r="L52" i="46"/>
  <c r="K52" i="46"/>
  <c r="H52" i="46"/>
  <c r="G52" i="46"/>
  <c r="F52" i="46"/>
  <c r="L51" i="46"/>
  <c r="K51" i="46"/>
  <c r="H51" i="46"/>
  <c r="G51" i="46"/>
  <c r="F51" i="46"/>
  <c r="L50" i="46"/>
  <c r="K50" i="46"/>
  <c r="H50" i="46"/>
  <c r="G50" i="46"/>
  <c r="F50" i="46"/>
  <c r="L49" i="46"/>
  <c r="K49" i="46"/>
  <c r="H49" i="46"/>
  <c r="G49" i="46"/>
  <c r="F49" i="46"/>
  <c r="L48" i="46"/>
  <c r="K48" i="46"/>
  <c r="H48" i="46"/>
  <c r="G48" i="46"/>
  <c r="F48" i="46"/>
  <c r="L47" i="46"/>
  <c r="K47" i="46"/>
  <c r="H47" i="46"/>
  <c r="G47" i="46"/>
  <c r="F47" i="46"/>
  <c r="L46" i="46"/>
  <c r="K46" i="46"/>
  <c r="H46" i="46"/>
  <c r="G46" i="46"/>
  <c r="F46" i="46"/>
  <c r="L45" i="46"/>
  <c r="K45" i="46"/>
  <c r="H45" i="46"/>
  <c r="G45" i="46"/>
  <c r="F45" i="46"/>
  <c r="L44" i="46"/>
  <c r="K44" i="46"/>
  <c r="H44" i="46"/>
  <c r="G44" i="46"/>
  <c r="F44" i="46"/>
  <c r="L43" i="46"/>
  <c r="K43" i="46"/>
  <c r="H43" i="46"/>
  <c r="G43" i="46"/>
  <c r="F43" i="46"/>
  <c r="L42" i="46"/>
  <c r="K42" i="46"/>
  <c r="H42" i="46"/>
  <c r="G42" i="46"/>
  <c r="F42" i="46"/>
  <c r="L41" i="46"/>
  <c r="K41" i="46"/>
  <c r="H41" i="46"/>
  <c r="G41" i="46"/>
  <c r="F41" i="46"/>
  <c r="L40" i="46"/>
  <c r="K40" i="46"/>
  <c r="H40" i="46"/>
  <c r="G40" i="46"/>
  <c r="F40" i="46"/>
  <c r="L39" i="46"/>
  <c r="K39" i="46"/>
  <c r="H39" i="46"/>
  <c r="G39" i="46"/>
  <c r="F39" i="46"/>
  <c r="L38" i="46"/>
  <c r="K38" i="46"/>
  <c r="H38" i="46"/>
  <c r="G38" i="46"/>
  <c r="F38" i="46"/>
  <c r="L37" i="46"/>
  <c r="K37" i="46"/>
  <c r="H37" i="46"/>
  <c r="G37" i="46"/>
  <c r="F37" i="46"/>
  <c r="L36" i="46"/>
  <c r="K36" i="46"/>
  <c r="H36" i="46"/>
  <c r="G36" i="46"/>
  <c r="F36" i="46"/>
  <c r="A36" i="46"/>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L35" i="46"/>
  <c r="K35" i="46"/>
  <c r="H35" i="46"/>
  <c r="H66" i="46" s="1"/>
  <c r="G35" i="46"/>
  <c r="G66" i="46" s="1"/>
  <c r="F35" i="46"/>
  <c r="P66" i="45"/>
  <c r="O66" i="45"/>
  <c r="N66" i="45"/>
  <c r="M66" i="45"/>
  <c r="J66" i="45"/>
  <c r="I66" i="45"/>
  <c r="E66" i="45"/>
  <c r="D66" i="45"/>
  <c r="L66" i="45" s="1"/>
  <c r="C66" i="45"/>
  <c r="B66" i="45"/>
  <c r="L65" i="45"/>
  <c r="K65" i="45"/>
  <c r="H65" i="45"/>
  <c r="G65" i="45"/>
  <c r="F65" i="45"/>
  <c r="L64" i="45"/>
  <c r="K64" i="45"/>
  <c r="H64" i="45"/>
  <c r="G64" i="45"/>
  <c r="F64" i="45"/>
  <c r="L63" i="45"/>
  <c r="K63" i="45"/>
  <c r="H63" i="45"/>
  <c r="G63" i="45"/>
  <c r="F63" i="45"/>
  <c r="L62" i="45"/>
  <c r="K62" i="45"/>
  <c r="H62" i="45"/>
  <c r="G62" i="45"/>
  <c r="F62" i="45"/>
  <c r="L61" i="45"/>
  <c r="K61" i="45"/>
  <c r="H61" i="45"/>
  <c r="G61" i="45"/>
  <c r="F61" i="45"/>
  <c r="L60" i="45"/>
  <c r="K60" i="45"/>
  <c r="H60" i="45"/>
  <c r="G60" i="45"/>
  <c r="F60" i="45"/>
  <c r="L59" i="45"/>
  <c r="K59" i="45"/>
  <c r="H59" i="45"/>
  <c r="G59" i="45"/>
  <c r="F59" i="45"/>
  <c r="L58" i="45"/>
  <c r="K58" i="45"/>
  <c r="H58" i="45"/>
  <c r="G58" i="45"/>
  <c r="F58" i="45"/>
  <c r="L57" i="45"/>
  <c r="K57" i="45"/>
  <c r="H57" i="45"/>
  <c r="G57" i="45"/>
  <c r="F57" i="45"/>
  <c r="L56" i="45"/>
  <c r="K56" i="45"/>
  <c r="H56" i="45"/>
  <c r="G56" i="45"/>
  <c r="F56" i="45"/>
  <c r="L55" i="45"/>
  <c r="K55" i="45"/>
  <c r="H55" i="45"/>
  <c r="G55" i="45"/>
  <c r="F55" i="45"/>
  <c r="L54" i="45"/>
  <c r="K54" i="45"/>
  <c r="H54" i="45"/>
  <c r="G54" i="45"/>
  <c r="F54" i="45"/>
  <c r="L53" i="45"/>
  <c r="K53" i="45"/>
  <c r="H53" i="45"/>
  <c r="G53" i="45"/>
  <c r="F53" i="45"/>
  <c r="L52" i="45"/>
  <c r="K52" i="45"/>
  <c r="H52" i="45"/>
  <c r="G52" i="45"/>
  <c r="F52" i="45"/>
  <c r="L51" i="45"/>
  <c r="K51" i="45"/>
  <c r="H51" i="45"/>
  <c r="G51" i="45"/>
  <c r="F51" i="45"/>
  <c r="L50" i="45"/>
  <c r="K50" i="45"/>
  <c r="H50" i="45"/>
  <c r="G50" i="45"/>
  <c r="F50" i="45"/>
  <c r="L49" i="45"/>
  <c r="K49" i="45"/>
  <c r="H49" i="45"/>
  <c r="G49" i="45"/>
  <c r="F49" i="45"/>
  <c r="L48" i="45"/>
  <c r="K48" i="45"/>
  <c r="H48" i="45"/>
  <c r="G48" i="45"/>
  <c r="F48" i="45"/>
  <c r="L47" i="45"/>
  <c r="K47" i="45"/>
  <c r="H47" i="45"/>
  <c r="G47" i="45"/>
  <c r="F47" i="45"/>
  <c r="L46" i="45"/>
  <c r="K46" i="45"/>
  <c r="H46" i="45"/>
  <c r="G46" i="45"/>
  <c r="F46" i="45"/>
  <c r="L45" i="45"/>
  <c r="K45" i="45"/>
  <c r="H45" i="45"/>
  <c r="G45" i="45"/>
  <c r="F45" i="45"/>
  <c r="L44" i="45"/>
  <c r="K44" i="45"/>
  <c r="H44" i="45"/>
  <c r="G44" i="45"/>
  <c r="F44" i="45"/>
  <c r="L43" i="45"/>
  <c r="K43" i="45"/>
  <c r="H43" i="45"/>
  <c r="G43" i="45"/>
  <c r="F43" i="45"/>
  <c r="L42" i="45"/>
  <c r="K42" i="45"/>
  <c r="H42" i="45"/>
  <c r="G42" i="45"/>
  <c r="F42" i="45"/>
  <c r="L41" i="45"/>
  <c r="K41" i="45"/>
  <c r="H41" i="45"/>
  <c r="G41" i="45"/>
  <c r="F41" i="45"/>
  <c r="L40" i="45"/>
  <c r="K40" i="45"/>
  <c r="H40" i="45"/>
  <c r="G40" i="45"/>
  <c r="F40" i="45"/>
  <c r="L39" i="45"/>
  <c r="K39" i="45"/>
  <c r="H39" i="45"/>
  <c r="G39" i="45"/>
  <c r="F39" i="45"/>
  <c r="L38" i="45"/>
  <c r="K38" i="45"/>
  <c r="H38" i="45"/>
  <c r="G38" i="45"/>
  <c r="F38" i="45"/>
  <c r="L37" i="45"/>
  <c r="K37" i="45"/>
  <c r="H37" i="45"/>
  <c r="G37" i="45"/>
  <c r="F37" i="45"/>
  <c r="L36" i="45"/>
  <c r="K36" i="45"/>
  <c r="H36" i="45"/>
  <c r="G36" i="45"/>
  <c r="F36" i="45"/>
  <c r="A36" i="45"/>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L35" i="45"/>
  <c r="K35" i="45"/>
  <c r="H35" i="45"/>
  <c r="H66" i="45" s="1"/>
  <c r="G35" i="45"/>
  <c r="G66" i="45" s="1"/>
  <c r="F35" i="45"/>
  <c r="P66" i="44"/>
  <c r="O66" i="44"/>
  <c r="N66" i="44"/>
  <c r="M66" i="44"/>
  <c r="J66" i="44"/>
  <c r="I66" i="44"/>
  <c r="E66" i="44"/>
  <c r="D66" i="44"/>
  <c r="L66" i="44" s="1"/>
  <c r="C66" i="44"/>
  <c r="B66" i="44"/>
  <c r="L65" i="44"/>
  <c r="K65" i="44"/>
  <c r="H65" i="44"/>
  <c r="G65" i="44"/>
  <c r="F65" i="44"/>
  <c r="L64" i="44"/>
  <c r="K64" i="44"/>
  <c r="H64" i="44"/>
  <c r="G64" i="44"/>
  <c r="F64" i="44"/>
  <c r="L63" i="44"/>
  <c r="K63" i="44"/>
  <c r="H63" i="44"/>
  <c r="G63" i="44"/>
  <c r="F63" i="44"/>
  <c r="L62" i="44"/>
  <c r="K62" i="44"/>
  <c r="H62" i="44"/>
  <c r="G62" i="44"/>
  <c r="F62" i="44"/>
  <c r="L61" i="44"/>
  <c r="K61" i="44"/>
  <c r="H61" i="44"/>
  <c r="G61" i="44"/>
  <c r="F61" i="44"/>
  <c r="L60" i="44"/>
  <c r="K60" i="44"/>
  <c r="H60" i="44"/>
  <c r="G60" i="44"/>
  <c r="F60" i="44"/>
  <c r="L59" i="44"/>
  <c r="K59" i="44"/>
  <c r="H59" i="44"/>
  <c r="G59" i="44"/>
  <c r="F59" i="44"/>
  <c r="L58" i="44"/>
  <c r="K58" i="44"/>
  <c r="H58" i="44"/>
  <c r="G58" i="44"/>
  <c r="F58" i="44"/>
  <c r="L57" i="44"/>
  <c r="K57" i="44"/>
  <c r="H57" i="44"/>
  <c r="G57" i="44"/>
  <c r="F57" i="44"/>
  <c r="L56" i="44"/>
  <c r="K56" i="44"/>
  <c r="H56" i="44"/>
  <c r="G56" i="44"/>
  <c r="F56" i="44"/>
  <c r="L55" i="44"/>
  <c r="K55" i="44"/>
  <c r="H55" i="44"/>
  <c r="G55" i="44"/>
  <c r="F55" i="44"/>
  <c r="L54" i="44"/>
  <c r="K54" i="44"/>
  <c r="H54" i="44"/>
  <c r="G54" i="44"/>
  <c r="F54" i="44"/>
  <c r="L53" i="44"/>
  <c r="K53" i="44"/>
  <c r="H53" i="44"/>
  <c r="G53" i="44"/>
  <c r="F53" i="44"/>
  <c r="L52" i="44"/>
  <c r="K52" i="44"/>
  <c r="H52" i="44"/>
  <c r="G52" i="44"/>
  <c r="F52" i="44"/>
  <c r="L51" i="44"/>
  <c r="K51" i="44"/>
  <c r="H51" i="44"/>
  <c r="G51" i="44"/>
  <c r="F51" i="44"/>
  <c r="L50" i="44"/>
  <c r="K50" i="44"/>
  <c r="H50" i="44"/>
  <c r="G50" i="44"/>
  <c r="F50" i="44"/>
  <c r="L49" i="44"/>
  <c r="K49" i="44"/>
  <c r="H49" i="44"/>
  <c r="G49" i="44"/>
  <c r="F49" i="44"/>
  <c r="L48" i="44"/>
  <c r="K48" i="44"/>
  <c r="H48" i="44"/>
  <c r="G48" i="44"/>
  <c r="F48" i="44"/>
  <c r="L47" i="44"/>
  <c r="K47" i="44"/>
  <c r="H47" i="44"/>
  <c r="G47" i="44"/>
  <c r="F47" i="44"/>
  <c r="L46" i="44"/>
  <c r="K46" i="44"/>
  <c r="H46" i="44"/>
  <c r="G46" i="44"/>
  <c r="F46" i="44"/>
  <c r="L45" i="44"/>
  <c r="K45" i="44"/>
  <c r="H45" i="44"/>
  <c r="G45" i="44"/>
  <c r="F45" i="44"/>
  <c r="L44" i="44"/>
  <c r="K44" i="44"/>
  <c r="H44" i="44"/>
  <c r="G44" i="44"/>
  <c r="F44" i="44"/>
  <c r="L43" i="44"/>
  <c r="K43" i="44"/>
  <c r="H43" i="44"/>
  <c r="G43" i="44"/>
  <c r="F43" i="44"/>
  <c r="L42" i="44"/>
  <c r="K42" i="44"/>
  <c r="H42" i="44"/>
  <c r="G42" i="44"/>
  <c r="F42" i="44"/>
  <c r="L41" i="44"/>
  <c r="K41" i="44"/>
  <c r="H41" i="44"/>
  <c r="G41" i="44"/>
  <c r="F41" i="44"/>
  <c r="L40" i="44"/>
  <c r="K40" i="44"/>
  <c r="H40" i="44"/>
  <c r="G40" i="44"/>
  <c r="F40" i="44"/>
  <c r="L39" i="44"/>
  <c r="K39" i="44"/>
  <c r="H39" i="44"/>
  <c r="G39" i="44"/>
  <c r="F39" i="44"/>
  <c r="L38" i="44"/>
  <c r="K38" i="44"/>
  <c r="H38" i="44"/>
  <c r="G38" i="44"/>
  <c r="F38" i="44"/>
  <c r="L37" i="44"/>
  <c r="K37" i="44"/>
  <c r="H37" i="44"/>
  <c r="G37" i="44"/>
  <c r="F37" i="44"/>
  <c r="L36" i="44"/>
  <c r="K36" i="44"/>
  <c r="H36" i="44"/>
  <c r="G36" i="44"/>
  <c r="F36" i="44"/>
  <c r="A36" i="44"/>
  <c r="A37" i="44" s="1"/>
  <c r="A38" i="44" s="1"/>
  <c r="A39" i="44" s="1"/>
  <c r="A40" i="44" s="1"/>
  <c r="A41" i="44" s="1"/>
  <c r="A42" i="44" s="1"/>
  <c r="A43" i="44" s="1"/>
  <c r="A44" i="44" s="1"/>
  <c r="A45" i="44" s="1"/>
  <c r="A46" i="44" s="1"/>
  <c r="A47" i="44" s="1"/>
  <c r="A48" i="44" s="1"/>
  <c r="A49" i="44" s="1"/>
  <c r="A50" i="44" s="1"/>
  <c r="A51" i="44" s="1"/>
  <c r="A52" i="44" s="1"/>
  <c r="A53" i="44" s="1"/>
  <c r="A54" i="44" s="1"/>
  <c r="A55" i="44" s="1"/>
  <c r="A56" i="44" s="1"/>
  <c r="A57" i="44" s="1"/>
  <c r="A58" i="44" s="1"/>
  <c r="A59" i="44" s="1"/>
  <c r="A60" i="44" s="1"/>
  <c r="A61" i="44" s="1"/>
  <c r="A62" i="44" s="1"/>
  <c r="A63" i="44" s="1"/>
  <c r="A64" i="44" s="1"/>
  <c r="A65" i="44" s="1"/>
  <c r="L35" i="44"/>
  <c r="K35" i="44"/>
  <c r="H35" i="44"/>
  <c r="H66" i="44" s="1"/>
  <c r="G35" i="44"/>
  <c r="G66" i="44" s="1"/>
  <c r="F35" i="44"/>
  <c r="P66" i="43"/>
  <c r="O66" i="43"/>
  <c r="N66" i="43"/>
  <c r="M66" i="43"/>
  <c r="J66" i="43"/>
  <c r="I66" i="43"/>
  <c r="E66" i="43"/>
  <c r="D66" i="43"/>
  <c r="L66" i="43" s="1"/>
  <c r="C66" i="43"/>
  <c r="B66" i="43"/>
  <c r="L65" i="43"/>
  <c r="K65" i="43"/>
  <c r="H65" i="43"/>
  <c r="G65" i="43"/>
  <c r="F65" i="43"/>
  <c r="L64" i="43"/>
  <c r="K64" i="43"/>
  <c r="H64" i="43"/>
  <c r="G64" i="43"/>
  <c r="F64" i="43"/>
  <c r="L63" i="43"/>
  <c r="K63" i="43"/>
  <c r="H63" i="43"/>
  <c r="G63" i="43"/>
  <c r="F63" i="43"/>
  <c r="L62" i="43"/>
  <c r="K62" i="43"/>
  <c r="H62" i="43"/>
  <c r="G62" i="43"/>
  <c r="F62" i="43"/>
  <c r="L61" i="43"/>
  <c r="K61" i="43"/>
  <c r="H61" i="43"/>
  <c r="G61" i="43"/>
  <c r="F61" i="43"/>
  <c r="L60" i="43"/>
  <c r="K60" i="43"/>
  <c r="H60" i="43"/>
  <c r="G60" i="43"/>
  <c r="F60" i="43"/>
  <c r="L59" i="43"/>
  <c r="K59" i="43"/>
  <c r="H59" i="43"/>
  <c r="G59" i="43"/>
  <c r="F59" i="43"/>
  <c r="L58" i="43"/>
  <c r="K58" i="43"/>
  <c r="H58" i="43"/>
  <c r="G58" i="43"/>
  <c r="F58" i="43"/>
  <c r="L57" i="43"/>
  <c r="K57" i="43"/>
  <c r="H57" i="43"/>
  <c r="G57" i="43"/>
  <c r="F57" i="43"/>
  <c r="L56" i="43"/>
  <c r="K56" i="43"/>
  <c r="H56" i="43"/>
  <c r="G56" i="43"/>
  <c r="F56" i="43"/>
  <c r="L55" i="43"/>
  <c r="K55" i="43"/>
  <c r="H55" i="43"/>
  <c r="G55" i="43"/>
  <c r="F55" i="43"/>
  <c r="L54" i="43"/>
  <c r="K54" i="43"/>
  <c r="H54" i="43"/>
  <c r="G54" i="43"/>
  <c r="F54" i="43"/>
  <c r="L53" i="43"/>
  <c r="K53" i="43"/>
  <c r="H53" i="43"/>
  <c r="G53" i="43"/>
  <c r="F53" i="43"/>
  <c r="L52" i="43"/>
  <c r="K52" i="43"/>
  <c r="H52" i="43"/>
  <c r="G52" i="43"/>
  <c r="F52" i="43"/>
  <c r="L51" i="43"/>
  <c r="K51" i="43"/>
  <c r="H51" i="43"/>
  <c r="G51" i="43"/>
  <c r="F51" i="43"/>
  <c r="L50" i="43"/>
  <c r="K50" i="43"/>
  <c r="H50" i="43"/>
  <c r="G50" i="43"/>
  <c r="F50" i="43"/>
  <c r="L49" i="43"/>
  <c r="K49" i="43"/>
  <c r="H49" i="43"/>
  <c r="G49" i="43"/>
  <c r="F49" i="43"/>
  <c r="L48" i="43"/>
  <c r="K48" i="43"/>
  <c r="H48" i="43"/>
  <c r="G48" i="43"/>
  <c r="F48" i="43"/>
  <c r="L47" i="43"/>
  <c r="K47" i="43"/>
  <c r="H47" i="43"/>
  <c r="G47" i="43"/>
  <c r="F47" i="43"/>
  <c r="L46" i="43"/>
  <c r="K46" i="43"/>
  <c r="H46" i="43"/>
  <c r="G46" i="43"/>
  <c r="F46" i="43"/>
  <c r="L45" i="43"/>
  <c r="K45" i="43"/>
  <c r="H45" i="43"/>
  <c r="G45" i="43"/>
  <c r="F45" i="43"/>
  <c r="L44" i="43"/>
  <c r="K44" i="43"/>
  <c r="H44" i="43"/>
  <c r="G44" i="43"/>
  <c r="F44" i="43"/>
  <c r="L43" i="43"/>
  <c r="K43" i="43"/>
  <c r="H43" i="43"/>
  <c r="G43" i="43"/>
  <c r="F43" i="43"/>
  <c r="L42" i="43"/>
  <c r="K42" i="43"/>
  <c r="H42" i="43"/>
  <c r="G42" i="43"/>
  <c r="F42" i="43"/>
  <c r="L41" i="43"/>
  <c r="K41" i="43"/>
  <c r="H41" i="43"/>
  <c r="G41" i="43"/>
  <c r="F41" i="43"/>
  <c r="L40" i="43"/>
  <c r="K40" i="43"/>
  <c r="H40" i="43"/>
  <c r="G40" i="43"/>
  <c r="F40" i="43"/>
  <c r="L39" i="43"/>
  <c r="K39" i="43"/>
  <c r="H39" i="43"/>
  <c r="G39" i="43"/>
  <c r="F39" i="43"/>
  <c r="L38" i="43"/>
  <c r="K38" i="43"/>
  <c r="H38" i="43"/>
  <c r="G38" i="43"/>
  <c r="F38" i="43"/>
  <c r="L37" i="43"/>
  <c r="K37" i="43"/>
  <c r="H37" i="43"/>
  <c r="G37" i="43"/>
  <c r="F37" i="43"/>
  <c r="L36" i="43"/>
  <c r="K36" i="43"/>
  <c r="H36" i="43"/>
  <c r="G36" i="43"/>
  <c r="F36" i="43"/>
  <c r="A36" i="43"/>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59" i="43" s="1"/>
  <c r="A60" i="43" s="1"/>
  <c r="A61" i="43" s="1"/>
  <c r="A62" i="43" s="1"/>
  <c r="A63" i="43" s="1"/>
  <c r="A64" i="43" s="1"/>
  <c r="A65" i="43" s="1"/>
  <c r="L35" i="43"/>
  <c r="K35" i="43"/>
  <c r="H35" i="43"/>
  <c r="H66" i="43" s="1"/>
  <c r="G35" i="43"/>
  <c r="G66" i="43" s="1"/>
  <c r="F35" i="43"/>
  <c r="P66" i="42"/>
  <c r="O66" i="42"/>
  <c r="N66" i="42"/>
  <c r="M66" i="42"/>
  <c r="J66" i="42"/>
  <c r="I66" i="42"/>
  <c r="E66" i="42"/>
  <c r="D66" i="42"/>
  <c r="L66" i="42" s="1"/>
  <c r="C66" i="42"/>
  <c r="B66" i="42"/>
  <c r="L65" i="42"/>
  <c r="K65" i="42"/>
  <c r="H65" i="42"/>
  <c r="G65" i="42"/>
  <c r="F65" i="42"/>
  <c r="L64" i="42"/>
  <c r="K64" i="42"/>
  <c r="H64" i="42"/>
  <c r="G64" i="42"/>
  <c r="F64" i="42"/>
  <c r="L63" i="42"/>
  <c r="K63" i="42"/>
  <c r="H63" i="42"/>
  <c r="G63" i="42"/>
  <c r="F63" i="42"/>
  <c r="L62" i="42"/>
  <c r="K62" i="42"/>
  <c r="H62" i="42"/>
  <c r="G62" i="42"/>
  <c r="F62" i="42"/>
  <c r="L61" i="42"/>
  <c r="K61" i="42"/>
  <c r="H61" i="42"/>
  <c r="G61" i="42"/>
  <c r="F61" i="42"/>
  <c r="L60" i="42"/>
  <c r="K60" i="42"/>
  <c r="H60" i="42"/>
  <c r="G60" i="42"/>
  <c r="F60" i="42"/>
  <c r="L59" i="42"/>
  <c r="K59" i="42"/>
  <c r="H59" i="42"/>
  <c r="G59" i="42"/>
  <c r="F59" i="42"/>
  <c r="L58" i="42"/>
  <c r="K58" i="42"/>
  <c r="H58" i="42"/>
  <c r="G58" i="42"/>
  <c r="F58" i="42"/>
  <c r="L57" i="42"/>
  <c r="K57" i="42"/>
  <c r="H57" i="42"/>
  <c r="G57" i="42"/>
  <c r="F57" i="42"/>
  <c r="L56" i="42"/>
  <c r="K56" i="42"/>
  <c r="H56" i="42"/>
  <c r="G56" i="42"/>
  <c r="F56" i="42"/>
  <c r="L55" i="42"/>
  <c r="K55" i="42"/>
  <c r="H55" i="42"/>
  <c r="G55" i="42"/>
  <c r="F55" i="42"/>
  <c r="L54" i="42"/>
  <c r="K54" i="42"/>
  <c r="H54" i="42"/>
  <c r="G54" i="42"/>
  <c r="F54" i="42"/>
  <c r="L53" i="42"/>
  <c r="K53" i="42"/>
  <c r="H53" i="42"/>
  <c r="G53" i="42"/>
  <c r="F53" i="42"/>
  <c r="L52" i="42"/>
  <c r="K52" i="42"/>
  <c r="H52" i="42"/>
  <c r="G52" i="42"/>
  <c r="F52" i="42"/>
  <c r="L51" i="42"/>
  <c r="K51" i="42"/>
  <c r="H51" i="42"/>
  <c r="G51" i="42"/>
  <c r="F51" i="42"/>
  <c r="L50" i="42"/>
  <c r="K50" i="42"/>
  <c r="H50" i="42"/>
  <c r="G50" i="42"/>
  <c r="F50" i="42"/>
  <c r="L49" i="42"/>
  <c r="K49" i="42"/>
  <c r="H49" i="42"/>
  <c r="G49" i="42"/>
  <c r="F49" i="42"/>
  <c r="L48" i="42"/>
  <c r="K48" i="42"/>
  <c r="H48" i="42"/>
  <c r="G48" i="42"/>
  <c r="F48" i="42"/>
  <c r="L47" i="42"/>
  <c r="K47" i="42"/>
  <c r="H47" i="42"/>
  <c r="G47" i="42"/>
  <c r="F47" i="42"/>
  <c r="L46" i="42"/>
  <c r="K46" i="42"/>
  <c r="H46" i="42"/>
  <c r="G46" i="42"/>
  <c r="F46" i="42"/>
  <c r="L45" i="42"/>
  <c r="K45" i="42"/>
  <c r="H45" i="42"/>
  <c r="G45" i="42"/>
  <c r="F45" i="42"/>
  <c r="L44" i="42"/>
  <c r="K44" i="42"/>
  <c r="H44" i="42"/>
  <c r="G44" i="42"/>
  <c r="F44" i="42"/>
  <c r="L43" i="42"/>
  <c r="K43" i="42"/>
  <c r="H43" i="42"/>
  <c r="G43" i="42"/>
  <c r="F43" i="42"/>
  <c r="L42" i="42"/>
  <c r="K42" i="42"/>
  <c r="H42" i="42"/>
  <c r="G42" i="42"/>
  <c r="F42" i="42"/>
  <c r="L41" i="42"/>
  <c r="K41" i="42"/>
  <c r="H41" i="42"/>
  <c r="G41" i="42"/>
  <c r="F41" i="42"/>
  <c r="L40" i="42"/>
  <c r="K40" i="42"/>
  <c r="H40" i="42"/>
  <c r="G40" i="42"/>
  <c r="F40" i="42"/>
  <c r="L39" i="42"/>
  <c r="K39" i="42"/>
  <c r="H39" i="42"/>
  <c r="G39" i="42"/>
  <c r="F39" i="42"/>
  <c r="L38" i="42"/>
  <c r="K38" i="42"/>
  <c r="H38" i="42"/>
  <c r="G38" i="42"/>
  <c r="F38" i="42"/>
  <c r="L37" i="42"/>
  <c r="K37" i="42"/>
  <c r="H37" i="42"/>
  <c r="G37" i="42"/>
  <c r="F37" i="42"/>
  <c r="L36" i="42"/>
  <c r="K36" i="42"/>
  <c r="H36" i="42"/>
  <c r="G36" i="42"/>
  <c r="F36" i="42"/>
  <c r="A36" i="42"/>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A57" i="42" s="1"/>
  <c r="A58" i="42" s="1"/>
  <c r="A59" i="42" s="1"/>
  <c r="A60" i="42" s="1"/>
  <c r="A61" i="42" s="1"/>
  <c r="A62" i="42" s="1"/>
  <c r="A63" i="42" s="1"/>
  <c r="A64" i="42" s="1"/>
  <c r="A65" i="42" s="1"/>
  <c r="L35" i="42"/>
  <c r="K35" i="42"/>
  <c r="H35" i="42"/>
  <c r="H66" i="42" s="1"/>
  <c r="G35" i="42"/>
  <c r="G66" i="42" s="1"/>
  <c r="F35" i="42"/>
  <c r="P66" i="41"/>
  <c r="O66" i="41"/>
  <c r="N66" i="41"/>
  <c r="M66" i="41"/>
  <c r="J66" i="41"/>
  <c r="I66" i="41"/>
  <c r="E66" i="41"/>
  <c r="D66" i="41"/>
  <c r="L66" i="41" s="1"/>
  <c r="C66" i="41"/>
  <c r="B66" i="41"/>
  <c r="L65" i="41"/>
  <c r="K65" i="41"/>
  <c r="H65" i="41"/>
  <c r="G65" i="41"/>
  <c r="F65" i="41"/>
  <c r="L64" i="41"/>
  <c r="K64" i="41"/>
  <c r="H64" i="41"/>
  <c r="G64" i="41"/>
  <c r="F64" i="41"/>
  <c r="L63" i="41"/>
  <c r="K63" i="41"/>
  <c r="H63" i="41"/>
  <c r="G63" i="41"/>
  <c r="F63" i="41"/>
  <c r="L62" i="41"/>
  <c r="K62" i="41"/>
  <c r="H62" i="41"/>
  <c r="G62" i="41"/>
  <c r="F62" i="41"/>
  <c r="L61" i="41"/>
  <c r="K61" i="41"/>
  <c r="H61" i="41"/>
  <c r="G61" i="41"/>
  <c r="F61" i="41"/>
  <c r="L60" i="41"/>
  <c r="K60" i="41"/>
  <c r="H60" i="41"/>
  <c r="G60" i="41"/>
  <c r="F60" i="41"/>
  <c r="L59" i="41"/>
  <c r="K59" i="41"/>
  <c r="H59" i="41"/>
  <c r="G59" i="41"/>
  <c r="F59" i="41"/>
  <c r="L58" i="41"/>
  <c r="K58" i="41"/>
  <c r="H58" i="41"/>
  <c r="G58" i="41"/>
  <c r="F58" i="41"/>
  <c r="L57" i="41"/>
  <c r="K57" i="41"/>
  <c r="H57" i="41"/>
  <c r="G57" i="41"/>
  <c r="F57" i="41"/>
  <c r="L56" i="41"/>
  <c r="K56" i="41"/>
  <c r="H56" i="41"/>
  <c r="G56" i="41"/>
  <c r="F56" i="41"/>
  <c r="L55" i="41"/>
  <c r="K55" i="41"/>
  <c r="H55" i="41"/>
  <c r="G55" i="41"/>
  <c r="F55" i="41"/>
  <c r="L54" i="41"/>
  <c r="K54" i="41"/>
  <c r="H54" i="41"/>
  <c r="G54" i="41"/>
  <c r="F54" i="41"/>
  <c r="L53" i="41"/>
  <c r="K53" i="41"/>
  <c r="H53" i="41"/>
  <c r="G53" i="41"/>
  <c r="F53" i="41"/>
  <c r="L52" i="41"/>
  <c r="K52" i="41"/>
  <c r="H52" i="41"/>
  <c r="G52" i="41"/>
  <c r="F52" i="41"/>
  <c r="L51" i="41"/>
  <c r="K51" i="41"/>
  <c r="H51" i="41"/>
  <c r="G51" i="41"/>
  <c r="F51" i="41"/>
  <c r="L50" i="41"/>
  <c r="K50" i="41"/>
  <c r="H50" i="41"/>
  <c r="G50" i="41"/>
  <c r="F50" i="41"/>
  <c r="L49" i="41"/>
  <c r="K49" i="41"/>
  <c r="H49" i="41"/>
  <c r="G49" i="41"/>
  <c r="F49" i="41"/>
  <c r="L48" i="41"/>
  <c r="K48" i="41"/>
  <c r="H48" i="41"/>
  <c r="G48" i="41"/>
  <c r="F48" i="41"/>
  <c r="L47" i="41"/>
  <c r="K47" i="41"/>
  <c r="H47" i="41"/>
  <c r="G47" i="41"/>
  <c r="F47" i="41"/>
  <c r="L46" i="41"/>
  <c r="K46" i="41"/>
  <c r="H46" i="41"/>
  <c r="G46" i="41"/>
  <c r="F46" i="41"/>
  <c r="L45" i="41"/>
  <c r="K45" i="41"/>
  <c r="H45" i="41"/>
  <c r="G45" i="41"/>
  <c r="F45" i="41"/>
  <c r="L44" i="41"/>
  <c r="K44" i="41"/>
  <c r="H44" i="41"/>
  <c r="G44" i="41"/>
  <c r="F44" i="41"/>
  <c r="L43" i="41"/>
  <c r="K43" i="41"/>
  <c r="H43" i="41"/>
  <c r="G43" i="41"/>
  <c r="F43" i="41"/>
  <c r="L42" i="41"/>
  <c r="K42" i="41"/>
  <c r="H42" i="41"/>
  <c r="G42" i="41"/>
  <c r="F42" i="41"/>
  <c r="L41" i="41"/>
  <c r="K41" i="41"/>
  <c r="H41" i="41"/>
  <c r="G41" i="41"/>
  <c r="F41" i="41"/>
  <c r="L40" i="41"/>
  <c r="K40" i="41"/>
  <c r="H40" i="41"/>
  <c r="G40" i="41"/>
  <c r="F40" i="41"/>
  <c r="L39" i="41"/>
  <c r="K39" i="41"/>
  <c r="H39" i="41"/>
  <c r="G39" i="41"/>
  <c r="F39" i="41"/>
  <c r="L38" i="41"/>
  <c r="K38" i="41"/>
  <c r="H38" i="41"/>
  <c r="G38" i="41"/>
  <c r="F38" i="41"/>
  <c r="L37" i="41"/>
  <c r="K37" i="41"/>
  <c r="H37" i="41"/>
  <c r="G37" i="41"/>
  <c r="F37" i="41"/>
  <c r="L36" i="41"/>
  <c r="K36" i="41"/>
  <c r="H36" i="41"/>
  <c r="G36" i="41"/>
  <c r="F36" i="41"/>
  <c r="A36" i="4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L35" i="41"/>
  <c r="K35" i="41"/>
  <c r="H35" i="41"/>
  <c r="H66" i="41" s="1"/>
  <c r="G35" i="41"/>
  <c r="G66" i="41" s="1"/>
  <c r="F35" i="41"/>
  <c r="P66" i="37"/>
  <c r="O66" i="37"/>
  <c r="N66" i="37"/>
  <c r="M66" i="37"/>
  <c r="J66" i="37"/>
  <c r="I66" i="37"/>
  <c r="E66" i="37"/>
  <c r="D66" i="37"/>
  <c r="L66" i="37" s="1"/>
  <c r="C66" i="37"/>
  <c r="B66" i="37"/>
  <c r="L65" i="37"/>
  <c r="K65" i="37"/>
  <c r="H65" i="37"/>
  <c r="G65" i="37"/>
  <c r="F65" i="37"/>
  <c r="L64" i="37"/>
  <c r="K64" i="37"/>
  <c r="H64" i="37"/>
  <c r="G64" i="37"/>
  <c r="F64" i="37"/>
  <c r="L63" i="37"/>
  <c r="K63" i="37"/>
  <c r="H63" i="37"/>
  <c r="G63" i="37"/>
  <c r="F63" i="37"/>
  <c r="L62" i="37"/>
  <c r="K62" i="37"/>
  <c r="H62" i="37"/>
  <c r="G62" i="37"/>
  <c r="F62" i="37"/>
  <c r="L61" i="37"/>
  <c r="K61" i="37"/>
  <c r="H61" i="37"/>
  <c r="G61" i="37"/>
  <c r="F61" i="37"/>
  <c r="L60" i="37"/>
  <c r="K60" i="37"/>
  <c r="H60" i="37"/>
  <c r="G60" i="37"/>
  <c r="F60" i="37"/>
  <c r="L59" i="37"/>
  <c r="K59" i="37"/>
  <c r="H59" i="37"/>
  <c r="G59" i="37"/>
  <c r="F59" i="37"/>
  <c r="L58" i="37"/>
  <c r="K58" i="37"/>
  <c r="H58" i="37"/>
  <c r="G58" i="37"/>
  <c r="F58" i="37"/>
  <c r="L57" i="37"/>
  <c r="K57" i="37"/>
  <c r="H57" i="37"/>
  <c r="G57" i="37"/>
  <c r="F57" i="37"/>
  <c r="L56" i="37"/>
  <c r="K56" i="37"/>
  <c r="H56" i="37"/>
  <c r="G56" i="37"/>
  <c r="F56" i="37"/>
  <c r="L55" i="37"/>
  <c r="K55" i="37"/>
  <c r="H55" i="37"/>
  <c r="G55" i="37"/>
  <c r="F55" i="37"/>
  <c r="L54" i="37"/>
  <c r="K54" i="37"/>
  <c r="H54" i="37"/>
  <c r="G54" i="37"/>
  <c r="F54" i="37"/>
  <c r="L53" i="37"/>
  <c r="K53" i="37"/>
  <c r="H53" i="37"/>
  <c r="G53" i="37"/>
  <c r="F53" i="37"/>
  <c r="L52" i="37"/>
  <c r="K52" i="37"/>
  <c r="H52" i="37"/>
  <c r="G52" i="37"/>
  <c r="F52" i="37"/>
  <c r="L51" i="37"/>
  <c r="K51" i="37"/>
  <c r="H51" i="37"/>
  <c r="G51" i="37"/>
  <c r="F51" i="37"/>
  <c r="L50" i="37"/>
  <c r="K50" i="37"/>
  <c r="H50" i="37"/>
  <c r="G50" i="37"/>
  <c r="F50" i="37"/>
  <c r="L49" i="37"/>
  <c r="K49" i="37"/>
  <c r="H49" i="37"/>
  <c r="G49" i="37"/>
  <c r="F49" i="37"/>
  <c r="L48" i="37"/>
  <c r="K48" i="37"/>
  <c r="H48" i="37"/>
  <c r="G48" i="37"/>
  <c r="F48" i="37"/>
  <c r="L47" i="37"/>
  <c r="K47" i="37"/>
  <c r="H47" i="37"/>
  <c r="G47" i="37"/>
  <c r="F47" i="37"/>
  <c r="L46" i="37"/>
  <c r="K46" i="37"/>
  <c r="H46" i="37"/>
  <c r="G46" i="37"/>
  <c r="F46" i="37"/>
  <c r="L45" i="37"/>
  <c r="K45" i="37"/>
  <c r="H45" i="37"/>
  <c r="G45" i="37"/>
  <c r="F45" i="37"/>
  <c r="L44" i="37"/>
  <c r="K44" i="37"/>
  <c r="H44" i="37"/>
  <c r="G44" i="37"/>
  <c r="F44" i="37"/>
  <c r="L43" i="37"/>
  <c r="K43" i="37"/>
  <c r="H43" i="37"/>
  <c r="G43" i="37"/>
  <c r="F43" i="37"/>
  <c r="L42" i="37"/>
  <c r="K42" i="37"/>
  <c r="H42" i="37"/>
  <c r="G42" i="37"/>
  <c r="F42" i="37"/>
  <c r="L41" i="37"/>
  <c r="K41" i="37"/>
  <c r="H41" i="37"/>
  <c r="G41" i="37"/>
  <c r="F41" i="37"/>
  <c r="L40" i="37"/>
  <c r="K40" i="37"/>
  <c r="H40" i="37"/>
  <c r="G40" i="37"/>
  <c r="F40" i="37"/>
  <c r="L39" i="37"/>
  <c r="K39" i="37"/>
  <c r="H39" i="37"/>
  <c r="G39" i="37"/>
  <c r="F39" i="37"/>
  <c r="L38" i="37"/>
  <c r="K38" i="37"/>
  <c r="H38" i="37"/>
  <c r="G38" i="37"/>
  <c r="F38" i="37"/>
  <c r="L37" i="37"/>
  <c r="K37" i="37"/>
  <c r="H37" i="37"/>
  <c r="G37" i="37"/>
  <c r="F37" i="37"/>
  <c r="L36" i="37"/>
  <c r="K36" i="37"/>
  <c r="H36" i="37"/>
  <c r="G36" i="37"/>
  <c r="F36" i="37"/>
  <c r="A36" i="37"/>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L35" i="37"/>
  <c r="K35" i="37"/>
  <c r="H35" i="37"/>
  <c r="H66" i="37" s="1"/>
  <c r="G35" i="37"/>
  <c r="G66" i="37" s="1"/>
  <c r="F35" i="37"/>
  <c r="P66" i="39"/>
  <c r="O66" i="39"/>
  <c r="N66" i="39"/>
  <c r="M66" i="39"/>
  <c r="J66" i="39"/>
  <c r="I66" i="39"/>
  <c r="E66" i="39"/>
  <c r="D66" i="39"/>
  <c r="L66" i="39" s="1"/>
  <c r="C66" i="39"/>
  <c r="B66" i="39"/>
  <c r="L65" i="39"/>
  <c r="K65" i="39"/>
  <c r="H65" i="39"/>
  <c r="G65" i="39"/>
  <c r="F65" i="39"/>
  <c r="L64" i="39"/>
  <c r="K64" i="39"/>
  <c r="H64" i="39"/>
  <c r="G64" i="39"/>
  <c r="F64" i="39"/>
  <c r="L63" i="39"/>
  <c r="K63" i="39"/>
  <c r="H63" i="39"/>
  <c r="G63" i="39"/>
  <c r="F63" i="39"/>
  <c r="L62" i="39"/>
  <c r="K62" i="39"/>
  <c r="H62" i="39"/>
  <c r="G62" i="39"/>
  <c r="F62" i="39"/>
  <c r="L61" i="39"/>
  <c r="K61" i="39"/>
  <c r="H61" i="39"/>
  <c r="G61" i="39"/>
  <c r="F61" i="39"/>
  <c r="L60" i="39"/>
  <c r="K60" i="39"/>
  <c r="H60" i="39"/>
  <c r="G60" i="39"/>
  <c r="F60" i="39"/>
  <c r="L59" i="39"/>
  <c r="K59" i="39"/>
  <c r="H59" i="39"/>
  <c r="G59" i="39"/>
  <c r="F59" i="39"/>
  <c r="L58" i="39"/>
  <c r="K58" i="39"/>
  <c r="H58" i="39"/>
  <c r="G58" i="39"/>
  <c r="F58" i="39"/>
  <c r="L57" i="39"/>
  <c r="K57" i="39"/>
  <c r="H57" i="39"/>
  <c r="G57" i="39"/>
  <c r="F57" i="39"/>
  <c r="L56" i="39"/>
  <c r="K56" i="39"/>
  <c r="H56" i="39"/>
  <c r="G56" i="39"/>
  <c r="F56" i="39"/>
  <c r="L55" i="39"/>
  <c r="K55" i="39"/>
  <c r="H55" i="39"/>
  <c r="G55" i="39"/>
  <c r="F55" i="39"/>
  <c r="L54" i="39"/>
  <c r="K54" i="39"/>
  <c r="H54" i="39"/>
  <c r="G54" i="39"/>
  <c r="F54" i="39"/>
  <c r="L53" i="39"/>
  <c r="K53" i="39"/>
  <c r="H53" i="39"/>
  <c r="G53" i="39"/>
  <c r="F53" i="39"/>
  <c r="L52" i="39"/>
  <c r="K52" i="39"/>
  <c r="H52" i="39"/>
  <c r="G52" i="39"/>
  <c r="F52" i="39"/>
  <c r="L51" i="39"/>
  <c r="K51" i="39"/>
  <c r="H51" i="39"/>
  <c r="G51" i="39"/>
  <c r="F51" i="39"/>
  <c r="L50" i="39"/>
  <c r="K50" i="39"/>
  <c r="H50" i="39"/>
  <c r="G50" i="39"/>
  <c r="F50" i="39"/>
  <c r="L49" i="39"/>
  <c r="K49" i="39"/>
  <c r="H49" i="39"/>
  <c r="G49" i="39"/>
  <c r="F49" i="39"/>
  <c r="L48" i="39"/>
  <c r="K48" i="39"/>
  <c r="H48" i="39"/>
  <c r="G48" i="39"/>
  <c r="F48" i="39"/>
  <c r="L47" i="39"/>
  <c r="K47" i="39"/>
  <c r="H47" i="39"/>
  <c r="G47" i="39"/>
  <c r="F47" i="39"/>
  <c r="L46" i="39"/>
  <c r="K46" i="39"/>
  <c r="H46" i="39"/>
  <c r="G46" i="39"/>
  <c r="F46" i="39"/>
  <c r="L45" i="39"/>
  <c r="K45" i="39"/>
  <c r="H45" i="39"/>
  <c r="G45" i="39"/>
  <c r="F45" i="39"/>
  <c r="L44" i="39"/>
  <c r="K44" i="39"/>
  <c r="H44" i="39"/>
  <c r="G44" i="39"/>
  <c r="F44" i="39"/>
  <c r="L43" i="39"/>
  <c r="K43" i="39"/>
  <c r="H43" i="39"/>
  <c r="G43" i="39"/>
  <c r="F43" i="39"/>
  <c r="L42" i="39"/>
  <c r="K42" i="39"/>
  <c r="H42" i="39"/>
  <c r="G42" i="39"/>
  <c r="F42" i="39"/>
  <c r="L41" i="39"/>
  <c r="K41" i="39"/>
  <c r="H41" i="39"/>
  <c r="G41" i="39"/>
  <c r="F41" i="39"/>
  <c r="L40" i="39"/>
  <c r="K40" i="39"/>
  <c r="H40" i="39"/>
  <c r="G40" i="39"/>
  <c r="F40" i="39"/>
  <c r="L39" i="39"/>
  <c r="K39" i="39"/>
  <c r="H39" i="39"/>
  <c r="G39" i="39"/>
  <c r="F39" i="39"/>
  <c r="L38" i="39"/>
  <c r="K38" i="39"/>
  <c r="H38" i="39"/>
  <c r="G38" i="39"/>
  <c r="F38" i="39"/>
  <c r="L37" i="39"/>
  <c r="K37" i="39"/>
  <c r="H37" i="39"/>
  <c r="G37" i="39"/>
  <c r="F37" i="39"/>
  <c r="L36" i="39"/>
  <c r="K36" i="39"/>
  <c r="H36" i="39"/>
  <c r="G36" i="39"/>
  <c r="F36" i="39"/>
  <c r="A36" i="39"/>
  <c r="A37" i="39" s="1"/>
  <c r="A38" i="39" s="1"/>
  <c r="A39" i="39" s="1"/>
  <c r="A40" i="39" s="1"/>
  <c r="A41" i="39" s="1"/>
  <c r="A42" i="39" s="1"/>
  <c r="A43" i="39" s="1"/>
  <c r="A44" i="39" s="1"/>
  <c r="A45" i="39" s="1"/>
  <c r="A46" i="39" s="1"/>
  <c r="A47" i="39" s="1"/>
  <c r="A48" i="39" s="1"/>
  <c r="A49" i="39" s="1"/>
  <c r="A50" i="39" s="1"/>
  <c r="A51" i="39" s="1"/>
  <c r="A52" i="39" s="1"/>
  <c r="A53" i="39" s="1"/>
  <c r="A54" i="39" s="1"/>
  <c r="A55" i="39" s="1"/>
  <c r="A56" i="39" s="1"/>
  <c r="A57" i="39" s="1"/>
  <c r="A58" i="39" s="1"/>
  <c r="A59" i="39" s="1"/>
  <c r="A60" i="39" s="1"/>
  <c r="A61" i="39" s="1"/>
  <c r="A62" i="39" s="1"/>
  <c r="A63" i="39" s="1"/>
  <c r="A64" i="39" s="1"/>
  <c r="A65" i="39" s="1"/>
  <c r="L35" i="39"/>
  <c r="K35" i="39"/>
  <c r="H35" i="39"/>
  <c r="H66" i="39" s="1"/>
  <c r="G35" i="39"/>
  <c r="G66" i="39" s="1"/>
  <c r="F35" i="39"/>
  <c r="P66" i="38"/>
  <c r="O66" i="38"/>
  <c r="N66" i="38"/>
  <c r="M66" i="38"/>
  <c r="J66" i="38"/>
  <c r="I66" i="38"/>
  <c r="E66" i="38"/>
  <c r="D66" i="38"/>
  <c r="L66" i="38" s="1"/>
  <c r="C66" i="38"/>
  <c r="B66" i="38"/>
  <c r="L65" i="38"/>
  <c r="K65" i="38"/>
  <c r="H65" i="38"/>
  <c r="G65" i="38"/>
  <c r="F65" i="38"/>
  <c r="L64" i="38"/>
  <c r="K64" i="38"/>
  <c r="H64" i="38"/>
  <c r="G64" i="38"/>
  <c r="F64" i="38"/>
  <c r="L63" i="38"/>
  <c r="K63" i="38"/>
  <c r="H63" i="38"/>
  <c r="G63" i="38"/>
  <c r="F63" i="38"/>
  <c r="L62" i="38"/>
  <c r="K62" i="38"/>
  <c r="H62" i="38"/>
  <c r="G62" i="38"/>
  <c r="F62" i="38"/>
  <c r="L61" i="38"/>
  <c r="K61" i="38"/>
  <c r="H61" i="38"/>
  <c r="G61" i="38"/>
  <c r="F61" i="38"/>
  <c r="L60" i="38"/>
  <c r="K60" i="38"/>
  <c r="H60" i="38"/>
  <c r="G60" i="38"/>
  <c r="F60" i="38"/>
  <c r="L59" i="38"/>
  <c r="K59" i="38"/>
  <c r="H59" i="38"/>
  <c r="G59" i="38"/>
  <c r="F59" i="38"/>
  <c r="L58" i="38"/>
  <c r="K58" i="38"/>
  <c r="H58" i="38"/>
  <c r="G58" i="38"/>
  <c r="F58" i="38"/>
  <c r="L57" i="38"/>
  <c r="K57" i="38"/>
  <c r="H57" i="38"/>
  <c r="G57" i="38"/>
  <c r="F57" i="38"/>
  <c r="L56" i="38"/>
  <c r="K56" i="38"/>
  <c r="H56" i="38"/>
  <c r="G56" i="38"/>
  <c r="F56" i="38"/>
  <c r="L55" i="38"/>
  <c r="K55" i="38"/>
  <c r="H55" i="38"/>
  <c r="G55" i="38"/>
  <c r="F55" i="38"/>
  <c r="L54" i="38"/>
  <c r="K54" i="38"/>
  <c r="H54" i="38"/>
  <c r="G54" i="38"/>
  <c r="F54" i="38"/>
  <c r="L53" i="38"/>
  <c r="K53" i="38"/>
  <c r="H53" i="38"/>
  <c r="G53" i="38"/>
  <c r="F53" i="38"/>
  <c r="L52" i="38"/>
  <c r="K52" i="38"/>
  <c r="H52" i="38"/>
  <c r="G52" i="38"/>
  <c r="F52" i="38"/>
  <c r="L51" i="38"/>
  <c r="K51" i="38"/>
  <c r="H51" i="38"/>
  <c r="G51" i="38"/>
  <c r="F51" i="38"/>
  <c r="L50" i="38"/>
  <c r="K50" i="38"/>
  <c r="H50" i="38"/>
  <c r="G50" i="38"/>
  <c r="F50" i="38"/>
  <c r="L49" i="38"/>
  <c r="K49" i="38"/>
  <c r="H49" i="38"/>
  <c r="G49" i="38"/>
  <c r="F49" i="38"/>
  <c r="L48" i="38"/>
  <c r="K48" i="38"/>
  <c r="H48" i="38"/>
  <c r="G48" i="38"/>
  <c r="F48" i="38"/>
  <c r="L47" i="38"/>
  <c r="K47" i="38"/>
  <c r="H47" i="38"/>
  <c r="G47" i="38"/>
  <c r="F47" i="38"/>
  <c r="L46" i="38"/>
  <c r="K46" i="38"/>
  <c r="H46" i="38"/>
  <c r="G46" i="38"/>
  <c r="F46" i="38"/>
  <c r="L45" i="38"/>
  <c r="K45" i="38"/>
  <c r="H45" i="38"/>
  <c r="G45" i="38"/>
  <c r="F45" i="38"/>
  <c r="L44" i="38"/>
  <c r="K44" i="38"/>
  <c r="H44" i="38"/>
  <c r="G44" i="38"/>
  <c r="F44" i="38"/>
  <c r="L43" i="38"/>
  <c r="K43" i="38"/>
  <c r="H43" i="38"/>
  <c r="G43" i="38"/>
  <c r="F43" i="38"/>
  <c r="L42" i="38"/>
  <c r="K42" i="38"/>
  <c r="H42" i="38"/>
  <c r="G42" i="38"/>
  <c r="F42" i="38"/>
  <c r="L41" i="38"/>
  <c r="K41" i="38"/>
  <c r="H41" i="38"/>
  <c r="G41" i="38"/>
  <c r="F41" i="38"/>
  <c r="L40" i="38"/>
  <c r="K40" i="38"/>
  <c r="H40" i="38"/>
  <c r="G40" i="38"/>
  <c r="F40" i="38"/>
  <c r="L39" i="38"/>
  <c r="K39" i="38"/>
  <c r="H39" i="38"/>
  <c r="G39" i="38"/>
  <c r="F39" i="38"/>
  <c r="L38" i="38"/>
  <c r="K38" i="38"/>
  <c r="H38" i="38"/>
  <c r="G38" i="38"/>
  <c r="F38" i="38"/>
  <c r="L37" i="38"/>
  <c r="K37" i="38"/>
  <c r="H37" i="38"/>
  <c r="G37" i="38"/>
  <c r="F37" i="38"/>
  <c r="L36" i="38"/>
  <c r="K36" i="38"/>
  <c r="H36" i="38"/>
  <c r="G36" i="38"/>
  <c r="F36" i="38"/>
  <c r="A36" i="38"/>
  <c r="A37" i="38" s="1"/>
  <c r="A38" i="38" s="1"/>
  <c r="A39" i="38" s="1"/>
  <c r="A40" i="38" s="1"/>
  <c r="A41" i="38" s="1"/>
  <c r="A42" i="38" s="1"/>
  <c r="A43" i="38" s="1"/>
  <c r="A44" i="38" s="1"/>
  <c r="A45" i="38" s="1"/>
  <c r="A46" i="38" s="1"/>
  <c r="A47" i="38" s="1"/>
  <c r="A48" i="38" s="1"/>
  <c r="A49" i="38" s="1"/>
  <c r="A50" i="38" s="1"/>
  <c r="A51" i="38" s="1"/>
  <c r="A52" i="38" s="1"/>
  <c r="A53" i="38" s="1"/>
  <c r="A54" i="38" s="1"/>
  <c r="A55" i="38" s="1"/>
  <c r="A56" i="38" s="1"/>
  <c r="A57" i="38" s="1"/>
  <c r="A58" i="38" s="1"/>
  <c r="A59" i="38" s="1"/>
  <c r="A60" i="38" s="1"/>
  <c r="A61" i="38" s="1"/>
  <c r="A62" i="38" s="1"/>
  <c r="A63" i="38" s="1"/>
  <c r="A64" i="38" s="1"/>
  <c r="A65" i="38" s="1"/>
  <c r="L35" i="38"/>
  <c r="K35" i="38"/>
  <c r="H35" i="38"/>
  <c r="H66" i="38" s="1"/>
  <c r="G35" i="38"/>
  <c r="G66" i="38" s="1"/>
  <c r="F35" i="38"/>
  <c r="P66" i="40"/>
  <c r="O66" i="40"/>
  <c r="N66" i="40"/>
  <c r="M66" i="40"/>
  <c r="J66" i="40"/>
  <c r="I66" i="40"/>
  <c r="E66" i="40"/>
  <c r="D66" i="40"/>
  <c r="L66" i="40" s="1"/>
  <c r="C66" i="40"/>
  <c r="B66" i="40"/>
  <c r="L65" i="40"/>
  <c r="K65" i="40"/>
  <c r="H65" i="40"/>
  <c r="G65" i="40"/>
  <c r="F65" i="40"/>
  <c r="L64" i="40"/>
  <c r="K64" i="40"/>
  <c r="H64" i="40"/>
  <c r="G64" i="40"/>
  <c r="F64" i="40"/>
  <c r="L63" i="40"/>
  <c r="K63" i="40"/>
  <c r="H63" i="40"/>
  <c r="G63" i="40"/>
  <c r="F63" i="40"/>
  <c r="L62" i="40"/>
  <c r="K62" i="40"/>
  <c r="H62" i="40"/>
  <c r="G62" i="40"/>
  <c r="F62" i="40"/>
  <c r="L61" i="40"/>
  <c r="K61" i="40"/>
  <c r="H61" i="40"/>
  <c r="G61" i="40"/>
  <c r="F61" i="40"/>
  <c r="L60" i="40"/>
  <c r="K60" i="40"/>
  <c r="H60" i="40"/>
  <c r="G60" i="40"/>
  <c r="F60" i="40"/>
  <c r="L59" i="40"/>
  <c r="K59" i="40"/>
  <c r="H59" i="40"/>
  <c r="G59" i="40"/>
  <c r="F59" i="40"/>
  <c r="L58" i="40"/>
  <c r="K58" i="40"/>
  <c r="H58" i="40"/>
  <c r="G58" i="40"/>
  <c r="F58" i="40"/>
  <c r="L57" i="40"/>
  <c r="K57" i="40"/>
  <c r="H57" i="40"/>
  <c r="G57" i="40"/>
  <c r="F57" i="40"/>
  <c r="L56" i="40"/>
  <c r="K56" i="40"/>
  <c r="H56" i="40"/>
  <c r="G56" i="40"/>
  <c r="F56" i="40"/>
  <c r="L55" i="40"/>
  <c r="K55" i="40"/>
  <c r="H55" i="40"/>
  <c r="G55" i="40"/>
  <c r="F55" i="40"/>
  <c r="L54" i="40"/>
  <c r="K54" i="40"/>
  <c r="H54" i="40"/>
  <c r="G54" i="40"/>
  <c r="F54" i="40"/>
  <c r="L53" i="40"/>
  <c r="K53" i="40"/>
  <c r="H53" i="40"/>
  <c r="G53" i="40"/>
  <c r="F53" i="40"/>
  <c r="L52" i="40"/>
  <c r="K52" i="40"/>
  <c r="H52" i="40"/>
  <c r="G52" i="40"/>
  <c r="F52" i="40"/>
  <c r="L51" i="40"/>
  <c r="K51" i="40"/>
  <c r="H51" i="40"/>
  <c r="G51" i="40"/>
  <c r="F51" i="40"/>
  <c r="L50" i="40"/>
  <c r="K50" i="40"/>
  <c r="H50" i="40"/>
  <c r="G50" i="40"/>
  <c r="F50" i="40"/>
  <c r="L49" i="40"/>
  <c r="K49" i="40"/>
  <c r="H49" i="40"/>
  <c r="G49" i="40"/>
  <c r="F49" i="40"/>
  <c r="L48" i="40"/>
  <c r="K48" i="40"/>
  <c r="H48" i="40"/>
  <c r="G48" i="40"/>
  <c r="F48" i="40"/>
  <c r="L47" i="40"/>
  <c r="K47" i="40"/>
  <c r="H47" i="40"/>
  <c r="G47" i="40"/>
  <c r="F47" i="40"/>
  <c r="L46" i="40"/>
  <c r="K46" i="40"/>
  <c r="H46" i="40"/>
  <c r="G46" i="40"/>
  <c r="F46" i="40"/>
  <c r="L45" i="40"/>
  <c r="K45" i="40"/>
  <c r="H45" i="40"/>
  <c r="G45" i="40"/>
  <c r="F45" i="40"/>
  <c r="L44" i="40"/>
  <c r="K44" i="40"/>
  <c r="H44" i="40"/>
  <c r="G44" i="40"/>
  <c r="F44" i="40"/>
  <c r="L43" i="40"/>
  <c r="K43" i="40"/>
  <c r="H43" i="40"/>
  <c r="G43" i="40"/>
  <c r="F43" i="40"/>
  <c r="L42" i="40"/>
  <c r="K42" i="40"/>
  <c r="H42" i="40"/>
  <c r="G42" i="40"/>
  <c r="F42" i="40"/>
  <c r="L41" i="40"/>
  <c r="K41" i="40"/>
  <c r="H41" i="40"/>
  <c r="G41" i="40"/>
  <c r="F41" i="40"/>
  <c r="L40" i="40"/>
  <c r="K40" i="40"/>
  <c r="H40" i="40"/>
  <c r="G40" i="40"/>
  <c r="F40" i="40"/>
  <c r="L39" i="40"/>
  <c r="K39" i="40"/>
  <c r="H39" i="40"/>
  <c r="G39" i="40"/>
  <c r="F39" i="40"/>
  <c r="L38" i="40"/>
  <c r="K38" i="40"/>
  <c r="H38" i="40"/>
  <c r="G38" i="40"/>
  <c r="F38" i="40"/>
  <c r="L37" i="40"/>
  <c r="K37" i="40"/>
  <c r="H37" i="40"/>
  <c r="G37" i="40"/>
  <c r="F37" i="40"/>
  <c r="L36" i="40"/>
  <c r="K36" i="40"/>
  <c r="H36" i="40"/>
  <c r="G36" i="40"/>
  <c r="F36" i="40"/>
  <c r="A36" i="40"/>
  <c r="A37" i="40" s="1"/>
  <c r="A38" i="40" s="1"/>
  <c r="A39" i="40" s="1"/>
  <c r="A40" i="40" s="1"/>
  <c r="A41" i="40" s="1"/>
  <c r="A42" i="40" s="1"/>
  <c r="A43" i="40" s="1"/>
  <c r="A44" i="40" s="1"/>
  <c r="A45" i="40" s="1"/>
  <c r="A46" i="40" s="1"/>
  <c r="A47" i="40" s="1"/>
  <c r="A48" i="40" s="1"/>
  <c r="A49" i="40" s="1"/>
  <c r="A50" i="40" s="1"/>
  <c r="A51" i="40" s="1"/>
  <c r="A52" i="40" s="1"/>
  <c r="A53" i="40" s="1"/>
  <c r="A54" i="40" s="1"/>
  <c r="A55" i="40" s="1"/>
  <c r="A56" i="40" s="1"/>
  <c r="A57" i="40" s="1"/>
  <c r="A58" i="40" s="1"/>
  <c r="A59" i="40" s="1"/>
  <c r="A60" i="40" s="1"/>
  <c r="A61" i="40" s="1"/>
  <c r="A62" i="40" s="1"/>
  <c r="A63" i="40" s="1"/>
  <c r="A64" i="40" s="1"/>
  <c r="A65" i="40" s="1"/>
  <c r="L35" i="40"/>
  <c r="K35" i="40"/>
  <c r="H35" i="40"/>
  <c r="H66" i="40" s="1"/>
  <c r="G35" i="40"/>
  <c r="G66" i="40" s="1"/>
  <c r="F35" i="40"/>
  <c r="P66" i="35"/>
  <c r="O66" i="35"/>
  <c r="N66" i="35"/>
  <c r="M66" i="35"/>
  <c r="J66" i="35"/>
  <c r="I66" i="35"/>
  <c r="E66" i="35"/>
  <c r="D66" i="35"/>
  <c r="L66" i="35" s="1"/>
  <c r="C66" i="35"/>
  <c r="B66" i="35"/>
  <c r="L65" i="35"/>
  <c r="K65" i="35"/>
  <c r="H65" i="35"/>
  <c r="G65" i="35"/>
  <c r="F65" i="35"/>
  <c r="L64" i="35"/>
  <c r="K64" i="35"/>
  <c r="H64" i="35"/>
  <c r="G64" i="35"/>
  <c r="F64" i="35"/>
  <c r="L63" i="35"/>
  <c r="K63" i="35"/>
  <c r="H63" i="35"/>
  <c r="G63" i="35"/>
  <c r="F63" i="35"/>
  <c r="L62" i="35"/>
  <c r="K62" i="35"/>
  <c r="H62" i="35"/>
  <c r="G62" i="35"/>
  <c r="F62" i="35"/>
  <c r="L61" i="35"/>
  <c r="K61" i="35"/>
  <c r="H61" i="35"/>
  <c r="G61" i="35"/>
  <c r="F61" i="35"/>
  <c r="L60" i="35"/>
  <c r="K60" i="35"/>
  <c r="H60" i="35"/>
  <c r="G60" i="35"/>
  <c r="F60" i="35"/>
  <c r="L59" i="35"/>
  <c r="K59" i="35"/>
  <c r="H59" i="35"/>
  <c r="G59" i="35"/>
  <c r="F59" i="35"/>
  <c r="L58" i="35"/>
  <c r="K58" i="35"/>
  <c r="H58" i="35"/>
  <c r="G58" i="35"/>
  <c r="F58" i="35"/>
  <c r="L57" i="35"/>
  <c r="K57" i="35"/>
  <c r="H57" i="35"/>
  <c r="G57" i="35"/>
  <c r="F57" i="35"/>
  <c r="L56" i="35"/>
  <c r="K56" i="35"/>
  <c r="H56" i="35"/>
  <c r="G56" i="35"/>
  <c r="F56" i="35"/>
  <c r="L55" i="35"/>
  <c r="K55" i="35"/>
  <c r="H55" i="35"/>
  <c r="G55" i="35"/>
  <c r="F55" i="35"/>
  <c r="L54" i="35"/>
  <c r="K54" i="35"/>
  <c r="H54" i="35"/>
  <c r="G54" i="35"/>
  <c r="F54" i="35"/>
  <c r="L53" i="35"/>
  <c r="K53" i="35"/>
  <c r="H53" i="35"/>
  <c r="G53" i="35"/>
  <c r="F53" i="35"/>
  <c r="L52" i="35"/>
  <c r="K52" i="35"/>
  <c r="H52" i="35"/>
  <c r="G52" i="35"/>
  <c r="F52" i="35"/>
  <c r="L51" i="35"/>
  <c r="K51" i="35"/>
  <c r="H51" i="35"/>
  <c r="G51" i="35"/>
  <c r="F51" i="35"/>
  <c r="L50" i="35"/>
  <c r="K50" i="35"/>
  <c r="H50" i="35"/>
  <c r="G50" i="35"/>
  <c r="F50" i="35"/>
  <c r="L49" i="35"/>
  <c r="K49" i="35"/>
  <c r="H49" i="35"/>
  <c r="G49" i="35"/>
  <c r="F49" i="35"/>
  <c r="L48" i="35"/>
  <c r="K48" i="35"/>
  <c r="H48" i="35"/>
  <c r="G48" i="35"/>
  <c r="F48" i="35"/>
  <c r="L47" i="35"/>
  <c r="K47" i="35"/>
  <c r="H47" i="35"/>
  <c r="G47" i="35"/>
  <c r="F47" i="35"/>
  <c r="L46" i="35"/>
  <c r="K46" i="35"/>
  <c r="H46" i="35"/>
  <c r="G46" i="35"/>
  <c r="F46" i="35"/>
  <c r="L45" i="35"/>
  <c r="K45" i="35"/>
  <c r="H45" i="35"/>
  <c r="G45" i="35"/>
  <c r="F45" i="35"/>
  <c r="L44" i="35"/>
  <c r="K44" i="35"/>
  <c r="H44" i="35"/>
  <c r="G44" i="35"/>
  <c r="F44" i="35"/>
  <c r="L43" i="35"/>
  <c r="K43" i="35"/>
  <c r="H43" i="35"/>
  <c r="G43" i="35"/>
  <c r="F43" i="35"/>
  <c r="L42" i="35"/>
  <c r="K42" i="35"/>
  <c r="H42" i="35"/>
  <c r="G42" i="35"/>
  <c r="F42" i="35"/>
  <c r="L41" i="35"/>
  <c r="K41" i="35"/>
  <c r="H41" i="35"/>
  <c r="G41" i="35"/>
  <c r="F41" i="35"/>
  <c r="L40" i="35"/>
  <c r="K40" i="35"/>
  <c r="H40" i="35"/>
  <c r="G40" i="35"/>
  <c r="F40" i="35"/>
  <c r="L39" i="35"/>
  <c r="K39" i="35"/>
  <c r="H39" i="35"/>
  <c r="G39" i="35"/>
  <c r="F39" i="35"/>
  <c r="L38" i="35"/>
  <c r="K38" i="35"/>
  <c r="H38" i="35"/>
  <c r="G38" i="35"/>
  <c r="F38" i="35"/>
  <c r="L37" i="35"/>
  <c r="K37" i="35"/>
  <c r="H37" i="35"/>
  <c r="G37" i="35"/>
  <c r="F37" i="35"/>
  <c r="L36" i="35"/>
  <c r="K36" i="35"/>
  <c r="H36" i="35"/>
  <c r="G36" i="35"/>
  <c r="F36" i="35"/>
  <c r="A36" i="35"/>
  <c r="A37" i="35" s="1"/>
  <c r="A38" i="35" s="1"/>
  <c r="A39" i="35" s="1"/>
  <c r="A40" i="35" s="1"/>
  <c r="A41" i="35" s="1"/>
  <c r="A42" i="35" s="1"/>
  <c r="A43" i="35" s="1"/>
  <c r="A44" i="35" s="1"/>
  <c r="A45" i="35" s="1"/>
  <c r="A46" i="35" s="1"/>
  <c r="A47" i="35" s="1"/>
  <c r="A48" i="35" s="1"/>
  <c r="A49" i="35" s="1"/>
  <c r="A50" i="35" s="1"/>
  <c r="A51" i="35" s="1"/>
  <c r="A52" i="35" s="1"/>
  <c r="A53" i="35" s="1"/>
  <c r="A54" i="35" s="1"/>
  <c r="A55" i="35" s="1"/>
  <c r="A56" i="35" s="1"/>
  <c r="A57" i="35" s="1"/>
  <c r="A58" i="35" s="1"/>
  <c r="A59" i="35" s="1"/>
  <c r="A60" i="35" s="1"/>
  <c r="A61" i="35" s="1"/>
  <c r="A62" i="35" s="1"/>
  <c r="A63" i="35" s="1"/>
  <c r="A64" i="35" s="1"/>
  <c r="A65" i="35" s="1"/>
  <c r="L35" i="35"/>
  <c r="K35" i="35"/>
  <c r="H35" i="35"/>
  <c r="H66" i="35" s="1"/>
  <c r="G35" i="35"/>
  <c r="G66" i="35" s="1"/>
  <c r="F35" i="35"/>
  <c r="P66" i="34"/>
  <c r="O66" i="34"/>
  <c r="N66" i="34"/>
  <c r="M66" i="34"/>
  <c r="J66" i="34"/>
  <c r="I66" i="34"/>
  <c r="E66" i="34"/>
  <c r="D66" i="34"/>
  <c r="L66" i="34" s="1"/>
  <c r="C66" i="34"/>
  <c r="B66" i="34"/>
  <c r="L65" i="34"/>
  <c r="K65" i="34"/>
  <c r="H65" i="34"/>
  <c r="G65" i="34"/>
  <c r="F65" i="34"/>
  <c r="L64" i="34"/>
  <c r="K64" i="34"/>
  <c r="H64" i="34"/>
  <c r="G64" i="34"/>
  <c r="F64" i="34"/>
  <c r="L63" i="34"/>
  <c r="K63" i="34"/>
  <c r="H63" i="34"/>
  <c r="G63" i="34"/>
  <c r="F63" i="34"/>
  <c r="L62" i="34"/>
  <c r="K62" i="34"/>
  <c r="H62" i="34"/>
  <c r="G62" i="34"/>
  <c r="F62" i="34"/>
  <c r="L61" i="34"/>
  <c r="K61" i="34"/>
  <c r="H61" i="34"/>
  <c r="G61" i="34"/>
  <c r="F61" i="34"/>
  <c r="L60" i="34"/>
  <c r="K60" i="34"/>
  <c r="H60" i="34"/>
  <c r="G60" i="34"/>
  <c r="F60" i="34"/>
  <c r="L59" i="34"/>
  <c r="K59" i="34"/>
  <c r="H59" i="34"/>
  <c r="G59" i="34"/>
  <c r="F59" i="34"/>
  <c r="L58" i="34"/>
  <c r="K58" i="34"/>
  <c r="H58" i="34"/>
  <c r="G58" i="34"/>
  <c r="F58" i="34"/>
  <c r="L57" i="34"/>
  <c r="K57" i="34"/>
  <c r="H57" i="34"/>
  <c r="G57" i="34"/>
  <c r="F57" i="34"/>
  <c r="L56" i="34"/>
  <c r="K56" i="34"/>
  <c r="H56" i="34"/>
  <c r="G56" i="34"/>
  <c r="F56" i="34"/>
  <c r="L55" i="34"/>
  <c r="K55" i="34"/>
  <c r="H55" i="34"/>
  <c r="G55" i="34"/>
  <c r="F55" i="34"/>
  <c r="L54" i="34"/>
  <c r="K54" i="34"/>
  <c r="H54" i="34"/>
  <c r="G54" i="34"/>
  <c r="F54" i="34"/>
  <c r="L53" i="34"/>
  <c r="K53" i="34"/>
  <c r="H53" i="34"/>
  <c r="G53" i="34"/>
  <c r="F53" i="34"/>
  <c r="L52" i="34"/>
  <c r="K52" i="34"/>
  <c r="H52" i="34"/>
  <c r="G52" i="34"/>
  <c r="F52" i="34"/>
  <c r="L51" i="34"/>
  <c r="K51" i="34"/>
  <c r="H51" i="34"/>
  <c r="G51" i="34"/>
  <c r="F51" i="34"/>
  <c r="L50" i="34"/>
  <c r="K50" i="34"/>
  <c r="H50" i="34"/>
  <c r="G50" i="34"/>
  <c r="F50" i="34"/>
  <c r="L49" i="34"/>
  <c r="K49" i="34"/>
  <c r="H49" i="34"/>
  <c r="G49" i="34"/>
  <c r="F49" i="34"/>
  <c r="L48" i="34"/>
  <c r="K48" i="34"/>
  <c r="H48" i="34"/>
  <c r="G48" i="34"/>
  <c r="F48" i="34"/>
  <c r="L47" i="34"/>
  <c r="K47" i="34"/>
  <c r="H47" i="34"/>
  <c r="G47" i="34"/>
  <c r="F47" i="34"/>
  <c r="L46" i="34"/>
  <c r="K46" i="34"/>
  <c r="H46" i="34"/>
  <c r="G46" i="34"/>
  <c r="F46" i="34"/>
  <c r="L45" i="34"/>
  <c r="K45" i="34"/>
  <c r="H45" i="34"/>
  <c r="G45" i="34"/>
  <c r="F45" i="34"/>
  <c r="L44" i="34"/>
  <c r="K44" i="34"/>
  <c r="H44" i="34"/>
  <c r="G44" i="34"/>
  <c r="F44" i="34"/>
  <c r="L43" i="34"/>
  <c r="K43" i="34"/>
  <c r="H43" i="34"/>
  <c r="G43" i="34"/>
  <c r="F43" i="34"/>
  <c r="L42" i="34"/>
  <c r="K42" i="34"/>
  <c r="H42" i="34"/>
  <c r="G42" i="34"/>
  <c r="F42" i="34"/>
  <c r="L41" i="34"/>
  <c r="K41" i="34"/>
  <c r="H41" i="34"/>
  <c r="G41" i="34"/>
  <c r="F41" i="34"/>
  <c r="L40" i="34"/>
  <c r="K40" i="34"/>
  <c r="H40" i="34"/>
  <c r="G40" i="34"/>
  <c r="F40" i="34"/>
  <c r="L39" i="34"/>
  <c r="K39" i="34"/>
  <c r="H39" i="34"/>
  <c r="G39" i="34"/>
  <c r="F39" i="34"/>
  <c r="L38" i="34"/>
  <c r="K38" i="34"/>
  <c r="H38" i="34"/>
  <c r="G38" i="34"/>
  <c r="F38" i="34"/>
  <c r="L37" i="34"/>
  <c r="K37" i="34"/>
  <c r="H37" i="34"/>
  <c r="G37" i="34"/>
  <c r="F37" i="34"/>
  <c r="L36" i="34"/>
  <c r="K36" i="34"/>
  <c r="H36" i="34"/>
  <c r="G36" i="34"/>
  <c r="F36" i="34"/>
  <c r="A36" i="34"/>
  <c r="A37" i="34" s="1"/>
  <c r="A38" i="34" s="1"/>
  <c r="A39" i="34" s="1"/>
  <c r="A40" i="34" s="1"/>
  <c r="A41" i="34" s="1"/>
  <c r="A42" i="34" s="1"/>
  <c r="A43" i="34" s="1"/>
  <c r="A44" i="34" s="1"/>
  <c r="A45" i="34" s="1"/>
  <c r="A46" i="34" s="1"/>
  <c r="A47" i="34" s="1"/>
  <c r="A48" i="34" s="1"/>
  <c r="A49" i="34" s="1"/>
  <c r="A50" i="34" s="1"/>
  <c r="A51" i="34" s="1"/>
  <c r="A52" i="34" s="1"/>
  <c r="A53" i="34" s="1"/>
  <c r="A54" i="34" s="1"/>
  <c r="A55" i="34" s="1"/>
  <c r="A56" i="34" s="1"/>
  <c r="A57" i="34" s="1"/>
  <c r="A58" i="34" s="1"/>
  <c r="A59" i="34" s="1"/>
  <c r="A60" i="34" s="1"/>
  <c r="A61" i="34" s="1"/>
  <c r="A62" i="34" s="1"/>
  <c r="A63" i="34" s="1"/>
  <c r="A64" i="34" s="1"/>
  <c r="A65" i="34" s="1"/>
  <c r="L35" i="34"/>
  <c r="K35" i="34"/>
  <c r="H35" i="34"/>
  <c r="H66" i="34" s="1"/>
  <c r="G35" i="34"/>
  <c r="G66" i="34" s="1"/>
  <c r="F35" i="34"/>
  <c r="P66" i="33"/>
  <c r="O66" i="33"/>
  <c r="N66" i="33"/>
  <c r="M66" i="33"/>
  <c r="J66" i="33"/>
  <c r="I66" i="33"/>
  <c r="E66" i="33"/>
  <c r="D66" i="33"/>
  <c r="L66" i="33" s="1"/>
  <c r="C66" i="33"/>
  <c r="B66" i="33"/>
  <c r="L65" i="33"/>
  <c r="K65" i="33"/>
  <c r="H65" i="33"/>
  <c r="G65" i="33"/>
  <c r="F65" i="33"/>
  <c r="L64" i="33"/>
  <c r="K64" i="33"/>
  <c r="H64" i="33"/>
  <c r="G64" i="33"/>
  <c r="F64" i="33"/>
  <c r="L63" i="33"/>
  <c r="K63" i="33"/>
  <c r="H63" i="33"/>
  <c r="G63" i="33"/>
  <c r="F63" i="33"/>
  <c r="L62" i="33"/>
  <c r="K62" i="33"/>
  <c r="H62" i="33"/>
  <c r="G62" i="33"/>
  <c r="F62" i="33"/>
  <c r="L61" i="33"/>
  <c r="K61" i="33"/>
  <c r="H61" i="33"/>
  <c r="G61" i="33"/>
  <c r="F61" i="33"/>
  <c r="L60" i="33"/>
  <c r="K60" i="33"/>
  <c r="H60" i="33"/>
  <c r="G60" i="33"/>
  <c r="F60" i="33"/>
  <c r="L59" i="33"/>
  <c r="K59" i="33"/>
  <c r="H59" i="33"/>
  <c r="G59" i="33"/>
  <c r="F59" i="33"/>
  <c r="L58" i="33"/>
  <c r="K58" i="33"/>
  <c r="H58" i="33"/>
  <c r="G58" i="33"/>
  <c r="F58" i="33"/>
  <c r="L57" i="33"/>
  <c r="K57" i="33"/>
  <c r="H57" i="33"/>
  <c r="G57" i="33"/>
  <c r="F57" i="33"/>
  <c r="L56" i="33"/>
  <c r="K56" i="33"/>
  <c r="H56" i="33"/>
  <c r="G56" i="33"/>
  <c r="F56" i="33"/>
  <c r="L55" i="33"/>
  <c r="K55" i="33"/>
  <c r="H55" i="33"/>
  <c r="G55" i="33"/>
  <c r="F55" i="33"/>
  <c r="L54" i="33"/>
  <c r="K54" i="33"/>
  <c r="H54" i="33"/>
  <c r="G54" i="33"/>
  <c r="F54" i="33"/>
  <c r="L53" i="33"/>
  <c r="K53" i="33"/>
  <c r="H53" i="33"/>
  <c r="G53" i="33"/>
  <c r="F53" i="33"/>
  <c r="L52" i="33"/>
  <c r="K52" i="33"/>
  <c r="H52" i="33"/>
  <c r="G52" i="33"/>
  <c r="F52" i="33"/>
  <c r="L51" i="33"/>
  <c r="K51" i="33"/>
  <c r="H51" i="33"/>
  <c r="G51" i="33"/>
  <c r="F51" i="33"/>
  <c r="L50" i="33"/>
  <c r="K50" i="33"/>
  <c r="H50" i="33"/>
  <c r="G50" i="33"/>
  <c r="F50" i="33"/>
  <c r="L49" i="33"/>
  <c r="K49" i="33"/>
  <c r="H49" i="33"/>
  <c r="G49" i="33"/>
  <c r="F49" i="33"/>
  <c r="L48" i="33"/>
  <c r="K48" i="33"/>
  <c r="H48" i="33"/>
  <c r="G48" i="33"/>
  <c r="F48" i="33"/>
  <c r="L47" i="33"/>
  <c r="K47" i="33"/>
  <c r="H47" i="33"/>
  <c r="G47" i="33"/>
  <c r="F47" i="33"/>
  <c r="L46" i="33"/>
  <c r="K46" i="33"/>
  <c r="H46" i="33"/>
  <c r="G46" i="33"/>
  <c r="F46" i="33"/>
  <c r="L45" i="33"/>
  <c r="K45" i="33"/>
  <c r="H45" i="33"/>
  <c r="G45" i="33"/>
  <c r="F45" i="33"/>
  <c r="L44" i="33"/>
  <c r="K44" i="33"/>
  <c r="H44" i="33"/>
  <c r="G44" i="33"/>
  <c r="F44" i="33"/>
  <c r="L43" i="33"/>
  <c r="K43" i="33"/>
  <c r="H43" i="33"/>
  <c r="G43" i="33"/>
  <c r="F43" i="33"/>
  <c r="L42" i="33"/>
  <c r="K42" i="33"/>
  <c r="H42" i="33"/>
  <c r="G42" i="33"/>
  <c r="F42" i="33"/>
  <c r="L41" i="33"/>
  <c r="K41" i="33"/>
  <c r="H41" i="33"/>
  <c r="G41" i="33"/>
  <c r="F41" i="33"/>
  <c r="L40" i="33"/>
  <c r="K40" i="33"/>
  <c r="H40" i="33"/>
  <c r="G40" i="33"/>
  <c r="F40" i="33"/>
  <c r="L39" i="33"/>
  <c r="K39" i="33"/>
  <c r="H39" i="33"/>
  <c r="G39" i="33"/>
  <c r="F39" i="33"/>
  <c r="L38" i="33"/>
  <c r="K38" i="33"/>
  <c r="H38" i="33"/>
  <c r="G38" i="33"/>
  <c r="F38" i="33"/>
  <c r="L37" i="33"/>
  <c r="K37" i="33"/>
  <c r="H37" i="33"/>
  <c r="G37" i="33"/>
  <c r="F37" i="33"/>
  <c r="L36" i="33"/>
  <c r="K36" i="33"/>
  <c r="H36" i="33"/>
  <c r="G36" i="33"/>
  <c r="F36" i="33"/>
  <c r="A36" i="33"/>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L35" i="33"/>
  <c r="K35" i="33"/>
  <c r="H35" i="33"/>
  <c r="H66" i="33" s="1"/>
  <c r="G35" i="33"/>
  <c r="G66" i="33" s="1"/>
  <c r="F35" i="33"/>
  <c r="P66" i="32"/>
  <c r="O66" i="32"/>
  <c r="N66" i="32"/>
  <c r="M66" i="32"/>
  <c r="J66" i="32"/>
  <c r="I66" i="32"/>
  <c r="E66" i="32"/>
  <c r="D66" i="32"/>
  <c r="L66" i="32" s="1"/>
  <c r="C66" i="32"/>
  <c r="B66" i="32"/>
  <c r="L65" i="32"/>
  <c r="K65" i="32"/>
  <c r="H65" i="32"/>
  <c r="G65" i="32"/>
  <c r="F65" i="32"/>
  <c r="L64" i="32"/>
  <c r="K64" i="32"/>
  <c r="H64" i="32"/>
  <c r="G64" i="32"/>
  <c r="F64" i="32"/>
  <c r="L63" i="32"/>
  <c r="K63" i="32"/>
  <c r="H63" i="32"/>
  <c r="G63" i="32"/>
  <c r="F63" i="32"/>
  <c r="L62" i="32"/>
  <c r="K62" i="32"/>
  <c r="H62" i="32"/>
  <c r="G62" i="32"/>
  <c r="F62" i="32"/>
  <c r="L61" i="32"/>
  <c r="K61" i="32"/>
  <c r="H61" i="32"/>
  <c r="G61" i="32"/>
  <c r="F61" i="32"/>
  <c r="L60" i="32"/>
  <c r="K60" i="32"/>
  <c r="H60" i="32"/>
  <c r="G60" i="32"/>
  <c r="F60" i="32"/>
  <c r="L59" i="32"/>
  <c r="K59" i="32"/>
  <c r="H59" i="32"/>
  <c r="G59" i="32"/>
  <c r="F59" i="32"/>
  <c r="L58" i="32"/>
  <c r="K58" i="32"/>
  <c r="H58" i="32"/>
  <c r="G58" i="32"/>
  <c r="F58" i="32"/>
  <c r="L57" i="32"/>
  <c r="K57" i="32"/>
  <c r="H57" i="32"/>
  <c r="G57" i="32"/>
  <c r="F57" i="32"/>
  <c r="L56" i="32"/>
  <c r="K56" i="32"/>
  <c r="H56" i="32"/>
  <c r="G56" i="32"/>
  <c r="F56" i="32"/>
  <c r="L55" i="32"/>
  <c r="K55" i="32"/>
  <c r="H55" i="32"/>
  <c r="G55" i="32"/>
  <c r="F55" i="32"/>
  <c r="L54" i="32"/>
  <c r="K54" i="32"/>
  <c r="H54" i="32"/>
  <c r="G54" i="32"/>
  <c r="F54" i="32"/>
  <c r="L53" i="32"/>
  <c r="K53" i="32"/>
  <c r="H53" i="32"/>
  <c r="G53" i="32"/>
  <c r="F53" i="32"/>
  <c r="L52" i="32"/>
  <c r="K52" i="32"/>
  <c r="H52" i="32"/>
  <c r="G52" i="32"/>
  <c r="F52" i="32"/>
  <c r="L51" i="32"/>
  <c r="K51" i="32"/>
  <c r="H51" i="32"/>
  <c r="G51" i="32"/>
  <c r="F51" i="32"/>
  <c r="L50" i="32"/>
  <c r="K50" i="32"/>
  <c r="H50" i="32"/>
  <c r="G50" i="32"/>
  <c r="F50" i="32"/>
  <c r="L49" i="32"/>
  <c r="K49" i="32"/>
  <c r="H49" i="32"/>
  <c r="G49" i="32"/>
  <c r="F49" i="32"/>
  <c r="L48" i="32"/>
  <c r="K48" i="32"/>
  <c r="H48" i="32"/>
  <c r="G48" i="32"/>
  <c r="F48" i="32"/>
  <c r="L47" i="32"/>
  <c r="K47" i="32"/>
  <c r="H47" i="32"/>
  <c r="G47" i="32"/>
  <c r="F47" i="32"/>
  <c r="L46" i="32"/>
  <c r="K46" i="32"/>
  <c r="H46" i="32"/>
  <c r="G46" i="32"/>
  <c r="F46" i="32"/>
  <c r="L45" i="32"/>
  <c r="K45" i="32"/>
  <c r="H45" i="32"/>
  <c r="G45" i="32"/>
  <c r="F45" i="32"/>
  <c r="L44" i="32"/>
  <c r="K44" i="32"/>
  <c r="H44" i="32"/>
  <c r="G44" i="32"/>
  <c r="F44" i="32"/>
  <c r="L43" i="32"/>
  <c r="K43" i="32"/>
  <c r="H43" i="32"/>
  <c r="G43" i="32"/>
  <c r="F43" i="32"/>
  <c r="L42" i="32"/>
  <c r="K42" i="32"/>
  <c r="H42" i="32"/>
  <c r="G42" i="32"/>
  <c r="F42" i="32"/>
  <c r="L41" i="32"/>
  <c r="K41" i="32"/>
  <c r="H41" i="32"/>
  <c r="G41" i="32"/>
  <c r="F41" i="32"/>
  <c r="L40" i="32"/>
  <c r="K40" i="32"/>
  <c r="H40" i="32"/>
  <c r="G40" i="32"/>
  <c r="F40" i="32"/>
  <c r="L39" i="32"/>
  <c r="K39" i="32"/>
  <c r="H39" i="32"/>
  <c r="G39" i="32"/>
  <c r="F39" i="32"/>
  <c r="L38" i="32"/>
  <c r="K38" i="32"/>
  <c r="H38" i="32"/>
  <c r="G38" i="32"/>
  <c r="F38" i="32"/>
  <c r="L37" i="32"/>
  <c r="K37" i="32"/>
  <c r="H37" i="32"/>
  <c r="G37" i="32"/>
  <c r="F37" i="32"/>
  <c r="L36" i="32"/>
  <c r="K36" i="32"/>
  <c r="H36" i="32"/>
  <c r="G36" i="32"/>
  <c r="F36" i="32"/>
  <c r="A36" i="32"/>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A58" i="32" s="1"/>
  <c r="A59" i="32" s="1"/>
  <c r="A60" i="32" s="1"/>
  <c r="A61" i="32" s="1"/>
  <c r="A62" i="32" s="1"/>
  <c r="A63" i="32" s="1"/>
  <c r="A64" i="32" s="1"/>
  <c r="A65" i="32" s="1"/>
  <c r="L35" i="32"/>
  <c r="K35" i="32"/>
  <c r="H35" i="32"/>
  <c r="H66" i="32" s="1"/>
  <c r="G35" i="32"/>
  <c r="G66" i="32" s="1"/>
  <c r="F35" i="32"/>
  <c r="P66" i="31"/>
  <c r="O66" i="31"/>
  <c r="N66" i="31"/>
  <c r="M66" i="31"/>
  <c r="J66" i="31"/>
  <c r="I66" i="31"/>
  <c r="E66" i="31"/>
  <c r="D66" i="31"/>
  <c r="L66" i="31" s="1"/>
  <c r="C66" i="31"/>
  <c r="B66" i="31"/>
  <c r="L65" i="31"/>
  <c r="K65" i="31"/>
  <c r="H65" i="31"/>
  <c r="G65" i="31"/>
  <c r="F65" i="31"/>
  <c r="L64" i="31"/>
  <c r="K64" i="31"/>
  <c r="H64" i="31"/>
  <c r="G64" i="31"/>
  <c r="F64" i="31"/>
  <c r="L63" i="31"/>
  <c r="K63" i="31"/>
  <c r="H63" i="31"/>
  <c r="G63" i="31"/>
  <c r="F63" i="31"/>
  <c r="L62" i="31"/>
  <c r="K62" i="31"/>
  <c r="H62" i="31"/>
  <c r="G62" i="31"/>
  <c r="F62" i="31"/>
  <c r="L61" i="31"/>
  <c r="K61" i="31"/>
  <c r="H61" i="31"/>
  <c r="G61" i="31"/>
  <c r="F61" i="31"/>
  <c r="L60" i="31"/>
  <c r="K60" i="31"/>
  <c r="H60" i="31"/>
  <c r="G60" i="31"/>
  <c r="F60" i="31"/>
  <c r="L59" i="31"/>
  <c r="K59" i="31"/>
  <c r="H59" i="31"/>
  <c r="G59" i="31"/>
  <c r="F59" i="31"/>
  <c r="L58" i="31"/>
  <c r="K58" i="31"/>
  <c r="H58" i="31"/>
  <c r="G58" i="31"/>
  <c r="F58" i="31"/>
  <c r="L57" i="31"/>
  <c r="K57" i="31"/>
  <c r="H57" i="31"/>
  <c r="G57" i="31"/>
  <c r="F57" i="31"/>
  <c r="L56" i="31"/>
  <c r="K56" i="31"/>
  <c r="H56" i="31"/>
  <c r="G56" i="31"/>
  <c r="F56" i="31"/>
  <c r="L55" i="31"/>
  <c r="K55" i="31"/>
  <c r="H55" i="31"/>
  <c r="G55" i="31"/>
  <c r="F55" i="31"/>
  <c r="L54" i="31"/>
  <c r="K54" i="31"/>
  <c r="H54" i="31"/>
  <c r="G54" i="31"/>
  <c r="F54" i="31"/>
  <c r="L53" i="31"/>
  <c r="K53" i="31"/>
  <c r="H53" i="31"/>
  <c r="G53" i="31"/>
  <c r="F53" i="31"/>
  <c r="L52" i="31"/>
  <c r="K52" i="31"/>
  <c r="H52" i="31"/>
  <c r="G52" i="31"/>
  <c r="F52" i="31"/>
  <c r="L51" i="31"/>
  <c r="K51" i="31"/>
  <c r="H51" i="31"/>
  <c r="G51" i="31"/>
  <c r="F51" i="31"/>
  <c r="L50" i="31"/>
  <c r="K50" i="31"/>
  <c r="H50" i="31"/>
  <c r="G50" i="31"/>
  <c r="F50" i="31"/>
  <c r="L49" i="31"/>
  <c r="K49" i="31"/>
  <c r="H49" i="31"/>
  <c r="G49" i="31"/>
  <c r="F49" i="31"/>
  <c r="L48" i="31"/>
  <c r="K48" i="31"/>
  <c r="H48" i="31"/>
  <c r="G48" i="31"/>
  <c r="F48" i="31"/>
  <c r="L47" i="31"/>
  <c r="K47" i="31"/>
  <c r="H47" i="31"/>
  <c r="G47" i="31"/>
  <c r="F47" i="31"/>
  <c r="L46" i="31"/>
  <c r="K46" i="31"/>
  <c r="H46" i="31"/>
  <c r="G46" i="31"/>
  <c r="F46" i="31"/>
  <c r="L45" i="31"/>
  <c r="K45" i="31"/>
  <c r="H45" i="31"/>
  <c r="G45" i="31"/>
  <c r="F45" i="31"/>
  <c r="L44" i="31"/>
  <c r="K44" i="31"/>
  <c r="H44" i="31"/>
  <c r="G44" i="31"/>
  <c r="F44" i="31"/>
  <c r="L43" i="31"/>
  <c r="K43" i="31"/>
  <c r="H43" i="31"/>
  <c r="G43" i="31"/>
  <c r="F43" i="31"/>
  <c r="L42" i="31"/>
  <c r="K42" i="31"/>
  <c r="H42" i="31"/>
  <c r="G42" i="31"/>
  <c r="F42" i="31"/>
  <c r="L41" i="31"/>
  <c r="K41" i="31"/>
  <c r="H41" i="31"/>
  <c r="G41" i="31"/>
  <c r="F41" i="31"/>
  <c r="L40" i="31"/>
  <c r="K40" i="31"/>
  <c r="H40" i="31"/>
  <c r="G40" i="31"/>
  <c r="F40" i="31"/>
  <c r="L39" i="31"/>
  <c r="K39" i="31"/>
  <c r="H39" i="31"/>
  <c r="G39" i="31"/>
  <c r="F39" i="31"/>
  <c r="L38" i="31"/>
  <c r="K38" i="31"/>
  <c r="H38" i="31"/>
  <c r="G38" i="31"/>
  <c r="F38" i="31"/>
  <c r="L37" i="31"/>
  <c r="K37" i="31"/>
  <c r="H37" i="31"/>
  <c r="G37" i="31"/>
  <c r="F37" i="31"/>
  <c r="L36" i="31"/>
  <c r="K36" i="31"/>
  <c r="H36" i="31"/>
  <c r="G36" i="31"/>
  <c r="F36" i="31"/>
  <c r="A36" i="3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L35" i="31"/>
  <c r="K35" i="31"/>
  <c r="H35" i="31"/>
  <c r="H66" i="31" s="1"/>
  <c r="G35" i="31"/>
  <c r="G66" i="31" s="1"/>
  <c r="F35" i="31"/>
  <c r="P66" i="30"/>
  <c r="O66" i="30"/>
  <c r="N66" i="30"/>
  <c r="M66" i="30"/>
  <c r="J66" i="30"/>
  <c r="I66" i="30"/>
  <c r="E66" i="30"/>
  <c r="D66" i="30"/>
  <c r="L66" i="30" s="1"/>
  <c r="C66" i="30"/>
  <c r="B66" i="30"/>
  <c r="L65" i="30"/>
  <c r="K65" i="30"/>
  <c r="H65" i="30"/>
  <c r="G65" i="30"/>
  <c r="F65" i="30"/>
  <c r="L64" i="30"/>
  <c r="K64" i="30"/>
  <c r="H64" i="30"/>
  <c r="G64" i="30"/>
  <c r="F64" i="30"/>
  <c r="L63" i="30"/>
  <c r="K63" i="30"/>
  <c r="H63" i="30"/>
  <c r="G63" i="30"/>
  <c r="F63" i="30"/>
  <c r="L62" i="30"/>
  <c r="K62" i="30"/>
  <c r="H62" i="30"/>
  <c r="G62" i="30"/>
  <c r="F62" i="30"/>
  <c r="L61" i="30"/>
  <c r="K61" i="30"/>
  <c r="H61" i="30"/>
  <c r="G61" i="30"/>
  <c r="F61" i="30"/>
  <c r="L60" i="30"/>
  <c r="K60" i="30"/>
  <c r="H60" i="30"/>
  <c r="G60" i="30"/>
  <c r="F60" i="30"/>
  <c r="L59" i="30"/>
  <c r="K59" i="30"/>
  <c r="H59" i="30"/>
  <c r="G59" i="30"/>
  <c r="F59" i="30"/>
  <c r="L58" i="30"/>
  <c r="K58" i="30"/>
  <c r="H58" i="30"/>
  <c r="G58" i="30"/>
  <c r="F58" i="30"/>
  <c r="L57" i="30"/>
  <c r="K57" i="30"/>
  <c r="H57" i="30"/>
  <c r="G57" i="30"/>
  <c r="F57" i="30"/>
  <c r="L56" i="30"/>
  <c r="K56" i="30"/>
  <c r="H56" i="30"/>
  <c r="G56" i="30"/>
  <c r="F56" i="30"/>
  <c r="L55" i="30"/>
  <c r="K55" i="30"/>
  <c r="H55" i="30"/>
  <c r="G55" i="30"/>
  <c r="F55" i="30"/>
  <c r="L54" i="30"/>
  <c r="K54" i="30"/>
  <c r="H54" i="30"/>
  <c r="G54" i="30"/>
  <c r="F54" i="30"/>
  <c r="L53" i="30"/>
  <c r="K53" i="30"/>
  <c r="H53" i="30"/>
  <c r="G53" i="30"/>
  <c r="F53" i="30"/>
  <c r="L52" i="30"/>
  <c r="K52" i="30"/>
  <c r="H52" i="30"/>
  <c r="G52" i="30"/>
  <c r="F52" i="30"/>
  <c r="L51" i="30"/>
  <c r="K51" i="30"/>
  <c r="H51" i="30"/>
  <c r="G51" i="30"/>
  <c r="F51" i="30"/>
  <c r="L50" i="30"/>
  <c r="K50" i="30"/>
  <c r="H50" i="30"/>
  <c r="G50" i="30"/>
  <c r="F50" i="30"/>
  <c r="L49" i="30"/>
  <c r="K49" i="30"/>
  <c r="H49" i="30"/>
  <c r="G49" i="30"/>
  <c r="F49" i="30"/>
  <c r="L48" i="30"/>
  <c r="K48" i="30"/>
  <c r="H48" i="30"/>
  <c r="G48" i="30"/>
  <c r="F48" i="30"/>
  <c r="L47" i="30"/>
  <c r="K47" i="30"/>
  <c r="H47" i="30"/>
  <c r="G47" i="30"/>
  <c r="F47" i="30"/>
  <c r="L46" i="30"/>
  <c r="K46" i="30"/>
  <c r="H46" i="30"/>
  <c r="G46" i="30"/>
  <c r="F46" i="30"/>
  <c r="L45" i="30"/>
  <c r="K45" i="30"/>
  <c r="H45" i="30"/>
  <c r="G45" i="30"/>
  <c r="F45" i="30"/>
  <c r="L44" i="30"/>
  <c r="K44" i="30"/>
  <c r="H44" i="30"/>
  <c r="G44" i="30"/>
  <c r="F44" i="30"/>
  <c r="L43" i="30"/>
  <c r="K43" i="30"/>
  <c r="H43" i="30"/>
  <c r="G43" i="30"/>
  <c r="F43" i="30"/>
  <c r="L42" i="30"/>
  <c r="K42" i="30"/>
  <c r="H42" i="30"/>
  <c r="G42" i="30"/>
  <c r="F42" i="30"/>
  <c r="L41" i="30"/>
  <c r="K41" i="30"/>
  <c r="H41" i="30"/>
  <c r="G41" i="30"/>
  <c r="F41" i="30"/>
  <c r="L40" i="30"/>
  <c r="K40" i="30"/>
  <c r="H40" i="30"/>
  <c r="G40" i="30"/>
  <c r="F40" i="30"/>
  <c r="L39" i="30"/>
  <c r="K39" i="30"/>
  <c r="H39" i="30"/>
  <c r="G39" i="30"/>
  <c r="F39" i="30"/>
  <c r="L38" i="30"/>
  <c r="K38" i="30"/>
  <c r="H38" i="30"/>
  <c r="G38" i="30"/>
  <c r="F38" i="30"/>
  <c r="L37" i="30"/>
  <c r="K37" i="30"/>
  <c r="H37" i="30"/>
  <c r="G37" i="30"/>
  <c r="F37" i="30"/>
  <c r="L36" i="30"/>
  <c r="K36" i="30"/>
  <c r="H36" i="30"/>
  <c r="G36" i="30"/>
  <c r="F36" i="30"/>
  <c r="A36" i="30"/>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L35" i="30"/>
  <c r="K35" i="30"/>
  <c r="H35" i="30"/>
  <c r="H66" i="30" s="1"/>
  <c r="G35" i="30"/>
  <c r="G66" i="30" s="1"/>
  <c r="F35" i="30"/>
  <c r="P66" i="29"/>
  <c r="O66" i="29"/>
  <c r="N66" i="29"/>
  <c r="M66" i="29"/>
  <c r="J66" i="29"/>
  <c r="I66" i="29"/>
  <c r="E66" i="29"/>
  <c r="D66" i="29"/>
  <c r="L66" i="29" s="1"/>
  <c r="C66" i="29"/>
  <c r="B66" i="29"/>
  <c r="L65" i="29"/>
  <c r="K65" i="29"/>
  <c r="H65" i="29"/>
  <c r="L64" i="29"/>
  <c r="K64" i="29"/>
  <c r="H64" i="29"/>
  <c r="L63" i="29"/>
  <c r="K63" i="29"/>
  <c r="H63" i="29"/>
  <c r="L62" i="29"/>
  <c r="K62" i="29"/>
  <c r="H62" i="29"/>
  <c r="L61" i="29"/>
  <c r="K61" i="29"/>
  <c r="H61" i="29"/>
  <c r="L60" i="29"/>
  <c r="K60" i="29"/>
  <c r="H60" i="29"/>
  <c r="L59" i="29"/>
  <c r="K59" i="29"/>
  <c r="H59" i="29"/>
  <c r="L58" i="29"/>
  <c r="K58" i="29"/>
  <c r="H58" i="29"/>
  <c r="L57" i="29"/>
  <c r="K57" i="29"/>
  <c r="H57" i="29"/>
  <c r="L56" i="29"/>
  <c r="K56" i="29"/>
  <c r="H56" i="29"/>
  <c r="L55" i="29"/>
  <c r="K55" i="29"/>
  <c r="H55" i="29"/>
  <c r="L54" i="29"/>
  <c r="K54" i="29"/>
  <c r="H54" i="29"/>
  <c r="L53" i="29"/>
  <c r="K53" i="29"/>
  <c r="H53" i="29"/>
  <c r="L52" i="29"/>
  <c r="K52" i="29"/>
  <c r="H52" i="29"/>
  <c r="L51" i="29"/>
  <c r="K51" i="29"/>
  <c r="H51" i="29"/>
  <c r="L50" i="29"/>
  <c r="K50" i="29"/>
  <c r="H50" i="29"/>
  <c r="L49" i="29"/>
  <c r="K49" i="29"/>
  <c r="H49" i="29"/>
  <c r="L48" i="29"/>
  <c r="K48" i="29"/>
  <c r="H48" i="29"/>
  <c r="L47" i="29"/>
  <c r="K47" i="29"/>
  <c r="H47" i="29"/>
  <c r="L46" i="29"/>
  <c r="K46" i="29"/>
  <c r="H46" i="29"/>
  <c r="L45" i="29"/>
  <c r="K45" i="29"/>
  <c r="H45" i="29"/>
  <c r="L44" i="29"/>
  <c r="K44" i="29"/>
  <c r="H44" i="29"/>
  <c r="L43" i="29"/>
  <c r="K43" i="29"/>
  <c r="H43" i="29"/>
  <c r="L42" i="29"/>
  <c r="K42" i="29"/>
  <c r="H42" i="29"/>
  <c r="L41" i="29"/>
  <c r="K41" i="29"/>
  <c r="H41" i="29"/>
  <c r="L40" i="29"/>
  <c r="K40" i="29"/>
  <c r="H40" i="29"/>
  <c r="L39" i="29"/>
  <c r="K39" i="29"/>
  <c r="H39" i="29"/>
  <c r="L38" i="29"/>
  <c r="K38" i="29"/>
  <c r="H38" i="29"/>
  <c r="L37" i="29"/>
  <c r="K37" i="29"/>
  <c r="H37" i="29"/>
  <c r="L36" i="29"/>
  <c r="K36" i="29"/>
  <c r="H36" i="29"/>
  <c r="A36" i="29"/>
  <c r="A37" i="29" s="1"/>
  <c r="A38" i="29" s="1"/>
  <c r="A39" i="29" s="1"/>
  <c r="A40" i="29" s="1"/>
  <c r="A41" i="29" s="1"/>
  <c r="A42" i="29" s="1"/>
  <c r="A43" i="29" s="1"/>
  <c r="A44" i="29" s="1"/>
  <c r="A45" i="29" s="1"/>
  <c r="A46" i="29" s="1"/>
  <c r="A47" i="29" s="1"/>
  <c r="A48" i="29" s="1"/>
  <c r="A49" i="29" s="1"/>
  <c r="A50" i="29" s="1"/>
  <c r="A51" i="29" s="1"/>
  <c r="A52" i="29" s="1"/>
  <c r="A53" i="29" s="1"/>
  <c r="A54" i="29" s="1"/>
  <c r="A55" i="29" s="1"/>
  <c r="A56" i="29" s="1"/>
  <c r="A57" i="29" s="1"/>
  <c r="A58" i="29" s="1"/>
  <c r="A59" i="29" s="1"/>
  <c r="A60" i="29" s="1"/>
  <c r="A61" i="29" s="1"/>
  <c r="A62" i="29" s="1"/>
  <c r="A63" i="29" s="1"/>
  <c r="A64" i="29" s="1"/>
  <c r="A65" i="29" s="1"/>
  <c r="L35" i="29"/>
  <c r="K35" i="29"/>
  <c r="H35" i="29"/>
  <c r="H66" i="29" s="1"/>
  <c r="G66" i="29"/>
  <c r="P66" i="27"/>
  <c r="O66" i="27"/>
  <c r="N66" i="27"/>
  <c r="M66" i="27"/>
  <c r="J66" i="27"/>
  <c r="I66" i="27"/>
  <c r="E66" i="27"/>
  <c r="D66" i="27"/>
  <c r="L66" i="27" s="1"/>
  <c r="C66" i="27"/>
  <c r="B66" i="27"/>
  <c r="L65" i="27"/>
  <c r="K65" i="27"/>
  <c r="H65" i="27"/>
  <c r="G65" i="27"/>
  <c r="F65" i="27"/>
  <c r="L64" i="27"/>
  <c r="K64" i="27"/>
  <c r="H64" i="27"/>
  <c r="G64" i="27"/>
  <c r="F64" i="27"/>
  <c r="L63" i="27"/>
  <c r="K63" i="27"/>
  <c r="H63" i="27"/>
  <c r="G63" i="27"/>
  <c r="F63" i="27"/>
  <c r="L62" i="27"/>
  <c r="K62" i="27"/>
  <c r="H62" i="27"/>
  <c r="G62" i="27"/>
  <c r="F62" i="27"/>
  <c r="L61" i="27"/>
  <c r="K61" i="27"/>
  <c r="H61" i="27"/>
  <c r="G61" i="27"/>
  <c r="F61" i="27"/>
  <c r="L60" i="27"/>
  <c r="K60" i="27"/>
  <c r="H60" i="27"/>
  <c r="G60" i="27"/>
  <c r="F60" i="27"/>
  <c r="L59" i="27"/>
  <c r="K59" i="27"/>
  <c r="H59" i="27"/>
  <c r="G59" i="27"/>
  <c r="F59" i="27"/>
  <c r="L58" i="27"/>
  <c r="K58" i="27"/>
  <c r="H58" i="27"/>
  <c r="G58" i="27"/>
  <c r="F58" i="27"/>
  <c r="L57" i="27"/>
  <c r="K57" i="27"/>
  <c r="H57" i="27"/>
  <c r="G57" i="27"/>
  <c r="F57" i="27"/>
  <c r="L56" i="27"/>
  <c r="K56" i="27"/>
  <c r="H56" i="27"/>
  <c r="G56" i="27"/>
  <c r="F56" i="27"/>
  <c r="L55" i="27"/>
  <c r="K55" i="27"/>
  <c r="H55" i="27"/>
  <c r="G55" i="27"/>
  <c r="F55" i="27"/>
  <c r="L54" i="27"/>
  <c r="K54" i="27"/>
  <c r="H54" i="27"/>
  <c r="G54" i="27"/>
  <c r="F54" i="27"/>
  <c r="L53" i="27"/>
  <c r="K53" i="27"/>
  <c r="H53" i="27"/>
  <c r="G53" i="27"/>
  <c r="F53" i="27"/>
  <c r="L52" i="27"/>
  <c r="K52" i="27"/>
  <c r="H52" i="27"/>
  <c r="G52" i="27"/>
  <c r="F52" i="27"/>
  <c r="L51" i="27"/>
  <c r="K51" i="27"/>
  <c r="H51" i="27"/>
  <c r="G51" i="27"/>
  <c r="F51" i="27"/>
  <c r="L50" i="27"/>
  <c r="K50" i="27"/>
  <c r="H50" i="27"/>
  <c r="G50" i="27"/>
  <c r="F50" i="27"/>
  <c r="L49" i="27"/>
  <c r="K49" i="27"/>
  <c r="H49" i="27"/>
  <c r="G49" i="27"/>
  <c r="F49" i="27"/>
  <c r="L48" i="27"/>
  <c r="K48" i="27"/>
  <c r="H48" i="27"/>
  <c r="G48" i="27"/>
  <c r="F48" i="27"/>
  <c r="L47" i="27"/>
  <c r="K47" i="27"/>
  <c r="H47" i="27"/>
  <c r="G47" i="27"/>
  <c r="F47" i="27"/>
  <c r="L46" i="27"/>
  <c r="K46" i="27"/>
  <c r="H46" i="27"/>
  <c r="G46" i="27"/>
  <c r="F46" i="27"/>
  <c r="L45" i="27"/>
  <c r="K45" i="27"/>
  <c r="H45" i="27"/>
  <c r="G45" i="27"/>
  <c r="F45" i="27"/>
  <c r="L44" i="27"/>
  <c r="K44" i="27"/>
  <c r="H44" i="27"/>
  <c r="G44" i="27"/>
  <c r="F44" i="27"/>
  <c r="L43" i="27"/>
  <c r="K43" i="27"/>
  <c r="H43" i="27"/>
  <c r="G43" i="27"/>
  <c r="F43" i="27"/>
  <c r="L42" i="27"/>
  <c r="K42" i="27"/>
  <c r="H42" i="27"/>
  <c r="G42" i="27"/>
  <c r="F42" i="27"/>
  <c r="L41" i="27"/>
  <c r="K41" i="27"/>
  <c r="H41" i="27"/>
  <c r="G41" i="27"/>
  <c r="F41" i="27"/>
  <c r="L40" i="27"/>
  <c r="K40" i="27"/>
  <c r="H40" i="27"/>
  <c r="G40" i="27"/>
  <c r="F40" i="27"/>
  <c r="L39" i="27"/>
  <c r="K39" i="27"/>
  <c r="H39" i="27"/>
  <c r="G39" i="27"/>
  <c r="F39" i="27"/>
  <c r="L38" i="27"/>
  <c r="K38" i="27"/>
  <c r="H38" i="27"/>
  <c r="G38" i="27"/>
  <c r="F38" i="27"/>
  <c r="L37" i="27"/>
  <c r="K37" i="27"/>
  <c r="H37" i="27"/>
  <c r="G37" i="27"/>
  <c r="F37" i="27"/>
  <c r="L36" i="27"/>
  <c r="K36" i="27"/>
  <c r="H36" i="27"/>
  <c r="G36" i="27"/>
  <c r="F36" i="27"/>
  <c r="A36" i="27"/>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L35" i="27"/>
  <c r="K35" i="27"/>
  <c r="H35" i="27"/>
  <c r="H66" i="27" s="1"/>
  <c r="G35" i="27"/>
  <c r="G66" i="27" s="1"/>
  <c r="F35" i="27"/>
  <c r="P66" i="25"/>
  <c r="O66" i="25"/>
  <c r="N66" i="25"/>
  <c r="M66" i="25"/>
  <c r="J66" i="25"/>
  <c r="I66" i="25"/>
  <c r="E66" i="25"/>
  <c r="D66" i="25"/>
  <c r="L66" i="25" s="1"/>
  <c r="C66" i="25"/>
  <c r="B66" i="25"/>
  <c r="L65" i="25"/>
  <c r="K65" i="25"/>
  <c r="H65" i="25"/>
  <c r="G65" i="25"/>
  <c r="F65" i="25"/>
  <c r="L64" i="25"/>
  <c r="K64" i="25"/>
  <c r="H64" i="25"/>
  <c r="G64" i="25"/>
  <c r="F64" i="25"/>
  <c r="L63" i="25"/>
  <c r="K63" i="25"/>
  <c r="H63" i="25"/>
  <c r="G63" i="25"/>
  <c r="F63" i="25"/>
  <c r="L62" i="25"/>
  <c r="K62" i="25"/>
  <c r="H62" i="25"/>
  <c r="G62" i="25"/>
  <c r="F62" i="25"/>
  <c r="L61" i="25"/>
  <c r="K61" i="25"/>
  <c r="H61" i="25"/>
  <c r="G61" i="25"/>
  <c r="F61" i="25"/>
  <c r="L60" i="25"/>
  <c r="K60" i="25"/>
  <c r="H60" i="25"/>
  <c r="G60" i="25"/>
  <c r="F60" i="25"/>
  <c r="L59" i="25"/>
  <c r="K59" i="25"/>
  <c r="H59" i="25"/>
  <c r="G59" i="25"/>
  <c r="F59" i="25"/>
  <c r="L58" i="25"/>
  <c r="K58" i="25"/>
  <c r="H58" i="25"/>
  <c r="G58" i="25"/>
  <c r="F58" i="25"/>
  <c r="L57" i="25"/>
  <c r="K57" i="25"/>
  <c r="H57" i="25"/>
  <c r="G57" i="25"/>
  <c r="F57" i="25"/>
  <c r="L56" i="25"/>
  <c r="K56" i="25"/>
  <c r="H56" i="25"/>
  <c r="G56" i="25"/>
  <c r="F56" i="25"/>
  <c r="L55" i="25"/>
  <c r="K55" i="25"/>
  <c r="H55" i="25"/>
  <c r="G55" i="25"/>
  <c r="F55" i="25"/>
  <c r="L54" i="25"/>
  <c r="K54" i="25"/>
  <c r="H54" i="25"/>
  <c r="G54" i="25"/>
  <c r="F54" i="25"/>
  <c r="L53" i="25"/>
  <c r="K53" i="25"/>
  <c r="H53" i="25"/>
  <c r="G53" i="25"/>
  <c r="F53" i="25"/>
  <c r="L52" i="25"/>
  <c r="K52" i="25"/>
  <c r="H52" i="25"/>
  <c r="G52" i="25"/>
  <c r="F52" i="25"/>
  <c r="L51" i="25"/>
  <c r="K51" i="25"/>
  <c r="H51" i="25"/>
  <c r="G51" i="25"/>
  <c r="F51" i="25"/>
  <c r="L50" i="25"/>
  <c r="K50" i="25"/>
  <c r="H50" i="25"/>
  <c r="G50" i="25"/>
  <c r="F50" i="25"/>
  <c r="L49" i="25"/>
  <c r="K49" i="25"/>
  <c r="H49" i="25"/>
  <c r="G49" i="25"/>
  <c r="F49" i="25"/>
  <c r="L48" i="25"/>
  <c r="K48" i="25"/>
  <c r="H48" i="25"/>
  <c r="G48" i="25"/>
  <c r="F48" i="25"/>
  <c r="L47" i="25"/>
  <c r="K47" i="25"/>
  <c r="H47" i="25"/>
  <c r="G47" i="25"/>
  <c r="F47" i="25"/>
  <c r="L46" i="25"/>
  <c r="K46" i="25"/>
  <c r="H46" i="25"/>
  <c r="G46" i="25"/>
  <c r="F46" i="25"/>
  <c r="L45" i="25"/>
  <c r="K45" i="25"/>
  <c r="H45" i="25"/>
  <c r="G45" i="25"/>
  <c r="F45" i="25"/>
  <c r="L44" i="25"/>
  <c r="K44" i="25"/>
  <c r="H44" i="25"/>
  <c r="G44" i="25"/>
  <c r="F44" i="25"/>
  <c r="L43" i="25"/>
  <c r="K43" i="25"/>
  <c r="H43" i="25"/>
  <c r="G43" i="25"/>
  <c r="F43" i="25"/>
  <c r="L42" i="25"/>
  <c r="K42" i="25"/>
  <c r="H42" i="25"/>
  <c r="G42" i="25"/>
  <c r="F42" i="25"/>
  <c r="L41" i="25"/>
  <c r="K41" i="25"/>
  <c r="H41" i="25"/>
  <c r="G41" i="25"/>
  <c r="F41" i="25"/>
  <c r="L40" i="25"/>
  <c r="K40" i="25"/>
  <c r="H40" i="25"/>
  <c r="G40" i="25"/>
  <c r="F40" i="25"/>
  <c r="L39" i="25"/>
  <c r="K39" i="25"/>
  <c r="H39" i="25"/>
  <c r="G39" i="25"/>
  <c r="F39" i="25"/>
  <c r="L38" i="25"/>
  <c r="K38" i="25"/>
  <c r="H38" i="25"/>
  <c r="G38" i="25"/>
  <c r="F38" i="25"/>
  <c r="L37" i="25"/>
  <c r="K37" i="25"/>
  <c r="H37" i="25"/>
  <c r="G37" i="25"/>
  <c r="F37" i="25"/>
  <c r="L36" i="25"/>
  <c r="K36" i="25"/>
  <c r="H36" i="25"/>
  <c r="G36" i="25"/>
  <c r="F36" i="25"/>
  <c r="A36" i="25"/>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L35" i="25"/>
  <c r="K35" i="25"/>
  <c r="H35" i="25"/>
  <c r="H66" i="25" s="1"/>
  <c r="G35" i="25"/>
  <c r="G66" i="25" s="1"/>
  <c r="F35" i="25"/>
  <c r="P66" i="26"/>
  <c r="O66" i="26"/>
  <c r="N66" i="26"/>
  <c r="M66" i="26"/>
  <c r="J66" i="26"/>
  <c r="I66" i="26"/>
  <c r="E66" i="26"/>
  <c r="D66" i="26"/>
  <c r="L66" i="26" s="1"/>
  <c r="C66" i="26"/>
  <c r="B66" i="26"/>
  <c r="L65" i="26"/>
  <c r="K65" i="26"/>
  <c r="H65" i="26"/>
  <c r="G65" i="26"/>
  <c r="F65" i="26"/>
  <c r="L64" i="26"/>
  <c r="K64" i="26"/>
  <c r="H64" i="26"/>
  <c r="G64" i="26"/>
  <c r="F64" i="26"/>
  <c r="L63" i="26"/>
  <c r="K63" i="26"/>
  <c r="H63" i="26"/>
  <c r="G63" i="26"/>
  <c r="F63" i="26"/>
  <c r="L62" i="26"/>
  <c r="K62" i="26"/>
  <c r="H62" i="26"/>
  <c r="G62" i="26"/>
  <c r="F62" i="26"/>
  <c r="L61" i="26"/>
  <c r="K61" i="26"/>
  <c r="H61" i="26"/>
  <c r="G61" i="26"/>
  <c r="F61" i="26"/>
  <c r="L60" i="26"/>
  <c r="K60" i="26"/>
  <c r="H60" i="26"/>
  <c r="G60" i="26"/>
  <c r="F60" i="26"/>
  <c r="L59" i="26"/>
  <c r="K59" i="26"/>
  <c r="H59" i="26"/>
  <c r="G59" i="26"/>
  <c r="F59" i="26"/>
  <c r="L58" i="26"/>
  <c r="K58" i="26"/>
  <c r="H58" i="26"/>
  <c r="G58" i="26"/>
  <c r="F58" i="26"/>
  <c r="L57" i="26"/>
  <c r="K57" i="26"/>
  <c r="H57" i="26"/>
  <c r="G57" i="26"/>
  <c r="F57" i="26"/>
  <c r="L56" i="26"/>
  <c r="K56" i="26"/>
  <c r="H56" i="26"/>
  <c r="G56" i="26"/>
  <c r="F56" i="26"/>
  <c r="L55" i="26"/>
  <c r="K55" i="26"/>
  <c r="H55" i="26"/>
  <c r="G55" i="26"/>
  <c r="F55" i="26"/>
  <c r="L54" i="26"/>
  <c r="K54" i="26"/>
  <c r="H54" i="26"/>
  <c r="G54" i="26"/>
  <c r="F54" i="26"/>
  <c r="L53" i="26"/>
  <c r="K53" i="26"/>
  <c r="H53" i="26"/>
  <c r="G53" i="26"/>
  <c r="F53" i="26"/>
  <c r="L52" i="26"/>
  <c r="K52" i="26"/>
  <c r="H52" i="26"/>
  <c r="G52" i="26"/>
  <c r="F52" i="26"/>
  <c r="L51" i="26"/>
  <c r="K51" i="26"/>
  <c r="H51" i="26"/>
  <c r="G51" i="26"/>
  <c r="F51" i="26"/>
  <c r="L50" i="26"/>
  <c r="K50" i="26"/>
  <c r="H50" i="26"/>
  <c r="G50" i="26"/>
  <c r="F50" i="26"/>
  <c r="L49" i="26"/>
  <c r="K49" i="26"/>
  <c r="H49" i="26"/>
  <c r="G49" i="26"/>
  <c r="F49" i="26"/>
  <c r="L48" i="26"/>
  <c r="K48" i="26"/>
  <c r="H48" i="26"/>
  <c r="G48" i="26"/>
  <c r="F48" i="26"/>
  <c r="L47" i="26"/>
  <c r="K47" i="26"/>
  <c r="H47" i="26"/>
  <c r="G47" i="26"/>
  <c r="F47" i="26"/>
  <c r="L46" i="26"/>
  <c r="K46" i="26"/>
  <c r="H46" i="26"/>
  <c r="G46" i="26"/>
  <c r="F46" i="26"/>
  <c r="L45" i="26"/>
  <c r="K45" i="26"/>
  <c r="H45" i="26"/>
  <c r="G45" i="26"/>
  <c r="F45" i="26"/>
  <c r="L44" i="26"/>
  <c r="K44" i="26"/>
  <c r="H44" i="26"/>
  <c r="G44" i="26"/>
  <c r="F44" i="26"/>
  <c r="L43" i="26"/>
  <c r="K43" i="26"/>
  <c r="H43" i="26"/>
  <c r="G43" i="26"/>
  <c r="F43" i="26"/>
  <c r="L42" i="26"/>
  <c r="K42" i="26"/>
  <c r="H42" i="26"/>
  <c r="G42" i="26"/>
  <c r="F42" i="26"/>
  <c r="L41" i="26"/>
  <c r="K41" i="26"/>
  <c r="H41" i="26"/>
  <c r="G41" i="26"/>
  <c r="F41" i="26"/>
  <c r="L40" i="26"/>
  <c r="K40" i="26"/>
  <c r="H40" i="26"/>
  <c r="G40" i="26"/>
  <c r="F40" i="26"/>
  <c r="L39" i="26"/>
  <c r="K39" i="26"/>
  <c r="H39" i="26"/>
  <c r="G39" i="26"/>
  <c r="F39" i="26"/>
  <c r="L38" i="26"/>
  <c r="K38" i="26"/>
  <c r="H38" i="26"/>
  <c r="G38" i="26"/>
  <c r="F38" i="26"/>
  <c r="L37" i="26"/>
  <c r="K37" i="26"/>
  <c r="H37" i="26"/>
  <c r="G37" i="26"/>
  <c r="F37" i="26"/>
  <c r="L36" i="26"/>
  <c r="K36" i="26"/>
  <c r="H36" i="26"/>
  <c r="G36" i="26"/>
  <c r="F36" i="26"/>
  <c r="A36" i="26"/>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L35" i="26"/>
  <c r="K35" i="26"/>
  <c r="H35" i="26"/>
  <c r="H66" i="26" s="1"/>
  <c r="G35" i="26"/>
  <c r="G66" i="26" s="1"/>
  <c r="F35" i="26"/>
  <c r="P66" i="23"/>
  <c r="O66" i="23"/>
  <c r="N66" i="23"/>
  <c r="M66" i="23"/>
  <c r="J66" i="23"/>
  <c r="I66" i="23"/>
  <c r="K66" i="23" s="1"/>
  <c r="E66" i="23"/>
  <c r="D66" i="23"/>
  <c r="L66" i="23" s="1"/>
  <c r="C66" i="23"/>
  <c r="F66" i="23" s="1"/>
  <c r="B66" i="23"/>
  <c r="L65" i="23"/>
  <c r="K65" i="23"/>
  <c r="H65" i="23"/>
  <c r="G65" i="23"/>
  <c r="F65" i="23"/>
  <c r="L64" i="23"/>
  <c r="K64" i="23"/>
  <c r="H64" i="23"/>
  <c r="G64" i="23"/>
  <c r="F64" i="23"/>
  <c r="L63" i="23"/>
  <c r="K63" i="23"/>
  <c r="H63" i="23"/>
  <c r="G63" i="23"/>
  <c r="F63" i="23"/>
  <c r="L62" i="23"/>
  <c r="K62" i="23"/>
  <c r="H62" i="23"/>
  <c r="G62" i="23"/>
  <c r="F62" i="23"/>
  <c r="L61" i="23"/>
  <c r="K61" i="23"/>
  <c r="H61" i="23"/>
  <c r="G61" i="23"/>
  <c r="F61" i="23"/>
  <c r="L60" i="23"/>
  <c r="K60" i="23"/>
  <c r="H60" i="23"/>
  <c r="G60" i="23"/>
  <c r="F60" i="23"/>
  <c r="L59" i="23"/>
  <c r="K59" i="23"/>
  <c r="H59" i="23"/>
  <c r="G59" i="23"/>
  <c r="F59" i="23"/>
  <c r="L58" i="23"/>
  <c r="K58" i="23"/>
  <c r="H58" i="23"/>
  <c r="G58" i="23"/>
  <c r="F58" i="23"/>
  <c r="L57" i="23"/>
  <c r="K57" i="23"/>
  <c r="H57" i="23"/>
  <c r="G57" i="23"/>
  <c r="F57" i="23"/>
  <c r="L56" i="23"/>
  <c r="K56" i="23"/>
  <c r="H56" i="23"/>
  <c r="G56" i="23"/>
  <c r="F56" i="23"/>
  <c r="L55" i="23"/>
  <c r="K55" i="23"/>
  <c r="H55" i="23"/>
  <c r="G55" i="23"/>
  <c r="F55" i="23"/>
  <c r="L54" i="23"/>
  <c r="K54" i="23"/>
  <c r="H54" i="23"/>
  <c r="G54" i="23"/>
  <c r="F54" i="23"/>
  <c r="L53" i="23"/>
  <c r="K53" i="23"/>
  <c r="H53" i="23"/>
  <c r="G53" i="23"/>
  <c r="F53" i="23"/>
  <c r="L52" i="23"/>
  <c r="K52" i="23"/>
  <c r="H52" i="23"/>
  <c r="G52" i="23"/>
  <c r="F52" i="23"/>
  <c r="L51" i="23"/>
  <c r="K51" i="23"/>
  <c r="H51" i="23"/>
  <c r="G51" i="23"/>
  <c r="F51" i="23"/>
  <c r="L50" i="23"/>
  <c r="K50" i="23"/>
  <c r="H50" i="23"/>
  <c r="G50" i="23"/>
  <c r="F50" i="23"/>
  <c r="L49" i="23"/>
  <c r="K49" i="23"/>
  <c r="H49" i="23"/>
  <c r="G49" i="23"/>
  <c r="F49" i="23"/>
  <c r="L48" i="23"/>
  <c r="K48" i="23"/>
  <c r="H48" i="23"/>
  <c r="G48" i="23"/>
  <c r="F48" i="23"/>
  <c r="L47" i="23"/>
  <c r="K47" i="23"/>
  <c r="H47" i="23"/>
  <c r="G47" i="23"/>
  <c r="F47" i="23"/>
  <c r="L46" i="23"/>
  <c r="K46" i="23"/>
  <c r="H46" i="23"/>
  <c r="G46" i="23"/>
  <c r="F46" i="23"/>
  <c r="L45" i="23"/>
  <c r="K45" i="23"/>
  <c r="H45" i="23"/>
  <c r="G45" i="23"/>
  <c r="F45" i="23"/>
  <c r="L44" i="23"/>
  <c r="K44" i="23"/>
  <c r="H44" i="23"/>
  <c r="G44" i="23"/>
  <c r="F44" i="23"/>
  <c r="L43" i="23"/>
  <c r="K43" i="23"/>
  <c r="H43" i="23"/>
  <c r="G43" i="23"/>
  <c r="F43" i="23"/>
  <c r="L42" i="23"/>
  <c r="K42" i="23"/>
  <c r="H42" i="23"/>
  <c r="G42" i="23"/>
  <c r="F42" i="23"/>
  <c r="L41" i="23"/>
  <c r="K41" i="23"/>
  <c r="H41" i="23"/>
  <c r="G41" i="23"/>
  <c r="F41" i="23"/>
  <c r="L40" i="23"/>
  <c r="K40" i="23"/>
  <c r="H40" i="23"/>
  <c r="G40" i="23"/>
  <c r="F40" i="23"/>
  <c r="L39" i="23"/>
  <c r="K39" i="23"/>
  <c r="H39" i="23"/>
  <c r="G39" i="23"/>
  <c r="F39" i="23"/>
  <c r="L38" i="23"/>
  <c r="K38" i="23"/>
  <c r="H38" i="23"/>
  <c r="G38" i="23"/>
  <c r="F38" i="23"/>
  <c r="L37" i="23"/>
  <c r="K37" i="23"/>
  <c r="H37" i="23"/>
  <c r="G37" i="23"/>
  <c r="F37" i="23"/>
  <c r="L36" i="23"/>
  <c r="K36" i="23"/>
  <c r="H36" i="23"/>
  <c r="G36" i="23"/>
  <c r="F36" i="23"/>
  <c r="A36" i="23"/>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L35" i="23"/>
  <c r="K35" i="23"/>
  <c r="H35" i="23"/>
  <c r="H66" i="23" s="1"/>
  <c r="G35" i="23"/>
  <c r="G66" i="23" s="1"/>
  <c r="F35" i="23"/>
  <c r="P66" i="20"/>
  <c r="O66" i="20"/>
  <c r="N66" i="20"/>
  <c r="M66" i="20"/>
  <c r="J66" i="20"/>
  <c r="I66" i="20"/>
  <c r="K66" i="20" s="1"/>
  <c r="E66" i="20"/>
  <c r="D66" i="20"/>
  <c r="L66" i="20" s="1"/>
  <c r="C66" i="20"/>
  <c r="B66" i="20"/>
  <c r="L65" i="20"/>
  <c r="K65" i="20"/>
  <c r="H65" i="20"/>
  <c r="G65" i="20"/>
  <c r="F65" i="20"/>
  <c r="L64" i="20"/>
  <c r="K64" i="20"/>
  <c r="H64" i="20"/>
  <c r="G64" i="20"/>
  <c r="F64" i="20"/>
  <c r="L63" i="20"/>
  <c r="K63" i="20"/>
  <c r="H63" i="20"/>
  <c r="G63" i="20"/>
  <c r="F63" i="20"/>
  <c r="L62" i="20"/>
  <c r="K62" i="20"/>
  <c r="H62" i="20"/>
  <c r="G62" i="20"/>
  <c r="F62" i="20"/>
  <c r="L61" i="20"/>
  <c r="K61" i="20"/>
  <c r="H61" i="20"/>
  <c r="G61" i="20"/>
  <c r="F61" i="20"/>
  <c r="L60" i="20"/>
  <c r="K60" i="20"/>
  <c r="H60" i="20"/>
  <c r="G60" i="20"/>
  <c r="F60" i="20"/>
  <c r="L59" i="20"/>
  <c r="K59" i="20"/>
  <c r="H59" i="20"/>
  <c r="G59" i="20"/>
  <c r="F59" i="20"/>
  <c r="L58" i="20"/>
  <c r="K58" i="20"/>
  <c r="H58" i="20"/>
  <c r="G58" i="20"/>
  <c r="F58" i="20"/>
  <c r="L57" i="20"/>
  <c r="K57" i="20"/>
  <c r="H57" i="20"/>
  <c r="G57" i="20"/>
  <c r="F57" i="20"/>
  <c r="L56" i="20"/>
  <c r="K56" i="20"/>
  <c r="H56" i="20"/>
  <c r="G56" i="20"/>
  <c r="F56" i="20"/>
  <c r="L55" i="20"/>
  <c r="K55" i="20"/>
  <c r="H55" i="20"/>
  <c r="G55" i="20"/>
  <c r="F55" i="20"/>
  <c r="L54" i="20"/>
  <c r="K54" i="20"/>
  <c r="H54" i="20"/>
  <c r="G54" i="20"/>
  <c r="F54" i="20"/>
  <c r="L53" i="20"/>
  <c r="K53" i="20"/>
  <c r="H53" i="20"/>
  <c r="G53" i="20"/>
  <c r="F53" i="20"/>
  <c r="L52" i="20"/>
  <c r="K52" i="20"/>
  <c r="H52" i="20"/>
  <c r="G52" i="20"/>
  <c r="F52" i="20"/>
  <c r="L51" i="20"/>
  <c r="K51" i="20"/>
  <c r="H51" i="20"/>
  <c r="G51" i="20"/>
  <c r="F51" i="20"/>
  <c r="L50" i="20"/>
  <c r="K50" i="20"/>
  <c r="H50" i="20"/>
  <c r="G50" i="20"/>
  <c r="F50" i="20"/>
  <c r="L49" i="20"/>
  <c r="K49" i="20"/>
  <c r="H49" i="20"/>
  <c r="G49" i="20"/>
  <c r="F49" i="20"/>
  <c r="L48" i="20"/>
  <c r="K48" i="20"/>
  <c r="H48" i="20"/>
  <c r="G48" i="20"/>
  <c r="F48" i="20"/>
  <c r="L47" i="20"/>
  <c r="K47" i="20"/>
  <c r="H47" i="20"/>
  <c r="G47" i="20"/>
  <c r="F47" i="20"/>
  <c r="L46" i="20"/>
  <c r="K46" i="20"/>
  <c r="H46" i="20"/>
  <c r="G46" i="20"/>
  <c r="F46" i="20"/>
  <c r="L45" i="20"/>
  <c r="K45" i="20"/>
  <c r="H45" i="20"/>
  <c r="G45" i="20"/>
  <c r="F45" i="20"/>
  <c r="L44" i="20"/>
  <c r="K44" i="20"/>
  <c r="H44" i="20"/>
  <c r="G44" i="20"/>
  <c r="F44" i="20"/>
  <c r="L43" i="20"/>
  <c r="K43" i="20"/>
  <c r="H43" i="20"/>
  <c r="G43" i="20"/>
  <c r="F43" i="20"/>
  <c r="L42" i="20"/>
  <c r="K42" i="20"/>
  <c r="H42" i="20"/>
  <c r="G42" i="20"/>
  <c r="F42" i="20"/>
  <c r="L41" i="20"/>
  <c r="K41" i="20"/>
  <c r="H41" i="20"/>
  <c r="G41" i="20"/>
  <c r="F41" i="20"/>
  <c r="L40" i="20"/>
  <c r="K40" i="20"/>
  <c r="H40" i="20"/>
  <c r="G40" i="20"/>
  <c r="F40" i="20"/>
  <c r="L39" i="20"/>
  <c r="K39" i="20"/>
  <c r="H39" i="20"/>
  <c r="G39" i="20"/>
  <c r="F39" i="20"/>
  <c r="L38" i="20"/>
  <c r="K38" i="20"/>
  <c r="H38" i="20"/>
  <c r="G38" i="20"/>
  <c r="F38" i="20"/>
  <c r="L37" i="20"/>
  <c r="K37" i="20"/>
  <c r="H37" i="20"/>
  <c r="G37" i="20"/>
  <c r="F37" i="20"/>
  <c r="L36" i="20"/>
  <c r="K36" i="20"/>
  <c r="H36" i="20"/>
  <c r="G36" i="20"/>
  <c r="F36" i="20"/>
  <c r="L35" i="20"/>
  <c r="K35" i="20"/>
  <c r="H35" i="20"/>
  <c r="H66" i="20" s="1"/>
  <c r="G35" i="20"/>
  <c r="G66" i="20" s="1"/>
  <c r="F35" i="20"/>
  <c r="A36" i="20"/>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E66" i="22"/>
  <c r="D66" i="22"/>
  <c r="C66" i="22"/>
  <c r="B66" i="22"/>
  <c r="P66" i="22"/>
  <c r="O66" i="22"/>
  <c r="N66" i="22"/>
  <c r="M66" i="22"/>
  <c r="J66" i="22"/>
  <c r="L66" i="22" s="1"/>
  <c r="I66" i="22"/>
  <c r="K66" i="22" s="1"/>
  <c r="F66" i="22"/>
  <c r="A65" i="22"/>
  <c r="L58" i="22"/>
  <c r="K58" i="22"/>
  <c r="H58" i="22"/>
  <c r="G58" i="22"/>
  <c r="F58" i="22"/>
  <c r="L57" i="22"/>
  <c r="K57" i="22"/>
  <c r="H57" i="22"/>
  <c r="G57" i="22"/>
  <c r="F57" i="22"/>
  <c r="L56" i="22"/>
  <c r="K56" i="22"/>
  <c r="H56" i="22"/>
  <c r="G56" i="22"/>
  <c r="F56" i="22"/>
  <c r="L55" i="22"/>
  <c r="K55" i="22"/>
  <c r="H55" i="22"/>
  <c r="G55" i="22"/>
  <c r="F55" i="22"/>
  <c r="L54" i="22"/>
  <c r="K54" i="22"/>
  <c r="H54" i="22"/>
  <c r="G54" i="22"/>
  <c r="F54" i="22"/>
  <c r="L53" i="22"/>
  <c r="K53" i="22"/>
  <c r="H53" i="22"/>
  <c r="G53" i="22"/>
  <c r="F53" i="22"/>
  <c r="L52" i="22"/>
  <c r="K52" i="22"/>
  <c r="H52" i="22"/>
  <c r="G52" i="22"/>
  <c r="F52" i="22"/>
  <c r="L51" i="22"/>
  <c r="K51" i="22"/>
  <c r="H51" i="22"/>
  <c r="G51" i="22"/>
  <c r="F51" i="22"/>
  <c r="L50" i="22"/>
  <c r="K50" i="22"/>
  <c r="H50" i="22"/>
  <c r="G50" i="22"/>
  <c r="F50" i="22"/>
  <c r="L49" i="22"/>
  <c r="K49" i="22"/>
  <c r="H49" i="22"/>
  <c r="G49" i="22"/>
  <c r="F49" i="22"/>
  <c r="L48" i="22"/>
  <c r="K48" i="22"/>
  <c r="H48" i="22"/>
  <c r="G48" i="22"/>
  <c r="F48" i="22"/>
  <c r="L47" i="22"/>
  <c r="K47" i="22"/>
  <c r="H47" i="22"/>
  <c r="G47" i="22"/>
  <c r="F47" i="22"/>
  <c r="L46" i="22"/>
  <c r="K46" i="22"/>
  <c r="H46" i="22"/>
  <c r="G46" i="22"/>
  <c r="F46" i="22"/>
  <c r="L45" i="22"/>
  <c r="K45" i="22"/>
  <c r="H45" i="22"/>
  <c r="G45" i="22"/>
  <c r="F45" i="22"/>
  <c r="L44" i="22"/>
  <c r="K44" i="22"/>
  <c r="H44" i="22"/>
  <c r="G44" i="22"/>
  <c r="F44" i="22"/>
  <c r="L43" i="22"/>
  <c r="K43" i="22"/>
  <c r="H43" i="22"/>
  <c r="G43" i="22"/>
  <c r="F43" i="22"/>
  <c r="L42" i="22"/>
  <c r="K42" i="22"/>
  <c r="H42" i="22"/>
  <c r="G42" i="22"/>
  <c r="F42" i="22"/>
  <c r="L41" i="22"/>
  <c r="K41" i="22"/>
  <c r="H41" i="22"/>
  <c r="G41" i="22"/>
  <c r="F41" i="22"/>
  <c r="L40" i="22"/>
  <c r="K40" i="22"/>
  <c r="H40" i="22"/>
  <c r="G40" i="22"/>
  <c r="F40" i="22"/>
  <c r="L39" i="22"/>
  <c r="K39" i="22"/>
  <c r="H39" i="22"/>
  <c r="G39" i="22"/>
  <c r="F39" i="22"/>
  <c r="L38" i="22"/>
  <c r="K38" i="22"/>
  <c r="H38" i="22"/>
  <c r="G38" i="22"/>
  <c r="F38" i="22"/>
  <c r="L37" i="22"/>
  <c r="K37" i="22"/>
  <c r="H37" i="22"/>
  <c r="G37" i="22"/>
  <c r="F37" i="22"/>
  <c r="L36" i="22"/>
  <c r="K36" i="22"/>
  <c r="H36" i="22"/>
  <c r="G36" i="22"/>
  <c r="F36" i="22"/>
  <c r="L35" i="22"/>
  <c r="K35" i="22"/>
  <c r="H35" i="22"/>
  <c r="H66" i="22" s="1"/>
  <c r="G35" i="22"/>
  <c r="G66" i="22" s="1"/>
  <c r="F35" i="22"/>
  <c r="A36" i="22"/>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P66" i="21"/>
  <c r="O66" i="21"/>
  <c r="N66" i="21"/>
  <c r="M66" i="21"/>
  <c r="J66" i="21"/>
  <c r="I66" i="21"/>
  <c r="K66" i="21" s="1"/>
  <c r="E66" i="21"/>
  <c r="D66" i="21"/>
  <c r="L66" i="21" s="1"/>
  <c r="C66" i="21"/>
  <c r="F66" i="21" s="1"/>
  <c r="B66" i="21"/>
  <c r="L65" i="21"/>
  <c r="K65" i="21"/>
  <c r="H65" i="21"/>
  <c r="G65" i="21"/>
  <c r="F65" i="21"/>
  <c r="A65" i="21"/>
  <c r="L64" i="21"/>
  <c r="K64" i="21"/>
  <c r="H64" i="21"/>
  <c r="G64" i="21"/>
  <c r="F64" i="21"/>
  <c r="L63" i="21"/>
  <c r="K63" i="21"/>
  <c r="H63" i="21"/>
  <c r="G63" i="21"/>
  <c r="F63" i="21"/>
  <c r="L62" i="21"/>
  <c r="K62" i="21"/>
  <c r="H62" i="21"/>
  <c r="G62" i="21"/>
  <c r="F62" i="21"/>
  <c r="L61" i="21"/>
  <c r="K61" i="21"/>
  <c r="H61" i="21"/>
  <c r="G61" i="21"/>
  <c r="F61" i="21"/>
  <c r="L60" i="21"/>
  <c r="K60" i="21"/>
  <c r="H60" i="21"/>
  <c r="G60" i="21"/>
  <c r="F60" i="21"/>
  <c r="L59" i="21"/>
  <c r="K59" i="21"/>
  <c r="H59" i="21"/>
  <c r="G59" i="21"/>
  <c r="F59" i="21"/>
  <c r="L58" i="21"/>
  <c r="K58" i="21"/>
  <c r="H58" i="21"/>
  <c r="G58" i="21"/>
  <c r="F58" i="21"/>
  <c r="L57" i="21"/>
  <c r="K57" i="21"/>
  <c r="H57" i="21"/>
  <c r="G57" i="21"/>
  <c r="F57" i="21"/>
  <c r="L56" i="21"/>
  <c r="K56" i="21"/>
  <c r="H56" i="21"/>
  <c r="G56" i="21"/>
  <c r="F56" i="21"/>
  <c r="L55" i="21"/>
  <c r="K55" i="21"/>
  <c r="H55" i="21"/>
  <c r="G55" i="21"/>
  <c r="F55" i="21"/>
  <c r="L54" i="21"/>
  <c r="K54" i="21"/>
  <c r="H54" i="21"/>
  <c r="G54" i="21"/>
  <c r="F54" i="21"/>
  <c r="L53" i="21"/>
  <c r="K53" i="21"/>
  <c r="H53" i="21"/>
  <c r="G53" i="21"/>
  <c r="F53" i="21"/>
  <c r="L52" i="21"/>
  <c r="K52" i="21"/>
  <c r="H52" i="21"/>
  <c r="G52" i="21"/>
  <c r="F52" i="21"/>
  <c r="L51" i="21"/>
  <c r="K51" i="21"/>
  <c r="H51" i="21"/>
  <c r="G51" i="21"/>
  <c r="F51" i="21"/>
  <c r="L50" i="21"/>
  <c r="K50" i="21"/>
  <c r="H50" i="21"/>
  <c r="G50" i="21"/>
  <c r="F50" i="21"/>
  <c r="L49" i="21"/>
  <c r="K49" i="21"/>
  <c r="H49" i="21"/>
  <c r="G49" i="21"/>
  <c r="F49" i="21"/>
  <c r="L48" i="21"/>
  <c r="K48" i="21"/>
  <c r="H48" i="21"/>
  <c r="G48" i="21"/>
  <c r="F48" i="21"/>
  <c r="L47" i="21"/>
  <c r="K47" i="21"/>
  <c r="H47" i="21"/>
  <c r="G47" i="21"/>
  <c r="F47" i="21"/>
  <c r="L46" i="21"/>
  <c r="K46" i="21"/>
  <c r="H46" i="21"/>
  <c r="G46" i="21"/>
  <c r="F46" i="21"/>
  <c r="L45" i="21"/>
  <c r="K45" i="21"/>
  <c r="H45" i="21"/>
  <c r="G45" i="21"/>
  <c r="F45" i="21"/>
  <c r="L44" i="21"/>
  <c r="K44" i="21"/>
  <c r="H44" i="21"/>
  <c r="G44" i="21"/>
  <c r="F44" i="21"/>
  <c r="L43" i="21"/>
  <c r="K43" i="21"/>
  <c r="H43" i="21"/>
  <c r="G43" i="21"/>
  <c r="F43" i="21"/>
  <c r="L42" i="21"/>
  <c r="K42" i="21"/>
  <c r="H42" i="21"/>
  <c r="G42" i="21"/>
  <c r="F42" i="21"/>
  <c r="L41" i="21"/>
  <c r="K41" i="21"/>
  <c r="H41" i="21"/>
  <c r="G41" i="21"/>
  <c r="F41" i="21"/>
  <c r="L40" i="21"/>
  <c r="K40" i="21"/>
  <c r="H40" i="21"/>
  <c r="G40" i="21"/>
  <c r="F40" i="21"/>
  <c r="L39" i="21"/>
  <c r="K39" i="21"/>
  <c r="H39" i="21"/>
  <c r="G39" i="21"/>
  <c r="F39" i="21"/>
  <c r="L38" i="21"/>
  <c r="K38" i="21"/>
  <c r="H38" i="21"/>
  <c r="G38" i="21"/>
  <c r="F38" i="21"/>
  <c r="L37" i="21"/>
  <c r="K37" i="21"/>
  <c r="H37" i="21"/>
  <c r="G37" i="21"/>
  <c r="F37" i="21"/>
  <c r="L36" i="21"/>
  <c r="K36" i="21"/>
  <c r="H36" i="21"/>
  <c r="G36" i="21"/>
  <c r="F36" i="21"/>
  <c r="L35" i="21"/>
  <c r="K35" i="21"/>
  <c r="H35" i="21"/>
  <c r="H66" i="21" s="1"/>
  <c r="G35" i="21"/>
  <c r="G66" i="21" s="1"/>
  <c r="F35" i="21"/>
  <c r="A36" i="2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P66" i="18"/>
  <c r="O66" i="18"/>
  <c r="N66" i="18"/>
  <c r="M66" i="18"/>
  <c r="J66" i="18"/>
  <c r="I66" i="18"/>
  <c r="E66" i="18"/>
  <c r="D66" i="18"/>
  <c r="L66" i="18" s="1"/>
  <c r="C66" i="18"/>
  <c r="B66" i="18"/>
  <c r="P66" i="4"/>
  <c r="O66" i="4"/>
  <c r="N66" i="4"/>
  <c r="M66" i="4"/>
  <c r="J66" i="4"/>
  <c r="I66" i="4"/>
  <c r="E66" i="4"/>
  <c r="D66" i="4"/>
  <c r="L66" i="4" s="1"/>
  <c r="C66" i="4"/>
  <c r="B66" i="4"/>
  <c r="E34" i="19"/>
  <c r="L65" i="18"/>
  <c r="K65" i="18"/>
  <c r="H65" i="18"/>
  <c r="G65" i="18"/>
  <c r="F65" i="18"/>
  <c r="A65" i="18"/>
  <c r="L64" i="18"/>
  <c r="K64" i="18"/>
  <c r="H64" i="18"/>
  <c r="G64" i="18"/>
  <c r="F64" i="18"/>
  <c r="L63" i="18"/>
  <c r="K63" i="18"/>
  <c r="H63" i="18"/>
  <c r="G63" i="18"/>
  <c r="F63" i="18"/>
  <c r="L62" i="18"/>
  <c r="K62" i="18"/>
  <c r="H62" i="18"/>
  <c r="G62" i="18"/>
  <c r="F62" i="18"/>
  <c r="L61" i="18"/>
  <c r="K61" i="18"/>
  <c r="H61" i="18"/>
  <c r="G61" i="18"/>
  <c r="F61" i="18"/>
  <c r="L60" i="18"/>
  <c r="K60" i="18"/>
  <c r="H60" i="18"/>
  <c r="G60" i="18"/>
  <c r="F60" i="18"/>
  <c r="L59" i="18"/>
  <c r="K59" i="18"/>
  <c r="H59" i="18"/>
  <c r="G59" i="18"/>
  <c r="F59" i="18"/>
  <c r="L58" i="18"/>
  <c r="K58" i="18"/>
  <c r="H58" i="18"/>
  <c r="G58" i="18"/>
  <c r="F58" i="18"/>
  <c r="L57" i="18"/>
  <c r="K57" i="18"/>
  <c r="H57" i="18"/>
  <c r="G57" i="18"/>
  <c r="F57" i="18"/>
  <c r="L56" i="18"/>
  <c r="K56" i="18"/>
  <c r="H56" i="18"/>
  <c r="G56" i="18"/>
  <c r="F56" i="18"/>
  <c r="L55" i="18"/>
  <c r="K55" i="18"/>
  <c r="H55" i="18"/>
  <c r="G55" i="18"/>
  <c r="F55" i="18"/>
  <c r="L54" i="18"/>
  <c r="K54" i="18"/>
  <c r="H54" i="18"/>
  <c r="G54" i="18"/>
  <c r="F54" i="18"/>
  <c r="L53" i="18"/>
  <c r="K53" i="18"/>
  <c r="H53" i="18"/>
  <c r="G53" i="18"/>
  <c r="F53" i="18"/>
  <c r="L52" i="18"/>
  <c r="K52" i="18"/>
  <c r="H52" i="18"/>
  <c r="G52" i="18"/>
  <c r="F52" i="18"/>
  <c r="L51" i="18"/>
  <c r="K51" i="18"/>
  <c r="H51" i="18"/>
  <c r="G51" i="18"/>
  <c r="F51" i="18"/>
  <c r="L50" i="18"/>
  <c r="K50" i="18"/>
  <c r="H50" i="18"/>
  <c r="G50" i="18"/>
  <c r="F50" i="18"/>
  <c r="L49" i="18"/>
  <c r="K49" i="18"/>
  <c r="H49" i="18"/>
  <c r="G49" i="18"/>
  <c r="F49" i="18"/>
  <c r="L48" i="18"/>
  <c r="K48" i="18"/>
  <c r="H48" i="18"/>
  <c r="G48" i="18"/>
  <c r="F48" i="18"/>
  <c r="L47" i="18"/>
  <c r="K47" i="18"/>
  <c r="H47" i="18"/>
  <c r="G47" i="18"/>
  <c r="F47" i="18"/>
  <c r="L46" i="18"/>
  <c r="K46" i="18"/>
  <c r="H46" i="18"/>
  <c r="G46" i="18"/>
  <c r="F46" i="18"/>
  <c r="L45" i="18"/>
  <c r="K45" i="18"/>
  <c r="H45" i="18"/>
  <c r="G45" i="18"/>
  <c r="F45" i="18"/>
  <c r="L44" i="18"/>
  <c r="K44" i="18"/>
  <c r="H44" i="18"/>
  <c r="G44" i="18"/>
  <c r="F44" i="18"/>
  <c r="L43" i="18"/>
  <c r="K43" i="18"/>
  <c r="H43" i="18"/>
  <c r="G43" i="18"/>
  <c r="F43" i="18"/>
  <c r="L42" i="18"/>
  <c r="K42" i="18"/>
  <c r="H42" i="18"/>
  <c r="G42" i="18"/>
  <c r="F42" i="18"/>
  <c r="L41" i="18"/>
  <c r="K41" i="18"/>
  <c r="H41" i="18"/>
  <c r="G41" i="18"/>
  <c r="F41" i="18"/>
  <c r="L40" i="18"/>
  <c r="K40" i="18"/>
  <c r="H40" i="18"/>
  <c r="G40" i="18"/>
  <c r="F40" i="18"/>
  <c r="L39" i="18"/>
  <c r="K39" i="18"/>
  <c r="H39" i="18"/>
  <c r="G39" i="18"/>
  <c r="F39" i="18"/>
  <c r="L38" i="18"/>
  <c r="K38" i="18"/>
  <c r="H38" i="18"/>
  <c r="G38" i="18"/>
  <c r="F38" i="18"/>
  <c r="L37" i="18"/>
  <c r="K37" i="18"/>
  <c r="H37" i="18"/>
  <c r="G37" i="18"/>
  <c r="F37" i="18"/>
  <c r="L36" i="18"/>
  <c r="K36" i="18"/>
  <c r="H36" i="18"/>
  <c r="G36" i="18"/>
  <c r="F36" i="18"/>
  <c r="L35" i="18"/>
  <c r="H35" i="18"/>
  <c r="H66" i="18" s="1"/>
  <c r="G35" i="18"/>
  <c r="G66" i="18" s="1"/>
  <c r="A36" i="18"/>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J34" i="99"/>
  <c r="I34" i="99"/>
  <c r="E34" i="99"/>
  <c r="D34" i="99"/>
  <c r="C34" i="99"/>
  <c r="B34" i="99"/>
  <c r="L65" i="4"/>
  <c r="K65" i="4"/>
  <c r="H65" i="4"/>
  <c r="G65" i="4"/>
  <c r="F65" i="4"/>
  <c r="A65" i="4"/>
  <c r="L64" i="4"/>
  <c r="K64" i="4"/>
  <c r="H64" i="4"/>
  <c r="G64" i="4"/>
  <c r="F64" i="4"/>
  <c r="L63" i="4"/>
  <c r="K63" i="4"/>
  <c r="H63" i="4"/>
  <c r="G63" i="4"/>
  <c r="F63" i="4"/>
  <c r="L62" i="4"/>
  <c r="K62" i="4"/>
  <c r="H62" i="4"/>
  <c r="G62" i="4"/>
  <c r="F62" i="4"/>
  <c r="L61" i="4"/>
  <c r="K61" i="4"/>
  <c r="H61" i="4"/>
  <c r="G61" i="4"/>
  <c r="F61" i="4"/>
  <c r="L60" i="4"/>
  <c r="K60" i="4"/>
  <c r="H60" i="4"/>
  <c r="G60" i="4"/>
  <c r="F60" i="4"/>
  <c r="L59" i="4"/>
  <c r="K59" i="4"/>
  <c r="H59" i="4"/>
  <c r="G59" i="4"/>
  <c r="F59" i="4"/>
  <c r="L58" i="4"/>
  <c r="K58" i="4"/>
  <c r="H58" i="4"/>
  <c r="G58" i="4"/>
  <c r="F58" i="4"/>
  <c r="L57" i="4"/>
  <c r="K57" i="4"/>
  <c r="H57" i="4"/>
  <c r="G57" i="4"/>
  <c r="F57" i="4"/>
  <c r="L56" i="4"/>
  <c r="K56" i="4"/>
  <c r="H56" i="4"/>
  <c r="G56" i="4"/>
  <c r="F56" i="4"/>
  <c r="L55" i="4"/>
  <c r="K55" i="4"/>
  <c r="H55" i="4"/>
  <c r="G55" i="4"/>
  <c r="F55" i="4"/>
  <c r="L54" i="4"/>
  <c r="K54" i="4"/>
  <c r="H54" i="4"/>
  <c r="G54" i="4"/>
  <c r="F54" i="4"/>
  <c r="L53" i="4"/>
  <c r="K53" i="4"/>
  <c r="H53" i="4"/>
  <c r="G53" i="4"/>
  <c r="F53" i="4"/>
  <c r="L52" i="4"/>
  <c r="K52" i="4"/>
  <c r="H52" i="4"/>
  <c r="G52" i="4"/>
  <c r="F52" i="4"/>
  <c r="L51" i="4"/>
  <c r="K51" i="4"/>
  <c r="H51" i="4"/>
  <c r="G51" i="4"/>
  <c r="F51" i="4"/>
  <c r="L50" i="4"/>
  <c r="K50" i="4"/>
  <c r="H50" i="4"/>
  <c r="G50" i="4"/>
  <c r="F50" i="4"/>
  <c r="L49" i="4"/>
  <c r="K49" i="4"/>
  <c r="H49" i="4"/>
  <c r="G49" i="4"/>
  <c r="F49" i="4"/>
  <c r="L48" i="4"/>
  <c r="K48" i="4"/>
  <c r="H48" i="4"/>
  <c r="G48" i="4"/>
  <c r="F48" i="4"/>
  <c r="L47" i="4"/>
  <c r="K47" i="4"/>
  <c r="H47" i="4"/>
  <c r="G47" i="4"/>
  <c r="F47" i="4"/>
  <c r="L46" i="4"/>
  <c r="K46" i="4"/>
  <c r="H46" i="4"/>
  <c r="G46" i="4"/>
  <c r="F46" i="4"/>
  <c r="L45" i="4"/>
  <c r="K45" i="4"/>
  <c r="H45" i="4"/>
  <c r="G45" i="4"/>
  <c r="F45" i="4"/>
  <c r="L44" i="4"/>
  <c r="K44" i="4"/>
  <c r="H44" i="4"/>
  <c r="G44" i="4"/>
  <c r="F44" i="4"/>
  <c r="L43" i="4"/>
  <c r="K43" i="4"/>
  <c r="H43" i="4"/>
  <c r="G43" i="4"/>
  <c r="F43" i="4"/>
  <c r="L42" i="4"/>
  <c r="K42" i="4"/>
  <c r="H42" i="4"/>
  <c r="G42" i="4"/>
  <c r="F42" i="4"/>
  <c r="L41" i="4"/>
  <c r="K41" i="4"/>
  <c r="H41" i="4"/>
  <c r="G41" i="4"/>
  <c r="F41" i="4"/>
  <c r="L40" i="4"/>
  <c r="K40" i="4"/>
  <c r="H40" i="4"/>
  <c r="G40" i="4"/>
  <c r="F40" i="4"/>
  <c r="L39" i="4"/>
  <c r="K39" i="4"/>
  <c r="H39" i="4"/>
  <c r="G39" i="4"/>
  <c r="F39" i="4"/>
  <c r="L38" i="4"/>
  <c r="K38" i="4"/>
  <c r="H38" i="4"/>
  <c r="G38" i="4"/>
  <c r="F38" i="4"/>
  <c r="L37" i="4"/>
  <c r="K37" i="4"/>
  <c r="H37" i="4"/>
  <c r="G37" i="4"/>
  <c r="F37" i="4"/>
  <c r="L36" i="4"/>
  <c r="K36" i="4"/>
  <c r="H36" i="4"/>
  <c r="G36" i="4"/>
  <c r="F36" i="4"/>
  <c r="L35" i="4"/>
  <c r="H35" i="4"/>
  <c r="H66" i="4" s="1"/>
  <c r="G35" i="4"/>
  <c r="G66" i="4" s="1"/>
  <c r="A36" i="4"/>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F4" i="99"/>
  <c r="G4" i="99"/>
  <c r="H4" i="99"/>
  <c r="K4" i="99"/>
  <c r="L4" i="99"/>
  <c r="A5" i="99"/>
  <c r="F5" i="99"/>
  <c r="G5" i="99"/>
  <c r="H5" i="99"/>
  <c r="K5" i="99"/>
  <c r="L5" i="99"/>
  <c r="A6" i="99"/>
  <c r="F6" i="99"/>
  <c r="G6" i="99"/>
  <c r="H6" i="99"/>
  <c r="K6" i="99"/>
  <c r="L6" i="99"/>
  <c r="P34" i="99"/>
  <c r="O34" i="99"/>
  <c r="N34" i="99"/>
  <c r="M34" i="99"/>
  <c r="L34" i="99"/>
  <c r="L33" i="99"/>
  <c r="K33" i="99"/>
  <c r="H33" i="99"/>
  <c r="G33" i="99"/>
  <c r="F33" i="99"/>
  <c r="L32" i="99"/>
  <c r="K32" i="99"/>
  <c r="H32" i="99"/>
  <c r="G32" i="99"/>
  <c r="F32" i="99"/>
  <c r="L31" i="99"/>
  <c r="K31" i="99"/>
  <c r="H31" i="99"/>
  <c r="G31" i="99"/>
  <c r="F31" i="99"/>
  <c r="L30" i="99"/>
  <c r="K30" i="99"/>
  <c r="H30" i="99"/>
  <c r="G30" i="99"/>
  <c r="F30" i="99"/>
  <c r="L29" i="99"/>
  <c r="K29" i="99"/>
  <c r="H29" i="99"/>
  <c r="G29" i="99"/>
  <c r="F29" i="99"/>
  <c r="L28" i="99"/>
  <c r="K28" i="99"/>
  <c r="H28" i="99"/>
  <c r="G28" i="99"/>
  <c r="F28" i="99"/>
  <c r="L27" i="99"/>
  <c r="K27" i="99"/>
  <c r="H27" i="99"/>
  <c r="G27" i="99"/>
  <c r="F27" i="99"/>
  <c r="L26" i="99"/>
  <c r="K26" i="99"/>
  <c r="H26" i="99"/>
  <c r="G26" i="99"/>
  <c r="F26" i="99"/>
  <c r="L25" i="99"/>
  <c r="K25" i="99"/>
  <c r="H25" i="99"/>
  <c r="G25" i="99"/>
  <c r="F25" i="99"/>
  <c r="L24" i="99"/>
  <c r="K24" i="99"/>
  <c r="H24" i="99"/>
  <c r="G24" i="99"/>
  <c r="F24" i="99"/>
  <c r="L23" i="99"/>
  <c r="K23" i="99"/>
  <c r="H23" i="99"/>
  <c r="G23" i="99"/>
  <c r="F23" i="99"/>
  <c r="L22" i="99"/>
  <c r="K22" i="99"/>
  <c r="H22" i="99"/>
  <c r="G22" i="99"/>
  <c r="F22" i="99"/>
  <c r="L21" i="99"/>
  <c r="K21" i="99"/>
  <c r="H21" i="99"/>
  <c r="G21" i="99"/>
  <c r="F21" i="99"/>
  <c r="L20" i="99"/>
  <c r="K20" i="99"/>
  <c r="H20" i="99"/>
  <c r="G20" i="99"/>
  <c r="F20" i="99"/>
  <c r="L19" i="99"/>
  <c r="K19" i="99"/>
  <c r="H19" i="99"/>
  <c r="G19" i="99"/>
  <c r="F19" i="99"/>
  <c r="L18" i="99"/>
  <c r="K18" i="99"/>
  <c r="H18" i="99"/>
  <c r="G18" i="99"/>
  <c r="F18" i="99"/>
  <c r="L17" i="99"/>
  <c r="K17" i="99"/>
  <c r="H17" i="99"/>
  <c r="G17" i="99"/>
  <c r="F17" i="99"/>
  <c r="L16" i="99"/>
  <c r="K16" i="99"/>
  <c r="H16" i="99"/>
  <c r="G16" i="99"/>
  <c r="F16" i="99"/>
  <c r="L15" i="99"/>
  <c r="K15" i="99"/>
  <c r="H15" i="99"/>
  <c r="G15" i="99"/>
  <c r="F15" i="99"/>
  <c r="L14" i="99"/>
  <c r="K14" i="99"/>
  <c r="H14" i="99"/>
  <c r="G14" i="99"/>
  <c r="F14" i="99"/>
  <c r="L13" i="99"/>
  <c r="K13" i="99"/>
  <c r="H13" i="99"/>
  <c r="G13" i="99"/>
  <c r="F13" i="99"/>
  <c r="L12" i="99"/>
  <c r="K12" i="99"/>
  <c r="H12" i="99"/>
  <c r="G12" i="99"/>
  <c r="F12" i="99"/>
  <c r="L11" i="99"/>
  <c r="K11" i="99"/>
  <c r="H11" i="99"/>
  <c r="G11" i="99"/>
  <c r="F11" i="99"/>
  <c r="L10" i="99"/>
  <c r="K10" i="99"/>
  <c r="H10" i="99"/>
  <c r="G10" i="99"/>
  <c r="F10" i="99"/>
  <c r="L9" i="99"/>
  <c r="K9" i="99"/>
  <c r="H9" i="99"/>
  <c r="G9" i="99"/>
  <c r="F9" i="99"/>
  <c r="L8" i="99"/>
  <c r="K8" i="99"/>
  <c r="H8" i="99"/>
  <c r="G8" i="99"/>
  <c r="F8" i="99"/>
  <c r="L7" i="99"/>
  <c r="K7" i="99"/>
  <c r="H7" i="99"/>
  <c r="G7" i="99"/>
  <c r="F7" i="99"/>
  <c r="A7" i="99"/>
  <c r="A8" i="99" s="1"/>
  <c r="A9" i="99" s="1"/>
  <c r="A10" i="99" s="1"/>
  <c r="A11" i="99" s="1"/>
  <c r="A12" i="99" s="1"/>
  <c r="A13" i="99" s="1"/>
  <c r="A14" i="99" s="1"/>
  <c r="A15" i="99" s="1"/>
  <c r="A16" i="99" s="1"/>
  <c r="A17" i="99" s="1"/>
  <c r="A18" i="99" s="1"/>
  <c r="A19" i="99" s="1"/>
  <c r="A20" i="99" s="1"/>
  <c r="A21" i="99" s="1"/>
  <c r="A22" i="99" s="1"/>
  <c r="A23" i="99" s="1"/>
  <c r="A24" i="99" s="1"/>
  <c r="A25" i="99" s="1"/>
  <c r="A26" i="99" s="1"/>
  <c r="A27" i="99" s="1"/>
  <c r="A28" i="99" s="1"/>
  <c r="A29" i="99" s="1"/>
  <c r="A30" i="99" s="1"/>
  <c r="A31" i="99" s="1"/>
  <c r="A32" i="99" s="1"/>
  <c r="A33" i="99" s="1"/>
  <c r="H34" i="99"/>
  <c r="G34" i="99"/>
  <c r="C66" i="9"/>
  <c r="P66" i="9"/>
  <c r="O66" i="9"/>
  <c r="N66" i="9"/>
  <c r="M66" i="9"/>
  <c r="J66" i="9"/>
  <c r="I66" i="9"/>
  <c r="E66" i="9"/>
  <c r="D66" i="9"/>
  <c r="B66" i="9"/>
  <c r="L65" i="9"/>
  <c r="K65" i="9"/>
  <c r="H65" i="9"/>
  <c r="G65" i="9"/>
  <c r="F65" i="9"/>
  <c r="A65" i="9"/>
  <c r="L66" i="9"/>
  <c r="L64" i="9"/>
  <c r="K64" i="9"/>
  <c r="H64" i="9"/>
  <c r="G64" i="9"/>
  <c r="F64" i="9"/>
  <c r="L63" i="9"/>
  <c r="K63" i="9"/>
  <c r="H63" i="9"/>
  <c r="G63" i="9"/>
  <c r="F63" i="9"/>
  <c r="L62" i="9"/>
  <c r="K62" i="9"/>
  <c r="H62" i="9"/>
  <c r="G62" i="9"/>
  <c r="F62" i="9"/>
  <c r="L61" i="9"/>
  <c r="K61" i="9"/>
  <c r="H61" i="9"/>
  <c r="G61" i="9"/>
  <c r="F61" i="9"/>
  <c r="L60" i="9"/>
  <c r="K60" i="9"/>
  <c r="H60" i="9"/>
  <c r="G60" i="9"/>
  <c r="F60" i="9"/>
  <c r="L59" i="9"/>
  <c r="K59" i="9"/>
  <c r="H59" i="9"/>
  <c r="G59" i="9"/>
  <c r="F59" i="9"/>
  <c r="L58" i="9"/>
  <c r="K58" i="9"/>
  <c r="H58" i="9"/>
  <c r="G58" i="9"/>
  <c r="F58" i="9"/>
  <c r="L57" i="9"/>
  <c r="K57" i="9"/>
  <c r="H57" i="9"/>
  <c r="G57" i="9"/>
  <c r="F57" i="9"/>
  <c r="L56" i="9"/>
  <c r="K56" i="9"/>
  <c r="H56" i="9"/>
  <c r="G56" i="9"/>
  <c r="F56" i="9"/>
  <c r="L55" i="9"/>
  <c r="K55" i="9"/>
  <c r="H55" i="9"/>
  <c r="G55" i="9"/>
  <c r="F55" i="9"/>
  <c r="L54" i="9"/>
  <c r="K54" i="9"/>
  <c r="H54" i="9"/>
  <c r="G54" i="9"/>
  <c r="F54" i="9"/>
  <c r="L53" i="9"/>
  <c r="K53" i="9"/>
  <c r="H53" i="9"/>
  <c r="G53" i="9"/>
  <c r="F53" i="9"/>
  <c r="L52" i="9"/>
  <c r="K52" i="9"/>
  <c r="H52" i="9"/>
  <c r="G52" i="9"/>
  <c r="F52" i="9"/>
  <c r="L51" i="9"/>
  <c r="K51" i="9"/>
  <c r="H51" i="9"/>
  <c r="G51" i="9"/>
  <c r="F51" i="9"/>
  <c r="L50" i="9"/>
  <c r="K50" i="9"/>
  <c r="H50" i="9"/>
  <c r="G50" i="9"/>
  <c r="F50" i="9"/>
  <c r="L49" i="9"/>
  <c r="K49" i="9"/>
  <c r="H49" i="9"/>
  <c r="G49" i="9"/>
  <c r="F49" i="9"/>
  <c r="L48" i="9"/>
  <c r="K48" i="9"/>
  <c r="H48" i="9"/>
  <c r="G48" i="9"/>
  <c r="F48" i="9"/>
  <c r="L47" i="9"/>
  <c r="K47" i="9"/>
  <c r="H47" i="9"/>
  <c r="G47" i="9"/>
  <c r="F47" i="9"/>
  <c r="L46" i="9"/>
  <c r="K46" i="9"/>
  <c r="H46" i="9"/>
  <c r="G46" i="9"/>
  <c r="F46" i="9"/>
  <c r="L45" i="9"/>
  <c r="K45" i="9"/>
  <c r="H45" i="9"/>
  <c r="G45" i="9"/>
  <c r="F45" i="9"/>
  <c r="L44" i="9"/>
  <c r="K44" i="9"/>
  <c r="H44" i="9"/>
  <c r="G44" i="9"/>
  <c r="F44" i="9"/>
  <c r="L43" i="9"/>
  <c r="K43" i="9"/>
  <c r="H43" i="9"/>
  <c r="G43" i="9"/>
  <c r="F43" i="9"/>
  <c r="L42" i="9"/>
  <c r="K42" i="9"/>
  <c r="H42" i="9"/>
  <c r="G42" i="9"/>
  <c r="F42" i="9"/>
  <c r="L41" i="9"/>
  <c r="K41" i="9"/>
  <c r="H41" i="9"/>
  <c r="G41" i="9"/>
  <c r="F41" i="9"/>
  <c r="L40" i="9"/>
  <c r="K40" i="9"/>
  <c r="H40" i="9"/>
  <c r="G40" i="9"/>
  <c r="F40" i="9"/>
  <c r="L39" i="9"/>
  <c r="K39" i="9"/>
  <c r="H39" i="9"/>
  <c r="G39" i="9"/>
  <c r="F39" i="9"/>
  <c r="L38" i="9"/>
  <c r="K38" i="9"/>
  <c r="H38" i="9"/>
  <c r="G38" i="9"/>
  <c r="F38" i="9"/>
  <c r="L37" i="9"/>
  <c r="K37" i="9"/>
  <c r="H37" i="9"/>
  <c r="G37" i="9"/>
  <c r="F37" i="9"/>
  <c r="L36" i="9"/>
  <c r="K36" i="9"/>
  <c r="H36" i="9"/>
  <c r="G36" i="9"/>
  <c r="F36" i="9"/>
  <c r="L35" i="9"/>
  <c r="K35" i="9"/>
  <c r="H35" i="9"/>
  <c r="H66" i="9" s="1"/>
  <c r="G35" i="9"/>
  <c r="G66" i="9" s="1"/>
  <c r="F35" i="9"/>
  <c r="A36" i="9"/>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B66" i="10"/>
  <c r="P66" i="10"/>
  <c r="O66" i="10"/>
  <c r="N66" i="10"/>
  <c r="M66" i="10"/>
  <c r="I66" i="10"/>
  <c r="E66" i="10"/>
  <c r="D66" i="10"/>
  <c r="C66" i="10"/>
  <c r="L65" i="10"/>
  <c r="K65" i="10"/>
  <c r="H65" i="10"/>
  <c r="G65" i="10"/>
  <c r="F65" i="10"/>
  <c r="A65" i="10"/>
  <c r="L64" i="10"/>
  <c r="K64" i="10"/>
  <c r="H64" i="10"/>
  <c r="G64" i="10"/>
  <c r="F64" i="10"/>
  <c r="L63" i="10"/>
  <c r="K63" i="10"/>
  <c r="H63" i="10"/>
  <c r="G63" i="10"/>
  <c r="F63" i="10"/>
  <c r="L62" i="10"/>
  <c r="K62" i="10"/>
  <c r="H62" i="10"/>
  <c r="G62" i="10"/>
  <c r="F62" i="10"/>
  <c r="L61" i="10"/>
  <c r="K61" i="10"/>
  <c r="H61" i="10"/>
  <c r="G61" i="10"/>
  <c r="F61" i="10"/>
  <c r="L60" i="10"/>
  <c r="K60" i="10"/>
  <c r="H60" i="10"/>
  <c r="G60" i="10"/>
  <c r="F60" i="10"/>
  <c r="L59" i="10"/>
  <c r="K59" i="10"/>
  <c r="H59" i="10"/>
  <c r="G59" i="10"/>
  <c r="F59" i="10"/>
  <c r="L58" i="10"/>
  <c r="K58" i="10"/>
  <c r="H58" i="10"/>
  <c r="G58" i="10"/>
  <c r="F58" i="10"/>
  <c r="L57" i="10"/>
  <c r="K57" i="10"/>
  <c r="H57" i="10"/>
  <c r="G57" i="10"/>
  <c r="F57" i="10"/>
  <c r="L56" i="10"/>
  <c r="K56" i="10"/>
  <c r="H56" i="10"/>
  <c r="G56" i="10"/>
  <c r="F56" i="10"/>
  <c r="L55" i="10"/>
  <c r="K55" i="10"/>
  <c r="H55" i="10"/>
  <c r="G55" i="10"/>
  <c r="F55" i="10"/>
  <c r="L54" i="10"/>
  <c r="K54" i="10"/>
  <c r="H54" i="10"/>
  <c r="G54" i="10"/>
  <c r="F54" i="10"/>
  <c r="L53" i="10"/>
  <c r="K53" i="10"/>
  <c r="H53" i="10"/>
  <c r="G53" i="10"/>
  <c r="F53" i="10"/>
  <c r="L52" i="10"/>
  <c r="K52" i="10"/>
  <c r="H52" i="10"/>
  <c r="G52" i="10"/>
  <c r="F52" i="10"/>
  <c r="L51" i="10"/>
  <c r="K51" i="10"/>
  <c r="H51" i="10"/>
  <c r="G51" i="10"/>
  <c r="F51" i="10"/>
  <c r="L50" i="10"/>
  <c r="K50" i="10"/>
  <c r="H50" i="10"/>
  <c r="G50" i="10"/>
  <c r="F50" i="10"/>
  <c r="L49" i="10"/>
  <c r="K49" i="10"/>
  <c r="H49" i="10"/>
  <c r="G49" i="10"/>
  <c r="F49" i="10"/>
  <c r="L48" i="10"/>
  <c r="K48" i="10"/>
  <c r="H48" i="10"/>
  <c r="G48" i="10"/>
  <c r="F48" i="10"/>
  <c r="L47" i="10"/>
  <c r="K47" i="10"/>
  <c r="H47" i="10"/>
  <c r="G47" i="10"/>
  <c r="F47" i="10"/>
  <c r="L46" i="10"/>
  <c r="K46" i="10"/>
  <c r="H46" i="10"/>
  <c r="G46" i="10"/>
  <c r="F46" i="10"/>
  <c r="L45" i="10"/>
  <c r="K45" i="10"/>
  <c r="H45" i="10"/>
  <c r="G45" i="10"/>
  <c r="F45" i="10"/>
  <c r="L44" i="10"/>
  <c r="K44" i="10"/>
  <c r="H44" i="10"/>
  <c r="G44" i="10"/>
  <c r="F44" i="10"/>
  <c r="L43" i="10"/>
  <c r="K43" i="10"/>
  <c r="H43" i="10"/>
  <c r="G43" i="10"/>
  <c r="F43" i="10"/>
  <c r="L42" i="10"/>
  <c r="K42" i="10"/>
  <c r="H42" i="10"/>
  <c r="G42" i="10"/>
  <c r="F42" i="10"/>
  <c r="L41" i="10"/>
  <c r="K41" i="10"/>
  <c r="H41" i="10"/>
  <c r="G41" i="10"/>
  <c r="F41" i="10"/>
  <c r="L40" i="10"/>
  <c r="K40" i="10"/>
  <c r="H40" i="10"/>
  <c r="G40" i="10"/>
  <c r="F40" i="10"/>
  <c r="L39" i="10"/>
  <c r="K39" i="10"/>
  <c r="H39" i="10"/>
  <c r="G39" i="10"/>
  <c r="F39" i="10"/>
  <c r="L38" i="10"/>
  <c r="K38" i="10"/>
  <c r="H38" i="10"/>
  <c r="G38" i="10"/>
  <c r="F38" i="10"/>
  <c r="L37" i="10"/>
  <c r="K37" i="10"/>
  <c r="H37" i="10"/>
  <c r="G37" i="10"/>
  <c r="F37" i="10"/>
  <c r="L36" i="10"/>
  <c r="K36" i="10"/>
  <c r="H36" i="10"/>
  <c r="G36" i="10"/>
  <c r="F36" i="10"/>
  <c r="L35" i="10"/>
  <c r="K35" i="10"/>
  <c r="H35" i="10"/>
  <c r="H66" i="10" s="1"/>
  <c r="G35" i="10"/>
  <c r="G66" i="10" s="1"/>
  <c r="F35" i="10"/>
  <c r="A36" i="10"/>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C66" i="12"/>
  <c r="B66" i="12"/>
  <c r="P66" i="12"/>
  <c r="O66" i="12"/>
  <c r="N66" i="12"/>
  <c r="M66" i="12"/>
  <c r="J66" i="12"/>
  <c r="I66" i="12"/>
  <c r="E66" i="12"/>
  <c r="D66" i="12"/>
  <c r="L65" i="12"/>
  <c r="K65" i="12"/>
  <c r="H65" i="12"/>
  <c r="G65" i="12"/>
  <c r="F65" i="12"/>
  <c r="A65" i="12"/>
  <c r="L66" i="12"/>
  <c r="L64" i="12"/>
  <c r="K64" i="12"/>
  <c r="H64" i="12"/>
  <c r="G64" i="12"/>
  <c r="F64" i="12"/>
  <c r="L63" i="12"/>
  <c r="K63" i="12"/>
  <c r="H63" i="12"/>
  <c r="G63" i="12"/>
  <c r="F63" i="12"/>
  <c r="L62" i="12"/>
  <c r="K62" i="12"/>
  <c r="H62" i="12"/>
  <c r="G62" i="12"/>
  <c r="F62" i="12"/>
  <c r="L61" i="12"/>
  <c r="K61" i="12"/>
  <c r="H61" i="12"/>
  <c r="G61" i="12"/>
  <c r="F61" i="12"/>
  <c r="L60" i="12"/>
  <c r="K60" i="12"/>
  <c r="H60" i="12"/>
  <c r="G60" i="12"/>
  <c r="F60" i="12"/>
  <c r="L59" i="12"/>
  <c r="K59" i="12"/>
  <c r="H59" i="12"/>
  <c r="G59" i="12"/>
  <c r="F59" i="12"/>
  <c r="L58" i="12"/>
  <c r="K58" i="12"/>
  <c r="H58" i="12"/>
  <c r="G58" i="12"/>
  <c r="F58" i="12"/>
  <c r="L57" i="12"/>
  <c r="K57" i="12"/>
  <c r="H57" i="12"/>
  <c r="G57" i="12"/>
  <c r="F57" i="12"/>
  <c r="L56" i="12"/>
  <c r="K56" i="12"/>
  <c r="H56" i="12"/>
  <c r="G56" i="12"/>
  <c r="F56" i="12"/>
  <c r="L55" i="12"/>
  <c r="K55" i="12"/>
  <c r="H55" i="12"/>
  <c r="G55" i="12"/>
  <c r="F55" i="12"/>
  <c r="L54" i="12"/>
  <c r="K54" i="12"/>
  <c r="H54" i="12"/>
  <c r="G54" i="12"/>
  <c r="F54" i="12"/>
  <c r="L53" i="12"/>
  <c r="K53" i="12"/>
  <c r="H53" i="12"/>
  <c r="G53" i="12"/>
  <c r="F53" i="12"/>
  <c r="L52" i="12"/>
  <c r="K52" i="12"/>
  <c r="H52" i="12"/>
  <c r="G52" i="12"/>
  <c r="F52" i="12"/>
  <c r="L51" i="12"/>
  <c r="K51" i="12"/>
  <c r="H51" i="12"/>
  <c r="G51" i="12"/>
  <c r="F51" i="12"/>
  <c r="L50" i="12"/>
  <c r="K50" i="12"/>
  <c r="H50" i="12"/>
  <c r="G50" i="12"/>
  <c r="F50" i="12"/>
  <c r="L49" i="12"/>
  <c r="K49" i="12"/>
  <c r="H49" i="12"/>
  <c r="G49" i="12"/>
  <c r="F49" i="12"/>
  <c r="L48" i="12"/>
  <c r="K48" i="12"/>
  <c r="H48" i="12"/>
  <c r="G48" i="12"/>
  <c r="F48" i="12"/>
  <c r="L47" i="12"/>
  <c r="K47" i="12"/>
  <c r="H47" i="12"/>
  <c r="G47" i="12"/>
  <c r="F47" i="12"/>
  <c r="L46" i="12"/>
  <c r="K46" i="12"/>
  <c r="H46" i="12"/>
  <c r="G46" i="12"/>
  <c r="F46" i="12"/>
  <c r="L45" i="12"/>
  <c r="K45" i="12"/>
  <c r="H45" i="12"/>
  <c r="G45" i="12"/>
  <c r="F45" i="12"/>
  <c r="L44" i="12"/>
  <c r="K44" i="12"/>
  <c r="H44" i="12"/>
  <c r="G44" i="12"/>
  <c r="F44" i="12"/>
  <c r="L43" i="12"/>
  <c r="K43" i="12"/>
  <c r="H43" i="12"/>
  <c r="G43" i="12"/>
  <c r="F43" i="12"/>
  <c r="L42" i="12"/>
  <c r="K42" i="12"/>
  <c r="H42" i="12"/>
  <c r="G42" i="12"/>
  <c r="F42" i="12"/>
  <c r="L41" i="12"/>
  <c r="K41" i="12"/>
  <c r="H41" i="12"/>
  <c r="G41" i="12"/>
  <c r="F41" i="12"/>
  <c r="L40" i="12"/>
  <c r="K40" i="12"/>
  <c r="H40" i="12"/>
  <c r="G40" i="12"/>
  <c r="F40" i="12"/>
  <c r="L39" i="12"/>
  <c r="K39" i="12"/>
  <c r="H39" i="12"/>
  <c r="G39" i="12"/>
  <c r="F39" i="12"/>
  <c r="L38" i="12"/>
  <c r="K38" i="12"/>
  <c r="H38" i="12"/>
  <c r="G38" i="12"/>
  <c r="F38" i="12"/>
  <c r="L37" i="12"/>
  <c r="K37" i="12"/>
  <c r="H37" i="12"/>
  <c r="G37" i="12"/>
  <c r="F37" i="12"/>
  <c r="L36" i="12"/>
  <c r="K36" i="12"/>
  <c r="H36" i="12"/>
  <c r="G36" i="12"/>
  <c r="F36" i="12"/>
  <c r="L35" i="12"/>
  <c r="K35" i="12"/>
  <c r="H35" i="12"/>
  <c r="H66" i="12" s="1"/>
  <c r="G35" i="12"/>
  <c r="G66" i="12" s="1"/>
  <c r="F35" i="12"/>
  <c r="A36" i="12"/>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B66" i="17"/>
  <c r="P66" i="17"/>
  <c r="O66" i="17"/>
  <c r="N66" i="17"/>
  <c r="M66" i="17"/>
  <c r="J66" i="17"/>
  <c r="I66" i="17"/>
  <c r="E66" i="17"/>
  <c r="D66" i="17"/>
  <c r="C66" i="17"/>
  <c r="L65" i="17"/>
  <c r="K65" i="17"/>
  <c r="H65" i="17"/>
  <c r="G65" i="17"/>
  <c r="F65" i="17"/>
  <c r="L66" i="17"/>
  <c r="L64" i="17"/>
  <c r="K64" i="17"/>
  <c r="H64" i="17"/>
  <c r="G64" i="17"/>
  <c r="F64" i="17"/>
  <c r="L63" i="17"/>
  <c r="K63" i="17"/>
  <c r="H63" i="17"/>
  <c r="G63" i="17"/>
  <c r="F63" i="17"/>
  <c r="L62" i="17"/>
  <c r="K62" i="17"/>
  <c r="H62" i="17"/>
  <c r="G62" i="17"/>
  <c r="F62" i="17"/>
  <c r="L61" i="17"/>
  <c r="K61" i="17"/>
  <c r="H61" i="17"/>
  <c r="G61" i="17"/>
  <c r="F61" i="17"/>
  <c r="L60" i="17"/>
  <c r="K60" i="17"/>
  <c r="H60" i="17"/>
  <c r="G60" i="17"/>
  <c r="F60" i="17"/>
  <c r="L59" i="17"/>
  <c r="K59" i="17"/>
  <c r="H59" i="17"/>
  <c r="G59" i="17"/>
  <c r="F59" i="17"/>
  <c r="L58" i="17"/>
  <c r="K58" i="17"/>
  <c r="H58" i="17"/>
  <c r="G58" i="17"/>
  <c r="F58" i="17"/>
  <c r="L57" i="17"/>
  <c r="K57" i="17"/>
  <c r="H57" i="17"/>
  <c r="G57" i="17"/>
  <c r="F57" i="17"/>
  <c r="L56" i="17"/>
  <c r="K56" i="17"/>
  <c r="H56" i="17"/>
  <c r="G56" i="17"/>
  <c r="F56" i="17"/>
  <c r="L55" i="17"/>
  <c r="K55" i="17"/>
  <c r="H55" i="17"/>
  <c r="G55" i="17"/>
  <c r="F55" i="17"/>
  <c r="L54" i="17"/>
  <c r="K54" i="17"/>
  <c r="H54" i="17"/>
  <c r="G54" i="17"/>
  <c r="F54" i="17"/>
  <c r="L53" i="17"/>
  <c r="K53" i="17"/>
  <c r="H53" i="17"/>
  <c r="G53" i="17"/>
  <c r="F53" i="17"/>
  <c r="L52" i="17"/>
  <c r="K52" i="17"/>
  <c r="H52" i="17"/>
  <c r="G52" i="17"/>
  <c r="F52" i="17"/>
  <c r="L51" i="17"/>
  <c r="K51" i="17"/>
  <c r="H51" i="17"/>
  <c r="G51" i="17"/>
  <c r="F51" i="17"/>
  <c r="L50" i="17"/>
  <c r="K50" i="17"/>
  <c r="H50" i="17"/>
  <c r="G50" i="17"/>
  <c r="F50" i="17"/>
  <c r="L49" i="17"/>
  <c r="K49" i="17"/>
  <c r="H49" i="17"/>
  <c r="G49" i="17"/>
  <c r="F49" i="17"/>
  <c r="L48" i="17"/>
  <c r="K48" i="17"/>
  <c r="H48" i="17"/>
  <c r="G48" i="17"/>
  <c r="F48" i="17"/>
  <c r="L47" i="17"/>
  <c r="K47" i="17"/>
  <c r="H47" i="17"/>
  <c r="G47" i="17"/>
  <c r="F47" i="17"/>
  <c r="L46" i="17"/>
  <c r="K46" i="17"/>
  <c r="H46" i="17"/>
  <c r="G46" i="17"/>
  <c r="F46" i="17"/>
  <c r="L45" i="17"/>
  <c r="K45" i="17"/>
  <c r="H45" i="17"/>
  <c r="G45" i="17"/>
  <c r="F45" i="17"/>
  <c r="L44" i="17"/>
  <c r="K44" i="17"/>
  <c r="H44" i="17"/>
  <c r="G44" i="17"/>
  <c r="F44" i="17"/>
  <c r="L43" i="17"/>
  <c r="K43" i="17"/>
  <c r="H43" i="17"/>
  <c r="G43" i="17"/>
  <c r="F43" i="17"/>
  <c r="L42" i="17"/>
  <c r="K42" i="17"/>
  <c r="H42" i="17"/>
  <c r="G42" i="17"/>
  <c r="F42" i="17"/>
  <c r="L41" i="17"/>
  <c r="K41" i="17"/>
  <c r="H41" i="17"/>
  <c r="G41" i="17"/>
  <c r="F41" i="17"/>
  <c r="L40" i="17"/>
  <c r="K40" i="17"/>
  <c r="H40" i="17"/>
  <c r="G40" i="17"/>
  <c r="F40" i="17"/>
  <c r="L39" i="17"/>
  <c r="K39" i="17"/>
  <c r="H39" i="17"/>
  <c r="G39" i="17"/>
  <c r="F39" i="17"/>
  <c r="L38" i="17"/>
  <c r="K38" i="17"/>
  <c r="H38" i="17"/>
  <c r="G38" i="17"/>
  <c r="F38" i="17"/>
  <c r="L37" i="17"/>
  <c r="K37" i="17"/>
  <c r="H37" i="17"/>
  <c r="G37" i="17"/>
  <c r="F37" i="17"/>
  <c r="L36" i="17"/>
  <c r="K36" i="17"/>
  <c r="H36" i="17"/>
  <c r="G36" i="17"/>
  <c r="F36" i="17"/>
  <c r="L35" i="17"/>
  <c r="K35" i="17"/>
  <c r="H35" i="17"/>
  <c r="H66" i="17" s="1"/>
  <c r="G35" i="17"/>
  <c r="G66" i="17" s="1"/>
  <c r="F35" i="17"/>
  <c r="A36" i="17"/>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P66" i="28"/>
  <c r="J66" i="28"/>
  <c r="E66" i="28"/>
  <c r="D66" i="28"/>
  <c r="C66" i="28"/>
  <c r="B66" i="28"/>
  <c r="B34" i="28"/>
  <c r="O66" i="28"/>
  <c r="N66" i="28"/>
  <c r="M66" i="28"/>
  <c r="L66" i="28"/>
  <c r="I66" i="28"/>
  <c r="K66" i="28" s="1"/>
  <c r="G61" i="72"/>
  <c r="H61" i="72"/>
  <c r="G62" i="72"/>
  <c r="H62" i="72"/>
  <c r="G63" i="72"/>
  <c r="H63" i="72"/>
  <c r="G64" i="72"/>
  <c r="H64" i="72"/>
  <c r="G65" i="72"/>
  <c r="H65" i="72"/>
  <c r="L65" i="28"/>
  <c r="K65" i="28"/>
  <c r="H65" i="28"/>
  <c r="G65" i="28"/>
  <c r="F65" i="28"/>
  <c r="H33" i="72"/>
  <c r="G30" i="72"/>
  <c r="H30" i="72"/>
  <c r="G31" i="72"/>
  <c r="H31" i="72"/>
  <c r="G32" i="72"/>
  <c r="H32" i="72"/>
  <c r="G33" i="72"/>
  <c r="L64" i="28"/>
  <c r="K64" i="28"/>
  <c r="H64" i="28"/>
  <c r="G64" i="28"/>
  <c r="F64" i="28"/>
  <c r="L63" i="28"/>
  <c r="K63" i="28"/>
  <c r="H63" i="28"/>
  <c r="G63" i="28"/>
  <c r="F63" i="28"/>
  <c r="L62" i="28"/>
  <c r="K62" i="28"/>
  <c r="H62" i="28"/>
  <c r="G62" i="28"/>
  <c r="F62" i="28"/>
  <c r="L61" i="28"/>
  <c r="K61" i="28"/>
  <c r="H61" i="28"/>
  <c r="G61" i="28"/>
  <c r="F61" i="28"/>
  <c r="L60" i="28"/>
  <c r="K60" i="28"/>
  <c r="H60" i="28"/>
  <c r="G60" i="28"/>
  <c r="F60" i="28"/>
  <c r="L59" i="28"/>
  <c r="K59" i="28"/>
  <c r="H59" i="28"/>
  <c r="G59" i="28"/>
  <c r="F59" i="28"/>
  <c r="L58" i="28"/>
  <c r="K58" i="28"/>
  <c r="H58" i="28"/>
  <c r="G58" i="28"/>
  <c r="F58" i="28"/>
  <c r="L57" i="28"/>
  <c r="K57" i="28"/>
  <c r="H57" i="28"/>
  <c r="G57" i="28"/>
  <c r="F57" i="28"/>
  <c r="L56" i="28"/>
  <c r="K56" i="28"/>
  <c r="H56" i="28"/>
  <c r="G56" i="28"/>
  <c r="F56" i="28"/>
  <c r="L55" i="28"/>
  <c r="K55" i="28"/>
  <c r="H55" i="28"/>
  <c r="G55" i="28"/>
  <c r="F55" i="28"/>
  <c r="L54" i="28"/>
  <c r="K54" i="28"/>
  <c r="H54" i="28"/>
  <c r="G54" i="28"/>
  <c r="F54" i="28"/>
  <c r="L53" i="28"/>
  <c r="K53" i="28"/>
  <c r="H53" i="28"/>
  <c r="G53" i="28"/>
  <c r="F53" i="28"/>
  <c r="L52" i="28"/>
  <c r="K52" i="28"/>
  <c r="H52" i="28"/>
  <c r="G52" i="28"/>
  <c r="F52" i="28"/>
  <c r="L51" i="28"/>
  <c r="K51" i="28"/>
  <c r="H51" i="28"/>
  <c r="G51" i="28"/>
  <c r="F51" i="28"/>
  <c r="L50" i="28"/>
  <c r="K50" i="28"/>
  <c r="H50" i="28"/>
  <c r="G50" i="28"/>
  <c r="F50" i="28"/>
  <c r="L49" i="28"/>
  <c r="K49" i="28"/>
  <c r="H49" i="28"/>
  <c r="G49" i="28"/>
  <c r="F49" i="28"/>
  <c r="L48" i="28"/>
  <c r="K48" i="28"/>
  <c r="H48" i="28"/>
  <c r="G48" i="28"/>
  <c r="F48" i="28"/>
  <c r="L47" i="28"/>
  <c r="K47" i="28"/>
  <c r="H47" i="28"/>
  <c r="G47" i="28"/>
  <c r="F47" i="28"/>
  <c r="L46" i="28"/>
  <c r="K46" i="28"/>
  <c r="H46" i="28"/>
  <c r="G46" i="28"/>
  <c r="F46" i="28"/>
  <c r="L45" i="28"/>
  <c r="K45" i="28"/>
  <c r="H45" i="28"/>
  <c r="G45" i="28"/>
  <c r="F45" i="28"/>
  <c r="L44" i="28"/>
  <c r="K44" i="28"/>
  <c r="H44" i="28"/>
  <c r="G44" i="28"/>
  <c r="F44" i="28"/>
  <c r="L43" i="28"/>
  <c r="K43" i="28"/>
  <c r="H43" i="28"/>
  <c r="G43" i="28"/>
  <c r="F43" i="28"/>
  <c r="L42" i="28"/>
  <c r="K42" i="28"/>
  <c r="H42" i="28"/>
  <c r="G42" i="28"/>
  <c r="F42" i="28"/>
  <c r="L41" i="28"/>
  <c r="K41" i="28"/>
  <c r="H41" i="28"/>
  <c r="G41" i="28"/>
  <c r="F41" i="28"/>
  <c r="L40" i="28"/>
  <c r="K40" i="28"/>
  <c r="H40" i="28"/>
  <c r="G40" i="28"/>
  <c r="F40" i="28"/>
  <c r="L39" i="28"/>
  <c r="K39" i="28"/>
  <c r="H39" i="28"/>
  <c r="G39" i="28"/>
  <c r="F39" i="28"/>
  <c r="L38" i="28"/>
  <c r="K38" i="28"/>
  <c r="H38" i="28"/>
  <c r="G38" i="28"/>
  <c r="F38" i="28"/>
  <c r="L37" i="28"/>
  <c r="K37" i="28"/>
  <c r="H37" i="28"/>
  <c r="G37" i="28"/>
  <c r="F37" i="28"/>
  <c r="L36" i="28"/>
  <c r="K36" i="28"/>
  <c r="H36" i="28"/>
  <c r="G36" i="28"/>
  <c r="F36" i="28"/>
  <c r="L35" i="28"/>
  <c r="K35" i="28"/>
  <c r="H35" i="28"/>
  <c r="H66" i="28" s="1"/>
  <c r="G35" i="28"/>
  <c r="G66" i="28" s="1"/>
  <c r="F35" i="28"/>
  <c r="B66" i="14"/>
  <c r="P66" i="14"/>
  <c r="O66" i="14"/>
  <c r="N66" i="14"/>
  <c r="M66" i="14"/>
  <c r="J66" i="14"/>
  <c r="I66" i="14"/>
  <c r="E66" i="14"/>
  <c r="D66" i="14"/>
  <c r="C66" i="14"/>
  <c r="L65" i="14"/>
  <c r="K65" i="14"/>
  <c r="H65" i="14"/>
  <c r="G65" i="14"/>
  <c r="F65" i="14"/>
  <c r="A65" i="14"/>
  <c r="L66" i="14"/>
  <c r="L64" i="14"/>
  <c r="K64" i="14"/>
  <c r="H64" i="14"/>
  <c r="G64" i="14"/>
  <c r="F64" i="14"/>
  <c r="L63" i="14"/>
  <c r="K63" i="14"/>
  <c r="H63" i="14"/>
  <c r="G63" i="14"/>
  <c r="F63" i="14"/>
  <c r="L62" i="14"/>
  <c r="K62" i="14"/>
  <c r="H62" i="14"/>
  <c r="G62" i="14"/>
  <c r="F62" i="14"/>
  <c r="L61" i="14"/>
  <c r="K61" i="14"/>
  <c r="H61" i="14"/>
  <c r="G61" i="14"/>
  <c r="F61" i="14"/>
  <c r="L60" i="14"/>
  <c r="K60" i="14"/>
  <c r="H60" i="14"/>
  <c r="G60" i="14"/>
  <c r="F60" i="14"/>
  <c r="L59" i="14"/>
  <c r="K59" i="14"/>
  <c r="H59" i="14"/>
  <c r="G59" i="14"/>
  <c r="F59" i="14"/>
  <c r="L58" i="14"/>
  <c r="K58" i="14"/>
  <c r="H58" i="14"/>
  <c r="G58" i="14"/>
  <c r="F58" i="14"/>
  <c r="L57" i="14"/>
  <c r="K57" i="14"/>
  <c r="H57" i="14"/>
  <c r="G57" i="14"/>
  <c r="F57" i="14"/>
  <c r="L56" i="14"/>
  <c r="K56" i="14"/>
  <c r="H56" i="14"/>
  <c r="G56" i="14"/>
  <c r="F56" i="14"/>
  <c r="L55" i="14"/>
  <c r="K55" i="14"/>
  <c r="H55" i="14"/>
  <c r="G55" i="14"/>
  <c r="F55" i="14"/>
  <c r="L54" i="14"/>
  <c r="K54" i="14"/>
  <c r="H54" i="14"/>
  <c r="G54" i="14"/>
  <c r="F54" i="14"/>
  <c r="L53" i="14"/>
  <c r="K53" i="14"/>
  <c r="H53" i="14"/>
  <c r="G53" i="14"/>
  <c r="F53" i="14"/>
  <c r="L52" i="14"/>
  <c r="K52" i="14"/>
  <c r="H52" i="14"/>
  <c r="G52" i="14"/>
  <c r="F52" i="14"/>
  <c r="L51" i="14"/>
  <c r="K51" i="14"/>
  <c r="H51" i="14"/>
  <c r="G51" i="14"/>
  <c r="F51" i="14"/>
  <c r="L50" i="14"/>
  <c r="K50" i="14"/>
  <c r="H50" i="14"/>
  <c r="G50" i="14"/>
  <c r="F50" i="14"/>
  <c r="L49" i="14"/>
  <c r="K49" i="14"/>
  <c r="H49" i="14"/>
  <c r="G49" i="14"/>
  <c r="F49" i="14"/>
  <c r="L48" i="14"/>
  <c r="K48" i="14"/>
  <c r="H48" i="14"/>
  <c r="G48" i="14"/>
  <c r="F48" i="14"/>
  <c r="L47" i="14"/>
  <c r="K47" i="14"/>
  <c r="H47" i="14"/>
  <c r="G47" i="14"/>
  <c r="F47" i="14"/>
  <c r="L46" i="14"/>
  <c r="K46" i="14"/>
  <c r="H46" i="14"/>
  <c r="G46" i="14"/>
  <c r="F46" i="14"/>
  <c r="L45" i="14"/>
  <c r="K45" i="14"/>
  <c r="H45" i="14"/>
  <c r="G45" i="14"/>
  <c r="F45" i="14"/>
  <c r="L44" i="14"/>
  <c r="K44" i="14"/>
  <c r="H44" i="14"/>
  <c r="G44" i="14"/>
  <c r="F44" i="14"/>
  <c r="L43" i="14"/>
  <c r="K43" i="14"/>
  <c r="H43" i="14"/>
  <c r="G43" i="14"/>
  <c r="F43" i="14"/>
  <c r="L42" i="14"/>
  <c r="K42" i="14"/>
  <c r="H42" i="14"/>
  <c r="G42" i="14"/>
  <c r="F42" i="14"/>
  <c r="L41" i="14"/>
  <c r="K41" i="14"/>
  <c r="H41" i="14"/>
  <c r="G41" i="14"/>
  <c r="F41" i="14"/>
  <c r="L40" i="14"/>
  <c r="K40" i="14"/>
  <c r="H40" i="14"/>
  <c r="G40" i="14"/>
  <c r="F40" i="14"/>
  <c r="L39" i="14"/>
  <c r="K39" i="14"/>
  <c r="H39" i="14"/>
  <c r="G39" i="14"/>
  <c r="F39" i="14"/>
  <c r="L38" i="14"/>
  <c r="K38" i="14"/>
  <c r="H38" i="14"/>
  <c r="G38" i="14"/>
  <c r="F38" i="14"/>
  <c r="L37" i="14"/>
  <c r="K37" i="14"/>
  <c r="H37" i="14"/>
  <c r="G37" i="14"/>
  <c r="F37" i="14"/>
  <c r="L36" i="14"/>
  <c r="K36" i="14"/>
  <c r="H36" i="14"/>
  <c r="G36" i="14"/>
  <c r="F36" i="14"/>
  <c r="L35" i="14"/>
  <c r="K35" i="14"/>
  <c r="H35" i="14"/>
  <c r="H66" i="14" s="1"/>
  <c r="G35" i="14"/>
  <c r="G66" i="14" s="1"/>
  <c r="F35" i="14"/>
  <c r="A36" i="14"/>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P66" i="16"/>
  <c r="O66" i="16"/>
  <c r="N66" i="16"/>
  <c r="I66" i="16"/>
  <c r="E66" i="16"/>
  <c r="D66" i="16"/>
  <c r="D66" i="15"/>
  <c r="D66" i="11"/>
  <c r="D66" i="13"/>
  <c r="D66" i="72"/>
  <c r="I66" i="76"/>
  <c r="J66" i="79"/>
  <c r="I66" i="81"/>
  <c r="I66" i="80"/>
  <c r="I66" i="73"/>
  <c r="I66" i="75"/>
  <c r="B66" i="83"/>
  <c r="B66" i="87"/>
  <c r="P66" i="73"/>
  <c r="O66" i="73"/>
  <c r="N66" i="73"/>
  <c r="M66" i="73"/>
  <c r="J66" i="73"/>
  <c r="H66" i="73"/>
  <c r="G66" i="73"/>
  <c r="E66" i="73"/>
  <c r="D66" i="73"/>
  <c r="C66" i="73"/>
  <c r="B66" i="73"/>
  <c r="P66" i="80"/>
  <c r="O66" i="80"/>
  <c r="N66" i="80"/>
  <c r="M66" i="80"/>
  <c r="J66" i="80"/>
  <c r="H66" i="80"/>
  <c r="G66" i="80"/>
  <c r="E66" i="80"/>
  <c r="D66" i="80"/>
  <c r="C66" i="80"/>
  <c r="B66" i="80"/>
  <c r="P66" i="81"/>
  <c r="O66" i="81"/>
  <c r="N66" i="81"/>
  <c r="M66" i="81"/>
  <c r="J66" i="81"/>
  <c r="H66" i="81"/>
  <c r="G66" i="81"/>
  <c r="E66" i="81"/>
  <c r="D66" i="81"/>
  <c r="C66" i="81"/>
  <c r="B66" i="81"/>
  <c r="P66" i="79"/>
  <c r="O66" i="79"/>
  <c r="N66" i="79"/>
  <c r="M66" i="79"/>
  <c r="I66" i="79"/>
  <c r="H66" i="79"/>
  <c r="G66" i="79"/>
  <c r="E66" i="79"/>
  <c r="D66" i="79"/>
  <c r="C66" i="79"/>
  <c r="B66" i="79"/>
  <c r="P66" i="76"/>
  <c r="O66" i="76"/>
  <c r="N66" i="76"/>
  <c r="M66" i="76"/>
  <c r="J66" i="76"/>
  <c r="H66" i="76"/>
  <c r="G66" i="76"/>
  <c r="E66" i="76"/>
  <c r="D66" i="76"/>
  <c r="C66" i="76"/>
  <c r="B66" i="76"/>
  <c r="P66" i="72"/>
  <c r="O66" i="72"/>
  <c r="N66" i="72"/>
  <c r="M66" i="72"/>
  <c r="J66" i="72"/>
  <c r="I66" i="72"/>
  <c r="H66" i="72"/>
  <c r="G66" i="72"/>
  <c r="E66" i="72"/>
  <c r="C66" i="72"/>
  <c r="B66" i="72"/>
  <c r="P66" i="13"/>
  <c r="O66" i="13"/>
  <c r="N66" i="13"/>
  <c r="M66" i="13"/>
  <c r="J66" i="13"/>
  <c r="I66" i="13"/>
  <c r="E66" i="13"/>
  <c r="C66" i="13"/>
  <c r="B66" i="13"/>
  <c r="P66" i="11"/>
  <c r="O66" i="11"/>
  <c r="N66" i="11"/>
  <c r="M66" i="11"/>
  <c r="J66" i="11"/>
  <c r="I66" i="11"/>
  <c r="E66" i="11"/>
  <c r="C66" i="11"/>
  <c r="B66" i="11"/>
  <c r="C66" i="15"/>
  <c r="P66" i="15"/>
  <c r="O66" i="15"/>
  <c r="N66" i="15"/>
  <c r="M66" i="15"/>
  <c r="J66" i="15"/>
  <c r="I66" i="15"/>
  <c r="E66" i="15"/>
  <c r="B66" i="15"/>
  <c r="M66" i="16"/>
  <c r="J66" i="16"/>
  <c r="C66" i="16"/>
  <c r="B66" i="16"/>
  <c r="L66" i="16"/>
  <c r="L65" i="16"/>
  <c r="K65" i="16"/>
  <c r="H65" i="16"/>
  <c r="G65" i="16"/>
  <c r="F65" i="16"/>
  <c r="A65" i="16"/>
  <c r="L64" i="16"/>
  <c r="K64" i="16"/>
  <c r="H64" i="16"/>
  <c r="G64" i="16"/>
  <c r="F64" i="16"/>
  <c r="L63" i="16"/>
  <c r="K63" i="16"/>
  <c r="H63" i="16"/>
  <c r="G63" i="16"/>
  <c r="F63" i="16"/>
  <c r="L62" i="16"/>
  <c r="K62" i="16"/>
  <c r="H62" i="16"/>
  <c r="G62" i="16"/>
  <c r="F62" i="16"/>
  <c r="L61" i="16"/>
  <c r="K61" i="16"/>
  <c r="H61" i="16"/>
  <c r="G61" i="16"/>
  <c r="F61" i="16"/>
  <c r="L60" i="16"/>
  <c r="K60" i="16"/>
  <c r="H60" i="16"/>
  <c r="G60" i="16"/>
  <c r="F60" i="16"/>
  <c r="L59" i="16"/>
  <c r="K59" i="16"/>
  <c r="H59" i="16"/>
  <c r="G59" i="16"/>
  <c r="F59" i="16"/>
  <c r="L58" i="16"/>
  <c r="K58" i="16"/>
  <c r="H58" i="16"/>
  <c r="G58" i="16"/>
  <c r="F58" i="16"/>
  <c r="L57" i="16"/>
  <c r="K57" i="16"/>
  <c r="H57" i="16"/>
  <c r="G57" i="16"/>
  <c r="F57" i="16"/>
  <c r="L56" i="16"/>
  <c r="K56" i="16"/>
  <c r="H56" i="16"/>
  <c r="G56" i="16"/>
  <c r="F56" i="16"/>
  <c r="L55" i="16"/>
  <c r="K55" i="16"/>
  <c r="H55" i="16"/>
  <c r="G55" i="16"/>
  <c r="F55" i="16"/>
  <c r="L54" i="16"/>
  <c r="K54" i="16"/>
  <c r="H54" i="16"/>
  <c r="G54" i="16"/>
  <c r="F54" i="16"/>
  <c r="L53" i="16"/>
  <c r="K53" i="16"/>
  <c r="H53" i="16"/>
  <c r="G53" i="16"/>
  <c r="F53" i="16"/>
  <c r="L52" i="16"/>
  <c r="K52" i="16"/>
  <c r="H52" i="16"/>
  <c r="G52" i="16"/>
  <c r="F52" i="16"/>
  <c r="L51" i="16"/>
  <c r="K51" i="16"/>
  <c r="H51" i="16"/>
  <c r="G51" i="16"/>
  <c r="F51" i="16"/>
  <c r="L50" i="16"/>
  <c r="K50" i="16"/>
  <c r="H50" i="16"/>
  <c r="G50" i="16"/>
  <c r="F50" i="16"/>
  <c r="L49" i="16"/>
  <c r="K49" i="16"/>
  <c r="H49" i="16"/>
  <c r="G49" i="16"/>
  <c r="F49" i="16"/>
  <c r="L48" i="16"/>
  <c r="K48" i="16"/>
  <c r="H48" i="16"/>
  <c r="G48" i="16"/>
  <c r="F48" i="16"/>
  <c r="L47" i="16"/>
  <c r="K47" i="16"/>
  <c r="H47" i="16"/>
  <c r="G47" i="16"/>
  <c r="F47" i="16"/>
  <c r="L46" i="16"/>
  <c r="K46" i="16"/>
  <c r="H46" i="16"/>
  <c r="G46" i="16"/>
  <c r="F46" i="16"/>
  <c r="L45" i="16"/>
  <c r="K45" i="16"/>
  <c r="H45" i="16"/>
  <c r="G45" i="16"/>
  <c r="F45" i="16"/>
  <c r="L44" i="16"/>
  <c r="K44" i="16"/>
  <c r="H44" i="16"/>
  <c r="G44" i="16"/>
  <c r="F44" i="16"/>
  <c r="L43" i="16"/>
  <c r="K43" i="16"/>
  <c r="H43" i="16"/>
  <c r="G43" i="16"/>
  <c r="F43" i="16"/>
  <c r="L42" i="16"/>
  <c r="K42" i="16"/>
  <c r="H42" i="16"/>
  <c r="G42" i="16"/>
  <c r="F42" i="16"/>
  <c r="L41" i="16"/>
  <c r="K41" i="16"/>
  <c r="H41" i="16"/>
  <c r="G41" i="16"/>
  <c r="F41" i="16"/>
  <c r="L40" i="16"/>
  <c r="K40" i="16"/>
  <c r="H40" i="16"/>
  <c r="G40" i="16"/>
  <c r="F40" i="16"/>
  <c r="L39" i="16"/>
  <c r="K39" i="16"/>
  <c r="H39" i="16"/>
  <c r="G39" i="16"/>
  <c r="F39" i="16"/>
  <c r="L38" i="16"/>
  <c r="K38" i="16"/>
  <c r="H38" i="16"/>
  <c r="G38" i="16"/>
  <c r="F38" i="16"/>
  <c r="L37" i="16"/>
  <c r="K37" i="16"/>
  <c r="H37" i="16"/>
  <c r="G37" i="16"/>
  <c r="F37" i="16"/>
  <c r="L36" i="16"/>
  <c r="K36" i="16"/>
  <c r="H36" i="16"/>
  <c r="G36" i="16"/>
  <c r="F36" i="16"/>
  <c r="L35" i="16"/>
  <c r="K35" i="16"/>
  <c r="H35" i="16"/>
  <c r="H66" i="16" s="1"/>
  <c r="G35" i="16"/>
  <c r="G66" i="16" s="1"/>
  <c r="F35" i="16"/>
  <c r="A36" i="16"/>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L66" i="15"/>
  <c r="L65" i="15"/>
  <c r="K65" i="15"/>
  <c r="H65" i="15"/>
  <c r="G65" i="15"/>
  <c r="F65" i="15"/>
  <c r="A65" i="15"/>
  <c r="L64" i="15"/>
  <c r="K64" i="15"/>
  <c r="H64" i="15"/>
  <c r="G64" i="15"/>
  <c r="F64" i="15"/>
  <c r="L63" i="15"/>
  <c r="K63" i="15"/>
  <c r="H63" i="15"/>
  <c r="G63" i="15"/>
  <c r="F63" i="15"/>
  <c r="L62" i="15"/>
  <c r="K62" i="15"/>
  <c r="H62" i="15"/>
  <c r="G62" i="15"/>
  <c r="F62" i="15"/>
  <c r="L61" i="15"/>
  <c r="K61" i="15"/>
  <c r="H61" i="15"/>
  <c r="G61" i="15"/>
  <c r="F61" i="15"/>
  <c r="L60" i="15"/>
  <c r="K60" i="15"/>
  <c r="H60" i="15"/>
  <c r="G60" i="15"/>
  <c r="F60" i="15"/>
  <c r="L59" i="15"/>
  <c r="K59" i="15"/>
  <c r="H59" i="15"/>
  <c r="G59" i="15"/>
  <c r="F59" i="15"/>
  <c r="L58" i="15"/>
  <c r="K58" i="15"/>
  <c r="H58" i="15"/>
  <c r="G58" i="15"/>
  <c r="F58" i="15"/>
  <c r="L57" i="15"/>
  <c r="K57" i="15"/>
  <c r="H57" i="15"/>
  <c r="G57" i="15"/>
  <c r="F57" i="15"/>
  <c r="L56" i="15"/>
  <c r="K56" i="15"/>
  <c r="H56" i="15"/>
  <c r="G56" i="15"/>
  <c r="F56" i="15"/>
  <c r="L55" i="15"/>
  <c r="K55" i="15"/>
  <c r="H55" i="15"/>
  <c r="G55" i="15"/>
  <c r="F55" i="15"/>
  <c r="L54" i="15"/>
  <c r="K54" i="15"/>
  <c r="H54" i="15"/>
  <c r="G54" i="15"/>
  <c r="F54" i="15"/>
  <c r="L53" i="15"/>
  <c r="K53" i="15"/>
  <c r="H53" i="15"/>
  <c r="G53" i="15"/>
  <c r="F53" i="15"/>
  <c r="L52" i="15"/>
  <c r="K52" i="15"/>
  <c r="H52" i="15"/>
  <c r="G52" i="15"/>
  <c r="F52" i="15"/>
  <c r="L51" i="15"/>
  <c r="K51" i="15"/>
  <c r="H51" i="15"/>
  <c r="G51" i="15"/>
  <c r="F51" i="15"/>
  <c r="L50" i="15"/>
  <c r="K50" i="15"/>
  <c r="H50" i="15"/>
  <c r="G50" i="15"/>
  <c r="F50" i="15"/>
  <c r="L49" i="15"/>
  <c r="K49" i="15"/>
  <c r="H49" i="15"/>
  <c r="G49" i="15"/>
  <c r="F49" i="15"/>
  <c r="L48" i="15"/>
  <c r="K48" i="15"/>
  <c r="H48" i="15"/>
  <c r="G48" i="15"/>
  <c r="F48" i="15"/>
  <c r="L47" i="15"/>
  <c r="K47" i="15"/>
  <c r="H47" i="15"/>
  <c r="G47" i="15"/>
  <c r="F47" i="15"/>
  <c r="L46" i="15"/>
  <c r="K46" i="15"/>
  <c r="H46" i="15"/>
  <c r="G46" i="15"/>
  <c r="F46" i="15"/>
  <c r="L45" i="15"/>
  <c r="K45" i="15"/>
  <c r="H45" i="15"/>
  <c r="G45" i="15"/>
  <c r="F45" i="15"/>
  <c r="L44" i="15"/>
  <c r="K44" i="15"/>
  <c r="H44" i="15"/>
  <c r="G44" i="15"/>
  <c r="F44" i="15"/>
  <c r="L43" i="15"/>
  <c r="K43" i="15"/>
  <c r="H43" i="15"/>
  <c r="G43" i="15"/>
  <c r="F43" i="15"/>
  <c r="L42" i="15"/>
  <c r="K42" i="15"/>
  <c r="H42" i="15"/>
  <c r="G42" i="15"/>
  <c r="F42" i="15"/>
  <c r="L41" i="15"/>
  <c r="K41" i="15"/>
  <c r="H41" i="15"/>
  <c r="G41" i="15"/>
  <c r="F41" i="15"/>
  <c r="L40" i="15"/>
  <c r="K40" i="15"/>
  <c r="H40" i="15"/>
  <c r="G40" i="15"/>
  <c r="F40" i="15"/>
  <c r="L39" i="15"/>
  <c r="K39" i="15"/>
  <c r="H39" i="15"/>
  <c r="G39" i="15"/>
  <c r="F39" i="15"/>
  <c r="L38" i="15"/>
  <c r="K38" i="15"/>
  <c r="H38" i="15"/>
  <c r="G38" i="15"/>
  <c r="F38" i="15"/>
  <c r="L37" i="15"/>
  <c r="K37" i="15"/>
  <c r="H37" i="15"/>
  <c r="G37" i="15"/>
  <c r="F37" i="15"/>
  <c r="L36" i="15"/>
  <c r="K36" i="15"/>
  <c r="H36" i="15"/>
  <c r="G36" i="15"/>
  <c r="F36" i="15"/>
  <c r="L35" i="15"/>
  <c r="K35" i="15"/>
  <c r="H35" i="15"/>
  <c r="H66" i="15" s="1"/>
  <c r="G35" i="15"/>
  <c r="G66" i="15" s="1"/>
  <c r="F35" i="15"/>
  <c r="A36" i="15"/>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L66" i="11"/>
  <c r="L65" i="11"/>
  <c r="K65" i="11"/>
  <c r="H65" i="11"/>
  <c r="G65" i="11"/>
  <c r="F65" i="11"/>
  <c r="A65" i="11"/>
  <c r="L64" i="11"/>
  <c r="K64" i="11"/>
  <c r="H64" i="11"/>
  <c r="G64" i="11"/>
  <c r="F64" i="11"/>
  <c r="L63" i="11"/>
  <c r="K63" i="11"/>
  <c r="H63" i="11"/>
  <c r="G63" i="11"/>
  <c r="F63" i="11"/>
  <c r="L62" i="11"/>
  <c r="K62" i="11"/>
  <c r="H62" i="11"/>
  <c r="G62" i="11"/>
  <c r="F62" i="11"/>
  <c r="L61" i="11"/>
  <c r="K61" i="11"/>
  <c r="H61" i="11"/>
  <c r="G61" i="11"/>
  <c r="F61" i="11"/>
  <c r="L60" i="11"/>
  <c r="K60" i="11"/>
  <c r="H60" i="11"/>
  <c r="G60" i="11"/>
  <c r="F60" i="11"/>
  <c r="L59" i="11"/>
  <c r="K59" i="11"/>
  <c r="H59" i="11"/>
  <c r="G59" i="11"/>
  <c r="F59" i="11"/>
  <c r="L58" i="11"/>
  <c r="K58" i="11"/>
  <c r="H58" i="11"/>
  <c r="G58" i="11"/>
  <c r="F58" i="11"/>
  <c r="L57" i="11"/>
  <c r="K57" i="11"/>
  <c r="H57" i="11"/>
  <c r="G57" i="11"/>
  <c r="F57" i="11"/>
  <c r="L56" i="11"/>
  <c r="K56" i="11"/>
  <c r="H56" i="11"/>
  <c r="G56" i="11"/>
  <c r="F56" i="11"/>
  <c r="L55" i="11"/>
  <c r="K55" i="11"/>
  <c r="H55" i="11"/>
  <c r="G55" i="11"/>
  <c r="F55" i="11"/>
  <c r="L54" i="11"/>
  <c r="K54" i="11"/>
  <c r="H54" i="11"/>
  <c r="G54" i="11"/>
  <c r="F54" i="11"/>
  <c r="L53" i="11"/>
  <c r="K53" i="11"/>
  <c r="H53" i="11"/>
  <c r="G53" i="11"/>
  <c r="F53" i="11"/>
  <c r="L52" i="11"/>
  <c r="K52" i="11"/>
  <c r="H52" i="11"/>
  <c r="G52" i="11"/>
  <c r="F52" i="11"/>
  <c r="L51" i="11"/>
  <c r="K51" i="11"/>
  <c r="H51" i="11"/>
  <c r="G51" i="11"/>
  <c r="F51" i="11"/>
  <c r="L50" i="11"/>
  <c r="K50" i="11"/>
  <c r="H50" i="11"/>
  <c r="G50" i="11"/>
  <c r="F50" i="11"/>
  <c r="L49" i="11"/>
  <c r="K49" i="11"/>
  <c r="H49" i="11"/>
  <c r="G49" i="11"/>
  <c r="F49" i="11"/>
  <c r="L48" i="11"/>
  <c r="K48" i="11"/>
  <c r="H48" i="11"/>
  <c r="G48" i="11"/>
  <c r="F48" i="11"/>
  <c r="L47" i="11"/>
  <c r="K47" i="11"/>
  <c r="H47" i="11"/>
  <c r="G47" i="11"/>
  <c r="F47" i="11"/>
  <c r="L46" i="11"/>
  <c r="K46" i="11"/>
  <c r="H46" i="11"/>
  <c r="G46" i="11"/>
  <c r="F46" i="11"/>
  <c r="L45" i="11"/>
  <c r="K45" i="11"/>
  <c r="H45" i="11"/>
  <c r="G45" i="11"/>
  <c r="F45" i="11"/>
  <c r="L44" i="11"/>
  <c r="K44" i="11"/>
  <c r="H44" i="11"/>
  <c r="G44" i="11"/>
  <c r="F44" i="11"/>
  <c r="L43" i="11"/>
  <c r="K43" i="11"/>
  <c r="H43" i="11"/>
  <c r="G43" i="11"/>
  <c r="F43" i="11"/>
  <c r="L42" i="11"/>
  <c r="K42" i="11"/>
  <c r="H42" i="11"/>
  <c r="G42" i="11"/>
  <c r="F42" i="11"/>
  <c r="L41" i="11"/>
  <c r="K41" i="11"/>
  <c r="H41" i="11"/>
  <c r="G41" i="11"/>
  <c r="F41" i="11"/>
  <c r="L40" i="11"/>
  <c r="K40" i="11"/>
  <c r="H40" i="11"/>
  <c r="G40" i="11"/>
  <c r="F40" i="11"/>
  <c r="L39" i="11"/>
  <c r="K39" i="11"/>
  <c r="H39" i="11"/>
  <c r="G39" i="11"/>
  <c r="F39" i="11"/>
  <c r="L38" i="11"/>
  <c r="K38" i="11"/>
  <c r="H38" i="11"/>
  <c r="G38" i="11"/>
  <c r="F38" i="11"/>
  <c r="L37" i="11"/>
  <c r="K37" i="11"/>
  <c r="H37" i="11"/>
  <c r="G37" i="11"/>
  <c r="F37" i="11"/>
  <c r="L36" i="11"/>
  <c r="K36" i="11"/>
  <c r="H36" i="11"/>
  <c r="G36" i="11"/>
  <c r="F36" i="11"/>
  <c r="L35" i="11"/>
  <c r="K35" i="11"/>
  <c r="H35" i="11"/>
  <c r="H66" i="11" s="1"/>
  <c r="G35" i="11"/>
  <c r="G66" i="11" s="1"/>
  <c r="F35" i="11"/>
  <c r="A36" i="1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L66" i="13"/>
  <c r="L65" i="13"/>
  <c r="K65" i="13"/>
  <c r="H65" i="13"/>
  <c r="G65" i="13"/>
  <c r="F65" i="13"/>
  <c r="A65" i="13"/>
  <c r="L64" i="13"/>
  <c r="K64" i="13"/>
  <c r="H64" i="13"/>
  <c r="G64" i="13"/>
  <c r="F64" i="13"/>
  <c r="L63" i="13"/>
  <c r="K63" i="13"/>
  <c r="H63" i="13"/>
  <c r="G63" i="13"/>
  <c r="F63" i="13"/>
  <c r="L62" i="13"/>
  <c r="K62" i="13"/>
  <c r="H62" i="13"/>
  <c r="G62" i="13"/>
  <c r="F62" i="13"/>
  <c r="L61" i="13"/>
  <c r="K61" i="13"/>
  <c r="H61" i="13"/>
  <c r="G61" i="13"/>
  <c r="F61" i="13"/>
  <c r="L60" i="13"/>
  <c r="K60" i="13"/>
  <c r="H60" i="13"/>
  <c r="G60" i="13"/>
  <c r="F60" i="13"/>
  <c r="L59" i="13"/>
  <c r="K59" i="13"/>
  <c r="H59" i="13"/>
  <c r="G59" i="13"/>
  <c r="F59" i="13"/>
  <c r="L58" i="13"/>
  <c r="K58" i="13"/>
  <c r="H58" i="13"/>
  <c r="G58" i="13"/>
  <c r="F58" i="13"/>
  <c r="L57" i="13"/>
  <c r="K57" i="13"/>
  <c r="H57" i="13"/>
  <c r="G57" i="13"/>
  <c r="F57" i="13"/>
  <c r="L56" i="13"/>
  <c r="K56" i="13"/>
  <c r="H56" i="13"/>
  <c r="G56" i="13"/>
  <c r="F56" i="13"/>
  <c r="L55" i="13"/>
  <c r="K55" i="13"/>
  <c r="H55" i="13"/>
  <c r="G55" i="13"/>
  <c r="F55" i="13"/>
  <c r="L54" i="13"/>
  <c r="K54" i="13"/>
  <c r="H54" i="13"/>
  <c r="G54" i="13"/>
  <c r="F54" i="13"/>
  <c r="L53" i="13"/>
  <c r="K53" i="13"/>
  <c r="H53" i="13"/>
  <c r="G53" i="13"/>
  <c r="F53" i="13"/>
  <c r="L52" i="13"/>
  <c r="K52" i="13"/>
  <c r="H52" i="13"/>
  <c r="G52" i="13"/>
  <c r="F52" i="13"/>
  <c r="L51" i="13"/>
  <c r="K51" i="13"/>
  <c r="H51" i="13"/>
  <c r="G51" i="13"/>
  <c r="F51" i="13"/>
  <c r="L50" i="13"/>
  <c r="K50" i="13"/>
  <c r="H50" i="13"/>
  <c r="G50" i="13"/>
  <c r="F50" i="13"/>
  <c r="L49" i="13"/>
  <c r="K49" i="13"/>
  <c r="H49" i="13"/>
  <c r="G49" i="13"/>
  <c r="F49" i="13"/>
  <c r="L48" i="13"/>
  <c r="K48" i="13"/>
  <c r="H48" i="13"/>
  <c r="G48" i="13"/>
  <c r="F48" i="13"/>
  <c r="L47" i="13"/>
  <c r="K47" i="13"/>
  <c r="H47" i="13"/>
  <c r="G47" i="13"/>
  <c r="F47" i="13"/>
  <c r="L46" i="13"/>
  <c r="K46" i="13"/>
  <c r="H46" i="13"/>
  <c r="G46" i="13"/>
  <c r="F46" i="13"/>
  <c r="L45" i="13"/>
  <c r="K45" i="13"/>
  <c r="H45" i="13"/>
  <c r="G45" i="13"/>
  <c r="F45" i="13"/>
  <c r="L44" i="13"/>
  <c r="K44" i="13"/>
  <c r="H44" i="13"/>
  <c r="G44" i="13"/>
  <c r="F44" i="13"/>
  <c r="L43" i="13"/>
  <c r="K43" i="13"/>
  <c r="H43" i="13"/>
  <c r="G43" i="13"/>
  <c r="F43" i="13"/>
  <c r="L42" i="13"/>
  <c r="K42" i="13"/>
  <c r="H42" i="13"/>
  <c r="G42" i="13"/>
  <c r="F42" i="13"/>
  <c r="L41" i="13"/>
  <c r="K41" i="13"/>
  <c r="H41" i="13"/>
  <c r="G41" i="13"/>
  <c r="F41" i="13"/>
  <c r="L40" i="13"/>
  <c r="K40" i="13"/>
  <c r="H40" i="13"/>
  <c r="G40" i="13"/>
  <c r="F40" i="13"/>
  <c r="L39" i="13"/>
  <c r="K39" i="13"/>
  <c r="H39" i="13"/>
  <c r="G39" i="13"/>
  <c r="F39" i="13"/>
  <c r="L38" i="13"/>
  <c r="K38" i="13"/>
  <c r="H38" i="13"/>
  <c r="G38" i="13"/>
  <c r="F38" i="13"/>
  <c r="L37" i="13"/>
  <c r="K37" i="13"/>
  <c r="H37" i="13"/>
  <c r="G37" i="13"/>
  <c r="F37" i="13"/>
  <c r="L36" i="13"/>
  <c r="K36" i="13"/>
  <c r="H36" i="13"/>
  <c r="G36" i="13"/>
  <c r="F36" i="13"/>
  <c r="L35" i="13"/>
  <c r="K35" i="13"/>
  <c r="H35" i="13"/>
  <c r="H66" i="13" s="1"/>
  <c r="G35" i="13"/>
  <c r="G66" i="13" s="1"/>
  <c r="F35" i="13"/>
  <c r="A36" i="13"/>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L66" i="72"/>
  <c r="L65" i="72"/>
  <c r="K65" i="72"/>
  <c r="F65" i="72"/>
  <c r="A65" i="72"/>
  <c r="L64" i="72"/>
  <c r="K64" i="72"/>
  <c r="F64" i="72"/>
  <c r="L63" i="72"/>
  <c r="K63" i="72"/>
  <c r="F63" i="72"/>
  <c r="L62" i="72"/>
  <c r="K62" i="72"/>
  <c r="F62" i="72"/>
  <c r="L61" i="72"/>
  <c r="K61" i="72"/>
  <c r="F61" i="72"/>
  <c r="L60" i="72"/>
  <c r="K60" i="72"/>
  <c r="H60" i="72"/>
  <c r="G60" i="72"/>
  <c r="F60" i="72"/>
  <c r="L59" i="72"/>
  <c r="K59" i="72"/>
  <c r="H59" i="72"/>
  <c r="G59" i="72"/>
  <c r="F59" i="72"/>
  <c r="L58" i="72"/>
  <c r="K58" i="72"/>
  <c r="H58" i="72"/>
  <c r="G58" i="72"/>
  <c r="F58" i="72"/>
  <c r="L57" i="72"/>
  <c r="K57" i="72"/>
  <c r="H57" i="72"/>
  <c r="G57" i="72"/>
  <c r="F57" i="72"/>
  <c r="L56" i="72"/>
  <c r="K56" i="72"/>
  <c r="H56" i="72"/>
  <c r="G56" i="72"/>
  <c r="F56" i="72"/>
  <c r="L55" i="72"/>
  <c r="K55" i="72"/>
  <c r="H55" i="72"/>
  <c r="G55" i="72"/>
  <c r="F55" i="72"/>
  <c r="L54" i="72"/>
  <c r="K54" i="72"/>
  <c r="H54" i="72"/>
  <c r="G54" i="72"/>
  <c r="F54" i="72"/>
  <c r="L53" i="72"/>
  <c r="K53" i="72"/>
  <c r="H53" i="72"/>
  <c r="G53" i="72"/>
  <c r="F53" i="72"/>
  <c r="L52" i="72"/>
  <c r="K52" i="72"/>
  <c r="H52" i="72"/>
  <c r="G52" i="72"/>
  <c r="F52" i="72"/>
  <c r="L51" i="72"/>
  <c r="K51" i="72"/>
  <c r="H51" i="72"/>
  <c r="G51" i="72"/>
  <c r="F51" i="72"/>
  <c r="L50" i="72"/>
  <c r="K50" i="72"/>
  <c r="H50" i="72"/>
  <c r="G50" i="72"/>
  <c r="F50" i="72"/>
  <c r="L49" i="72"/>
  <c r="K49" i="72"/>
  <c r="H49" i="72"/>
  <c r="G49" i="72"/>
  <c r="F49" i="72"/>
  <c r="L48" i="72"/>
  <c r="K48" i="72"/>
  <c r="H48" i="72"/>
  <c r="G48" i="72"/>
  <c r="F48" i="72"/>
  <c r="L47" i="72"/>
  <c r="K47" i="72"/>
  <c r="H47" i="72"/>
  <c r="G47" i="72"/>
  <c r="F47" i="72"/>
  <c r="L46" i="72"/>
  <c r="K46" i="72"/>
  <c r="H46" i="72"/>
  <c r="G46" i="72"/>
  <c r="F46" i="72"/>
  <c r="L45" i="72"/>
  <c r="K45" i="72"/>
  <c r="H45" i="72"/>
  <c r="G45" i="72"/>
  <c r="F45" i="72"/>
  <c r="L44" i="72"/>
  <c r="K44" i="72"/>
  <c r="H44" i="72"/>
  <c r="G44" i="72"/>
  <c r="F44" i="72"/>
  <c r="L43" i="72"/>
  <c r="K43" i="72"/>
  <c r="H43" i="72"/>
  <c r="G43" i="72"/>
  <c r="F43" i="72"/>
  <c r="L42" i="72"/>
  <c r="K42" i="72"/>
  <c r="H42" i="72"/>
  <c r="G42" i="72"/>
  <c r="F42" i="72"/>
  <c r="L41" i="72"/>
  <c r="K41" i="72"/>
  <c r="H41" i="72"/>
  <c r="G41" i="72"/>
  <c r="F41" i="72"/>
  <c r="L40" i="72"/>
  <c r="K40" i="72"/>
  <c r="H40" i="72"/>
  <c r="G40" i="72"/>
  <c r="F40" i="72"/>
  <c r="L39" i="72"/>
  <c r="K39" i="72"/>
  <c r="H39" i="72"/>
  <c r="G39" i="72"/>
  <c r="F39" i="72"/>
  <c r="L38" i="72"/>
  <c r="K38" i="72"/>
  <c r="H38" i="72"/>
  <c r="G38" i="72"/>
  <c r="F38" i="72"/>
  <c r="L37" i="72"/>
  <c r="K37" i="72"/>
  <c r="H37" i="72"/>
  <c r="G37" i="72"/>
  <c r="F37" i="72"/>
  <c r="L36" i="72"/>
  <c r="K36" i="72"/>
  <c r="H36" i="72"/>
  <c r="G36" i="72"/>
  <c r="F36" i="72"/>
  <c r="L35" i="72"/>
  <c r="K35" i="72"/>
  <c r="H35" i="72"/>
  <c r="G35" i="72"/>
  <c r="F35" i="72"/>
  <c r="A36" i="72"/>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L66" i="76"/>
  <c r="L65" i="76"/>
  <c r="K65" i="76"/>
  <c r="H65" i="76"/>
  <c r="G65" i="76"/>
  <c r="F65" i="76"/>
  <c r="L64" i="76"/>
  <c r="K64" i="76"/>
  <c r="H64" i="76"/>
  <c r="G64" i="76"/>
  <c r="F64" i="76"/>
  <c r="L63" i="76"/>
  <c r="K63" i="76"/>
  <c r="H63" i="76"/>
  <c r="G63" i="76"/>
  <c r="F63" i="76"/>
  <c r="L62" i="76"/>
  <c r="K62" i="76"/>
  <c r="H62" i="76"/>
  <c r="G62" i="76"/>
  <c r="F62" i="76"/>
  <c r="L61" i="76"/>
  <c r="K61" i="76"/>
  <c r="H61" i="76"/>
  <c r="G61" i="76"/>
  <c r="F61" i="76"/>
  <c r="L60" i="76"/>
  <c r="K60" i="76"/>
  <c r="H60" i="76"/>
  <c r="G60" i="76"/>
  <c r="F60" i="76"/>
  <c r="L59" i="76"/>
  <c r="K59" i="76"/>
  <c r="H59" i="76"/>
  <c r="G59" i="76"/>
  <c r="F59" i="76"/>
  <c r="L58" i="76"/>
  <c r="K58" i="76"/>
  <c r="H58" i="76"/>
  <c r="G58" i="76"/>
  <c r="F58" i="76"/>
  <c r="L57" i="76"/>
  <c r="K57" i="76"/>
  <c r="H57" i="76"/>
  <c r="G57" i="76"/>
  <c r="F57" i="76"/>
  <c r="L56" i="76"/>
  <c r="K56" i="76"/>
  <c r="H56" i="76"/>
  <c r="G56" i="76"/>
  <c r="F56" i="76"/>
  <c r="L55" i="76"/>
  <c r="K55" i="76"/>
  <c r="H55" i="76"/>
  <c r="G55" i="76"/>
  <c r="F55" i="76"/>
  <c r="L54" i="76"/>
  <c r="K54" i="76"/>
  <c r="H54" i="76"/>
  <c r="G54" i="76"/>
  <c r="F54" i="76"/>
  <c r="L53" i="76"/>
  <c r="K53" i="76"/>
  <c r="H53" i="76"/>
  <c r="G53" i="76"/>
  <c r="F53" i="76"/>
  <c r="L52" i="76"/>
  <c r="K52" i="76"/>
  <c r="H52" i="76"/>
  <c r="G52" i="76"/>
  <c r="F52" i="76"/>
  <c r="L51" i="76"/>
  <c r="K51" i="76"/>
  <c r="H51" i="76"/>
  <c r="G51" i="76"/>
  <c r="F51" i="76"/>
  <c r="L50" i="76"/>
  <c r="K50" i="76"/>
  <c r="H50" i="76"/>
  <c r="G50" i="76"/>
  <c r="F50" i="76"/>
  <c r="L49" i="76"/>
  <c r="K49" i="76"/>
  <c r="H49" i="76"/>
  <c r="G49" i="76"/>
  <c r="F49" i="76"/>
  <c r="L48" i="76"/>
  <c r="K48" i="76"/>
  <c r="H48" i="76"/>
  <c r="G48" i="76"/>
  <c r="F48" i="76"/>
  <c r="L47" i="76"/>
  <c r="K47" i="76"/>
  <c r="H47" i="76"/>
  <c r="G47" i="76"/>
  <c r="F47" i="76"/>
  <c r="L46" i="76"/>
  <c r="K46" i="76"/>
  <c r="H46" i="76"/>
  <c r="G46" i="76"/>
  <c r="F46" i="76"/>
  <c r="L45" i="76"/>
  <c r="K45" i="76"/>
  <c r="H45" i="76"/>
  <c r="G45" i="76"/>
  <c r="F45" i="76"/>
  <c r="L44" i="76"/>
  <c r="K44" i="76"/>
  <c r="H44" i="76"/>
  <c r="G44" i="76"/>
  <c r="F44" i="76"/>
  <c r="L43" i="76"/>
  <c r="K43" i="76"/>
  <c r="H43" i="76"/>
  <c r="G43" i="76"/>
  <c r="F43" i="76"/>
  <c r="L42" i="76"/>
  <c r="K42" i="76"/>
  <c r="H42" i="76"/>
  <c r="G42" i="76"/>
  <c r="F42" i="76"/>
  <c r="L41" i="76"/>
  <c r="K41" i="76"/>
  <c r="H41" i="76"/>
  <c r="G41" i="76"/>
  <c r="F41" i="76"/>
  <c r="L40" i="76"/>
  <c r="K40" i="76"/>
  <c r="H40" i="76"/>
  <c r="G40" i="76"/>
  <c r="F40" i="76"/>
  <c r="L39" i="76"/>
  <c r="K39" i="76"/>
  <c r="H39" i="76"/>
  <c r="G39" i="76"/>
  <c r="F39" i="76"/>
  <c r="L38" i="76"/>
  <c r="K38" i="76"/>
  <c r="H38" i="76"/>
  <c r="G38" i="76"/>
  <c r="F38" i="76"/>
  <c r="L37" i="76"/>
  <c r="K37" i="76"/>
  <c r="H37" i="76"/>
  <c r="G37" i="76"/>
  <c r="F37" i="76"/>
  <c r="L36" i="76"/>
  <c r="K36" i="76"/>
  <c r="H36" i="76"/>
  <c r="G36" i="76"/>
  <c r="F36" i="76"/>
  <c r="L35" i="76"/>
  <c r="K35" i="76"/>
  <c r="H35" i="76"/>
  <c r="G35" i="76"/>
  <c r="F35" i="76"/>
  <c r="A36" i="76"/>
  <c r="A37" i="76" s="1"/>
  <c r="A38" i="76" s="1"/>
  <c r="A39" i="76" s="1"/>
  <c r="A40" i="76" s="1"/>
  <c r="A41" i="76" s="1"/>
  <c r="A42" i="76" s="1"/>
  <c r="A43" i="76" s="1"/>
  <c r="A44" i="76" s="1"/>
  <c r="A45" i="76" s="1"/>
  <c r="A46" i="76" s="1"/>
  <c r="A47" i="76" s="1"/>
  <c r="A48" i="76" s="1"/>
  <c r="A49" i="76" s="1"/>
  <c r="A50" i="76" s="1"/>
  <c r="A51" i="76" s="1"/>
  <c r="A52" i="76" s="1"/>
  <c r="A53" i="76" s="1"/>
  <c r="A54" i="76" s="1"/>
  <c r="A55" i="76" s="1"/>
  <c r="A56" i="76" s="1"/>
  <c r="A57" i="76" s="1"/>
  <c r="A58" i="76" s="1"/>
  <c r="A59" i="76" s="1"/>
  <c r="A60" i="76" s="1"/>
  <c r="A61" i="76" s="1"/>
  <c r="A62" i="76" s="1"/>
  <c r="A63" i="76" s="1"/>
  <c r="A64" i="76" s="1"/>
  <c r="A65" i="76" s="1"/>
  <c r="L66" i="79"/>
  <c r="L65" i="79"/>
  <c r="K65" i="79"/>
  <c r="H65" i="79"/>
  <c r="G65" i="79"/>
  <c r="F65" i="79"/>
  <c r="A65" i="79"/>
  <c r="L64" i="79"/>
  <c r="K64" i="79"/>
  <c r="H64" i="79"/>
  <c r="G64" i="79"/>
  <c r="F64" i="79"/>
  <c r="L63" i="79"/>
  <c r="K63" i="79"/>
  <c r="H63" i="79"/>
  <c r="G63" i="79"/>
  <c r="F63" i="79"/>
  <c r="L62" i="79"/>
  <c r="K62" i="79"/>
  <c r="H62" i="79"/>
  <c r="G62" i="79"/>
  <c r="F62" i="79"/>
  <c r="L61" i="79"/>
  <c r="K61" i="79"/>
  <c r="H61" i="79"/>
  <c r="G61" i="79"/>
  <c r="F61" i="79"/>
  <c r="L60" i="79"/>
  <c r="K60" i="79"/>
  <c r="H60" i="79"/>
  <c r="G60" i="79"/>
  <c r="F60" i="79"/>
  <c r="L59" i="79"/>
  <c r="K59" i="79"/>
  <c r="H59" i="79"/>
  <c r="G59" i="79"/>
  <c r="F59" i="79"/>
  <c r="L58" i="79"/>
  <c r="K58" i="79"/>
  <c r="H58" i="79"/>
  <c r="G58" i="79"/>
  <c r="F58" i="79"/>
  <c r="L57" i="79"/>
  <c r="K57" i="79"/>
  <c r="H57" i="79"/>
  <c r="G57" i="79"/>
  <c r="F57" i="79"/>
  <c r="L56" i="79"/>
  <c r="K56" i="79"/>
  <c r="H56" i="79"/>
  <c r="G56" i="79"/>
  <c r="F56" i="79"/>
  <c r="L55" i="79"/>
  <c r="K55" i="79"/>
  <c r="H55" i="79"/>
  <c r="G55" i="79"/>
  <c r="F55" i="79"/>
  <c r="L54" i="79"/>
  <c r="K54" i="79"/>
  <c r="H54" i="79"/>
  <c r="G54" i="79"/>
  <c r="F54" i="79"/>
  <c r="L53" i="79"/>
  <c r="K53" i="79"/>
  <c r="H53" i="79"/>
  <c r="G53" i="79"/>
  <c r="F53" i="79"/>
  <c r="L52" i="79"/>
  <c r="K52" i="79"/>
  <c r="H52" i="79"/>
  <c r="G52" i="79"/>
  <c r="F52" i="79"/>
  <c r="L51" i="79"/>
  <c r="K51" i="79"/>
  <c r="H51" i="79"/>
  <c r="G51" i="79"/>
  <c r="F51" i="79"/>
  <c r="L50" i="79"/>
  <c r="K50" i="79"/>
  <c r="H50" i="79"/>
  <c r="G50" i="79"/>
  <c r="F50" i="79"/>
  <c r="L49" i="79"/>
  <c r="K49" i="79"/>
  <c r="H49" i="79"/>
  <c r="G49" i="79"/>
  <c r="F49" i="79"/>
  <c r="L48" i="79"/>
  <c r="K48" i="79"/>
  <c r="H48" i="79"/>
  <c r="G48" i="79"/>
  <c r="F48" i="79"/>
  <c r="L47" i="79"/>
  <c r="K47" i="79"/>
  <c r="H47" i="79"/>
  <c r="G47" i="79"/>
  <c r="F47" i="79"/>
  <c r="L46" i="79"/>
  <c r="K46" i="79"/>
  <c r="H46" i="79"/>
  <c r="G46" i="79"/>
  <c r="F46" i="79"/>
  <c r="L45" i="79"/>
  <c r="K45" i="79"/>
  <c r="H45" i="79"/>
  <c r="G45" i="79"/>
  <c r="F45" i="79"/>
  <c r="L44" i="79"/>
  <c r="K44" i="79"/>
  <c r="H44" i="79"/>
  <c r="G44" i="79"/>
  <c r="F44" i="79"/>
  <c r="L43" i="79"/>
  <c r="K43" i="79"/>
  <c r="H43" i="79"/>
  <c r="G43" i="79"/>
  <c r="F43" i="79"/>
  <c r="L42" i="79"/>
  <c r="K42" i="79"/>
  <c r="H42" i="79"/>
  <c r="G42" i="79"/>
  <c r="F42" i="79"/>
  <c r="L41" i="79"/>
  <c r="K41" i="79"/>
  <c r="H41" i="79"/>
  <c r="G41" i="79"/>
  <c r="F41" i="79"/>
  <c r="L40" i="79"/>
  <c r="K40" i="79"/>
  <c r="H40" i="79"/>
  <c r="G40" i="79"/>
  <c r="F40" i="79"/>
  <c r="L39" i="79"/>
  <c r="K39" i="79"/>
  <c r="H39" i="79"/>
  <c r="G39" i="79"/>
  <c r="F39" i="79"/>
  <c r="L38" i="79"/>
  <c r="K38" i="79"/>
  <c r="H38" i="79"/>
  <c r="G38" i="79"/>
  <c r="F38" i="79"/>
  <c r="L37" i="79"/>
  <c r="K37" i="79"/>
  <c r="H37" i="79"/>
  <c r="G37" i="79"/>
  <c r="F37" i="79"/>
  <c r="L36" i="79"/>
  <c r="K36" i="79"/>
  <c r="H36" i="79"/>
  <c r="G36" i="79"/>
  <c r="F36" i="79"/>
  <c r="L35" i="79"/>
  <c r="K35" i="79"/>
  <c r="H35" i="79"/>
  <c r="G35" i="79"/>
  <c r="F35" i="79"/>
  <c r="A36" i="79"/>
  <c r="A37" i="79" s="1"/>
  <c r="A38" i="79" s="1"/>
  <c r="A39" i="79" s="1"/>
  <c r="A40" i="79" s="1"/>
  <c r="A41" i="79" s="1"/>
  <c r="A42" i="79" s="1"/>
  <c r="A43" i="79" s="1"/>
  <c r="A44" i="79" s="1"/>
  <c r="A45" i="79" s="1"/>
  <c r="A46" i="79" s="1"/>
  <c r="A47" i="79" s="1"/>
  <c r="A48" i="79" s="1"/>
  <c r="A49" i="79" s="1"/>
  <c r="A50" i="79" s="1"/>
  <c r="A51" i="79" s="1"/>
  <c r="A52" i="79" s="1"/>
  <c r="A53" i="79" s="1"/>
  <c r="A54" i="79" s="1"/>
  <c r="A55" i="79" s="1"/>
  <c r="A56" i="79" s="1"/>
  <c r="A57" i="79" s="1"/>
  <c r="A58" i="79" s="1"/>
  <c r="A59" i="79" s="1"/>
  <c r="A60" i="79" s="1"/>
  <c r="A61" i="79" s="1"/>
  <c r="A62" i="79" s="1"/>
  <c r="A63" i="79" s="1"/>
  <c r="A64" i="79" s="1"/>
  <c r="L66" i="81"/>
  <c r="L65" i="81"/>
  <c r="K65" i="81"/>
  <c r="H65" i="81"/>
  <c r="G65" i="81"/>
  <c r="F65" i="81"/>
  <c r="A65" i="81"/>
  <c r="L64" i="81"/>
  <c r="K64" i="81"/>
  <c r="H64" i="81"/>
  <c r="G64" i="81"/>
  <c r="F64" i="81"/>
  <c r="L63" i="81"/>
  <c r="K63" i="81"/>
  <c r="H63" i="81"/>
  <c r="G63" i="81"/>
  <c r="F63" i="81"/>
  <c r="L62" i="81"/>
  <c r="K62" i="81"/>
  <c r="H62" i="81"/>
  <c r="G62" i="81"/>
  <c r="F62" i="81"/>
  <c r="L61" i="81"/>
  <c r="K61" i="81"/>
  <c r="H61" i="81"/>
  <c r="G61" i="81"/>
  <c r="F61" i="81"/>
  <c r="L60" i="81"/>
  <c r="K60" i="81"/>
  <c r="H60" i="81"/>
  <c r="G60" i="81"/>
  <c r="F60" i="81"/>
  <c r="L59" i="81"/>
  <c r="K59" i="81"/>
  <c r="H59" i="81"/>
  <c r="G59" i="81"/>
  <c r="F59" i="81"/>
  <c r="L58" i="81"/>
  <c r="K58" i="81"/>
  <c r="H58" i="81"/>
  <c r="G58" i="81"/>
  <c r="F58" i="81"/>
  <c r="L57" i="81"/>
  <c r="K57" i="81"/>
  <c r="H57" i="81"/>
  <c r="G57" i="81"/>
  <c r="F57" i="81"/>
  <c r="L56" i="81"/>
  <c r="K56" i="81"/>
  <c r="H56" i="81"/>
  <c r="G56" i="81"/>
  <c r="F56" i="81"/>
  <c r="L55" i="81"/>
  <c r="K55" i="81"/>
  <c r="H55" i="81"/>
  <c r="G55" i="81"/>
  <c r="F55" i="81"/>
  <c r="L54" i="81"/>
  <c r="K54" i="81"/>
  <c r="H54" i="81"/>
  <c r="G54" i="81"/>
  <c r="F54" i="81"/>
  <c r="L53" i="81"/>
  <c r="K53" i="81"/>
  <c r="H53" i="81"/>
  <c r="G53" i="81"/>
  <c r="F53" i="81"/>
  <c r="L52" i="81"/>
  <c r="K52" i="81"/>
  <c r="H52" i="81"/>
  <c r="G52" i="81"/>
  <c r="F52" i="81"/>
  <c r="L51" i="81"/>
  <c r="K51" i="81"/>
  <c r="H51" i="81"/>
  <c r="G51" i="81"/>
  <c r="F51" i="81"/>
  <c r="L50" i="81"/>
  <c r="K50" i="81"/>
  <c r="H50" i="81"/>
  <c r="G50" i="81"/>
  <c r="F50" i="81"/>
  <c r="L49" i="81"/>
  <c r="K49" i="81"/>
  <c r="H49" i="81"/>
  <c r="G49" i="81"/>
  <c r="F49" i="81"/>
  <c r="L48" i="81"/>
  <c r="K48" i="81"/>
  <c r="H48" i="81"/>
  <c r="G48" i="81"/>
  <c r="F48" i="81"/>
  <c r="L47" i="81"/>
  <c r="K47" i="81"/>
  <c r="H47" i="81"/>
  <c r="G47" i="81"/>
  <c r="F47" i="81"/>
  <c r="L46" i="81"/>
  <c r="K46" i="81"/>
  <c r="H46" i="81"/>
  <c r="G46" i="81"/>
  <c r="F46" i="81"/>
  <c r="L45" i="81"/>
  <c r="K45" i="81"/>
  <c r="H45" i="81"/>
  <c r="G45" i="81"/>
  <c r="F45" i="81"/>
  <c r="L44" i="81"/>
  <c r="K44" i="81"/>
  <c r="H44" i="81"/>
  <c r="G44" i="81"/>
  <c r="F44" i="81"/>
  <c r="L43" i="81"/>
  <c r="K43" i="81"/>
  <c r="H43" i="81"/>
  <c r="G43" i="81"/>
  <c r="F43" i="81"/>
  <c r="L42" i="81"/>
  <c r="K42" i="81"/>
  <c r="H42" i="81"/>
  <c r="G42" i="81"/>
  <c r="F42" i="81"/>
  <c r="L41" i="81"/>
  <c r="K41" i="81"/>
  <c r="H41" i="81"/>
  <c r="G41" i="81"/>
  <c r="F41" i="81"/>
  <c r="L40" i="81"/>
  <c r="K40" i="81"/>
  <c r="H40" i="81"/>
  <c r="G40" i="81"/>
  <c r="F40" i="81"/>
  <c r="L39" i="81"/>
  <c r="K39" i="81"/>
  <c r="H39" i="81"/>
  <c r="G39" i="81"/>
  <c r="F39" i="81"/>
  <c r="L38" i="81"/>
  <c r="K38" i="81"/>
  <c r="H38" i="81"/>
  <c r="G38" i="81"/>
  <c r="F38" i="81"/>
  <c r="L37" i="81"/>
  <c r="K37" i="81"/>
  <c r="H37" i="81"/>
  <c r="G37" i="81"/>
  <c r="F37" i="81"/>
  <c r="L36" i="81"/>
  <c r="K36" i="81"/>
  <c r="H36" i="81"/>
  <c r="G36" i="81"/>
  <c r="F36" i="81"/>
  <c r="L35" i="81"/>
  <c r="K35" i="81"/>
  <c r="H35" i="81"/>
  <c r="G35" i="81"/>
  <c r="F35" i="81"/>
  <c r="A36" i="81"/>
  <c r="A37" i="81" s="1"/>
  <c r="A38" i="81" s="1"/>
  <c r="A39" i="81" s="1"/>
  <c r="A40" i="81" s="1"/>
  <c r="A41" i="81" s="1"/>
  <c r="A42" i="81" s="1"/>
  <c r="A43" i="81" s="1"/>
  <c r="A44" i="81" s="1"/>
  <c r="A45" i="81" s="1"/>
  <c r="A46" i="81" s="1"/>
  <c r="A47" i="81" s="1"/>
  <c r="A48" i="81" s="1"/>
  <c r="A49" i="81" s="1"/>
  <c r="A50" i="81" s="1"/>
  <c r="A51" i="81" s="1"/>
  <c r="A52" i="81" s="1"/>
  <c r="A53" i="81" s="1"/>
  <c r="A54" i="81" s="1"/>
  <c r="A55" i="81" s="1"/>
  <c r="A56" i="81" s="1"/>
  <c r="A57" i="81" s="1"/>
  <c r="A58" i="81" s="1"/>
  <c r="A59" i="81" s="1"/>
  <c r="A60" i="81" s="1"/>
  <c r="A61" i="81" s="1"/>
  <c r="A62" i="81" s="1"/>
  <c r="A63" i="81" s="1"/>
  <c r="A64" i="81" s="1"/>
  <c r="G22" i="100"/>
  <c r="H22" i="100"/>
  <c r="I22" i="100"/>
  <c r="K22" i="100"/>
  <c r="L22" i="100"/>
  <c r="M22" i="100"/>
  <c r="N22" i="100"/>
  <c r="P22" i="100"/>
  <c r="Q22" i="100"/>
  <c r="R22" i="100"/>
  <c r="S22" i="100"/>
  <c r="T22" i="100"/>
  <c r="G23" i="100"/>
  <c r="H23" i="100"/>
  <c r="I23" i="100"/>
  <c r="J23" i="100"/>
  <c r="K23" i="100"/>
  <c r="L23" i="100"/>
  <c r="M23" i="100"/>
  <c r="N23" i="100"/>
  <c r="O23" i="100"/>
  <c r="P23" i="100"/>
  <c r="Q23" i="100"/>
  <c r="R23" i="100"/>
  <c r="S23" i="100"/>
  <c r="T23" i="100"/>
  <c r="F23" i="100"/>
  <c r="F22" i="100"/>
  <c r="L66" i="80"/>
  <c r="L65" i="80"/>
  <c r="K65" i="80"/>
  <c r="H65" i="80"/>
  <c r="G65" i="80"/>
  <c r="F65" i="80"/>
  <c r="L64" i="80"/>
  <c r="K64" i="80"/>
  <c r="H64" i="80"/>
  <c r="G64" i="80"/>
  <c r="F64" i="80"/>
  <c r="L63" i="80"/>
  <c r="K63" i="80"/>
  <c r="H63" i="80"/>
  <c r="G63" i="80"/>
  <c r="F63" i="80"/>
  <c r="L62" i="80"/>
  <c r="K62" i="80"/>
  <c r="H62" i="80"/>
  <c r="G62" i="80"/>
  <c r="F62" i="80"/>
  <c r="L61" i="80"/>
  <c r="K61" i="80"/>
  <c r="H61" i="80"/>
  <c r="G61" i="80"/>
  <c r="F61" i="80"/>
  <c r="L60" i="80"/>
  <c r="K60" i="80"/>
  <c r="H60" i="80"/>
  <c r="G60" i="80"/>
  <c r="F60" i="80"/>
  <c r="L59" i="80"/>
  <c r="K59" i="80"/>
  <c r="H59" i="80"/>
  <c r="G59" i="80"/>
  <c r="F59" i="80"/>
  <c r="L58" i="80"/>
  <c r="K58" i="80"/>
  <c r="H58" i="80"/>
  <c r="G58" i="80"/>
  <c r="F58" i="80"/>
  <c r="L57" i="80"/>
  <c r="K57" i="80"/>
  <c r="H57" i="80"/>
  <c r="G57" i="80"/>
  <c r="F57" i="80"/>
  <c r="L56" i="80"/>
  <c r="K56" i="80"/>
  <c r="H56" i="80"/>
  <c r="G56" i="80"/>
  <c r="F56" i="80"/>
  <c r="L55" i="80"/>
  <c r="K55" i="80"/>
  <c r="H55" i="80"/>
  <c r="G55" i="80"/>
  <c r="F55" i="80"/>
  <c r="L54" i="80"/>
  <c r="K54" i="80"/>
  <c r="H54" i="80"/>
  <c r="G54" i="80"/>
  <c r="F54" i="80"/>
  <c r="L53" i="80"/>
  <c r="K53" i="80"/>
  <c r="H53" i="80"/>
  <c r="G53" i="80"/>
  <c r="F53" i="80"/>
  <c r="L52" i="80"/>
  <c r="K52" i="80"/>
  <c r="H52" i="80"/>
  <c r="G52" i="80"/>
  <c r="F52" i="80"/>
  <c r="L51" i="80"/>
  <c r="K51" i="80"/>
  <c r="H51" i="80"/>
  <c r="G51" i="80"/>
  <c r="F51" i="80"/>
  <c r="L50" i="80"/>
  <c r="K50" i="80"/>
  <c r="H50" i="80"/>
  <c r="G50" i="80"/>
  <c r="F50" i="80"/>
  <c r="L49" i="80"/>
  <c r="K49" i="80"/>
  <c r="H49" i="80"/>
  <c r="G49" i="80"/>
  <c r="F49" i="80"/>
  <c r="L48" i="80"/>
  <c r="K48" i="80"/>
  <c r="H48" i="80"/>
  <c r="G48" i="80"/>
  <c r="F48" i="80"/>
  <c r="L47" i="80"/>
  <c r="K47" i="80"/>
  <c r="H47" i="80"/>
  <c r="G47" i="80"/>
  <c r="F47" i="80"/>
  <c r="L46" i="80"/>
  <c r="K46" i="80"/>
  <c r="H46" i="80"/>
  <c r="G46" i="80"/>
  <c r="F46" i="80"/>
  <c r="L45" i="80"/>
  <c r="K45" i="80"/>
  <c r="H45" i="80"/>
  <c r="G45" i="80"/>
  <c r="F45" i="80"/>
  <c r="L44" i="80"/>
  <c r="K44" i="80"/>
  <c r="H44" i="80"/>
  <c r="G44" i="80"/>
  <c r="F44" i="80"/>
  <c r="L43" i="80"/>
  <c r="K43" i="80"/>
  <c r="H43" i="80"/>
  <c r="G43" i="80"/>
  <c r="F43" i="80"/>
  <c r="L42" i="80"/>
  <c r="K42" i="80"/>
  <c r="H42" i="80"/>
  <c r="G42" i="80"/>
  <c r="F42" i="80"/>
  <c r="L41" i="80"/>
  <c r="K41" i="80"/>
  <c r="H41" i="80"/>
  <c r="G41" i="80"/>
  <c r="F41" i="80"/>
  <c r="L40" i="80"/>
  <c r="K40" i="80"/>
  <c r="H40" i="80"/>
  <c r="G40" i="80"/>
  <c r="F40" i="80"/>
  <c r="L39" i="80"/>
  <c r="K39" i="80"/>
  <c r="H39" i="80"/>
  <c r="G39" i="80"/>
  <c r="F39" i="80"/>
  <c r="L38" i="80"/>
  <c r="K38" i="80"/>
  <c r="H38" i="80"/>
  <c r="G38" i="80"/>
  <c r="F38" i="80"/>
  <c r="L37" i="80"/>
  <c r="K37" i="80"/>
  <c r="H37" i="80"/>
  <c r="G37" i="80"/>
  <c r="F37" i="80"/>
  <c r="L36" i="80"/>
  <c r="K36" i="80"/>
  <c r="H36" i="80"/>
  <c r="G36" i="80"/>
  <c r="F36" i="80"/>
  <c r="L35" i="80"/>
  <c r="K35" i="80"/>
  <c r="H35" i="80"/>
  <c r="G35" i="80"/>
  <c r="F35" i="80"/>
  <c r="A36" i="80"/>
  <c r="A37" i="80" s="1"/>
  <c r="A38" i="80" s="1"/>
  <c r="A39" i="80" s="1"/>
  <c r="A40" i="80" s="1"/>
  <c r="A41" i="80" s="1"/>
  <c r="A42" i="80" s="1"/>
  <c r="A43" i="80" s="1"/>
  <c r="A44" i="80" s="1"/>
  <c r="A45" i="80" s="1"/>
  <c r="A46" i="80" s="1"/>
  <c r="A47" i="80" s="1"/>
  <c r="A48" i="80" s="1"/>
  <c r="A49" i="80" s="1"/>
  <c r="A50" i="80" s="1"/>
  <c r="A51" i="80" s="1"/>
  <c r="A52" i="80" s="1"/>
  <c r="A53" i="80" s="1"/>
  <c r="A54" i="80" s="1"/>
  <c r="A55" i="80" s="1"/>
  <c r="A56" i="80" s="1"/>
  <c r="A57" i="80" s="1"/>
  <c r="A58" i="80" s="1"/>
  <c r="A59" i="80" s="1"/>
  <c r="A60" i="80" s="1"/>
  <c r="A61" i="80" s="1"/>
  <c r="A62" i="80" s="1"/>
  <c r="A63" i="80" s="1"/>
  <c r="A64" i="80" s="1"/>
  <c r="A65" i="80" s="1"/>
  <c r="L66" i="73"/>
  <c r="L65" i="73"/>
  <c r="K65" i="73"/>
  <c r="H65" i="73"/>
  <c r="G65" i="73"/>
  <c r="F65" i="73"/>
  <c r="A65" i="73"/>
  <c r="L64" i="73"/>
  <c r="K64" i="73"/>
  <c r="H64" i="73"/>
  <c r="G64" i="73"/>
  <c r="F64" i="73"/>
  <c r="L63" i="73"/>
  <c r="K63" i="73"/>
  <c r="H63" i="73"/>
  <c r="G63" i="73"/>
  <c r="F63" i="73"/>
  <c r="L62" i="73"/>
  <c r="K62" i="73"/>
  <c r="H62" i="73"/>
  <c r="G62" i="73"/>
  <c r="F62" i="73"/>
  <c r="L61" i="73"/>
  <c r="K61" i="73"/>
  <c r="H61" i="73"/>
  <c r="G61" i="73"/>
  <c r="F61" i="73"/>
  <c r="L60" i="73"/>
  <c r="K60" i="73"/>
  <c r="H60" i="73"/>
  <c r="G60" i="73"/>
  <c r="F60" i="73"/>
  <c r="L59" i="73"/>
  <c r="K59" i="73"/>
  <c r="H59" i="73"/>
  <c r="G59" i="73"/>
  <c r="F59" i="73"/>
  <c r="L58" i="73"/>
  <c r="K58" i="73"/>
  <c r="H58" i="73"/>
  <c r="G58" i="73"/>
  <c r="F58" i="73"/>
  <c r="L57" i="73"/>
  <c r="K57" i="73"/>
  <c r="H57" i="73"/>
  <c r="G57" i="73"/>
  <c r="F57" i="73"/>
  <c r="L56" i="73"/>
  <c r="K56" i="73"/>
  <c r="H56" i="73"/>
  <c r="G56" i="73"/>
  <c r="F56" i="73"/>
  <c r="L55" i="73"/>
  <c r="K55" i="73"/>
  <c r="H55" i="73"/>
  <c r="G55" i="73"/>
  <c r="F55" i="73"/>
  <c r="L54" i="73"/>
  <c r="K54" i="73"/>
  <c r="H54" i="73"/>
  <c r="G54" i="73"/>
  <c r="F54" i="73"/>
  <c r="L53" i="73"/>
  <c r="K53" i="73"/>
  <c r="H53" i="73"/>
  <c r="G53" i="73"/>
  <c r="F53" i="73"/>
  <c r="L52" i="73"/>
  <c r="K52" i="73"/>
  <c r="H52" i="73"/>
  <c r="G52" i="73"/>
  <c r="F52" i="73"/>
  <c r="L51" i="73"/>
  <c r="K51" i="73"/>
  <c r="H51" i="73"/>
  <c r="G51" i="73"/>
  <c r="F51" i="73"/>
  <c r="L50" i="73"/>
  <c r="K50" i="73"/>
  <c r="H50" i="73"/>
  <c r="G50" i="73"/>
  <c r="F50" i="73"/>
  <c r="L49" i="73"/>
  <c r="K49" i="73"/>
  <c r="H49" i="73"/>
  <c r="G49" i="73"/>
  <c r="F49" i="73"/>
  <c r="L48" i="73"/>
  <c r="K48" i="73"/>
  <c r="H48" i="73"/>
  <c r="G48" i="73"/>
  <c r="F48" i="73"/>
  <c r="L47" i="73"/>
  <c r="K47" i="73"/>
  <c r="H47" i="73"/>
  <c r="G47" i="73"/>
  <c r="F47" i="73"/>
  <c r="L46" i="73"/>
  <c r="K46" i="73"/>
  <c r="H46" i="73"/>
  <c r="G46" i="73"/>
  <c r="F46" i="73"/>
  <c r="L45" i="73"/>
  <c r="K45" i="73"/>
  <c r="H45" i="73"/>
  <c r="G45" i="73"/>
  <c r="F45" i="73"/>
  <c r="L44" i="73"/>
  <c r="K44" i="73"/>
  <c r="H44" i="73"/>
  <c r="G44" i="73"/>
  <c r="F44" i="73"/>
  <c r="L43" i="73"/>
  <c r="K43" i="73"/>
  <c r="H43" i="73"/>
  <c r="G43" i="73"/>
  <c r="F43" i="73"/>
  <c r="L42" i="73"/>
  <c r="K42" i="73"/>
  <c r="H42" i="73"/>
  <c r="G42" i="73"/>
  <c r="F42" i="73"/>
  <c r="L41" i="73"/>
  <c r="K41" i="73"/>
  <c r="H41" i="73"/>
  <c r="G41" i="73"/>
  <c r="F41" i="73"/>
  <c r="L40" i="73"/>
  <c r="K40" i="73"/>
  <c r="H40" i="73"/>
  <c r="G40" i="73"/>
  <c r="F40" i="73"/>
  <c r="L39" i="73"/>
  <c r="K39" i="73"/>
  <c r="H39" i="73"/>
  <c r="G39" i="73"/>
  <c r="F39" i="73"/>
  <c r="L38" i="73"/>
  <c r="K38" i="73"/>
  <c r="H38" i="73"/>
  <c r="G38" i="73"/>
  <c r="F38" i="73"/>
  <c r="L37" i="73"/>
  <c r="K37" i="73"/>
  <c r="H37" i="73"/>
  <c r="G37" i="73"/>
  <c r="F37" i="73"/>
  <c r="L36" i="73"/>
  <c r="K36" i="73"/>
  <c r="H36" i="73"/>
  <c r="G36" i="73"/>
  <c r="F36" i="73"/>
  <c r="L35" i="73"/>
  <c r="K35" i="73"/>
  <c r="H35" i="73"/>
  <c r="G35" i="73"/>
  <c r="F35" i="73"/>
  <c r="A36" i="73"/>
  <c r="A37" i="73" s="1"/>
  <c r="A38" i="73" s="1"/>
  <c r="A39" i="73" s="1"/>
  <c r="A40" i="73" s="1"/>
  <c r="A41" i="73" s="1"/>
  <c r="A42" i="73" s="1"/>
  <c r="A43" i="73" s="1"/>
  <c r="A44" i="73" s="1"/>
  <c r="A45" i="73" s="1"/>
  <c r="A46" i="73" s="1"/>
  <c r="A47" i="73" s="1"/>
  <c r="A48" i="73" s="1"/>
  <c r="A49" i="73" s="1"/>
  <c r="A50" i="73" s="1"/>
  <c r="A51" i="73" s="1"/>
  <c r="A52" i="73" s="1"/>
  <c r="A53" i="73" s="1"/>
  <c r="A54" i="73" s="1"/>
  <c r="A55" i="73" s="1"/>
  <c r="A56" i="73" s="1"/>
  <c r="A57" i="73" s="1"/>
  <c r="A58" i="73" s="1"/>
  <c r="A59" i="73" s="1"/>
  <c r="A60" i="73" s="1"/>
  <c r="A61" i="73" s="1"/>
  <c r="A62" i="73" s="1"/>
  <c r="A63" i="73" s="1"/>
  <c r="A64" i="73" s="1"/>
  <c r="E66" i="87"/>
  <c r="D66" i="87"/>
  <c r="P66" i="75"/>
  <c r="O66" i="75"/>
  <c r="M66" i="75"/>
  <c r="J66" i="75"/>
  <c r="H66" i="75"/>
  <c r="G66" i="75"/>
  <c r="E66" i="75"/>
  <c r="D66" i="75"/>
  <c r="C66" i="75"/>
  <c r="B66" i="75"/>
  <c r="L65" i="75"/>
  <c r="K65" i="75"/>
  <c r="H65" i="75"/>
  <c r="G65" i="75"/>
  <c r="F65" i="75"/>
  <c r="L66" i="75"/>
  <c r="L64" i="75"/>
  <c r="K64" i="75"/>
  <c r="H64" i="75"/>
  <c r="G64" i="75"/>
  <c r="F64" i="75"/>
  <c r="L63" i="75"/>
  <c r="K63" i="75"/>
  <c r="H63" i="75"/>
  <c r="G63" i="75"/>
  <c r="F63" i="75"/>
  <c r="L62" i="75"/>
  <c r="K62" i="75"/>
  <c r="H62" i="75"/>
  <c r="G62" i="75"/>
  <c r="F62" i="75"/>
  <c r="L61" i="75"/>
  <c r="K61" i="75"/>
  <c r="H61" i="75"/>
  <c r="G61" i="75"/>
  <c r="F61" i="75"/>
  <c r="L60" i="75"/>
  <c r="K60" i="75"/>
  <c r="H60" i="75"/>
  <c r="G60" i="75"/>
  <c r="F60" i="75"/>
  <c r="L59" i="75"/>
  <c r="K59" i="75"/>
  <c r="H59" i="75"/>
  <c r="G59" i="75"/>
  <c r="F59" i="75"/>
  <c r="L58" i="75"/>
  <c r="K58" i="75"/>
  <c r="H58" i="75"/>
  <c r="G58" i="75"/>
  <c r="F58" i="75"/>
  <c r="L57" i="75"/>
  <c r="K57" i="75"/>
  <c r="H57" i="75"/>
  <c r="G57" i="75"/>
  <c r="F57" i="75"/>
  <c r="L56" i="75"/>
  <c r="K56" i="75"/>
  <c r="H56" i="75"/>
  <c r="G56" i="75"/>
  <c r="F56" i="75"/>
  <c r="L55" i="75"/>
  <c r="K55" i="75"/>
  <c r="H55" i="75"/>
  <c r="G55" i="75"/>
  <c r="F55" i="75"/>
  <c r="L54" i="75"/>
  <c r="K54" i="75"/>
  <c r="H54" i="75"/>
  <c r="G54" i="75"/>
  <c r="F54" i="75"/>
  <c r="L53" i="75"/>
  <c r="K53" i="75"/>
  <c r="H53" i="75"/>
  <c r="G53" i="75"/>
  <c r="F53" i="75"/>
  <c r="L52" i="75"/>
  <c r="K52" i="75"/>
  <c r="H52" i="75"/>
  <c r="G52" i="75"/>
  <c r="F52" i="75"/>
  <c r="L51" i="75"/>
  <c r="K51" i="75"/>
  <c r="H51" i="75"/>
  <c r="G51" i="75"/>
  <c r="F51" i="75"/>
  <c r="L50" i="75"/>
  <c r="K50" i="75"/>
  <c r="H50" i="75"/>
  <c r="G50" i="75"/>
  <c r="F50" i="75"/>
  <c r="L49" i="75"/>
  <c r="K49" i="75"/>
  <c r="H49" i="75"/>
  <c r="G49" i="75"/>
  <c r="F49" i="75"/>
  <c r="L48" i="75"/>
  <c r="K48" i="75"/>
  <c r="H48" i="75"/>
  <c r="G48" i="75"/>
  <c r="F48" i="75"/>
  <c r="L47" i="75"/>
  <c r="K47" i="75"/>
  <c r="H47" i="75"/>
  <c r="G47" i="75"/>
  <c r="F47" i="75"/>
  <c r="L46" i="75"/>
  <c r="K46" i="75"/>
  <c r="H46" i="75"/>
  <c r="G46" i="75"/>
  <c r="F46" i="75"/>
  <c r="L45" i="75"/>
  <c r="K45" i="75"/>
  <c r="H45" i="75"/>
  <c r="G45" i="75"/>
  <c r="F45" i="75"/>
  <c r="L44" i="75"/>
  <c r="K44" i="75"/>
  <c r="H44" i="75"/>
  <c r="G44" i="75"/>
  <c r="F44" i="75"/>
  <c r="L43" i="75"/>
  <c r="K43" i="75"/>
  <c r="H43" i="75"/>
  <c r="G43" i="75"/>
  <c r="F43" i="75"/>
  <c r="L42" i="75"/>
  <c r="K42" i="75"/>
  <c r="H42" i="75"/>
  <c r="G42" i="75"/>
  <c r="F42" i="75"/>
  <c r="L41" i="75"/>
  <c r="K41" i="75"/>
  <c r="H41" i="75"/>
  <c r="G41" i="75"/>
  <c r="F41" i="75"/>
  <c r="L40" i="75"/>
  <c r="K40" i="75"/>
  <c r="H40" i="75"/>
  <c r="G40" i="75"/>
  <c r="F40" i="75"/>
  <c r="L39" i="75"/>
  <c r="K39" i="75"/>
  <c r="H39" i="75"/>
  <c r="G39" i="75"/>
  <c r="F39" i="75"/>
  <c r="L38" i="75"/>
  <c r="K38" i="75"/>
  <c r="H38" i="75"/>
  <c r="G38" i="75"/>
  <c r="F38" i="75"/>
  <c r="L37" i="75"/>
  <c r="K37" i="75"/>
  <c r="H37" i="75"/>
  <c r="G37" i="75"/>
  <c r="F37" i="75"/>
  <c r="L36" i="75"/>
  <c r="K36" i="75"/>
  <c r="H36" i="75"/>
  <c r="G36" i="75"/>
  <c r="F36" i="75"/>
  <c r="L35" i="75"/>
  <c r="K35" i="75"/>
  <c r="H35" i="75"/>
  <c r="G35" i="75"/>
  <c r="F35" i="75"/>
  <c r="A36" i="75"/>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59" i="75" s="1"/>
  <c r="A60" i="75" s="1"/>
  <c r="A61" i="75" s="1"/>
  <c r="A62" i="75" s="1"/>
  <c r="A63" i="75" s="1"/>
  <c r="A64" i="75" s="1"/>
  <c r="A65" i="75" s="1"/>
  <c r="P66" i="83"/>
  <c r="O66" i="83"/>
  <c r="N66" i="83"/>
  <c r="M66" i="83"/>
  <c r="J66" i="83"/>
  <c r="I66" i="83"/>
  <c r="E66" i="83"/>
  <c r="D66" i="83"/>
  <c r="C66" i="83"/>
  <c r="P66" i="87"/>
  <c r="O66" i="87"/>
  <c r="N66" i="87"/>
  <c r="M66" i="87"/>
  <c r="J66" i="87"/>
  <c r="I66" i="87"/>
  <c r="C66" i="87"/>
  <c r="L65" i="83"/>
  <c r="K65" i="83"/>
  <c r="H65" i="83"/>
  <c r="G65" i="83"/>
  <c r="F65" i="83"/>
  <c r="L66" i="83"/>
  <c r="L64" i="83"/>
  <c r="K64" i="83"/>
  <c r="H64" i="83"/>
  <c r="G64" i="83"/>
  <c r="F64" i="83"/>
  <c r="L63" i="83"/>
  <c r="K63" i="83"/>
  <c r="H63" i="83"/>
  <c r="G63" i="83"/>
  <c r="F63" i="83"/>
  <c r="L62" i="83"/>
  <c r="K62" i="83"/>
  <c r="H62" i="83"/>
  <c r="G62" i="83"/>
  <c r="F62" i="83"/>
  <c r="L61" i="83"/>
  <c r="K61" i="83"/>
  <c r="H61" i="83"/>
  <c r="G61" i="83"/>
  <c r="F61" i="83"/>
  <c r="L60" i="83"/>
  <c r="K60" i="83"/>
  <c r="H60" i="83"/>
  <c r="G60" i="83"/>
  <c r="F60" i="83"/>
  <c r="L59" i="83"/>
  <c r="K59" i="83"/>
  <c r="H59" i="83"/>
  <c r="G59" i="83"/>
  <c r="F59" i="83"/>
  <c r="L58" i="83"/>
  <c r="K58" i="83"/>
  <c r="H58" i="83"/>
  <c r="G58" i="83"/>
  <c r="F58" i="83"/>
  <c r="L57" i="83"/>
  <c r="K57" i="83"/>
  <c r="H57" i="83"/>
  <c r="G57" i="83"/>
  <c r="F57" i="83"/>
  <c r="L56" i="83"/>
  <c r="K56" i="83"/>
  <c r="H56" i="83"/>
  <c r="G56" i="83"/>
  <c r="F56" i="83"/>
  <c r="L55" i="83"/>
  <c r="K55" i="83"/>
  <c r="H55" i="83"/>
  <c r="G55" i="83"/>
  <c r="F55" i="83"/>
  <c r="L54" i="83"/>
  <c r="K54" i="83"/>
  <c r="H54" i="83"/>
  <c r="G54" i="83"/>
  <c r="F54" i="83"/>
  <c r="L53" i="83"/>
  <c r="K53" i="83"/>
  <c r="H53" i="83"/>
  <c r="G53" i="83"/>
  <c r="F53" i="83"/>
  <c r="L52" i="83"/>
  <c r="K52" i="83"/>
  <c r="H52" i="83"/>
  <c r="G52" i="83"/>
  <c r="F52" i="83"/>
  <c r="L51" i="83"/>
  <c r="K51" i="83"/>
  <c r="H51" i="83"/>
  <c r="G51" i="83"/>
  <c r="F51" i="83"/>
  <c r="L50" i="83"/>
  <c r="K50" i="83"/>
  <c r="H50" i="83"/>
  <c r="G50" i="83"/>
  <c r="F50" i="83"/>
  <c r="L49" i="83"/>
  <c r="K49" i="83"/>
  <c r="H49" i="83"/>
  <c r="G49" i="83"/>
  <c r="F49" i="83"/>
  <c r="L48" i="83"/>
  <c r="K48" i="83"/>
  <c r="H48" i="83"/>
  <c r="G48" i="83"/>
  <c r="F48" i="83"/>
  <c r="L47" i="83"/>
  <c r="K47" i="83"/>
  <c r="H47" i="83"/>
  <c r="G47" i="83"/>
  <c r="F47" i="83"/>
  <c r="L46" i="83"/>
  <c r="K46" i="83"/>
  <c r="H46" i="83"/>
  <c r="G46" i="83"/>
  <c r="F46" i="83"/>
  <c r="L45" i="83"/>
  <c r="K45" i="83"/>
  <c r="H45" i="83"/>
  <c r="G45" i="83"/>
  <c r="F45" i="83"/>
  <c r="L44" i="83"/>
  <c r="K44" i="83"/>
  <c r="H44" i="83"/>
  <c r="G44" i="83"/>
  <c r="F44" i="83"/>
  <c r="L43" i="83"/>
  <c r="K43" i="83"/>
  <c r="H43" i="83"/>
  <c r="G43" i="83"/>
  <c r="F43" i="83"/>
  <c r="L42" i="83"/>
  <c r="K42" i="83"/>
  <c r="H42" i="83"/>
  <c r="G42" i="83"/>
  <c r="F42" i="83"/>
  <c r="L41" i="83"/>
  <c r="K41" i="83"/>
  <c r="H41" i="83"/>
  <c r="G41" i="83"/>
  <c r="F41" i="83"/>
  <c r="L40" i="83"/>
  <c r="K40" i="83"/>
  <c r="H40" i="83"/>
  <c r="G40" i="83"/>
  <c r="F40" i="83"/>
  <c r="L39" i="83"/>
  <c r="K39" i="83"/>
  <c r="H39" i="83"/>
  <c r="G39" i="83"/>
  <c r="F39" i="83"/>
  <c r="L38" i="83"/>
  <c r="K38" i="83"/>
  <c r="H38" i="83"/>
  <c r="G38" i="83"/>
  <c r="F38" i="83"/>
  <c r="L37" i="83"/>
  <c r="K37" i="83"/>
  <c r="H37" i="83"/>
  <c r="G37" i="83"/>
  <c r="F37" i="83"/>
  <c r="L36" i="83"/>
  <c r="K36" i="83"/>
  <c r="H36" i="83"/>
  <c r="G36" i="83"/>
  <c r="F36" i="83"/>
  <c r="L35" i="83"/>
  <c r="K35" i="83"/>
  <c r="H35" i="83"/>
  <c r="H66" i="83" s="1"/>
  <c r="G35" i="83"/>
  <c r="G66" i="83" s="1"/>
  <c r="F35" i="83"/>
  <c r="A36" i="83"/>
  <c r="A37" i="83" s="1"/>
  <c r="A38" i="83" s="1"/>
  <c r="A39" i="83" s="1"/>
  <c r="A40" i="83" s="1"/>
  <c r="A41" i="83" s="1"/>
  <c r="A42" i="83" s="1"/>
  <c r="A43" i="83" s="1"/>
  <c r="A44" i="83" s="1"/>
  <c r="A45" i="83" s="1"/>
  <c r="A46" i="83" s="1"/>
  <c r="A47" i="83" s="1"/>
  <c r="A48" i="83" s="1"/>
  <c r="A49" i="83" s="1"/>
  <c r="A50" i="83" s="1"/>
  <c r="A51" i="83" s="1"/>
  <c r="A52" i="83" s="1"/>
  <c r="A53" i="83" s="1"/>
  <c r="A54" i="83" s="1"/>
  <c r="A55" i="83" s="1"/>
  <c r="A56" i="83" s="1"/>
  <c r="A57" i="83" s="1"/>
  <c r="A58" i="83" s="1"/>
  <c r="A59" i="83" s="1"/>
  <c r="A60" i="83" s="1"/>
  <c r="A61" i="83" s="1"/>
  <c r="A62" i="83" s="1"/>
  <c r="A63" i="83" s="1"/>
  <c r="A64" i="83" s="1"/>
  <c r="A65" i="83" s="1"/>
  <c r="L65" i="87"/>
  <c r="K65" i="87"/>
  <c r="H65" i="87"/>
  <c r="G65" i="87"/>
  <c r="F65" i="87"/>
  <c r="L66" i="87"/>
  <c r="L64" i="87"/>
  <c r="K64" i="87"/>
  <c r="H64" i="87"/>
  <c r="G64" i="87"/>
  <c r="F64" i="87"/>
  <c r="L63" i="87"/>
  <c r="K63" i="87"/>
  <c r="H63" i="87"/>
  <c r="G63" i="87"/>
  <c r="F63" i="87"/>
  <c r="L62" i="87"/>
  <c r="K62" i="87"/>
  <c r="H62" i="87"/>
  <c r="G62" i="87"/>
  <c r="F62" i="87"/>
  <c r="L61" i="87"/>
  <c r="K61" i="87"/>
  <c r="H61" i="87"/>
  <c r="G61" i="87"/>
  <c r="F61" i="87"/>
  <c r="L60" i="87"/>
  <c r="K60" i="87"/>
  <c r="H60" i="87"/>
  <c r="G60" i="87"/>
  <c r="F60" i="87"/>
  <c r="L59" i="87"/>
  <c r="K59" i="87"/>
  <c r="H59" i="87"/>
  <c r="G59" i="87"/>
  <c r="F59" i="87"/>
  <c r="L58" i="87"/>
  <c r="K58" i="87"/>
  <c r="H58" i="87"/>
  <c r="G58" i="87"/>
  <c r="F58" i="87"/>
  <c r="L57" i="87"/>
  <c r="K57" i="87"/>
  <c r="H57" i="87"/>
  <c r="G57" i="87"/>
  <c r="F57" i="87"/>
  <c r="L56" i="87"/>
  <c r="K56" i="87"/>
  <c r="H56" i="87"/>
  <c r="G56" i="87"/>
  <c r="F56" i="87"/>
  <c r="L55" i="87"/>
  <c r="K55" i="87"/>
  <c r="H55" i="87"/>
  <c r="G55" i="87"/>
  <c r="F55" i="87"/>
  <c r="L54" i="87"/>
  <c r="K54" i="87"/>
  <c r="H54" i="87"/>
  <c r="G54" i="87"/>
  <c r="F54" i="87"/>
  <c r="L53" i="87"/>
  <c r="K53" i="87"/>
  <c r="H53" i="87"/>
  <c r="G53" i="87"/>
  <c r="F53" i="87"/>
  <c r="L52" i="87"/>
  <c r="K52" i="87"/>
  <c r="H52" i="87"/>
  <c r="G52" i="87"/>
  <c r="F52" i="87"/>
  <c r="L51" i="87"/>
  <c r="K51" i="87"/>
  <c r="H51" i="87"/>
  <c r="G51" i="87"/>
  <c r="F51" i="87"/>
  <c r="L50" i="87"/>
  <c r="K50" i="87"/>
  <c r="H50" i="87"/>
  <c r="G50" i="87"/>
  <c r="F50" i="87"/>
  <c r="L49" i="87"/>
  <c r="K49" i="87"/>
  <c r="H49" i="87"/>
  <c r="G49" i="87"/>
  <c r="F49" i="87"/>
  <c r="L48" i="87"/>
  <c r="K48" i="87"/>
  <c r="H48" i="87"/>
  <c r="G48" i="87"/>
  <c r="F48" i="87"/>
  <c r="L47" i="87"/>
  <c r="K47" i="87"/>
  <c r="H47" i="87"/>
  <c r="G47" i="87"/>
  <c r="F47" i="87"/>
  <c r="L46" i="87"/>
  <c r="K46" i="87"/>
  <c r="H46" i="87"/>
  <c r="G46" i="87"/>
  <c r="F46" i="87"/>
  <c r="L45" i="87"/>
  <c r="K45" i="87"/>
  <c r="H45" i="87"/>
  <c r="G45" i="87"/>
  <c r="F45" i="87"/>
  <c r="L44" i="87"/>
  <c r="K44" i="87"/>
  <c r="H44" i="87"/>
  <c r="G44" i="87"/>
  <c r="F44" i="87"/>
  <c r="L43" i="87"/>
  <c r="K43" i="87"/>
  <c r="H43" i="87"/>
  <c r="G43" i="87"/>
  <c r="F43" i="87"/>
  <c r="L42" i="87"/>
  <c r="K42" i="87"/>
  <c r="H42" i="87"/>
  <c r="G42" i="87"/>
  <c r="F42" i="87"/>
  <c r="L41" i="87"/>
  <c r="K41" i="87"/>
  <c r="H41" i="87"/>
  <c r="G41" i="87"/>
  <c r="F41" i="87"/>
  <c r="L40" i="87"/>
  <c r="K40" i="87"/>
  <c r="H40" i="87"/>
  <c r="G40" i="87"/>
  <c r="F40" i="87"/>
  <c r="L39" i="87"/>
  <c r="K39" i="87"/>
  <c r="H39" i="87"/>
  <c r="G39" i="87"/>
  <c r="F39" i="87"/>
  <c r="L38" i="87"/>
  <c r="K38" i="87"/>
  <c r="H38" i="87"/>
  <c r="G38" i="87"/>
  <c r="F38" i="87"/>
  <c r="L37" i="87"/>
  <c r="K37" i="87"/>
  <c r="H37" i="87"/>
  <c r="G37" i="87"/>
  <c r="F37" i="87"/>
  <c r="L36" i="87"/>
  <c r="K36" i="87"/>
  <c r="H36" i="87"/>
  <c r="G36" i="87"/>
  <c r="F36" i="87"/>
  <c r="L35" i="87"/>
  <c r="K35" i="87"/>
  <c r="H35" i="87"/>
  <c r="H66" i="87" s="1"/>
  <c r="G35" i="87"/>
  <c r="G66" i="87" s="1"/>
  <c r="F35" i="87"/>
  <c r="A36" i="87"/>
  <c r="A37" i="87" s="1"/>
  <c r="A38" i="87" s="1"/>
  <c r="A39" i="87" s="1"/>
  <c r="A40" i="87" s="1"/>
  <c r="A41" i="87" s="1"/>
  <c r="A42" i="87" s="1"/>
  <c r="A43" i="87" s="1"/>
  <c r="A44" i="87" s="1"/>
  <c r="A45" i="87" s="1"/>
  <c r="A46" i="87" s="1"/>
  <c r="A47" i="87" s="1"/>
  <c r="A48" i="87" s="1"/>
  <c r="A49" i="87" s="1"/>
  <c r="A50" i="87" s="1"/>
  <c r="A51" i="87" s="1"/>
  <c r="A52" i="87" s="1"/>
  <c r="A53" i="87" s="1"/>
  <c r="A54" i="87" s="1"/>
  <c r="A55" i="87" s="1"/>
  <c r="A56" i="87" s="1"/>
  <c r="A57" i="87" s="1"/>
  <c r="A58" i="87" s="1"/>
  <c r="A59" i="87" s="1"/>
  <c r="A60" i="87" s="1"/>
  <c r="A61" i="87" s="1"/>
  <c r="A62" i="87" s="1"/>
  <c r="A63" i="87" s="1"/>
  <c r="A64" i="87" s="1"/>
  <c r="A65" i="87" s="1"/>
  <c r="C27" i="97"/>
  <c r="C28" i="97"/>
  <c r="C29" i="97"/>
  <c r="C30" i="97"/>
  <c r="C31" i="97"/>
  <c r="C32" i="97"/>
  <c r="C33" i="97"/>
  <c r="C34" i="97"/>
  <c r="C35" i="97"/>
  <c r="C36" i="97"/>
  <c r="C37" i="97"/>
  <c r="C38" i="97"/>
  <c r="C39" i="97"/>
  <c r="C40" i="97"/>
  <c r="C41" i="97"/>
  <c r="C42" i="97"/>
  <c r="C43" i="97"/>
  <c r="C44" i="97"/>
  <c r="C45" i="97"/>
  <c r="C46" i="97"/>
  <c r="C47" i="97"/>
  <c r="C48" i="97"/>
  <c r="C49" i="97"/>
  <c r="C50" i="97"/>
  <c r="C51" i="97"/>
  <c r="C52" i="97"/>
  <c r="C53" i="97"/>
  <c r="C54" i="97"/>
  <c r="C55" i="97"/>
  <c r="C56" i="97"/>
  <c r="C57" i="97"/>
  <c r="C58" i="97"/>
  <c r="C59" i="97"/>
  <c r="C60" i="97"/>
  <c r="C61" i="97"/>
  <c r="C62" i="97"/>
  <c r="C26" i="97"/>
  <c r="U23" i="100"/>
  <c r="U22" i="100"/>
  <c r="H31" i="21"/>
  <c r="H32" i="21"/>
  <c r="H33" i="21"/>
  <c r="G32" i="21"/>
  <c r="G33" i="21"/>
  <c r="K33" i="52"/>
  <c r="L33" i="52"/>
  <c r="K32" i="52"/>
  <c r="L32" i="52"/>
  <c r="K31" i="52"/>
  <c r="L31" i="52"/>
  <c r="K30" i="52"/>
  <c r="L30" i="52"/>
  <c r="K29" i="52"/>
  <c r="L29" i="52"/>
  <c r="K28" i="52"/>
  <c r="L28" i="52"/>
  <c r="F33" i="52"/>
  <c r="G33" i="52"/>
  <c r="H33" i="52"/>
  <c r="F32" i="52"/>
  <c r="G32" i="52"/>
  <c r="H32" i="52"/>
  <c r="F31" i="52"/>
  <c r="G31" i="52"/>
  <c r="H31" i="52"/>
  <c r="F30" i="52"/>
  <c r="G30" i="52"/>
  <c r="H30" i="52"/>
  <c r="F29" i="52"/>
  <c r="G29" i="52"/>
  <c r="H29" i="52"/>
  <c r="F28" i="52"/>
  <c r="G28" i="52"/>
  <c r="H28" i="52"/>
  <c r="K33" i="51"/>
  <c r="L33" i="51"/>
  <c r="K32" i="51"/>
  <c r="L32" i="51"/>
  <c r="K31" i="51"/>
  <c r="L31" i="51"/>
  <c r="K30" i="51"/>
  <c r="L30" i="51"/>
  <c r="K29" i="51"/>
  <c r="L29" i="51"/>
  <c r="K28" i="51"/>
  <c r="L28" i="51"/>
  <c r="F33" i="51"/>
  <c r="G33" i="51"/>
  <c r="H33" i="51"/>
  <c r="F32" i="51"/>
  <c r="G32" i="51"/>
  <c r="H32" i="51"/>
  <c r="F31" i="51"/>
  <c r="G31" i="51"/>
  <c r="H31" i="51"/>
  <c r="F30" i="51"/>
  <c r="G30" i="51"/>
  <c r="H30" i="51"/>
  <c r="F29" i="51"/>
  <c r="G29" i="51"/>
  <c r="H29" i="51"/>
  <c r="F28" i="51"/>
  <c r="G28" i="51"/>
  <c r="H28" i="51"/>
  <c r="C34" i="50"/>
  <c r="K33" i="50"/>
  <c r="L33" i="50"/>
  <c r="K32" i="50"/>
  <c r="L32" i="50"/>
  <c r="K31" i="50"/>
  <c r="L31" i="50"/>
  <c r="K30" i="50"/>
  <c r="L30" i="50"/>
  <c r="K29" i="50"/>
  <c r="L29" i="50"/>
  <c r="K28" i="50"/>
  <c r="L28" i="50"/>
  <c r="G33" i="50"/>
  <c r="H33" i="50"/>
  <c r="G32" i="50"/>
  <c r="H32" i="50"/>
  <c r="G31" i="50"/>
  <c r="H31" i="50"/>
  <c r="G30" i="50"/>
  <c r="H30" i="50"/>
  <c r="G29" i="50"/>
  <c r="H29" i="50"/>
  <c r="G28" i="50"/>
  <c r="H28" i="50"/>
  <c r="F33" i="50"/>
  <c r="F32" i="50"/>
  <c r="F31" i="50"/>
  <c r="F30" i="50"/>
  <c r="F29" i="50"/>
  <c r="F28" i="50"/>
  <c r="N34" i="28"/>
  <c r="L33" i="46"/>
  <c r="K33" i="46"/>
  <c r="L32" i="46"/>
  <c r="K32" i="46"/>
  <c r="L31" i="46"/>
  <c r="K31" i="46"/>
  <c r="L30" i="46"/>
  <c r="K30" i="46"/>
  <c r="H33" i="46"/>
  <c r="G33" i="46"/>
  <c r="F33" i="46"/>
  <c r="H32" i="46"/>
  <c r="G32" i="46"/>
  <c r="F32" i="46"/>
  <c r="H31" i="46"/>
  <c r="G31" i="46"/>
  <c r="F31" i="46"/>
  <c r="H30" i="46"/>
  <c r="G30" i="46"/>
  <c r="F30" i="46"/>
  <c r="L33" i="45"/>
  <c r="K33" i="45"/>
  <c r="L32" i="45"/>
  <c r="K32" i="45"/>
  <c r="L31" i="45"/>
  <c r="K31" i="45"/>
  <c r="L30" i="45"/>
  <c r="K30" i="45"/>
  <c r="H33" i="45"/>
  <c r="G33" i="45"/>
  <c r="F33" i="45"/>
  <c r="H32" i="45"/>
  <c r="G32" i="45"/>
  <c r="F32" i="45"/>
  <c r="H31" i="45"/>
  <c r="G31" i="45"/>
  <c r="F31" i="45"/>
  <c r="H30" i="45"/>
  <c r="G30" i="45"/>
  <c r="F30" i="45"/>
  <c r="L33" i="44"/>
  <c r="K33" i="44"/>
  <c r="L32" i="44"/>
  <c r="K32" i="44"/>
  <c r="L31" i="44"/>
  <c r="K31" i="44"/>
  <c r="L30" i="44"/>
  <c r="K30" i="44"/>
  <c r="H33" i="44"/>
  <c r="G33" i="44"/>
  <c r="F33" i="44"/>
  <c r="H32" i="44"/>
  <c r="G32" i="44"/>
  <c r="F32" i="44"/>
  <c r="H31" i="44"/>
  <c r="G31" i="44"/>
  <c r="F31" i="44"/>
  <c r="H30" i="44"/>
  <c r="G30" i="44"/>
  <c r="F30" i="44"/>
  <c r="L33" i="43"/>
  <c r="K33" i="43"/>
  <c r="L32" i="43"/>
  <c r="K32" i="43"/>
  <c r="L31" i="43"/>
  <c r="K31" i="43"/>
  <c r="L30" i="43"/>
  <c r="K30" i="43"/>
  <c r="H33" i="43"/>
  <c r="G33" i="43"/>
  <c r="F33" i="43"/>
  <c r="H32" i="43"/>
  <c r="G32" i="43"/>
  <c r="F32" i="43"/>
  <c r="H31" i="43"/>
  <c r="G31" i="43"/>
  <c r="F31" i="43"/>
  <c r="H30" i="43"/>
  <c r="G30" i="43"/>
  <c r="F30" i="43"/>
  <c r="L33" i="42"/>
  <c r="K33" i="42"/>
  <c r="L32" i="42"/>
  <c r="K32" i="42"/>
  <c r="L31" i="42"/>
  <c r="K31" i="42"/>
  <c r="L30" i="42"/>
  <c r="K30" i="42"/>
  <c r="H33" i="42"/>
  <c r="G33" i="42"/>
  <c r="H32" i="42"/>
  <c r="G32" i="42"/>
  <c r="H31" i="42"/>
  <c r="G31" i="42"/>
  <c r="H30" i="42"/>
  <c r="G30" i="42"/>
  <c r="H33" i="20"/>
  <c r="G33" i="20"/>
  <c r="H33" i="9"/>
  <c r="G33" i="9"/>
  <c r="H32" i="9"/>
  <c r="G32" i="9"/>
  <c r="H33" i="12"/>
  <c r="G33" i="12"/>
  <c r="G32" i="12"/>
  <c r="H32" i="12"/>
  <c r="H33" i="10"/>
  <c r="G33" i="10"/>
  <c r="H32" i="10"/>
  <c r="G32" i="10"/>
  <c r="G33" i="4"/>
  <c r="H33" i="4"/>
  <c r="F34" i="13"/>
  <c r="F4" i="13"/>
  <c r="M34" i="13"/>
  <c r="N34" i="13"/>
  <c r="B33" i="17"/>
  <c r="G33" i="17"/>
  <c r="H33" i="17"/>
  <c r="K32" i="11"/>
  <c r="F32" i="11"/>
  <c r="F33" i="11"/>
  <c r="G32" i="4"/>
  <c r="H32" i="4"/>
  <c r="B32" i="17"/>
  <c r="G32" i="17"/>
  <c r="H32" i="17"/>
  <c r="I34" i="38"/>
  <c r="H31" i="20"/>
  <c r="H32" i="20"/>
  <c r="G31" i="9"/>
  <c r="H31" i="9"/>
  <c r="H31" i="12"/>
  <c r="G31" i="12"/>
  <c r="H31" i="4"/>
  <c r="G31" i="4"/>
  <c r="H31" i="10"/>
  <c r="G31" i="10"/>
  <c r="B31" i="17"/>
  <c r="G31" i="17"/>
  <c r="H31" i="17"/>
  <c r="H30" i="20"/>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I33" i="18"/>
  <c r="I32" i="18"/>
  <c r="I31" i="18"/>
  <c r="I30" i="18"/>
  <c r="C33" i="18"/>
  <c r="B33" i="18"/>
  <c r="C32" i="18"/>
  <c r="B32" i="18"/>
  <c r="C31" i="18"/>
  <c r="B31" i="18"/>
  <c r="C30" i="18"/>
  <c r="B30" i="18"/>
  <c r="H30" i="4"/>
  <c r="G30" i="4"/>
  <c r="C33" i="4"/>
  <c r="B33" i="4"/>
  <c r="C32" i="4"/>
  <c r="B32" i="4"/>
  <c r="C31" i="4"/>
  <c r="B31" i="4"/>
  <c r="C30" i="4"/>
  <c r="B30" i="4"/>
  <c r="H30" i="21"/>
  <c r="G30" i="21"/>
  <c r="G31" i="21"/>
  <c r="M34" i="20"/>
  <c r="N34" i="20"/>
  <c r="G30" i="9"/>
  <c r="H30" i="9"/>
  <c r="H30" i="12"/>
  <c r="G30" i="12"/>
  <c r="H30" i="10"/>
  <c r="G30" i="10"/>
  <c r="B30" i="17"/>
  <c r="G30" i="17"/>
  <c r="H30" i="17"/>
  <c r="C1" i="96"/>
  <c r="P34" i="95"/>
  <c r="O34" i="95"/>
  <c r="N34" i="95"/>
  <c r="M34" i="95"/>
  <c r="J34" i="95"/>
  <c r="I34" i="95"/>
  <c r="E34" i="95"/>
  <c r="D34" i="95"/>
  <c r="L34" i="95"/>
  <c r="C34" i="95"/>
  <c r="B34" i="95"/>
  <c r="L33" i="95"/>
  <c r="K33" i="95"/>
  <c r="H33" i="95"/>
  <c r="G33" i="95"/>
  <c r="F33" i="95"/>
  <c r="L32" i="95"/>
  <c r="K32" i="95"/>
  <c r="H32" i="95"/>
  <c r="G32" i="95"/>
  <c r="F32" i="95"/>
  <c r="L31" i="95"/>
  <c r="K31" i="95"/>
  <c r="H31" i="95"/>
  <c r="G31" i="95"/>
  <c r="F31" i="95"/>
  <c r="L30" i="95"/>
  <c r="K30" i="95"/>
  <c r="H30" i="95"/>
  <c r="G30" i="95"/>
  <c r="F30" i="95"/>
  <c r="L29" i="95"/>
  <c r="K29" i="95"/>
  <c r="H29" i="95"/>
  <c r="G29" i="95"/>
  <c r="F29" i="95"/>
  <c r="L28" i="95"/>
  <c r="K28" i="95"/>
  <c r="H28" i="95"/>
  <c r="G28" i="95"/>
  <c r="F28" i="95"/>
  <c r="L27" i="95"/>
  <c r="K27" i="95"/>
  <c r="H27" i="95"/>
  <c r="G27" i="95"/>
  <c r="F27" i="95"/>
  <c r="L26" i="95"/>
  <c r="K26" i="95"/>
  <c r="H26" i="95"/>
  <c r="G26" i="95"/>
  <c r="F26" i="95"/>
  <c r="L25" i="95"/>
  <c r="K25" i="95"/>
  <c r="H25" i="95"/>
  <c r="G25" i="95"/>
  <c r="F25" i="95"/>
  <c r="L24" i="95"/>
  <c r="K24" i="95"/>
  <c r="H24" i="95"/>
  <c r="G24" i="95"/>
  <c r="F24" i="95"/>
  <c r="L23" i="95"/>
  <c r="K23" i="95"/>
  <c r="H23" i="95"/>
  <c r="G23" i="95"/>
  <c r="F23" i="95"/>
  <c r="L22" i="95"/>
  <c r="K22" i="95"/>
  <c r="H22" i="95"/>
  <c r="G22" i="95"/>
  <c r="F22" i="95"/>
  <c r="L21" i="95"/>
  <c r="K21" i="95"/>
  <c r="H21" i="95"/>
  <c r="G21" i="95"/>
  <c r="F21" i="95"/>
  <c r="L20" i="95"/>
  <c r="K20" i="95"/>
  <c r="H20" i="95"/>
  <c r="G20" i="95"/>
  <c r="F20" i="95"/>
  <c r="L19" i="95"/>
  <c r="K19" i="95"/>
  <c r="H19" i="95"/>
  <c r="G19" i="95"/>
  <c r="F19" i="95"/>
  <c r="L18" i="95"/>
  <c r="K18" i="95"/>
  <c r="H18" i="95"/>
  <c r="G18" i="95"/>
  <c r="F18" i="95"/>
  <c r="L17" i="95"/>
  <c r="K17" i="95"/>
  <c r="H17" i="95"/>
  <c r="G17" i="95"/>
  <c r="F17" i="95"/>
  <c r="L16" i="95"/>
  <c r="K16" i="95"/>
  <c r="H16" i="95"/>
  <c r="G16" i="95"/>
  <c r="F16" i="95"/>
  <c r="L15" i="95"/>
  <c r="K15" i="95"/>
  <c r="H15" i="95"/>
  <c r="G15" i="95"/>
  <c r="F15" i="95"/>
  <c r="L14" i="95"/>
  <c r="K14" i="95"/>
  <c r="H14" i="95"/>
  <c r="G14" i="95"/>
  <c r="F14" i="95"/>
  <c r="L13" i="95"/>
  <c r="K13" i="95"/>
  <c r="H13" i="95"/>
  <c r="G13" i="95"/>
  <c r="F13" i="95"/>
  <c r="L12" i="95"/>
  <c r="K12" i="95"/>
  <c r="H12" i="95"/>
  <c r="G12" i="95"/>
  <c r="F12" i="95"/>
  <c r="L11" i="95"/>
  <c r="K11" i="95"/>
  <c r="H11" i="95"/>
  <c r="G11" i="95"/>
  <c r="F11" i="95"/>
  <c r="L10" i="95"/>
  <c r="K10" i="95"/>
  <c r="H10" i="95"/>
  <c r="G10" i="95"/>
  <c r="F10" i="95"/>
  <c r="L9" i="95"/>
  <c r="K9" i="95"/>
  <c r="H9" i="95"/>
  <c r="G9" i="95"/>
  <c r="F9" i="95"/>
  <c r="L8" i="95"/>
  <c r="K8" i="95"/>
  <c r="H8" i="95"/>
  <c r="G8" i="95"/>
  <c r="F8" i="95"/>
  <c r="L7" i="95"/>
  <c r="K7" i="95"/>
  <c r="H7" i="95"/>
  <c r="G7" i="95"/>
  <c r="F7" i="95"/>
  <c r="L6" i="95"/>
  <c r="K6" i="95"/>
  <c r="H6" i="95"/>
  <c r="G6" i="95"/>
  <c r="F6" i="95"/>
  <c r="L5" i="95"/>
  <c r="K5" i="95"/>
  <c r="H5" i="95"/>
  <c r="G5" i="95"/>
  <c r="F5" i="95"/>
  <c r="L4" i="95"/>
  <c r="K4" i="95"/>
  <c r="H4" i="95"/>
  <c r="H34" i="95"/>
  <c r="G4" i="95"/>
  <c r="G34" i="95"/>
  <c r="F4" i="95"/>
  <c r="A4" i="95"/>
  <c r="A5" i="95"/>
  <c r="A6" i="95"/>
  <c r="A7" i="95"/>
  <c r="A8" i="95"/>
  <c r="A9" i="95"/>
  <c r="A10" i="95"/>
  <c r="A11" i="95"/>
  <c r="A12" i="95"/>
  <c r="A13" i="95"/>
  <c r="A14" i="95"/>
  <c r="A15" i="95"/>
  <c r="A16" i="95"/>
  <c r="A17" i="95"/>
  <c r="A18" i="95"/>
  <c r="A19" i="95"/>
  <c r="A20" i="95"/>
  <c r="A21" i="95"/>
  <c r="A22" i="95"/>
  <c r="A23" i="95"/>
  <c r="A24" i="95"/>
  <c r="A25" i="95"/>
  <c r="A26" i="95"/>
  <c r="A27" i="95"/>
  <c r="A28" i="95"/>
  <c r="A29" i="95"/>
  <c r="A30" i="95"/>
  <c r="A31" i="95"/>
  <c r="A32" i="95"/>
  <c r="A33" i="95"/>
  <c r="P34" i="94"/>
  <c r="O34" i="94"/>
  <c r="N34" i="94"/>
  <c r="M34" i="94"/>
  <c r="J34" i="94"/>
  <c r="I34" i="94"/>
  <c r="E34" i="94"/>
  <c r="D34" i="94"/>
  <c r="L34" i="94"/>
  <c r="C34" i="94"/>
  <c r="B34" i="94"/>
  <c r="L33" i="94"/>
  <c r="K33" i="94"/>
  <c r="H33" i="94"/>
  <c r="G33" i="94"/>
  <c r="F33" i="94"/>
  <c r="L32" i="94"/>
  <c r="K32" i="94"/>
  <c r="H32" i="94"/>
  <c r="G32" i="94"/>
  <c r="F32" i="94"/>
  <c r="L31" i="94"/>
  <c r="K31" i="94"/>
  <c r="H31" i="94"/>
  <c r="G31" i="94"/>
  <c r="F31" i="94"/>
  <c r="L30" i="94"/>
  <c r="K30" i="94"/>
  <c r="H30" i="94"/>
  <c r="G30" i="94"/>
  <c r="F30" i="94"/>
  <c r="L29" i="94"/>
  <c r="K29" i="94"/>
  <c r="H29" i="94"/>
  <c r="G29" i="94"/>
  <c r="F29" i="94"/>
  <c r="L28" i="94"/>
  <c r="K28" i="94"/>
  <c r="H28" i="94"/>
  <c r="G28" i="94"/>
  <c r="F28" i="94"/>
  <c r="L27" i="94"/>
  <c r="K27" i="94"/>
  <c r="H27" i="94"/>
  <c r="G27" i="94"/>
  <c r="F27" i="94"/>
  <c r="L26" i="94"/>
  <c r="K26" i="94"/>
  <c r="H26" i="94"/>
  <c r="G26" i="94"/>
  <c r="F26" i="94"/>
  <c r="L25" i="94"/>
  <c r="K25" i="94"/>
  <c r="H25" i="94"/>
  <c r="G25" i="94"/>
  <c r="F25" i="94"/>
  <c r="L24" i="94"/>
  <c r="K24" i="94"/>
  <c r="H24" i="94"/>
  <c r="G24" i="94"/>
  <c r="F24" i="94"/>
  <c r="L23" i="94"/>
  <c r="K23" i="94"/>
  <c r="H23" i="94"/>
  <c r="G23" i="94"/>
  <c r="F23" i="94"/>
  <c r="L22" i="94"/>
  <c r="K22" i="94"/>
  <c r="H22" i="94"/>
  <c r="G22" i="94"/>
  <c r="F22" i="94"/>
  <c r="L21" i="94"/>
  <c r="K21" i="94"/>
  <c r="H21" i="94"/>
  <c r="G21" i="94"/>
  <c r="F21" i="94"/>
  <c r="L20" i="94"/>
  <c r="K20" i="94"/>
  <c r="H20" i="94"/>
  <c r="G20" i="94"/>
  <c r="F20" i="94"/>
  <c r="L19" i="94"/>
  <c r="K19" i="94"/>
  <c r="H19" i="94"/>
  <c r="G19" i="94"/>
  <c r="F19" i="94"/>
  <c r="L18" i="94"/>
  <c r="K18" i="94"/>
  <c r="H18" i="94"/>
  <c r="G18" i="94"/>
  <c r="F18" i="94"/>
  <c r="L17" i="94"/>
  <c r="K17" i="94"/>
  <c r="H17" i="94"/>
  <c r="G17" i="94"/>
  <c r="F17" i="94"/>
  <c r="L16" i="94"/>
  <c r="K16" i="94"/>
  <c r="H16" i="94"/>
  <c r="G16" i="94"/>
  <c r="F16" i="94"/>
  <c r="L15" i="94"/>
  <c r="K15" i="94"/>
  <c r="H15" i="94"/>
  <c r="G15" i="94"/>
  <c r="F15" i="94"/>
  <c r="L14" i="94"/>
  <c r="K14" i="94"/>
  <c r="H14" i="94"/>
  <c r="G14" i="94"/>
  <c r="F14" i="94"/>
  <c r="L13" i="94"/>
  <c r="K13" i="94"/>
  <c r="H13" i="94"/>
  <c r="G13" i="94"/>
  <c r="F13" i="94"/>
  <c r="L12" i="94"/>
  <c r="K12" i="94"/>
  <c r="H12" i="94"/>
  <c r="G12" i="94"/>
  <c r="F12" i="94"/>
  <c r="L11" i="94"/>
  <c r="K11" i="94"/>
  <c r="H11" i="94"/>
  <c r="G11" i="94"/>
  <c r="F11" i="94"/>
  <c r="L10" i="94"/>
  <c r="K10" i="94"/>
  <c r="H10" i="94"/>
  <c r="G10" i="94"/>
  <c r="F10" i="94"/>
  <c r="L9" i="94"/>
  <c r="K9" i="94"/>
  <c r="H9" i="94"/>
  <c r="G9" i="94"/>
  <c r="F9" i="94"/>
  <c r="L8" i="94"/>
  <c r="K8" i="94"/>
  <c r="H8" i="94"/>
  <c r="G8" i="94"/>
  <c r="F8" i="94"/>
  <c r="L7" i="94"/>
  <c r="K7" i="94"/>
  <c r="H7" i="94"/>
  <c r="G7" i="94"/>
  <c r="F7" i="94"/>
  <c r="L6" i="94"/>
  <c r="K6" i="94"/>
  <c r="H6" i="94"/>
  <c r="G6" i="94"/>
  <c r="F6" i="94"/>
  <c r="L5" i="94"/>
  <c r="K5" i="94"/>
  <c r="H5" i="94"/>
  <c r="G5" i="94"/>
  <c r="F5" i="94"/>
  <c r="L4" i="94"/>
  <c r="K4" i="94"/>
  <c r="H4" i="94"/>
  <c r="H34" i="94"/>
  <c r="G4" i="94"/>
  <c r="G34" i="94"/>
  <c r="F4" i="94"/>
  <c r="A4" i="94"/>
  <c r="A5" i="94"/>
  <c r="A6" i="94"/>
  <c r="A7" i="94"/>
  <c r="A8" i="94"/>
  <c r="A9" i="94"/>
  <c r="A10" i="94"/>
  <c r="A11" i="94"/>
  <c r="A12" i="94"/>
  <c r="A13" i="94"/>
  <c r="A14" i="94"/>
  <c r="A15" i="94"/>
  <c r="A16" i="94"/>
  <c r="A17" i="94"/>
  <c r="A18" i="94"/>
  <c r="A19" i="94"/>
  <c r="A20" i="94"/>
  <c r="A21" i="94"/>
  <c r="A22" i="94"/>
  <c r="A23" i="94"/>
  <c r="A24" i="94"/>
  <c r="A25" i="94"/>
  <c r="A26" i="94"/>
  <c r="A27" i="94"/>
  <c r="A28" i="94"/>
  <c r="A29" i="94"/>
  <c r="A30" i="94"/>
  <c r="A31" i="94"/>
  <c r="A32" i="94"/>
  <c r="A33" i="94"/>
  <c r="P34" i="93"/>
  <c r="O34" i="93"/>
  <c r="N34" i="93"/>
  <c r="M34" i="93"/>
  <c r="J34" i="93"/>
  <c r="I34" i="93"/>
  <c r="E34" i="93"/>
  <c r="D34" i="93"/>
  <c r="L34" i="93"/>
  <c r="C34" i="93"/>
  <c r="B34" i="93"/>
  <c r="L33" i="93"/>
  <c r="K33" i="93"/>
  <c r="H33" i="93"/>
  <c r="G33" i="93"/>
  <c r="F33" i="93"/>
  <c r="L32" i="93"/>
  <c r="K32" i="93"/>
  <c r="H32" i="93"/>
  <c r="G32" i="93"/>
  <c r="F32" i="93"/>
  <c r="L31" i="93"/>
  <c r="K31" i="93"/>
  <c r="H31" i="93"/>
  <c r="G31" i="93"/>
  <c r="F31" i="93"/>
  <c r="L30" i="93"/>
  <c r="K30" i="93"/>
  <c r="H30" i="93"/>
  <c r="G30" i="93"/>
  <c r="F30" i="93"/>
  <c r="L29" i="93"/>
  <c r="K29" i="93"/>
  <c r="H29" i="93"/>
  <c r="G29" i="93"/>
  <c r="F29" i="93"/>
  <c r="L28" i="93"/>
  <c r="K28" i="93"/>
  <c r="H28" i="93"/>
  <c r="G28" i="93"/>
  <c r="F28" i="93"/>
  <c r="L27" i="93"/>
  <c r="K27" i="93"/>
  <c r="H27" i="93"/>
  <c r="G27" i="93"/>
  <c r="F27" i="93"/>
  <c r="L26" i="93"/>
  <c r="K26" i="93"/>
  <c r="H26" i="93"/>
  <c r="G26" i="93"/>
  <c r="F26" i="93"/>
  <c r="L25" i="93"/>
  <c r="K25" i="93"/>
  <c r="H25" i="93"/>
  <c r="G25" i="93"/>
  <c r="F25" i="93"/>
  <c r="L24" i="93"/>
  <c r="K24" i="93"/>
  <c r="H24" i="93"/>
  <c r="G24" i="93"/>
  <c r="F24" i="93"/>
  <c r="L23" i="93"/>
  <c r="K23" i="93"/>
  <c r="H23" i="93"/>
  <c r="G23" i="93"/>
  <c r="F23" i="93"/>
  <c r="L22" i="93"/>
  <c r="K22" i="93"/>
  <c r="H22" i="93"/>
  <c r="G22" i="93"/>
  <c r="F22" i="93"/>
  <c r="L21" i="93"/>
  <c r="K21" i="93"/>
  <c r="H21" i="93"/>
  <c r="G21" i="93"/>
  <c r="F21" i="93"/>
  <c r="L20" i="93"/>
  <c r="K20" i="93"/>
  <c r="H20" i="93"/>
  <c r="G20" i="93"/>
  <c r="F20" i="93"/>
  <c r="L19" i="93"/>
  <c r="K19" i="93"/>
  <c r="H19" i="93"/>
  <c r="G19" i="93"/>
  <c r="F19" i="93"/>
  <c r="L18" i="93"/>
  <c r="K18" i="93"/>
  <c r="H18" i="93"/>
  <c r="G18" i="93"/>
  <c r="F18" i="93"/>
  <c r="L17" i="93"/>
  <c r="K17" i="93"/>
  <c r="H17" i="93"/>
  <c r="G17" i="93"/>
  <c r="F17" i="93"/>
  <c r="L16" i="93"/>
  <c r="K16" i="93"/>
  <c r="H16" i="93"/>
  <c r="G16" i="93"/>
  <c r="F16" i="93"/>
  <c r="L15" i="93"/>
  <c r="K15" i="93"/>
  <c r="H15" i="93"/>
  <c r="G15" i="93"/>
  <c r="F15" i="93"/>
  <c r="L14" i="93"/>
  <c r="K14" i="93"/>
  <c r="H14" i="93"/>
  <c r="G14" i="93"/>
  <c r="F14" i="93"/>
  <c r="L13" i="93"/>
  <c r="K13" i="93"/>
  <c r="H13" i="93"/>
  <c r="G13" i="93"/>
  <c r="F13" i="93"/>
  <c r="L12" i="93"/>
  <c r="K12" i="93"/>
  <c r="H12" i="93"/>
  <c r="G12" i="93"/>
  <c r="F12" i="93"/>
  <c r="L11" i="93"/>
  <c r="K11" i="93"/>
  <c r="H11" i="93"/>
  <c r="G11" i="93"/>
  <c r="F11" i="93"/>
  <c r="L10" i="93"/>
  <c r="K10" i="93"/>
  <c r="H10" i="93"/>
  <c r="G10" i="93"/>
  <c r="F10" i="93"/>
  <c r="L9" i="93"/>
  <c r="K9" i="93"/>
  <c r="H9" i="93"/>
  <c r="G9" i="93"/>
  <c r="F9" i="93"/>
  <c r="L8" i="93"/>
  <c r="K8" i="93"/>
  <c r="H8" i="93"/>
  <c r="G8" i="93"/>
  <c r="F8" i="93"/>
  <c r="L7" i="93"/>
  <c r="K7" i="93"/>
  <c r="H7" i="93"/>
  <c r="G7" i="93"/>
  <c r="F7" i="93"/>
  <c r="L6" i="93"/>
  <c r="K6" i="93"/>
  <c r="H6" i="93"/>
  <c r="G6" i="93"/>
  <c r="F6" i="93"/>
  <c r="L5" i="93"/>
  <c r="K5" i="93"/>
  <c r="H5" i="93"/>
  <c r="G5" i="93"/>
  <c r="F5" i="93"/>
  <c r="L4" i="93"/>
  <c r="K4" i="93"/>
  <c r="H4" i="93"/>
  <c r="H34" i="93"/>
  <c r="G4" i="93"/>
  <c r="G34" i="93"/>
  <c r="F4" i="93"/>
  <c r="A4" i="93"/>
  <c r="A5" i="93"/>
  <c r="A6" i="93"/>
  <c r="A7" i="93"/>
  <c r="A8" i="93"/>
  <c r="A9" i="93"/>
  <c r="A10" i="93"/>
  <c r="A11" i="93"/>
  <c r="A12" i="93"/>
  <c r="A13" i="93"/>
  <c r="A14" i="93"/>
  <c r="A15" i="93"/>
  <c r="A16" i="93"/>
  <c r="A17" i="93"/>
  <c r="A18" i="93"/>
  <c r="A19" i="93"/>
  <c r="A20" i="93"/>
  <c r="A21" i="93"/>
  <c r="A22" i="93"/>
  <c r="A23" i="93"/>
  <c r="A24" i="93"/>
  <c r="A25" i="93"/>
  <c r="A26" i="93"/>
  <c r="A27" i="93"/>
  <c r="A28" i="93"/>
  <c r="A29" i="93"/>
  <c r="A30" i="93"/>
  <c r="A31" i="93"/>
  <c r="A32" i="93"/>
  <c r="A33" i="93"/>
  <c r="P34" i="92"/>
  <c r="O34" i="92"/>
  <c r="N34" i="92"/>
  <c r="M34" i="92"/>
  <c r="J34" i="92"/>
  <c r="I34" i="92"/>
  <c r="E34" i="92"/>
  <c r="D34" i="92"/>
  <c r="L34" i="92"/>
  <c r="C34" i="92"/>
  <c r="B34" i="92"/>
  <c r="L33" i="92"/>
  <c r="K33" i="92"/>
  <c r="H33" i="92"/>
  <c r="G33" i="92"/>
  <c r="F33" i="92"/>
  <c r="L32" i="92"/>
  <c r="K32" i="92"/>
  <c r="H32" i="92"/>
  <c r="G32" i="92"/>
  <c r="F32" i="92"/>
  <c r="L31" i="92"/>
  <c r="K31" i="92"/>
  <c r="H31" i="92"/>
  <c r="G31" i="92"/>
  <c r="F31" i="92"/>
  <c r="L30" i="92"/>
  <c r="K30" i="92"/>
  <c r="H30" i="92"/>
  <c r="G30" i="92"/>
  <c r="F30" i="92"/>
  <c r="L29" i="92"/>
  <c r="K29" i="92"/>
  <c r="H29" i="92"/>
  <c r="G29" i="92"/>
  <c r="F29" i="92"/>
  <c r="L28" i="92"/>
  <c r="K28" i="92"/>
  <c r="H28" i="92"/>
  <c r="G28" i="92"/>
  <c r="F28" i="92"/>
  <c r="L27" i="92"/>
  <c r="K27" i="92"/>
  <c r="H27" i="92"/>
  <c r="G27" i="92"/>
  <c r="F27" i="92"/>
  <c r="L26" i="92"/>
  <c r="K26" i="92"/>
  <c r="H26" i="92"/>
  <c r="G26" i="92"/>
  <c r="F26" i="92"/>
  <c r="L25" i="92"/>
  <c r="K25" i="92"/>
  <c r="H25" i="92"/>
  <c r="G25" i="92"/>
  <c r="F25" i="92"/>
  <c r="L24" i="92"/>
  <c r="K24" i="92"/>
  <c r="H24" i="92"/>
  <c r="G24" i="92"/>
  <c r="F24" i="92"/>
  <c r="L23" i="92"/>
  <c r="K23" i="92"/>
  <c r="H23" i="92"/>
  <c r="G23" i="92"/>
  <c r="F23" i="92"/>
  <c r="L22" i="92"/>
  <c r="K22" i="92"/>
  <c r="H22" i="92"/>
  <c r="G22" i="92"/>
  <c r="F22" i="92"/>
  <c r="L21" i="92"/>
  <c r="K21" i="92"/>
  <c r="H21" i="92"/>
  <c r="G21" i="92"/>
  <c r="F21" i="92"/>
  <c r="L20" i="92"/>
  <c r="K20" i="92"/>
  <c r="H20" i="92"/>
  <c r="G20" i="92"/>
  <c r="F20" i="92"/>
  <c r="L19" i="92"/>
  <c r="K19" i="92"/>
  <c r="H19" i="92"/>
  <c r="G19" i="92"/>
  <c r="F19" i="92"/>
  <c r="L18" i="92"/>
  <c r="K18" i="92"/>
  <c r="H18" i="92"/>
  <c r="G18" i="92"/>
  <c r="F18" i="92"/>
  <c r="L17" i="92"/>
  <c r="K17" i="92"/>
  <c r="H17" i="92"/>
  <c r="G17" i="92"/>
  <c r="F17" i="92"/>
  <c r="L16" i="92"/>
  <c r="K16" i="92"/>
  <c r="H16" i="92"/>
  <c r="G16" i="92"/>
  <c r="F16" i="92"/>
  <c r="L15" i="92"/>
  <c r="K15" i="92"/>
  <c r="H15" i="92"/>
  <c r="G15" i="92"/>
  <c r="F15" i="92"/>
  <c r="L14" i="92"/>
  <c r="K14" i="92"/>
  <c r="H14" i="92"/>
  <c r="G14" i="92"/>
  <c r="F14" i="92"/>
  <c r="L13" i="92"/>
  <c r="K13" i="92"/>
  <c r="H13" i="92"/>
  <c r="G13" i="92"/>
  <c r="F13" i="92"/>
  <c r="L12" i="92"/>
  <c r="K12" i="92"/>
  <c r="H12" i="92"/>
  <c r="G12" i="92"/>
  <c r="F12" i="92"/>
  <c r="L11" i="92"/>
  <c r="K11" i="92"/>
  <c r="H11" i="92"/>
  <c r="G11" i="92"/>
  <c r="F11" i="92"/>
  <c r="L10" i="92"/>
  <c r="K10" i="92"/>
  <c r="H10" i="92"/>
  <c r="G10" i="92"/>
  <c r="F10" i="92"/>
  <c r="L9" i="92"/>
  <c r="K9" i="92"/>
  <c r="H9" i="92"/>
  <c r="G9" i="92"/>
  <c r="F9" i="92"/>
  <c r="L8" i="92"/>
  <c r="K8" i="92"/>
  <c r="H8" i="92"/>
  <c r="G8" i="92"/>
  <c r="F8" i="92"/>
  <c r="L7" i="92"/>
  <c r="K7" i="92"/>
  <c r="H7" i="92"/>
  <c r="G7" i="92"/>
  <c r="F7" i="92"/>
  <c r="L6" i="92"/>
  <c r="K6" i="92"/>
  <c r="H6" i="92"/>
  <c r="G6" i="92"/>
  <c r="F6" i="92"/>
  <c r="L5" i="92"/>
  <c r="K5" i="92"/>
  <c r="H5" i="92"/>
  <c r="G5" i="92"/>
  <c r="F5" i="92"/>
  <c r="L4" i="92"/>
  <c r="K4" i="92"/>
  <c r="H4" i="92"/>
  <c r="H34" i="92"/>
  <c r="G4" i="92"/>
  <c r="G34" i="92"/>
  <c r="F4" i="92"/>
  <c r="A4" i="92"/>
  <c r="A5" i="92"/>
  <c r="A6" i="92"/>
  <c r="A7" i="92"/>
  <c r="A8" i="92"/>
  <c r="A9" i="92"/>
  <c r="A10" i="92"/>
  <c r="A11" i="92"/>
  <c r="A12" i="92"/>
  <c r="A13" i="92"/>
  <c r="A14" i="92"/>
  <c r="A15" i="92"/>
  <c r="A16" i="92"/>
  <c r="A17" i="92"/>
  <c r="A18" i="92"/>
  <c r="A19" i="92"/>
  <c r="A20" i="92"/>
  <c r="A21" i="92"/>
  <c r="A22" i="92"/>
  <c r="A23" i="92"/>
  <c r="A24" i="92"/>
  <c r="A25" i="92"/>
  <c r="A26" i="92"/>
  <c r="A27" i="92"/>
  <c r="A28" i="92"/>
  <c r="A29" i="92"/>
  <c r="A30" i="92"/>
  <c r="A31" i="92"/>
  <c r="A32" i="92"/>
  <c r="A33" i="92"/>
  <c r="P34" i="91"/>
  <c r="O34" i="91"/>
  <c r="N34" i="91"/>
  <c r="M34" i="91"/>
  <c r="J34" i="91"/>
  <c r="I34" i="91"/>
  <c r="E34" i="91"/>
  <c r="D34" i="91"/>
  <c r="L34" i="91"/>
  <c r="C34" i="91"/>
  <c r="B34" i="91"/>
  <c r="L33" i="91"/>
  <c r="K33" i="91"/>
  <c r="H33" i="91"/>
  <c r="G33" i="91"/>
  <c r="F33" i="91"/>
  <c r="L32" i="91"/>
  <c r="K32" i="91"/>
  <c r="H32" i="91"/>
  <c r="G32" i="91"/>
  <c r="F32" i="91"/>
  <c r="L31" i="91"/>
  <c r="K31" i="91"/>
  <c r="H31" i="91"/>
  <c r="G31" i="91"/>
  <c r="F31" i="91"/>
  <c r="L30" i="91"/>
  <c r="K30" i="91"/>
  <c r="H30" i="91"/>
  <c r="G30" i="91"/>
  <c r="F30" i="91"/>
  <c r="L29" i="91"/>
  <c r="K29" i="91"/>
  <c r="H29" i="91"/>
  <c r="G29" i="91"/>
  <c r="F29" i="91"/>
  <c r="L28" i="91"/>
  <c r="K28" i="91"/>
  <c r="H28" i="91"/>
  <c r="G28" i="91"/>
  <c r="F28" i="91"/>
  <c r="L27" i="91"/>
  <c r="K27" i="91"/>
  <c r="H27" i="91"/>
  <c r="G27" i="91"/>
  <c r="F27" i="91"/>
  <c r="L26" i="91"/>
  <c r="K26" i="91"/>
  <c r="H26" i="91"/>
  <c r="G26" i="91"/>
  <c r="F26" i="91"/>
  <c r="L25" i="91"/>
  <c r="K25" i="91"/>
  <c r="H25" i="91"/>
  <c r="G25" i="91"/>
  <c r="F25" i="91"/>
  <c r="L24" i="91"/>
  <c r="K24" i="91"/>
  <c r="H24" i="91"/>
  <c r="G24" i="91"/>
  <c r="F24" i="91"/>
  <c r="L23" i="91"/>
  <c r="K23" i="91"/>
  <c r="H23" i="91"/>
  <c r="G23" i="91"/>
  <c r="F23" i="91"/>
  <c r="L22" i="91"/>
  <c r="K22" i="91"/>
  <c r="H22" i="91"/>
  <c r="G22" i="91"/>
  <c r="F22" i="91"/>
  <c r="L21" i="91"/>
  <c r="K21" i="91"/>
  <c r="H21" i="91"/>
  <c r="G21" i="91"/>
  <c r="F21" i="91"/>
  <c r="L20" i="91"/>
  <c r="K20" i="91"/>
  <c r="H20" i="91"/>
  <c r="G20" i="91"/>
  <c r="F20" i="91"/>
  <c r="L19" i="91"/>
  <c r="K19" i="91"/>
  <c r="H19" i="91"/>
  <c r="G19" i="91"/>
  <c r="F19" i="91"/>
  <c r="L18" i="91"/>
  <c r="K18" i="91"/>
  <c r="H18" i="91"/>
  <c r="G18" i="91"/>
  <c r="F18" i="91"/>
  <c r="L17" i="91"/>
  <c r="K17" i="91"/>
  <c r="H17" i="91"/>
  <c r="G17" i="91"/>
  <c r="F17" i="91"/>
  <c r="L16" i="91"/>
  <c r="K16" i="91"/>
  <c r="H16" i="91"/>
  <c r="G16" i="91"/>
  <c r="F16" i="91"/>
  <c r="L15" i="91"/>
  <c r="K15" i="91"/>
  <c r="H15" i="91"/>
  <c r="G15" i="91"/>
  <c r="F15" i="91"/>
  <c r="L14" i="91"/>
  <c r="K14" i="91"/>
  <c r="H14" i="91"/>
  <c r="G14" i="91"/>
  <c r="F14" i="91"/>
  <c r="L13" i="91"/>
  <c r="K13" i="91"/>
  <c r="H13" i="91"/>
  <c r="G13" i="91"/>
  <c r="F13" i="91"/>
  <c r="L12" i="91"/>
  <c r="K12" i="91"/>
  <c r="H12" i="91"/>
  <c r="G12" i="91"/>
  <c r="F12" i="91"/>
  <c r="L11" i="91"/>
  <c r="K11" i="91"/>
  <c r="H11" i="91"/>
  <c r="G11" i="91"/>
  <c r="F11" i="91"/>
  <c r="L10" i="91"/>
  <c r="K10" i="91"/>
  <c r="H10" i="91"/>
  <c r="G10" i="91"/>
  <c r="F10" i="91"/>
  <c r="L9" i="91"/>
  <c r="K9" i="91"/>
  <c r="H9" i="91"/>
  <c r="G9" i="91"/>
  <c r="F9" i="91"/>
  <c r="L8" i="91"/>
  <c r="K8" i="91"/>
  <c r="H8" i="91"/>
  <c r="G8" i="91"/>
  <c r="F8" i="91"/>
  <c r="L7" i="91"/>
  <c r="K7" i="91"/>
  <c r="H7" i="91"/>
  <c r="G7" i="91"/>
  <c r="F7" i="91"/>
  <c r="L6" i="91"/>
  <c r="K6" i="91"/>
  <c r="H6" i="91"/>
  <c r="G6" i="91"/>
  <c r="F6" i="91"/>
  <c r="L5" i="91"/>
  <c r="K5" i="91"/>
  <c r="H5" i="91"/>
  <c r="G5" i="91"/>
  <c r="F5" i="91"/>
  <c r="L4" i="91"/>
  <c r="K4" i="91"/>
  <c r="H4" i="91"/>
  <c r="H34" i="91"/>
  <c r="G4" i="91"/>
  <c r="G34" i="91"/>
  <c r="F4" i="91"/>
  <c r="A4" i="91"/>
  <c r="A5" i="91"/>
  <c r="A6" i="91"/>
  <c r="A7" i="91"/>
  <c r="A8" i="91"/>
  <c r="A9" i="91"/>
  <c r="A10" i="91"/>
  <c r="A11" i="91"/>
  <c r="A12" i="91"/>
  <c r="A13" i="91"/>
  <c r="A14" i="91"/>
  <c r="A15" i="91"/>
  <c r="A16" i="91"/>
  <c r="A17" i="91"/>
  <c r="A18" i="91"/>
  <c r="A19" i="91"/>
  <c r="A20" i="91"/>
  <c r="A21" i="91"/>
  <c r="A22" i="91"/>
  <c r="A23" i="91"/>
  <c r="A24" i="91"/>
  <c r="A25" i="91"/>
  <c r="A26" i="91"/>
  <c r="A27" i="91"/>
  <c r="A28" i="91"/>
  <c r="A29" i="91"/>
  <c r="A30" i="91"/>
  <c r="A31" i="91"/>
  <c r="A32" i="91"/>
  <c r="A33" i="91"/>
  <c r="P34" i="90"/>
  <c r="O34" i="90"/>
  <c r="N34" i="90"/>
  <c r="M34" i="90"/>
  <c r="J34" i="90"/>
  <c r="I34" i="90"/>
  <c r="E34" i="90"/>
  <c r="D34" i="90"/>
  <c r="L34" i="90"/>
  <c r="C34" i="90"/>
  <c r="B34" i="90"/>
  <c r="L33" i="90"/>
  <c r="K33" i="90"/>
  <c r="H33" i="90"/>
  <c r="G33" i="90"/>
  <c r="F33" i="90"/>
  <c r="L32" i="90"/>
  <c r="K32" i="90"/>
  <c r="H32" i="90"/>
  <c r="G32" i="90"/>
  <c r="F32" i="90"/>
  <c r="L31" i="90"/>
  <c r="K31" i="90"/>
  <c r="H31" i="90"/>
  <c r="G31" i="90"/>
  <c r="F31" i="90"/>
  <c r="L30" i="90"/>
  <c r="K30" i="90"/>
  <c r="H30" i="90"/>
  <c r="G30" i="90"/>
  <c r="F30" i="90"/>
  <c r="L29" i="90"/>
  <c r="K29" i="90"/>
  <c r="H29" i="90"/>
  <c r="G29" i="90"/>
  <c r="F29" i="90"/>
  <c r="L28" i="90"/>
  <c r="K28" i="90"/>
  <c r="H28" i="90"/>
  <c r="G28" i="90"/>
  <c r="F28" i="90"/>
  <c r="L27" i="90"/>
  <c r="K27" i="90"/>
  <c r="H27" i="90"/>
  <c r="G27" i="90"/>
  <c r="F27" i="90"/>
  <c r="L26" i="90"/>
  <c r="K26" i="90"/>
  <c r="H26" i="90"/>
  <c r="G26" i="90"/>
  <c r="F26" i="90"/>
  <c r="L25" i="90"/>
  <c r="K25" i="90"/>
  <c r="H25" i="90"/>
  <c r="G25" i="90"/>
  <c r="F25" i="90"/>
  <c r="L24" i="90"/>
  <c r="K24" i="90"/>
  <c r="H24" i="90"/>
  <c r="G24" i="90"/>
  <c r="F24" i="90"/>
  <c r="L23" i="90"/>
  <c r="K23" i="90"/>
  <c r="H23" i="90"/>
  <c r="G23" i="90"/>
  <c r="F23" i="90"/>
  <c r="L22" i="90"/>
  <c r="K22" i="90"/>
  <c r="H22" i="90"/>
  <c r="G22" i="90"/>
  <c r="F22" i="90"/>
  <c r="L21" i="90"/>
  <c r="K21" i="90"/>
  <c r="H21" i="90"/>
  <c r="G21" i="90"/>
  <c r="F21" i="90"/>
  <c r="L20" i="90"/>
  <c r="K20" i="90"/>
  <c r="H20" i="90"/>
  <c r="G20" i="90"/>
  <c r="F20" i="90"/>
  <c r="L19" i="90"/>
  <c r="K19" i="90"/>
  <c r="H19" i="90"/>
  <c r="G19" i="90"/>
  <c r="F19" i="90"/>
  <c r="L18" i="90"/>
  <c r="K18" i="90"/>
  <c r="H18" i="90"/>
  <c r="G18" i="90"/>
  <c r="F18" i="90"/>
  <c r="L17" i="90"/>
  <c r="K17" i="90"/>
  <c r="H17" i="90"/>
  <c r="G17" i="90"/>
  <c r="F17" i="90"/>
  <c r="L16" i="90"/>
  <c r="K16" i="90"/>
  <c r="H16" i="90"/>
  <c r="G16" i="90"/>
  <c r="F16" i="90"/>
  <c r="L15" i="90"/>
  <c r="K15" i="90"/>
  <c r="H15" i="90"/>
  <c r="G15" i="90"/>
  <c r="F15" i="90"/>
  <c r="L14" i="90"/>
  <c r="K14" i="90"/>
  <c r="H14" i="90"/>
  <c r="G14" i="90"/>
  <c r="F14" i="90"/>
  <c r="L13" i="90"/>
  <c r="K13" i="90"/>
  <c r="H13" i="90"/>
  <c r="G13" i="90"/>
  <c r="F13" i="90"/>
  <c r="L12" i="90"/>
  <c r="K12" i="90"/>
  <c r="H12" i="90"/>
  <c r="G12" i="90"/>
  <c r="F12" i="90"/>
  <c r="L11" i="90"/>
  <c r="K11" i="90"/>
  <c r="H11" i="90"/>
  <c r="G11" i="90"/>
  <c r="F11" i="90"/>
  <c r="L10" i="90"/>
  <c r="K10" i="90"/>
  <c r="H10" i="90"/>
  <c r="G10" i="90"/>
  <c r="F10" i="90"/>
  <c r="L9" i="90"/>
  <c r="K9" i="90"/>
  <c r="H9" i="90"/>
  <c r="G9" i="90"/>
  <c r="F9" i="90"/>
  <c r="L8" i="90"/>
  <c r="K8" i="90"/>
  <c r="H8" i="90"/>
  <c r="G8" i="90"/>
  <c r="F8" i="90"/>
  <c r="L7" i="90"/>
  <c r="K7" i="90"/>
  <c r="H7" i="90"/>
  <c r="G7" i="90"/>
  <c r="F7" i="90"/>
  <c r="L6" i="90"/>
  <c r="K6" i="90"/>
  <c r="H6" i="90"/>
  <c r="G6" i="90"/>
  <c r="F6" i="90"/>
  <c r="L5" i="90"/>
  <c r="K5" i="90"/>
  <c r="H5" i="90"/>
  <c r="G5" i="90"/>
  <c r="F5" i="90"/>
  <c r="L4" i="90"/>
  <c r="K4" i="90"/>
  <c r="H4" i="90"/>
  <c r="H34" i="90"/>
  <c r="G4" i="90"/>
  <c r="G34" i="90"/>
  <c r="F4" i="90"/>
  <c r="A4" i="90"/>
  <c r="A5" i="90"/>
  <c r="A6" i="90"/>
  <c r="A7" i="90"/>
  <c r="A8" i="90"/>
  <c r="A9" i="90"/>
  <c r="A10" i="90"/>
  <c r="A11" i="90"/>
  <c r="A12" i="90"/>
  <c r="A13" i="90"/>
  <c r="A14" i="90"/>
  <c r="A15" i="90"/>
  <c r="A16" i="90"/>
  <c r="A17" i="90"/>
  <c r="A18" i="90"/>
  <c r="A19" i="90"/>
  <c r="A20" i="90"/>
  <c r="A21" i="90"/>
  <c r="A22" i="90"/>
  <c r="A23" i="90"/>
  <c r="A24" i="90"/>
  <c r="A25" i="90"/>
  <c r="A26" i="90"/>
  <c r="A27" i="90"/>
  <c r="A28" i="90"/>
  <c r="A29" i="90"/>
  <c r="A30" i="90"/>
  <c r="A31" i="90"/>
  <c r="A32" i="90"/>
  <c r="A33" i="90"/>
  <c r="P34" i="89"/>
  <c r="O34" i="89"/>
  <c r="N34" i="89"/>
  <c r="M34" i="89"/>
  <c r="J34" i="89"/>
  <c r="I34" i="89"/>
  <c r="E34" i="89"/>
  <c r="D34" i="89"/>
  <c r="L34" i="89"/>
  <c r="C34" i="89"/>
  <c r="B34" i="89"/>
  <c r="L33" i="89"/>
  <c r="K33" i="89"/>
  <c r="H33" i="89"/>
  <c r="G33" i="89"/>
  <c r="F33" i="89"/>
  <c r="L32" i="89"/>
  <c r="K32" i="89"/>
  <c r="H32" i="89"/>
  <c r="G32" i="89"/>
  <c r="F32" i="89"/>
  <c r="L31" i="89"/>
  <c r="K31" i="89"/>
  <c r="H31" i="89"/>
  <c r="G31" i="89"/>
  <c r="F31" i="89"/>
  <c r="L30" i="89"/>
  <c r="K30" i="89"/>
  <c r="H30" i="89"/>
  <c r="G30" i="89"/>
  <c r="F30" i="89"/>
  <c r="L29" i="89"/>
  <c r="K29" i="89"/>
  <c r="H29" i="89"/>
  <c r="G29" i="89"/>
  <c r="F29" i="89"/>
  <c r="L28" i="89"/>
  <c r="K28" i="89"/>
  <c r="H28" i="89"/>
  <c r="G28" i="89"/>
  <c r="F28" i="89"/>
  <c r="L27" i="89"/>
  <c r="K27" i="89"/>
  <c r="H27" i="89"/>
  <c r="G27" i="89"/>
  <c r="F27" i="89"/>
  <c r="L26" i="89"/>
  <c r="K26" i="89"/>
  <c r="H26" i="89"/>
  <c r="G26" i="89"/>
  <c r="F26" i="89"/>
  <c r="L25" i="89"/>
  <c r="K25" i="89"/>
  <c r="H25" i="89"/>
  <c r="G25" i="89"/>
  <c r="F25" i="89"/>
  <c r="L24" i="89"/>
  <c r="K24" i="89"/>
  <c r="H24" i="89"/>
  <c r="G24" i="89"/>
  <c r="F24" i="89"/>
  <c r="L23" i="89"/>
  <c r="K23" i="89"/>
  <c r="H23" i="89"/>
  <c r="G23" i="89"/>
  <c r="F23" i="89"/>
  <c r="L22" i="89"/>
  <c r="K22" i="89"/>
  <c r="H22" i="89"/>
  <c r="G22" i="89"/>
  <c r="F22" i="89"/>
  <c r="L21" i="89"/>
  <c r="K21" i="89"/>
  <c r="H21" i="89"/>
  <c r="G21" i="89"/>
  <c r="F21" i="89"/>
  <c r="L20" i="89"/>
  <c r="K20" i="89"/>
  <c r="H20" i="89"/>
  <c r="G20" i="89"/>
  <c r="F20" i="89"/>
  <c r="L19" i="89"/>
  <c r="K19" i="89"/>
  <c r="H19" i="89"/>
  <c r="G19" i="89"/>
  <c r="F19" i="89"/>
  <c r="L18" i="89"/>
  <c r="K18" i="89"/>
  <c r="H18" i="89"/>
  <c r="G18" i="89"/>
  <c r="F18" i="89"/>
  <c r="L17" i="89"/>
  <c r="K17" i="89"/>
  <c r="H17" i="89"/>
  <c r="G17" i="89"/>
  <c r="F17" i="89"/>
  <c r="L16" i="89"/>
  <c r="K16" i="89"/>
  <c r="H16" i="89"/>
  <c r="G16" i="89"/>
  <c r="F16" i="89"/>
  <c r="L15" i="89"/>
  <c r="K15" i="89"/>
  <c r="H15" i="89"/>
  <c r="G15" i="89"/>
  <c r="F15" i="89"/>
  <c r="L14" i="89"/>
  <c r="K14" i="89"/>
  <c r="H14" i="89"/>
  <c r="G14" i="89"/>
  <c r="F14" i="89"/>
  <c r="L13" i="89"/>
  <c r="K13" i="89"/>
  <c r="H13" i="89"/>
  <c r="G13" i="89"/>
  <c r="F13" i="89"/>
  <c r="L12" i="89"/>
  <c r="K12" i="89"/>
  <c r="H12" i="89"/>
  <c r="G12" i="89"/>
  <c r="F12" i="89"/>
  <c r="L11" i="89"/>
  <c r="K11" i="89"/>
  <c r="H11" i="89"/>
  <c r="G11" i="89"/>
  <c r="F11" i="89"/>
  <c r="L10" i="89"/>
  <c r="K10" i="89"/>
  <c r="H10" i="89"/>
  <c r="G10" i="89"/>
  <c r="F10" i="89"/>
  <c r="L9" i="89"/>
  <c r="K9" i="89"/>
  <c r="H9" i="89"/>
  <c r="G9" i="89"/>
  <c r="F9" i="89"/>
  <c r="L8" i="89"/>
  <c r="K8" i="89"/>
  <c r="H8" i="89"/>
  <c r="G8" i="89"/>
  <c r="F8" i="89"/>
  <c r="L7" i="89"/>
  <c r="K7" i="89"/>
  <c r="H7" i="89"/>
  <c r="G7" i="89"/>
  <c r="F7" i="89"/>
  <c r="L6" i="89"/>
  <c r="K6" i="89"/>
  <c r="H6" i="89"/>
  <c r="G6" i="89"/>
  <c r="F6" i="89"/>
  <c r="L5" i="89"/>
  <c r="K5" i="89"/>
  <c r="H5" i="89"/>
  <c r="G5" i="89"/>
  <c r="F5" i="89"/>
  <c r="L4" i="89"/>
  <c r="K4" i="89"/>
  <c r="H4" i="89"/>
  <c r="H34" i="89"/>
  <c r="G4" i="89"/>
  <c r="G34" i="89"/>
  <c r="F4" i="89"/>
  <c r="A4" i="89"/>
  <c r="A5" i="89"/>
  <c r="A6" i="89"/>
  <c r="A7" i="89"/>
  <c r="A8" i="89"/>
  <c r="A9" i="89"/>
  <c r="A10" i="89"/>
  <c r="A11" i="89"/>
  <c r="A12" i="89"/>
  <c r="A13" i="89"/>
  <c r="A14" i="89"/>
  <c r="A15" i="89"/>
  <c r="A16" i="89"/>
  <c r="A17" i="89"/>
  <c r="A18" i="89"/>
  <c r="A19" i="89"/>
  <c r="A20" i="89"/>
  <c r="A21" i="89"/>
  <c r="A22" i="89"/>
  <c r="A23" i="89"/>
  <c r="A24" i="89"/>
  <c r="A25" i="89"/>
  <c r="A26" i="89"/>
  <c r="A27" i="89"/>
  <c r="A28" i="89"/>
  <c r="A29" i="89"/>
  <c r="A30" i="89"/>
  <c r="A31" i="89"/>
  <c r="A32" i="89"/>
  <c r="A33" i="89"/>
  <c r="P34" i="88"/>
  <c r="O34" i="88"/>
  <c r="N34" i="88"/>
  <c r="M34" i="88"/>
  <c r="J34" i="88"/>
  <c r="I34" i="88"/>
  <c r="E34" i="88"/>
  <c r="D34" i="88"/>
  <c r="L34" i="88"/>
  <c r="C34" i="88"/>
  <c r="B34" i="88"/>
  <c r="L33" i="88"/>
  <c r="K33" i="88"/>
  <c r="H33" i="88"/>
  <c r="G33" i="88"/>
  <c r="F33" i="88"/>
  <c r="L32" i="88"/>
  <c r="K32" i="88"/>
  <c r="H32" i="88"/>
  <c r="G32" i="88"/>
  <c r="F32" i="88"/>
  <c r="L31" i="88"/>
  <c r="K31" i="88"/>
  <c r="H31" i="88"/>
  <c r="G31" i="88"/>
  <c r="F31" i="88"/>
  <c r="L30" i="88"/>
  <c r="K30" i="88"/>
  <c r="H30" i="88"/>
  <c r="G30" i="88"/>
  <c r="F30" i="88"/>
  <c r="L29" i="88"/>
  <c r="K29" i="88"/>
  <c r="H29" i="88"/>
  <c r="G29" i="88"/>
  <c r="F29" i="88"/>
  <c r="L28" i="88"/>
  <c r="K28" i="88"/>
  <c r="H28" i="88"/>
  <c r="G28" i="88"/>
  <c r="F28" i="88"/>
  <c r="L27" i="88"/>
  <c r="K27" i="88"/>
  <c r="H27" i="88"/>
  <c r="G27" i="88"/>
  <c r="F27" i="88"/>
  <c r="L26" i="88"/>
  <c r="K26" i="88"/>
  <c r="H26" i="88"/>
  <c r="G26" i="88"/>
  <c r="F26" i="88"/>
  <c r="L25" i="88"/>
  <c r="K25" i="88"/>
  <c r="H25" i="88"/>
  <c r="G25" i="88"/>
  <c r="F25" i="88"/>
  <c r="L24" i="88"/>
  <c r="K24" i="88"/>
  <c r="H24" i="88"/>
  <c r="G24" i="88"/>
  <c r="F24" i="88"/>
  <c r="L23" i="88"/>
  <c r="K23" i="88"/>
  <c r="H23" i="88"/>
  <c r="G23" i="88"/>
  <c r="F23" i="88"/>
  <c r="L22" i="88"/>
  <c r="K22" i="88"/>
  <c r="H22" i="88"/>
  <c r="G22" i="88"/>
  <c r="F22" i="88"/>
  <c r="L21" i="88"/>
  <c r="K21" i="88"/>
  <c r="H21" i="88"/>
  <c r="G21" i="88"/>
  <c r="F21" i="88"/>
  <c r="L20" i="88"/>
  <c r="K20" i="88"/>
  <c r="H20" i="88"/>
  <c r="G20" i="88"/>
  <c r="F20" i="88"/>
  <c r="L19" i="88"/>
  <c r="K19" i="88"/>
  <c r="H19" i="88"/>
  <c r="G19" i="88"/>
  <c r="F19" i="88"/>
  <c r="L18" i="88"/>
  <c r="K18" i="88"/>
  <c r="H18" i="88"/>
  <c r="G18" i="88"/>
  <c r="F18" i="88"/>
  <c r="L17" i="88"/>
  <c r="K17" i="88"/>
  <c r="H17" i="88"/>
  <c r="G17" i="88"/>
  <c r="F17" i="88"/>
  <c r="L16" i="88"/>
  <c r="K16" i="88"/>
  <c r="H16" i="88"/>
  <c r="G16" i="88"/>
  <c r="F16" i="88"/>
  <c r="L15" i="88"/>
  <c r="K15" i="88"/>
  <c r="H15" i="88"/>
  <c r="G15" i="88"/>
  <c r="F15" i="88"/>
  <c r="L14" i="88"/>
  <c r="K14" i="88"/>
  <c r="H14" i="88"/>
  <c r="G14" i="88"/>
  <c r="F14" i="88"/>
  <c r="L13" i="88"/>
  <c r="K13" i="88"/>
  <c r="H13" i="88"/>
  <c r="G13" i="88"/>
  <c r="F13" i="88"/>
  <c r="L12" i="88"/>
  <c r="K12" i="88"/>
  <c r="H12" i="88"/>
  <c r="G12" i="88"/>
  <c r="F12" i="88"/>
  <c r="L11" i="88"/>
  <c r="K11" i="88"/>
  <c r="H11" i="88"/>
  <c r="G11" i="88"/>
  <c r="F11" i="88"/>
  <c r="L10" i="88"/>
  <c r="K10" i="88"/>
  <c r="H10" i="88"/>
  <c r="G10" i="88"/>
  <c r="F10" i="88"/>
  <c r="L9" i="88"/>
  <c r="K9" i="88"/>
  <c r="H9" i="88"/>
  <c r="G9" i="88"/>
  <c r="F9" i="88"/>
  <c r="L8" i="88"/>
  <c r="K8" i="88"/>
  <c r="H8" i="88"/>
  <c r="G8" i="88"/>
  <c r="F8" i="88"/>
  <c r="L7" i="88"/>
  <c r="K7" i="88"/>
  <c r="H7" i="88"/>
  <c r="G7" i="88"/>
  <c r="F7" i="88"/>
  <c r="L6" i="88"/>
  <c r="K6" i="88"/>
  <c r="H6" i="88"/>
  <c r="G6" i="88"/>
  <c r="F6" i="88"/>
  <c r="L5" i="88"/>
  <c r="K5" i="88"/>
  <c r="H5" i="88"/>
  <c r="G5" i="88"/>
  <c r="F5" i="88"/>
  <c r="L4" i="88"/>
  <c r="K4" i="88"/>
  <c r="H4" i="88"/>
  <c r="H34" i="88"/>
  <c r="G4" i="88"/>
  <c r="G34" i="88"/>
  <c r="F4" i="88"/>
  <c r="A4" i="88"/>
  <c r="A5" i="88"/>
  <c r="A6" i="88"/>
  <c r="A7" i="88"/>
  <c r="A8" i="88"/>
  <c r="A9" i="88"/>
  <c r="A10" i="88"/>
  <c r="A11" i="88"/>
  <c r="A12" i="88"/>
  <c r="A13" i="88"/>
  <c r="A14" i="88"/>
  <c r="A15" i="88"/>
  <c r="A16" i="88"/>
  <c r="A17" i="88"/>
  <c r="A18" i="88"/>
  <c r="A19" i="88"/>
  <c r="A20" i="88"/>
  <c r="A21" i="88"/>
  <c r="A22" i="88"/>
  <c r="A23" i="88"/>
  <c r="A24" i="88"/>
  <c r="A25" i="88"/>
  <c r="A26" i="88"/>
  <c r="A27" i="88"/>
  <c r="A28" i="88"/>
  <c r="A29" i="88"/>
  <c r="A30" i="88"/>
  <c r="A31" i="88"/>
  <c r="A32" i="88"/>
  <c r="A33" i="88"/>
  <c r="A4" i="87"/>
  <c r="F4" i="87"/>
  <c r="G4" i="87"/>
  <c r="H4" i="87"/>
  <c r="K4" i="87"/>
  <c r="L4" i="87"/>
  <c r="A5" i="87"/>
  <c r="F5" i="87"/>
  <c r="G5" i="87"/>
  <c r="H5" i="87"/>
  <c r="K5" i="87"/>
  <c r="L5" i="87"/>
  <c r="A6" i="87"/>
  <c r="F6" i="87"/>
  <c r="G6" i="87"/>
  <c r="H6" i="87"/>
  <c r="K6" i="87"/>
  <c r="L6" i="87"/>
  <c r="A7" i="87"/>
  <c r="F7" i="87"/>
  <c r="G7" i="87"/>
  <c r="H7" i="87"/>
  <c r="K7" i="87"/>
  <c r="L7" i="87"/>
  <c r="A8" i="87"/>
  <c r="F8" i="87"/>
  <c r="G8" i="87"/>
  <c r="H8" i="87"/>
  <c r="K8" i="87"/>
  <c r="L8" i="87"/>
  <c r="A9" i="87"/>
  <c r="F9" i="87"/>
  <c r="G9" i="87"/>
  <c r="H9" i="87"/>
  <c r="K9" i="87"/>
  <c r="L9" i="87"/>
  <c r="A10" i="87"/>
  <c r="F10" i="87"/>
  <c r="G10" i="87"/>
  <c r="H10" i="87"/>
  <c r="K10" i="87"/>
  <c r="L10" i="87"/>
  <c r="A11" i="87"/>
  <c r="F11" i="87"/>
  <c r="G11" i="87"/>
  <c r="H11" i="87"/>
  <c r="K11" i="87"/>
  <c r="L11" i="87"/>
  <c r="A12" i="87"/>
  <c r="F12" i="87"/>
  <c r="G12" i="87"/>
  <c r="H12" i="87"/>
  <c r="K12" i="87"/>
  <c r="L12" i="87"/>
  <c r="A13" i="87"/>
  <c r="F13" i="87"/>
  <c r="G13" i="87"/>
  <c r="H13" i="87"/>
  <c r="K13" i="87"/>
  <c r="L13" i="87"/>
  <c r="A14" i="87"/>
  <c r="F14" i="87"/>
  <c r="G14" i="87"/>
  <c r="H14" i="87"/>
  <c r="K14" i="87"/>
  <c r="L14" i="87"/>
  <c r="A15" i="87"/>
  <c r="F15" i="87"/>
  <c r="G15" i="87"/>
  <c r="H15" i="87"/>
  <c r="K15" i="87"/>
  <c r="L15" i="87"/>
  <c r="A16" i="87"/>
  <c r="F16" i="87"/>
  <c r="G16" i="87"/>
  <c r="H16" i="87"/>
  <c r="K16" i="87"/>
  <c r="L16" i="87"/>
  <c r="A17" i="87"/>
  <c r="F17" i="87"/>
  <c r="G17" i="87"/>
  <c r="H17" i="87"/>
  <c r="K17" i="87"/>
  <c r="L17" i="87"/>
  <c r="A18" i="87"/>
  <c r="F18" i="87"/>
  <c r="G18" i="87"/>
  <c r="H18" i="87"/>
  <c r="K18" i="87"/>
  <c r="L18" i="87"/>
  <c r="A19" i="87"/>
  <c r="F19" i="87"/>
  <c r="G19" i="87"/>
  <c r="H19" i="87"/>
  <c r="K19" i="87"/>
  <c r="L19" i="87"/>
  <c r="A20" i="87"/>
  <c r="F20" i="87"/>
  <c r="G20" i="87"/>
  <c r="H20" i="87"/>
  <c r="K20" i="87"/>
  <c r="L20" i="87"/>
  <c r="A21" i="87"/>
  <c r="F21" i="87"/>
  <c r="G21" i="87"/>
  <c r="H21" i="87"/>
  <c r="K21" i="87"/>
  <c r="L21" i="87"/>
  <c r="A22" i="87"/>
  <c r="F22" i="87"/>
  <c r="G22" i="87"/>
  <c r="H22" i="87"/>
  <c r="K22" i="87"/>
  <c r="L22" i="87"/>
  <c r="A23" i="87"/>
  <c r="F23" i="87"/>
  <c r="G23" i="87"/>
  <c r="H23" i="87"/>
  <c r="K23" i="87"/>
  <c r="L23" i="87"/>
  <c r="A24" i="87"/>
  <c r="F24" i="87"/>
  <c r="G24" i="87"/>
  <c r="H24" i="87"/>
  <c r="K24" i="87"/>
  <c r="L24" i="87"/>
  <c r="A25" i="87"/>
  <c r="F25" i="87"/>
  <c r="G25" i="87"/>
  <c r="H25" i="87"/>
  <c r="K25" i="87"/>
  <c r="L25" i="87"/>
  <c r="A26" i="87"/>
  <c r="F26" i="87"/>
  <c r="G26" i="87"/>
  <c r="H26" i="87"/>
  <c r="K26" i="87"/>
  <c r="L26" i="87"/>
  <c r="A27" i="87"/>
  <c r="F27" i="87"/>
  <c r="G27" i="87"/>
  <c r="H27" i="87"/>
  <c r="K27" i="87"/>
  <c r="L27" i="87"/>
  <c r="A28" i="87"/>
  <c r="F28" i="87"/>
  <c r="G28" i="87"/>
  <c r="H28" i="87"/>
  <c r="K28" i="87"/>
  <c r="L28" i="87"/>
  <c r="A29" i="87"/>
  <c r="F29" i="87"/>
  <c r="G29" i="87"/>
  <c r="H29" i="87"/>
  <c r="K29" i="87"/>
  <c r="L29" i="87"/>
  <c r="A30" i="87"/>
  <c r="F30" i="87"/>
  <c r="G30" i="87"/>
  <c r="H30" i="87"/>
  <c r="K30" i="87"/>
  <c r="L30" i="87"/>
  <c r="A31" i="87"/>
  <c r="F31" i="87"/>
  <c r="G31" i="87"/>
  <c r="H31" i="87"/>
  <c r="K31" i="87"/>
  <c r="L31" i="87"/>
  <c r="A32" i="87"/>
  <c r="F32" i="87"/>
  <c r="G32" i="87"/>
  <c r="H32" i="87"/>
  <c r="K32" i="87"/>
  <c r="L32" i="87"/>
  <c r="A33" i="87"/>
  <c r="F33" i="87"/>
  <c r="G33" i="87"/>
  <c r="H33" i="87"/>
  <c r="K33" i="87"/>
  <c r="L33" i="87"/>
  <c r="B34" i="87"/>
  <c r="C34" i="87"/>
  <c r="D34" i="87"/>
  <c r="E34" i="87"/>
  <c r="F34" i="87"/>
  <c r="G34" i="87"/>
  <c r="H34" i="87"/>
  <c r="I34" i="87"/>
  <c r="J34" i="87"/>
  <c r="K34" i="87"/>
  <c r="L34" i="87"/>
  <c r="M34" i="87"/>
  <c r="N34" i="87"/>
  <c r="O34" i="87"/>
  <c r="P34" i="87"/>
  <c r="P34" i="86"/>
  <c r="N34" i="86"/>
  <c r="M34" i="86"/>
  <c r="J34" i="86"/>
  <c r="I34" i="86"/>
  <c r="E34" i="86"/>
  <c r="D34" i="86"/>
  <c r="L34" i="86"/>
  <c r="C34" i="86"/>
  <c r="B34" i="86"/>
  <c r="L33" i="86"/>
  <c r="K33" i="86"/>
  <c r="H33" i="86"/>
  <c r="G33" i="86"/>
  <c r="F33" i="86"/>
  <c r="L32" i="86"/>
  <c r="K32" i="86"/>
  <c r="H32" i="86"/>
  <c r="G32" i="86"/>
  <c r="F32" i="86"/>
  <c r="L31" i="86"/>
  <c r="K31" i="86"/>
  <c r="H31" i="86"/>
  <c r="G31" i="86"/>
  <c r="F31" i="86"/>
  <c r="L30" i="86"/>
  <c r="K30" i="86"/>
  <c r="H30" i="86"/>
  <c r="G30" i="86"/>
  <c r="F30" i="86"/>
  <c r="L29" i="86"/>
  <c r="K29" i="86"/>
  <c r="H29" i="86"/>
  <c r="G29" i="86"/>
  <c r="F29" i="86"/>
  <c r="L28" i="86"/>
  <c r="K28" i="86"/>
  <c r="H28" i="86"/>
  <c r="G28" i="86"/>
  <c r="F28" i="86"/>
  <c r="L27" i="86"/>
  <c r="K27" i="86"/>
  <c r="H27" i="86"/>
  <c r="G27" i="86"/>
  <c r="F27" i="86"/>
  <c r="L26" i="86"/>
  <c r="K26" i="86"/>
  <c r="H26" i="86"/>
  <c r="G26" i="86"/>
  <c r="F26" i="86"/>
  <c r="L25" i="86"/>
  <c r="K25" i="86"/>
  <c r="H25" i="86"/>
  <c r="G25" i="86"/>
  <c r="F25" i="86"/>
  <c r="L24" i="86"/>
  <c r="K24" i="86"/>
  <c r="H24" i="86"/>
  <c r="G24" i="86"/>
  <c r="F24" i="86"/>
  <c r="L23" i="86"/>
  <c r="K23" i="86"/>
  <c r="H23" i="86"/>
  <c r="G23" i="86"/>
  <c r="F23" i="86"/>
  <c r="L22" i="86"/>
  <c r="K22" i="86"/>
  <c r="H22" i="86"/>
  <c r="G22" i="86"/>
  <c r="F22" i="86"/>
  <c r="L21" i="86"/>
  <c r="K21" i="86"/>
  <c r="H21" i="86"/>
  <c r="G21" i="86"/>
  <c r="F21" i="86"/>
  <c r="L20" i="86"/>
  <c r="K20" i="86"/>
  <c r="H20" i="86"/>
  <c r="G20" i="86"/>
  <c r="F20" i="86"/>
  <c r="L19" i="86"/>
  <c r="K19" i="86"/>
  <c r="H19" i="86"/>
  <c r="G19" i="86"/>
  <c r="F19" i="86"/>
  <c r="L18" i="86"/>
  <c r="K18" i="86"/>
  <c r="H18" i="86"/>
  <c r="G18" i="86"/>
  <c r="F18" i="86"/>
  <c r="L17" i="86"/>
  <c r="K17" i="86"/>
  <c r="H17" i="86"/>
  <c r="G17" i="86"/>
  <c r="F17" i="86"/>
  <c r="L16" i="86"/>
  <c r="K16" i="86"/>
  <c r="H16" i="86"/>
  <c r="G16" i="86"/>
  <c r="F16" i="86"/>
  <c r="L15" i="86"/>
  <c r="K15" i="86"/>
  <c r="H15" i="86"/>
  <c r="G15" i="86"/>
  <c r="F15" i="86"/>
  <c r="L14" i="86"/>
  <c r="K14" i="86"/>
  <c r="H14" i="86"/>
  <c r="G14" i="86"/>
  <c r="F14" i="86"/>
  <c r="L13" i="86"/>
  <c r="K13" i="86"/>
  <c r="H13" i="86"/>
  <c r="G13" i="86"/>
  <c r="F13" i="86"/>
  <c r="L12" i="86"/>
  <c r="K12" i="86"/>
  <c r="H12" i="86"/>
  <c r="G12" i="86"/>
  <c r="F12" i="86"/>
  <c r="L11" i="86"/>
  <c r="K11" i="86"/>
  <c r="H11" i="86"/>
  <c r="G11" i="86"/>
  <c r="F11" i="86"/>
  <c r="L10" i="86"/>
  <c r="K10" i="86"/>
  <c r="H10" i="86"/>
  <c r="G10" i="86"/>
  <c r="F10" i="86"/>
  <c r="L9" i="86"/>
  <c r="K9" i="86"/>
  <c r="H9" i="86"/>
  <c r="G9" i="86"/>
  <c r="F9" i="86"/>
  <c r="L8" i="86"/>
  <c r="K8" i="86"/>
  <c r="H8" i="86"/>
  <c r="G8" i="86"/>
  <c r="F8" i="86"/>
  <c r="L7" i="86"/>
  <c r="K7" i="86"/>
  <c r="H7" i="86"/>
  <c r="G7" i="86"/>
  <c r="F7" i="86"/>
  <c r="L6" i="86"/>
  <c r="K6" i="86"/>
  <c r="H6" i="86"/>
  <c r="G6" i="86"/>
  <c r="F6" i="86"/>
  <c r="L5" i="86"/>
  <c r="K5" i="86"/>
  <c r="H5" i="86"/>
  <c r="G5" i="86"/>
  <c r="F5" i="86"/>
  <c r="O34" i="86"/>
  <c r="L4" i="86"/>
  <c r="K4" i="86"/>
  <c r="H4" i="86"/>
  <c r="H34" i="86"/>
  <c r="G4" i="86"/>
  <c r="G34" i="86"/>
  <c r="F4" i="86"/>
  <c r="A4" i="86"/>
  <c r="A5" i="86"/>
  <c r="A6" i="86"/>
  <c r="A7" i="86"/>
  <c r="A8" i="86"/>
  <c r="A9" i="86"/>
  <c r="A10" i="86"/>
  <c r="A11" i="86"/>
  <c r="A12" i="86"/>
  <c r="A13" i="86"/>
  <c r="A14" i="86"/>
  <c r="A15" i="86"/>
  <c r="A16" i="86"/>
  <c r="A17" i="86"/>
  <c r="A18" i="86"/>
  <c r="A19" i="86"/>
  <c r="A20" i="86"/>
  <c r="A21" i="86"/>
  <c r="A22" i="86"/>
  <c r="A23" i="86"/>
  <c r="A24" i="86"/>
  <c r="A25" i="86"/>
  <c r="A26" i="86"/>
  <c r="A27" i="86"/>
  <c r="A28" i="86"/>
  <c r="A29" i="86"/>
  <c r="A30" i="86"/>
  <c r="A31" i="86"/>
  <c r="A32" i="86"/>
  <c r="A33" i="86"/>
  <c r="P34" i="85"/>
  <c r="O34" i="85"/>
  <c r="N34" i="85"/>
  <c r="M34" i="85"/>
  <c r="J34" i="85"/>
  <c r="I34" i="85"/>
  <c r="E34" i="85"/>
  <c r="D34" i="85"/>
  <c r="L34" i="85"/>
  <c r="C34" i="85"/>
  <c r="B34" i="85"/>
  <c r="L33" i="85"/>
  <c r="K33" i="85"/>
  <c r="H33" i="85"/>
  <c r="G33" i="85"/>
  <c r="F33" i="85"/>
  <c r="L32" i="85"/>
  <c r="K32" i="85"/>
  <c r="H32" i="85"/>
  <c r="G32" i="85"/>
  <c r="F32" i="85"/>
  <c r="L31" i="85"/>
  <c r="K31" i="85"/>
  <c r="H31" i="85"/>
  <c r="G31" i="85"/>
  <c r="F31" i="85"/>
  <c r="L30" i="85"/>
  <c r="K30" i="85"/>
  <c r="H30" i="85"/>
  <c r="G30" i="85"/>
  <c r="F30" i="85"/>
  <c r="L29" i="85"/>
  <c r="K29" i="85"/>
  <c r="H29" i="85"/>
  <c r="G29" i="85"/>
  <c r="F29" i="85"/>
  <c r="L28" i="85"/>
  <c r="K28" i="85"/>
  <c r="H28" i="85"/>
  <c r="G28" i="85"/>
  <c r="F28" i="85"/>
  <c r="L27" i="85"/>
  <c r="K27" i="85"/>
  <c r="H27" i="85"/>
  <c r="G27" i="85"/>
  <c r="F27" i="85"/>
  <c r="L26" i="85"/>
  <c r="K26" i="85"/>
  <c r="H26" i="85"/>
  <c r="G26" i="85"/>
  <c r="F26" i="85"/>
  <c r="L25" i="85"/>
  <c r="K25" i="85"/>
  <c r="H25" i="85"/>
  <c r="G25" i="85"/>
  <c r="F25" i="85"/>
  <c r="L24" i="85"/>
  <c r="K24" i="85"/>
  <c r="H24" i="85"/>
  <c r="G24" i="85"/>
  <c r="F24" i="85"/>
  <c r="L23" i="85"/>
  <c r="K23" i="85"/>
  <c r="H23" i="85"/>
  <c r="G23" i="85"/>
  <c r="F23" i="85"/>
  <c r="L22" i="85"/>
  <c r="K22" i="85"/>
  <c r="H22" i="85"/>
  <c r="G22" i="85"/>
  <c r="F22" i="85"/>
  <c r="L21" i="85"/>
  <c r="K21" i="85"/>
  <c r="H21" i="85"/>
  <c r="G21" i="85"/>
  <c r="F21" i="85"/>
  <c r="L20" i="85"/>
  <c r="K20" i="85"/>
  <c r="H20" i="85"/>
  <c r="G20" i="85"/>
  <c r="F20" i="85"/>
  <c r="L19" i="85"/>
  <c r="K19" i="85"/>
  <c r="H19" i="85"/>
  <c r="G19" i="85"/>
  <c r="F19" i="85"/>
  <c r="L18" i="85"/>
  <c r="K18" i="85"/>
  <c r="H18" i="85"/>
  <c r="G18" i="85"/>
  <c r="F18" i="85"/>
  <c r="L17" i="85"/>
  <c r="K17" i="85"/>
  <c r="H17" i="85"/>
  <c r="G17" i="85"/>
  <c r="F17" i="85"/>
  <c r="L16" i="85"/>
  <c r="K16" i="85"/>
  <c r="H16" i="85"/>
  <c r="G16" i="85"/>
  <c r="F16" i="85"/>
  <c r="L15" i="85"/>
  <c r="K15" i="85"/>
  <c r="H15" i="85"/>
  <c r="G15" i="85"/>
  <c r="F15" i="85"/>
  <c r="L14" i="85"/>
  <c r="K14" i="85"/>
  <c r="H14" i="85"/>
  <c r="G14" i="85"/>
  <c r="F14" i="85"/>
  <c r="L13" i="85"/>
  <c r="K13" i="85"/>
  <c r="H13" i="85"/>
  <c r="G13" i="85"/>
  <c r="F13" i="85"/>
  <c r="L12" i="85"/>
  <c r="K12" i="85"/>
  <c r="H12" i="85"/>
  <c r="G12" i="85"/>
  <c r="F12" i="85"/>
  <c r="L11" i="85"/>
  <c r="K11" i="85"/>
  <c r="H11" i="85"/>
  <c r="G11" i="85"/>
  <c r="F11" i="85"/>
  <c r="L10" i="85"/>
  <c r="K10" i="85"/>
  <c r="H10" i="85"/>
  <c r="G10" i="85"/>
  <c r="F10" i="85"/>
  <c r="L9" i="85"/>
  <c r="K9" i="85"/>
  <c r="H9" i="85"/>
  <c r="G9" i="85"/>
  <c r="F9" i="85"/>
  <c r="L8" i="85"/>
  <c r="K8" i="85"/>
  <c r="H8" i="85"/>
  <c r="G8" i="85"/>
  <c r="F8" i="85"/>
  <c r="L7" i="85"/>
  <c r="K7" i="85"/>
  <c r="H7" i="85"/>
  <c r="G7" i="85"/>
  <c r="F7" i="85"/>
  <c r="L6" i="85"/>
  <c r="K6" i="85"/>
  <c r="H6" i="85"/>
  <c r="G6" i="85"/>
  <c r="F6" i="85"/>
  <c r="L5" i="85"/>
  <c r="K5" i="85"/>
  <c r="H5" i="85"/>
  <c r="G5" i="85"/>
  <c r="F5" i="85"/>
  <c r="L4" i="85"/>
  <c r="K4" i="85"/>
  <c r="H4" i="85"/>
  <c r="H34" i="85"/>
  <c r="G4" i="85"/>
  <c r="G34" i="85"/>
  <c r="F4" i="85"/>
  <c r="A4" i="85"/>
  <c r="A5" i="85"/>
  <c r="A6" i="85"/>
  <c r="A7" i="85"/>
  <c r="A8" i="85"/>
  <c r="A9" i="85"/>
  <c r="A10" i="85"/>
  <c r="A11" i="85"/>
  <c r="A12" i="85"/>
  <c r="A13" i="85"/>
  <c r="A14" i="85"/>
  <c r="A15" i="85"/>
  <c r="A16" i="85"/>
  <c r="A17" i="85"/>
  <c r="A18" i="85"/>
  <c r="A19" i="85"/>
  <c r="A20" i="85"/>
  <c r="A21" i="85"/>
  <c r="A22" i="85"/>
  <c r="A23" i="85"/>
  <c r="A24" i="85"/>
  <c r="A25" i="85"/>
  <c r="A26" i="85"/>
  <c r="A27" i="85"/>
  <c r="A28" i="85"/>
  <c r="A29" i="85"/>
  <c r="A30" i="85"/>
  <c r="A31" i="85"/>
  <c r="A32" i="85"/>
  <c r="A33" i="85"/>
  <c r="P34" i="84"/>
  <c r="O34" i="84"/>
  <c r="N34" i="84"/>
  <c r="M34" i="84"/>
  <c r="J34" i="84"/>
  <c r="I34" i="84"/>
  <c r="E34" i="84"/>
  <c r="D34" i="84"/>
  <c r="L34" i="84"/>
  <c r="C34" i="84"/>
  <c r="B34" i="84"/>
  <c r="L33" i="84"/>
  <c r="K33" i="84"/>
  <c r="H33" i="84"/>
  <c r="G33" i="84"/>
  <c r="F33" i="84"/>
  <c r="L32" i="84"/>
  <c r="K32" i="84"/>
  <c r="H32" i="84"/>
  <c r="G32" i="84"/>
  <c r="F32" i="84"/>
  <c r="L31" i="84"/>
  <c r="K31" i="84"/>
  <c r="H31" i="84"/>
  <c r="G31" i="84"/>
  <c r="F31" i="84"/>
  <c r="L30" i="84"/>
  <c r="K30" i="84"/>
  <c r="H30" i="84"/>
  <c r="G30" i="84"/>
  <c r="F30" i="84"/>
  <c r="L29" i="84"/>
  <c r="K29" i="84"/>
  <c r="H29" i="84"/>
  <c r="G29" i="84"/>
  <c r="F29" i="84"/>
  <c r="L28" i="84"/>
  <c r="K28" i="84"/>
  <c r="H28" i="84"/>
  <c r="G28" i="84"/>
  <c r="F28" i="84"/>
  <c r="L27" i="84"/>
  <c r="K27" i="84"/>
  <c r="H27" i="84"/>
  <c r="G27" i="84"/>
  <c r="F27" i="84"/>
  <c r="L26" i="84"/>
  <c r="K26" i="84"/>
  <c r="H26" i="84"/>
  <c r="G26" i="84"/>
  <c r="F26" i="84"/>
  <c r="L25" i="84"/>
  <c r="K25" i="84"/>
  <c r="H25" i="84"/>
  <c r="G25" i="84"/>
  <c r="F25" i="84"/>
  <c r="L24" i="84"/>
  <c r="K24" i="84"/>
  <c r="H24" i="84"/>
  <c r="G24" i="84"/>
  <c r="F24" i="84"/>
  <c r="L23" i="84"/>
  <c r="K23" i="84"/>
  <c r="H23" i="84"/>
  <c r="G23" i="84"/>
  <c r="F23" i="84"/>
  <c r="L22" i="84"/>
  <c r="K22" i="84"/>
  <c r="H22" i="84"/>
  <c r="G22" i="84"/>
  <c r="F22" i="84"/>
  <c r="L21" i="84"/>
  <c r="K21" i="84"/>
  <c r="H21" i="84"/>
  <c r="G21" i="84"/>
  <c r="F21" i="84"/>
  <c r="L20" i="84"/>
  <c r="K20" i="84"/>
  <c r="H20" i="84"/>
  <c r="G20" i="84"/>
  <c r="F20" i="84"/>
  <c r="L19" i="84"/>
  <c r="K19" i="84"/>
  <c r="H19" i="84"/>
  <c r="G19" i="84"/>
  <c r="F19" i="84"/>
  <c r="L18" i="84"/>
  <c r="K18" i="84"/>
  <c r="H18" i="84"/>
  <c r="G18" i="84"/>
  <c r="F18" i="84"/>
  <c r="L17" i="84"/>
  <c r="K17" i="84"/>
  <c r="H17" i="84"/>
  <c r="G17" i="84"/>
  <c r="F17" i="84"/>
  <c r="L16" i="84"/>
  <c r="K16" i="84"/>
  <c r="H16" i="84"/>
  <c r="G16" i="84"/>
  <c r="F16" i="84"/>
  <c r="L15" i="84"/>
  <c r="K15" i="84"/>
  <c r="H15" i="84"/>
  <c r="G15" i="84"/>
  <c r="F15" i="84"/>
  <c r="L14" i="84"/>
  <c r="K14" i="84"/>
  <c r="H14" i="84"/>
  <c r="G14" i="84"/>
  <c r="F14" i="84"/>
  <c r="L13" i="84"/>
  <c r="K13" i="84"/>
  <c r="H13" i="84"/>
  <c r="G13" i="84"/>
  <c r="F13" i="84"/>
  <c r="L12" i="84"/>
  <c r="K12" i="84"/>
  <c r="H12" i="84"/>
  <c r="G12" i="84"/>
  <c r="F12" i="84"/>
  <c r="L11" i="84"/>
  <c r="K11" i="84"/>
  <c r="H11" i="84"/>
  <c r="G11" i="84"/>
  <c r="F11" i="84"/>
  <c r="L10" i="84"/>
  <c r="K10" i="84"/>
  <c r="H10" i="84"/>
  <c r="G10" i="84"/>
  <c r="F10" i="84"/>
  <c r="L9" i="84"/>
  <c r="K9" i="84"/>
  <c r="H9" i="84"/>
  <c r="G9" i="84"/>
  <c r="F9" i="84"/>
  <c r="L8" i="84"/>
  <c r="K8" i="84"/>
  <c r="H8" i="84"/>
  <c r="G8" i="84"/>
  <c r="F8" i="84"/>
  <c r="L7" i="84"/>
  <c r="K7" i="84"/>
  <c r="H7" i="84"/>
  <c r="G7" i="84"/>
  <c r="F7" i="84"/>
  <c r="L6" i="84"/>
  <c r="K6" i="84"/>
  <c r="H6" i="84"/>
  <c r="G6" i="84"/>
  <c r="F6" i="84"/>
  <c r="L5" i="84"/>
  <c r="K5" i="84"/>
  <c r="H5" i="84"/>
  <c r="G5" i="84"/>
  <c r="F5" i="84"/>
  <c r="L4" i="84"/>
  <c r="K4" i="84"/>
  <c r="H4" i="84"/>
  <c r="H34" i="84"/>
  <c r="G4" i="84"/>
  <c r="G34" i="84"/>
  <c r="F4" i="84"/>
  <c r="A4" i="84"/>
  <c r="A5" i="84"/>
  <c r="A6" i="84"/>
  <c r="A7" i="84"/>
  <c r="A8" i="84"/>
  <c r="A9" i="84"/>
  <c r="A10" i="84"/>
  <c r="A11" i="84"/>
  <c r="A12" i="84"/>
  <c r="A13" i="84"/>
  <c r="A14" i="84"/>
  <c r="A15" i="84"/>
  <c r="A16" i="84"/>
  <c r="A17" i="84"/>
  <c r="A18" i="84"/>
  <c r="A19" i="84"/>
  <c r="A20" i="84"/>
  <c r="A21" i="84"/>
  <c r="A22" i="84"/>
  <c r="A23" i="84"/>
  <c r="A24" i="84"/>
  <c r="A25" i="84"/>
  <c r="A26" i="84"/>
  <c r="A27" i="84"/>
  <c r="A28" i="84"/>
  <c r="A29" i="84"/>
  <c r="A30" i="84"/>
  <c r="A31" i="84"/>
  <c r="A32" i="84"/>
  <c r="A33" i="84"/>
  <c r="B34" i="13"/>
  <c r="A4" i="83"/>
  <c r="F4" i="83"/>
  <c r="G4" i="83"/>
  <c r="H4" i="83"/>
  <c r="K4" i="83"/>
  <c r="L4" i="83"/>
  <c r="A5" i="83"/>
  <c r="F5" i="83"/>
  <c r="G5" i="83"/>
  <c r="H5" i="83"/>
  <c r="K5" i="83"/>
  <c r="L5" i="83"/>
  <c r="A6" i="83"/>
  <c r="F6" i="83"/>
  <c r="G6" i="83"/>
  <c r="H6" i="83"/>
  <c r="K6" i="83"/>
  <c r="L6" i="83"/>
  <c r="A7" i="83"/>
  <c r="F7" i="83"/>
  <c r="G7" i="83"/>
  <c r="H7" i="83"/>
  <c r="K7" i="83"/>
  <c r="L7" i="83"/>
  <c r="A8" i="83"/>
  <c r="F8" i="83"/>
  <c r="G8" i="83"/>
  <c r="H8" i="83"/>
  <c r="K8" i="83"/>
  <c r="L8" i="83"/>
  <c r="A9" i="83"/>
  <c r="F9" i="83"/>
  <c r="G9" i="83"/>
  <c r="H9" i="83"/>
  <c r="K9" i="83"/>
  <c r="L9" i="83"/>
  <c r="A10" i="83"/>
  <c r="F10" i="83"/>
  <c r="G10" i="83"/>
  <c r="H10" i="83"/>
  <c r="K10" i="83"/>
  <c r="L10" i="83"/>
  <c r="A11" i="83"/>
  <c r="F11" i="83"/>
  <c r="G11" i="83"/>
  <c r="H11" i="83"/>
  <c r="K11" i="83"/>
  <c r="L11" i="83"/>
  <c r="A12" i="83"/>
  <c r="F12" i="83"/>
  <c r="G12" i="83"/>
  <c r="H12" i="83"/>
  <c r="K12" i="83"/>
  <c r="L12" i="83"/>
  <c r="A13" i="83"/>
  <c r="F13" i="83"/>
  <c r="G13" i="83"/>
  <c r="H13" i="83"/>
  <c r="K13" i="83"/>
  <c r="L13" i="83"/>
  <c r="A14" i="83"/>
  <c r="F14" i="83"/>
  <c r="G14" i="83"/>
  <c r="H14" i="83"/>
  <c r="K14" i="83"/>
  <c r="L14" i="83"/>
  <c r="A15" i="83"/>
  <c r="F15" i="83"/>
  <c r="G15" i="83"/>
  <c r="H15" i="83"/>
  <c r="K15" i="83"/>
  <c r="L15" i="83"/>
  <c r="A16" i="83"/>
  <c r="F16" i="83"/>
  <c r="G16" i="83"/>
  <c r="H16" i="83"/>
  <c r="K16" i="83"/>
  <c r="L16" i="83"/>
  <c r="A17" i="83"/>
  <c r="F17" i="83"/>
  <c r="G17" i="83"/>
  <c r="H17" i="83"/>
  <c r="K17" i="83"/>
  <c r="L17" i="83"/>
  <c r="A18" i="83"/>
  <c r="F18" i="83"/>
  <c r="G18" i="83"/>
  <c r="H18" i="83"/>
  <c r="K18" i="83"/>
  <c r="L18" i="83"/>
  <c r="A19" i="83"/>
  <c r="F19" i="83"/>
  <c r="G19" i="83"/>
  <c r="H19" i="83"/>
  <c r="K19" i="83"/>
  <c r="L19" i="83"/>
  <c r="A20" i="83"/>
  <c r="F20" i="83"/>
  <c r="G20" i="83"/>
  <c r="H20" i="83"/>
  <c r="K20" i="83"/>
  <c r="L20" i="83"/>
  <c r="A21" i="83"/>
  <c r="F21" i="83"/>
  <c r="G21" i="83"/>
  <c r="H21" i="83"/>
  <c r="K21" i="83"/>
  <c r="L21" i="83"/>
  <c r="A22" i="83"/>
  <c r="F22" i="83"/>
  <c r="G22" i="83"/>
  <c r="H22" i="83"/>
  <c r="K22" i="83"/>
  <c r="L22" i="83"/>
  <c r="A23" i="83"/>
  <c r="F23" i="83"/>
  <c r="G23" i="83"/>
  <c r="H23" i="83"/>
  <c r="K23" i="83"/>
  <c r="L23" i="83"/>
  <c r="A24" i="83"/>
  <c r="F24" i="83"/>
  <c r="G24" i="83"/>
  <c r="H24" i="83"/>
  <c r="K24" i="83"/>
  <c r="L24" i="83"/>
  <c r="A25" i="83"/>
  <c r="F25" i="83"/>
  <c r="G25" i="83"/>
  <c r="H25" i="83"/>
  <c r="K25" i="83"/>
  <c r="L25" i="83"/>
  <c r="A26" i="83"/>
  <c r="F26" i="83"/>
  <c r="G26" i="83"/>
  <c r="H26" i="83"/>
  <c r="K26" i="83"/>
  <c r="L26" i="83"/>
  <c r="A27" i="83"/>
  <c r="F27" i="83"/>
  <c r="G27" i="83"/>
  <c r="H27" i="83"/>
  <c r="K27" i="83"/>
  <c r="L27" i="83"/>
  <c r="A28" i="83"/>
  <c r="F28" i="83"/>
  <c r="G28" i="83"/>
  <c r="H28" i="83"/>
  <c r="K28" i="83"/>
  <c r="L28" i="83"/>
  <c r="A29" i="83"/>
  <c r="F29" i="83"/>
  <c r="G29" i="83"/>
  <c r="H29" i="83"/>
  <c r="K29" i="83"/>
  <c r="L29" i="83"/>
  <c r="A30" i="83"/>
  <c r="F30" i="83"/>
  <c r="G30" i="83"/>
  <c r="H30" i="83"/>
  <c r="K30" i="83"/>
  <c r="L30" i="83"/>
  <c r="A31" i="83"/>
  <c r="F31" i="83"/>
  <c r="G31" i="83"/>
  <c r="H31" i="83"/>
  <c r="K31" i="83"/>
  <c r="L31" i="83"/>
  <c r="A32" i="83"/>
  <c r="F32" i="83"/>
  <c r="G32" i="83"/>
  <c r="H32" i="83"/>
  <c r="K32" i="83"/>
  <c r="L32" i="83"/>
  <c r="A33" i="83"/>
  <c r="F33" i="83"/>
  <c r="G33" i="83"/>
  <c r="H33" i="83"/>
  <c r="K33" i="83"/>
  <c r="L33" i="83"/>
  <c r="B34" i="83"/>
  <c r="C34" i="83"/>
  <c r="D34" i="83"/>
  <c r="E34" i="83"/>
  <c r="F34" i="83"/>
  <c r="G34" i="83"/>
  <c r="H34" i="83"/>
  <c r="I34" i="83"/>
  <c r="J34" i="83"/>
  <c r="K34" i="83"/>
  <c r="L34" i="83"/>
  <c r="M34" i="83"/>
  <c r="N34" i="83"/>
  <c r="O34" i="83"/>
  <c r="P34" i="83"/>
  <c r="F29" i="37"/>
  <c r="F30" i="37"/>
  <c r="F31" i="37"/>
  <c r="F32" i="37"/>
  <c r="F33" i="37"/>
  <c r="P34" i="82"/>
  <c r="O34" i="82"/>
  <c r="N34" i="82"/>
  <c r="M34" i="82"/>
  <c r="J34" i="82"/>
  <c r="I34" i="82"/>
  <c r="E34" i="82"/>
  <c r="D34" i="82"/>
  <c r="L34" i="82"/>
  <c r="C34" i="82"/>
  <c r="B34" i="82"/>
  <c r="L33" i="82"/>
  <c r="K33" i="82"/>
  <c r="H33" i="82"/>
  <c r="G33" i="82"/>
  <c r="F33" i="82"/>
  <c r="L32" i="82"/>
  <c r="K32" i="82"/>
  <c r="H32" i="82"/>
  <c r="G32" i="82"/>
  <c r="F32" i="82"/>
  <c r="L31" i="82"/>
  <c r="K31" i="82"/>
  <c r="H31" i="82"/>
  <c r="G31" i="82"/>
  <c r="F31" i="82"/>
  <c r="L30" i="82"/>
  <c r="K30" i="82"/>
  <c r="H30" i="82"/>
  <c r="G30" i="82"/>
  <c r="F30" i="82"/>
  <c r="L29" i="82"/>
  <c r="K29" i="82"/>
  <c r="H29" i="82"/>
  <c r="G29" i="82"/>
  <c r="F29" i="82"/>
  <c r="L28" i="82"/>
  <c r="K28" i="82"/>
  <c r="H28" i="82"/>
  <c r="G28" i="82"/>
  <c r="F28" i="82"/>
  <c r="L27" i="82"/>
  <c r="K27" i="82"/>
  <c r="H27" i="82"/>
  <c r="G27" i="82"/>
  <c r="F27" i="82"/>
  <c r="L26" i="82"/>
  <c r="K26" i="82"/>
  <c r="H26" i="82"/>
  <c r="G26" i="82"/>
  <c r="F26" i="82"/>
  <c r="L25" i="82"/>
  <c r="K25" i="82"/>
  <c r="H25" i="82"/>
  <c r="G25" i="82"/>
  <c r="F25" i="82"/>
  <c r="L24" i="82"/>
  <c r="K24" i="82"/>
  <c r="H24" i="82"/>
  <c r="G24" i="82"/>
  <c r="F24" i="82"/>
  <c r="L23" i="82"/>
  <c r="K23" i="82"/>
  <c r="H23" i="82"/>
  <c r="G23" i="82"/>
  <c r="F23" i="82"/>
  <c r="L22" i="82"/>
  <c r="K22" i="82"/>
  <c r="H22" i="82"/>
  <c r="G22" i="82"/>
  <c r="F22" i="82"/>
  <c r="L21" i="82"/>
  <c r="K21" i="82"/>
  <c r="H21" i="82"/>
  <c r="G21" i="82"/>
  <c r="F21" i="82"/>
  <c r="L20" i="82"/>
  <c r="K20" i="82"/>
  <c r="H20" i="82"/>
  <c r="G20" i="82"/>
  <c r="F20" i="82"/>
  <c r="L19" i="82"/>
  <c r="K19" i="82"/>
  <c r="H19" i="82"/>
  <c r="G19" i="82"/>
  <c r="F19" i="82"/>
  <c r="L18" i="82"/>
  <c r="K18" i="82"/>
  <c r="H18" i="82"/>
  <c r="G18" i="82"/>
  <c r="F18" i="82"/>
  <c r="L17" i="82"/>
  <c r="K17" i="82"/>
  <c r="H17" i="82"/>
  <c r="G17" i="82"/>
  <c r="F17" i="82"/>
  <c r="L16" i="82"/>
  <c r="K16" i="82"/>
  <c r="H16" i="82"/>
  <c r="G16" i="82"/>
  <c r="F16" i="82"/>
  <c r="L15" i="82"/>
  <c r="K15" i="82"/>
  <c r="H15" i="82"/>
  <c r="G15" i="82"/>
  <c r="F15" i="82"/>
  <c r="L14" i="82"/>
  <c r="K14" i="82"/>
  <c r="H14" i="82"/>
  <c r="G14" i="82"/>
  <c r="F14" i="82"/>
  <c r="L13" i="82"/>
  <c r="K13" i="82"/>
  <c r="H13" i="82"/>
  <c r="G13" i="82"/>
  <c r="F13" i="82"/>
  <c r="L12" i="82"/>
  <c r="K12" i="82"/>
  <c r="H12" i="82"/>
  <c r="G12" i="82"/>
  <c r="F12" i="82"/>
  <c r="L11" i="82"/>
  <c r="K11" i="82"/>
  <c r="H11" i="82"/>
  <c r="G11" i="82"/>
  <c r="F11" i="82"/>
  <c r="L10" i="82"/>
  <c r="K10" i="82"/>
  <c r="H10" i="82"/>
  <c r="G10" i="82"/>
  <c r="F10" i="82"/>
  <c r="L9" i="82"/>
  <c r="K9" i="82"/>
  <c r="H9" i="82"/>
  <c r="G9" i="82"/>
  <c r="F9" i="82"/>
  <c r="L8" i="82"/>
  <c r="K8" i="82"/>
  <c r="H8" i="82"/>
  <c r="G8" i="82"/>
  <c r="F8" i="82"/>
  <c r="L7" i="82"/>
  <c r="K7" i="82"/>
  <c r="H7" i="82"/>
  <c r="G7" i="82"/>
  <c r="F7" i="82"/>
  <c r="L6" i="82"/>
  <c r="K6" i="82"/>
  <c r="H6" i="82"/>
  <c r="G6" i="82"/>
  <c r="F6" i="82"/>
  <c r="L5" i="82"/>
  <c r="K5" i="82"/>
  <c r="H5" i="82"/>
  <c r="G5" i="82"/>
  <c r="F5" i="82"/>
  <c r="L4" i="82"/>
  <c r="K4" i="82"/>
  <c r="H4" i="82"/>
  <c r="H34" i="82"/>
  <c r="G4" i="82"/>
  <c r="G34" i="82"/>
  <c r="F4" i="82"/>
  <c r="A4" i="82"/>
  <c r="A5" i="82"/>
  <c r="A6" i="82"/>
  <c r="A7"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33" i="82"/>
  <c r="A4" i="81"/>
  <c r="F4" i="81"/>
  <c r="G4" i="81"/>
  <c r="H4" i="81"/>
  <c r="K4" i="81"/>
  <c r="L4" i="81"/>
  <c r="A5" i="81"/>
  <c r="F5" i="81"/>
  <c r="G5" i="81"/>
  <c r="H5" i="81"/>
  <c r="K5" i="81"/>
  <c r="L5" i="81"/>
  <c r="A6" i="81"/>
  <c r="F6" i="81"/>
  <c r="G6" i="81"/>
  <c r="H6" i="81"/>
  <c r="K6" i="81"/>
  <c r="L6" i="81"/>
  <c r="A7" i="81"/>
  <c r="F7" i="81"/>
  <c r="G7" i="81"/>
  <c r="H7" i="81"/>
  <c r="K7" i="81"/>
  <c r="L7" i="81"/>
  <c r="A8" i="81"/>
  <c r="F8" i="81"/>
  <c r="G8" i="81"/>
  <c r="H8" i="81"/>
  <c r="K8" i="81"/>
  <c r="L8" i="81"/>
  <c r="A9" i="81"/>
  <c r="F9" i="81"/>
  <c r="G9" i="81"/>
  <c r="H9" i="81"/>
  <c r="K9" i="81"/>
  <c r="L9" i="81"/>
  <c r="A10" i="81"/>
  <c r="F10" i="81"/>
  <c r="G10" i="81"/>
  <c r="H10" i="81"/>
  <c r="K10" i="81"/>
  <c r="L10" i="81"/>
  <c r="A11" i="81"/>
  <c r="F11" i="81"/>
  <c r="G11" i="81"/>
  <c r="H11" i="81"/>
  <c r="K11" i="81"/>
  <c r="L11" i="81"/>
  <c r="A12" i="81"/>
  <c r="F12" i="81"/>
  <c r="G12" i="81"/>
  <c r="H12" i="81"/>
  <c r="K12" i="81"/>
  <c r="L12" i="81"/>
  <c r="A13" i="81"/>
  <c r="F13" i="81"/>
  <c r="G13" i="81"/>
  <c r="H13" i="81"/>
  <c r="K13" i="81"/>
  <c r="L13" i="81"/>
  <c r="A14" i="81"/>
  <c r="F14" i="81"/>
  <c r="G14" i="81"/>
  <c r="H14" i="81"/>
  <c r="K14" i="81"/>
  <c r="L14" i="81"/>
  <c r="A15" i="81"/>
  <c r="F15" i="81"/>
  <c r="G15" i="81"/>
  <c r="H15" i="81"/>
  <c r="K15" i="81"/>
  <c r="L15" i="81"/>
  <c r="A16" i="81"/>
  <c r="F16" i="81"/>
  <c r="G16" i="81"/>
  <c r="H16" i="81"/>
  <c r="K16" i="81"/>
  <c r="L16" i="81"/>
  <c r="A17" i="81"/>
  <c r="F17" i="81"/>
  <c r="G17" i="81"/>
  <c r="H17" i="81"/>
  <c r="K17" i="81"/>
  <c r="L17" i="81"/>
  <c r="A18" i="81"/>
  <c r="F18" i="81"/>
  <c r="G18" i="81"/>
  <c r="H18" i="81"/>
  <c r="K18" i="81"/>
  <c r="L18" i="81"/>
  <c r="A19" i="81"/>
  <c r="F19" i="81"/>
  <c r="G19" i="81"/>
  <c r="H19" i="81"/>
  <c r="K19" i="81"/>
  <c r="L19" i="81"/>
  <c r="A20" i="81"/>
  <c r="F20" i="81"/>
  <c r="G20" i="81"/>
  <c r="H20" i="81"/>
  <c r="K20" i="81"/>
  <c r="L20" i="81"/>
  <c r="A21" i="81"/>
  <c r="F21" i="81"/>
  <c r="G21" i="81"/>
  <c r="H21" i="81"/>
  <c r="K21" i="81"/>
  <c r="L21" i="81"/>
  <c r="A22" i="81"/>
  <c r="F22" i="81"/>
  <c r="G22" i="81"/>
  <c r="H22" i="81"/>
  <c r="K22" i="81"/>
  <c r="L22" i="81"/>
  <c r="A23" i="81"/>
  <c r="F23" i="81"/>
  <c r="G23" i="81"/>
  <c r="H23" i="81"/>
  <c r="K23" i="81"/>
  <c r="L23" i="81"/>
  <c r="A24" i="81"/>
  <c r="F24" i="81"/>
  <c r="G24" i="81"/>
  <c r="H24" i="81"/>
  <c r="K24" i="81"/>
  <c r="L24" i="81"/>
  <c r="A25" i="81"/>
  <c r="F25" i="81"/>
  <c r="G25" i="81"/>
  <c r="H25" i="81"/>
  <c r="K25" i="81"/>
  <c r="L25" i="81"/>
  <c r="A26" i="81"/>
  <c r="F26" i="81"/>
  <c r="G26" i="81"/>
  <c r="H26" i="81"/>
  <c r="K26" i="81"/>
  <c r="L26" i="81"/>
  <c r="A27" i="81"/>
  <c r="F27" i="81"/>
  <c r="G27" i="81"/>
  <c r="H27" i="81"/>
  <c r="K27" i="81"/>
  <c r="L27" i="81"/>
  <c r="A28" i="81"/>
  <c r="F28" i="81"/>
  <c r="G28" i="81"/>
  <c r="H28" i="81"/>
  <c r="K28" i="81"/>
  <c r="L28" i="81"/>
  <c r="A29" i="81"/>
  <c r="F29" i="81"/>
  <c r="G29" i="81"/>
  <c r="H29" i="81"/>
  <c r="K29" i="81"/>
  <c r="L29" i="81"/>
  <c r="A30" i="81"/>
  <c r="F30" i="81"/>
  <c r="G30" i="81"/>
  <c r="H30" i="81"/>
  <c r="K30" i="81"/>
  <c r="L30" i="81"/>
  <c r="A31" i="81"/>
  <c r="F31" i="81"/>
  <c r="G31" i="81"/>
  <c r="H31" i="81"/>
  <c r="K31" i="81"/>
  <c r="L31" i="81"/>
  <c r="A32" i="81"/>
  <c r="F32" i="81"/>
  <c r="G32" i="81"/>
  <c r="H32" i="81"/>
  <c r="K32" i="81"/>
  <c r="L32" i="81"/>
  <c r="A33" i="81"/>
  <c r="F33" i="81"/>
  <c r="G33" i="81"/>
  <c r="H33" i="81"/>
  <c r="K33" i="81"/>
  <c r="L33" i="81"/>
  <c r="B34" i="81"/>
  <c r="C34" i="81"/>
  <c r="D34" i="81"/>
  <c r="E34" i="81"/>
  <c r="F34" i="81"/>
  <c r="G34" i="81"/>
  <c r="H34" i="81"/>
  <c r="I34" i="81"/>
  <c r="J34" i="81"/>
  <c r="K34" i="81"/>
  <c r="L34" i="81"/>
  <c r="M34" i="81"/>
  <c r="N34" i="81"/>
  <c r="O34" i="81"/>
  <c r="P34" i="81"/>
  <c r="A4" i="80"/>
  <c r="F4" i="80"/>
  <c r="G4" i="80"/>
  <c r="H4" i="80"/>
  <c r="K4" i="80"/>
  <c r="L4" i="80"/>
  <c r="A5" i="80"/>
  <c r="F5" i="80"/>
  <c r="G5" i="80"/>
  <c r="H5" i="80"/>
  <c r="K5" i="80"/>
  <c r="L5" i="80"/>
  <c r="A6" i="80"/>
  <c r="F6" i="80"/>
  <c r="G6" i="80"/>
  <c r="H6" i="80"/>
  <c r="K6" i="80"/>
  <c r="L6" i="80"/>
  <c r="A7" i="80"/>
  <c r="F7" i="80"/>
  <c r="G7" i="80"/>
  <c r="H7" i="80"/>
  <c r="K7" i="80"/>
  <c r="L7" i="80"/>
  <c r="A8" i="80"/>
  <c r="F8" i="80"/>
  <c r="G8" i="80"/>
  <c r="H8" i="80"/>
  <c r="K8" i="80"/>
  <c r="L8" i="80"/>
  <c r="A9" i="80"/>
  <c r="F9" i="80"/>
  <c r="G9" i="80"/>
  <c r="H9" i="80"/>
  <c r="K9" i="80"/>
  <c r="L9" i="80"/>
  <c r="A10" i="80"/>
  <c r="F10" i="80"/>
  <c r="G10" i="80"/>
  <c r="H10" i="80"/>
  <c r="K10" i="80"/>
  <c r="L10" i="80"/>
  <c r="A11" i="80"/>
  <c r="F11" i="80"/>
  <c r="G11" i="80"/>
  <c r="H11" i="80"/>
  <c r="K11" i="80"/>
  <c r="L11" i="80"/>
  <c r="A12" i="80"/>
  <c r="F12" i="80"/>
  <c r="G12" i="80"/>
  <c r="H12" i="80"/>
  <c r="K12" i="80"/>
  <c r="L12" i="80"/>
  <c r="A13" i="80"/>
  <c r="F13" i="80"/>
  <c r="G13" i="80"/>
  <c r="H13" i="80"/>
  <c r="K13" i="80"/>
  <c r="L13" i="80"/>
  <c r="A14" i="80"/>
  <c r="F14" i="80"/>
  <c r="G14" i="80"/>
  <c r="H14" i="80"/>
  <c r="K14" i="80"/>
  <c r="L14" i="80"/>
  <c r="A15" i="80"/>
  <c r="F15" i="80"/>
  <c r="G15" i="80"/>
  <c r="H15" i="80"/>
  <c r="K15" i="80"/>
  <c r="L15" i="80"/>
  <c r="A16" i="80"/>
  <c r="F16" i="80"/>
  <c r="G16" i="80"/>
  <c r="H16" i="80"/>
  <c r="K16" i="80"/>
  <c r="L16" i="80"/>
  <c r="A17" i="80"/>
  <c r="F17" i="80"/>
  <c r="G17" i="80"/>
  <c r="H17" i="80"/>
  <c r="K17" i="80"/>
  <c r="L17" i="80"/>
  <c r="A18" i="80"/>
  <c r="F18" i="80"/>
  <c r="G18" i="80"/>
  <c r="H18" i="80"/>
  <c r="K18" i="80"/>
  <c r="L18" i="80"/>
  <c r="A19" i="80"/>
  <c r="F19" i="80"/>
  <c r="G19" i="80"/>
  <c r="H19" i="80"/>
  <c r="K19" i="80"/>
  <c r="L19" i="80"/>
  <c r="A20" i="80"/>
  <c r="F20" i="80"/>
  <c r="G20" i="80"/>
  <c r="H20" i="80"/>
  <c r="K20" i="80"/>
  <c r="L20" i="80"/>
  <c r="A21" i="80"/>
  <c r="F21" i="80"/>
  <c r="G21" i="80"/>
  <c r="H21" i="80"/>
  <c r="K21" i="80"/>
  <c r="L21" i="80"/>
  <c r="A22" i="80"/>
  <c r="F22" i="80"/>
  <c r="G22" i="80"/>
  <c r="H22" i="80"/>
  <c r="K22" i="80"/>
  <c r="L22" i="80"/>
  <c r="A23" i="80"/>
  <c r="F23" i="80"/>
  <c r="G23" i="80"/>
  <c r="H23" i="80"/>
  <c r="K23" i="80"/>
  <c r="L23" i="80"/>
  <c r="A24" i="80"/>
  <c r="F24" i="80"/>
  <c r="G24" i="80"/>
  <c r="H24" i="80"/>
  <c r="K24" i="80"/>
  <c r="L24" i="80"/>
  <c r="A25" i="80"/>
  <c r="F25" i="80"/>
  <c r="G25" i="80"/>
  <c r="H25" i="80"/>
  <c r="K25" i="80"/>
  <c r="L25" i="80"/>
  <c r="A26" i="80"/>
  <c r="F26" i="80"/>
  <c r="G26" i="80"/>
  <c r="H26" i="80"/>
  <c r="K26" i="80"/>
  <c r="L26" i="80"/>
  <c r="A27" i="80"/>
  <c r="F27" i="80"/>
  <c r="G27" i="80"/>
  <c r="H27" i="80"/>
  <c r="K27" i="80"/>
  <c r="L27" i="80"/>
  <c r="A28" i="80"/>
  <c r="F28" i="80"/>
  <c r="G28" i="80"/>
  <c r="H28" i="80"/>
  <c r="K28" i="80"/>
  <c r="L28" i="80"/>
  <c r="A29" i="80"/>
  <c r="F29" i="80"/>
  <c r="G29" i="80"/>
  <c r="H29" i="80"/>
  <c r="K29" i="80"/>
  <c r="L29" i="80"/>
  <c r="A30" i="80"/>
  <c r="F30" i="80"/>
  <c r="G30" i="80"/>
  <c r="H30" i="80"/>
  <c r="K30" i="80"/>
  <c r="L30" i="80"/>
  <c r="A31" i="80"/>
  <c r="F31" i="80"/>
  <c r="G31" i="80"/>
  <c r="H31" i="80"/>
  <c r="K31" i="80"/>
  <c r="L31" i="80"/>
  <c r="A32" i="80"/>
  <c r="F32" i="80"/>
  <c r="G32" i="80"/>
  <c r="H32" i="80"/>
  <c r="K32" i="80"/>
  <c r="L32" i="80"/>
  <c r="A33" i="80"/>
  <c r="F33" i="80"/>
  <c r="G33" i="80"/>
  <c r="H33" i="80"/>
  <c r="K33" i="80"/>
  <c r="L33" i="80"/>
  <c r="B34" i="80"/>
  <c r="C34" i="80"/>
  <c r="D34" i="80"/>
  <c r="E34" i="80"/>
  <c r="F34" i="80"/>
  <c r="G34" i="80"/>
  <c r="H34" i="80"/>
  <c r="I34" i="80"/>
  <c r="J34" i="80"/>
  <c r="K34" i="80"/>
  <c r="L34" i="80"/>
  <c r="M34" i="80"/>
  <c r="N34" i="80"/>
  <c r="O34" i="80"/>
  <c r="P34" i="80"/>
  <c r="A4" i="79"/>
  <c r="F4" i="79"/>
  <c r="G4" i="79"/>
  <c r="H4" i="79"/>
  <c r="K4" i="79"/>
  <c r="L4" i="79"/>
  <c r="A5" i="79"/>
  <c r="F5" i="79"/>
  <c r="G5" i="79"/>
  <c r="H5" i="79"/>
  <c r="K5" i="79"/>
  <c r="L5" i="79"/>
  <c r="A6" i="79"/>
  <c r="F6" i="79"/>
  <c r="G6" i="79"/>
  <c r="H6" i="79"/>
  <c r="K6" i="79"/>
  <c r="L6" i="79"/>
  <c r="A7" i="79"/>
  <c r="F7" i="79"/>
  <c r="G7" i="79"/>
  <c r="H7" i="79"/>
  <c r="K7" i="79"/>
  <c r="L7" i="79"/>
  <c r="A8" i="79"/>
  <c r="F8" i="79"/>
  <c r="G8" i="79"/>
  <c r="H8" i="79"/>
  <c r="K8" i="79"/>
  <c r="L8" i="79"/>
  <c r="A9" i="79"/>
  <c r="F9" i="79"/>
  <c r="G9" i="79"/>
  <c r="H9" i="79"/>
  <c r="K9" i="79"/>
  <c r="L9" i="79"/>
  <c r="A10" i="79"/>
  <c r="F10" i="79"/>
  <c r="G10" i="79"/>
  <c r="H10" i="79"/>
  <c r="K10" i="79"/>
  <c r="L10" i="79"/>
  <c r="A11" i="79"/>
  <c r="F11" i="79"/>
  <c r="G11" i="79"/>
  <c r="H11" i="79"/>
  <c r="K11" i="79"/>
  <c r="L11" i="79"/>
  <c r="A12" i="79"/>
  <c r="F12" i="79"/>
  <c r="G12" i="79"/>
  <c r="H12" i="79"/>
  <c r="K12" i="79"/>
  <c r="L12" i="79"/>
  <c r="A13" i="79"/>
  <c r="F13" i="79"/>
  <c r="G13" i="79"/>
  <c r="H13" i="79"/>
  <c r="K13" i="79"/>
  <c r="L13" i="79"/>
  <c r="A14" i="79"/>
  <c r="F14" i="79"/>
  <c r="G14" i="79"/>
  <c r="H14" i="79"/>
  <c r="K14" i="79"/>
  <c r="L14" i="79"/>
  <c r="A15" i="79"/>
  <c r="F15" i="79"/>
  <c r="G15" i="79"/>
  <c r="H15" i="79"/>
  <c r="K15" i="79"/>
  <c r="L15" i="79"/>
  <c r="A16" i="79"/>
  <c r="F16" i="79"/>
  <c r="G16" i="79"/>
  <c r="H16" i="79"/>
  <c r="K16" i="79"/>
  <c r="L16" i="79"/>
  <c r="A17" i="79"/>
  <c r="F17" i="79"/>
  <c r="G17" i="79"/>
  <c r="H17" i="79"/>
  <c r="K17" i="79"/>
  <c r="L17" i="79"/>
  <c r="A18" i="79"/>
  <c r="F18" i="79"/>
  <c r="G18" i="79"/>
  <c r="H18" i="79"/>
  <c r="K18" i="79"/>
  <c r="L18" i="79"/>
  <c r="A19" i="79"/>
  <c r="F19" i="79"/>
  <c r="G19" i="79"/>
  <c r="H19" i="79"/>
  <c r="K19" i="79"/>
  <c r="L19" i="79"/>
  <c r="A20" i="79"/>
  <c r="F20" i="79"/>
  <c r="G20" i="79"/>
  <c r="H20" i="79"/>
  <c r="K20" i="79"/>
  <c r="L20" i="79"/>
  <c r="A21" i="79"/>
  <c r="F21" i="79"/>
  <c r="G21" i="79"/>
  <c r="H21" i="79"/>
  <c r="K21" i="79"/>
  <c r="L21" i="79"/>
  <c r="A22" i="79"/>
  <c r="F22" i="79"/>
  <c r="G22" i="79"/>
  <c r="H22" i="79"/>
  <c r="K22" i="79"/>
  <c r="L22" i="79"/>
  <c r="A23" i="79"/>
  <c r="F23" i="79"/>
  <c r="G23" i="79"/>
  <c r="H23" i="79"/>
  <c r="K23" i="79"/>
  <c r="L23" i="79"/>
  <c r="A24" i="79"/>
  <c r="F24" i="79"/>
  <c r="G24" i="79"/>
  <c r="H24" i="79"/>
  <c r="K24" i="79"/>
  <c r="L24" i="79"/>
  <c r="A25" i="79"/>
  <c r="F25" i="79"/>
  <c r="G25" i="79"/>
  <c r="H25" i="79"/>
  <c r="K25" i="79"/>
  <c r="L25" i="79"/>
  <c r="A26" i="79"/>
  <c r="F26" i="79"/>
  <c r="G26" i="79"/>
  <c r="H26" i="79"/>
  <c r="K26" i="79"/>
  <c r="L26" i="79"/>
  <c r="A27" i="79"/>
  <c r="F27" i="79"/>
  <c r="G27" i="79"/>
  <c r="H27" i="79"/>
  <c r="K27" i="79"/>
  <c r="L27" i="79"/>
  <c r="A28" i="79"/>
  <c r="F28" i="79"/>
  <c r="G28" i="79"/>
  <c r="H28" i="79"/>
  <c r="K28" i="79"/>
  <c r="L28" i="79"/>
  <c r="A29" i="79"/>
  <c r="F29" i="79"/>
  <c r="G29" i="79"/>
  <c r="H29" i="79"/>
  <c r="K29" i="79"/>
  <c r="L29" i="79"/>
  <c r="A30" i="79"/>
  <c r="F30" i="79"/>
  <c r="G30" i="79"/>
  <c r="H30" i="79"/>
  <c r="K30" i="79"/>
  <c r="L30" i="79"/>
  <c r="A31" i="79"/>
  <c r="F31" i="79"/>
  <c r="G31" i="79"/>
  <c r="H31" i="79"/>
  <c r="K31" i="79"/>
  <c r="L31" i="79"/>
  <c r="A32" i="79"/>
  <c r="F32" i="79"/>
  <c r="G32" i="79"/>
  <c r="H32" i="79"/>
  <c r="K32" i="79"/>
  <c r="L32" i="79"/>
  <c r="A33" i="79"/>
  <c r="F33" i="79"/>
  <c r="G33" i="79"/>
  <c r="H33" i="79"/>
  <c r="K33" i="79"/>
  <c r="L33" i="79"/>
  <c r="B34" i="79"/>
  <c r="C34" i="79"/>
  <c r="D34" i="79"/>
  <c r="E34" i="79"/>
  <c r="F34" i="79"/>
  <c r="G34" i="79"/>
  <c r="H34" i="79"/>
  <c r="I34" i="79"/>
  <c r="J34" i="79"/>
  <c r="K34" i="79"/>
  <c r="L34" i="79"/>
  <c r="M34" i="79"/>
  <c r="N34" i="79"/>
  <c r="O34" i="79"/>
  <c r="P34" i="79"/>
  <c r="P34" i="78"/>
  <c r="O34" i="78"/>
  <c r="N34" i="78"/>
  <c r="M34" i="78"/>
  <c r="J34" i="78"/>
  <c r="I34" i="78"/>
  <c r="E34" i="78"/>
  <c r="D34" i="78"/>
  <c r="L34" i="78"/>
  <c r="C34" i="78"/>
  <c r="B34" i="78"/>
  <c r="L33" i="78"/>
  <c r="K33" i="78"/>
  <c r="H33" i="78"/>
  <c r="G33" i="78"/>
  <c r="F33" i="78"/>
  <c r="L32" i="78"/>
  <c r="K32" i="78"/>
  <c r="H32" i="78"/>
  <c r="G32" i="78"/>
  <c r="F32" i="78"/>
  <c r="L31" i="78"/>
  <c r="K31" i="78"/>
  <c r="H31" i="78"/>
  <c r="G31" i="78"/>
  <c r="F31" i="78"/>
  <c r="L30" i="78"/>
  <c r="K30" i="78"/>
  <c r="H30" i="78"/>
  <c r="G30" i="78"/>
  <c r="F30" i="78"/>
  <c r="L29" i="78"/>
  <c r="K29" i="78"/>
  <c r="H29" i="78"/>
  <c r="G29" i="78"/>
  <c r="F29" i="78"/>
  <c r="L28" i="78"/>
  <c r="K28" i="78"/>
  <c r="H28" i="78"/>
  <c r="G28" i="78"/>
  <c r="F28" i="78"/>
  <c r="L27" i="78"/>
  <c r="K27" i="78"/>
  <c r="H27" i="78"/>
  <c r="G27" i="78"/>
  <c r="F27" i="78"/>
  <c r="L26" i="78"/>
  <c r="K26" i="78"/>
  <c r="H26" i="78"/>
  <c r="G26" i="78"/>
  <c r="F26" i="78"/>
  <c r="L25" i="78"/>
  <c r="K25" i="78"/>
  <c r="H25" i="78"/>
  <c r="G25" i="78"/>
  <c r="F25" i="78"/>
  <c r="L24" i="78"/>
  <c r="K24" i="78"/>
  <c r="H24" i="78"/>
  <c r="G24" i="78"/>
  <c r="F24" i="78"/>
  <c r="L23" i="78"/>
  <c r="K23" i="78"/>
  <c r="H23" i="78"/>
  <c r="G23" i="78"/>
  <c r="F23" i="78"/>
  <c r="L22" i="78"/>
  <c r="K22" i="78"/>
  <c r="H22" i="78"/>
  <c r="G22" i="78"/>
  <c r="F22" i="78"/>
  <c r="L21" i="78"/>
  <c r="K21" i="78"/>
  <c r="H21" i="78"/>
  <c r="G21" i="78"/>
  <c r="F21" i="78"/>
  <c r="L20" i="78"/>
  <c r="K20" i="78"/>
  <c r="H20" i="78"/>
  <c r="G20" i="78"/>
  <c r="F20" i="78"/>
  <c r="L19" i="78"/>
  <c r="K19" i="78"/>
  <c r="H19" i="78"/>
  <c r="G19" i="78"/>
  <c r="F19" i="78"/>
  <c r="L18" i="78"/>
  <c r="K18" i="78"/>
  <c r="H18" i="78"/>
  <c r="G18" i="78"/>
  <c r="F18" i="78"/>
  <c r="L17" i="78"/>
  <c r="K17" i="78"/>
  <c r="H17" i="78"/>
  <c r="G17" i="78"/>
  <c r="F17" i="78"/>
  <c r="L16" i="78"/>
  <c r="K16" i="78"/>
  <c r="H16" i="78"/>
  <c r="G16" i="78"/>
  <c r="F16" i="78"/>
  <c r="L15" i="78"/>
  <c r="K15" i="78"/>
  <c r="H15" i="78"/>
  <c r="G15" i="78"/>
  <c r="F15" i="78"/>
  <c r="L14" i="78"/>
  <c r="K14" i="78"/>
  <c r="H14" i="78"/>
  <c r="G14" i="78"/>
  <c r="F14" i="78"/>
  <c r="L13" i="78"/>
  <c r="K13" i="78"/>
  <c r="H13" i="78"/>
  <c r="G13" i="78"/>
  <c r="F13" i="78"/>
  <c r="L12" i="78"/>
  <c r="K12" i="78"/>
  <c r="H12" i="78"/>
  <c r="G12" i="78"/>
  <c r="F12" i="78"/>
  <c r="L11" i="78"/>
  <c r="K11" i="78"/>
  <c r="H11" i="78"/>
  <c r="G11" i="78"/>
  <c r="F11" i="78"/>
  <c r="L10" i="78"/>
  <c r="K10" i="78"/>
  <c r="H10" i="78"/>
  <c r="G10" i="78"/>
  <c r="F10" i="78"/>
  <c r="L9" i="78"/>
  <c r="K9" i="78"/>
  <c r="H9" i="78"/>
  <c r="G9" i="78"/>
  <c r="F9" i="78"/>
  <c r="L8" i="78"/>
  <c r="K8" i="78"/>
  <c r="H8" i="78"/>
  <c r="G8" i="78"/>
  <c r="F8" i="78"/>
  <c r="L7" i="78"/>
  <c r="K7" i="78"/>
  <c r="H7" i="78"/>
  <c r="G7" i="78"/>
  <c r="F7" i="78"/>
  <c r="L6" i="78"/>
  <c r="K6" i="78"/>
  <c r="H6" i="78"/>
  <c r="G6" i="78"/>
  <c r="F6" i="78"/>
  <c r="L5" i="78"/>
  <c r="K5" i="78"/>
  <c r="H5" i="78"/>
  <c r="G5" i="78"/>
  <c r="F5" i="78"/>
  <c r="L4" i="78"/>
  <c r="K4" i="78"/>
  <c r="H4" i="78"/>
  <c r="H34" i="78"/>
  <c r="G4" i="78"/>
  <c r="G34" i="78"/>
  <c r="F4" i="78"/>
  <c r="A4" i="78"/>
  <c r="A5" i="78"/>
  <c r="A6" i="78"/>
  <c r="A7" i="78"/>
  <c r="A8" i="78"/>
  <c r="A9" i="78"/>
  <c r="A10" i="78"/>
  <c r="A11" i="78"/>
  <c r="A12" i="78"/>
  <c r="A13" i="78"/>
  <c r="A14" i="78"/>
  <c r="A15" i="78"/>
  <c r="A16" i="78"/>
  <c r="A17" i="78"/>
  <c r="A18" i="78"/>
  <c r="A19" i="78"/>
  <c r="A20" i="78"/>
  <c r="A21" i="78"/>
  <c r="A22" i="78"/>
  <c r="A23" i="78"/>
  <c r="A24" i="78"/>
  <c r="A25" i="78"/>
  <c r="A26" i="78"/>
  <c r="A27" i="78"/>
  <c r="A28" i="78"/>
  <c r="A29" i="78"/>
  <c r="A30" i="78"/>
  <c r="A31" i="78"/>
  <c r="A32" i="78"/>
  <c r="A33" i="78"/>
  <c r="M34" i="61"/>
  <c r="N34" i="61"/>
  <c r="H34" i="61"/>
  <c r="G34" i="61"/>
  <c r="O34" i="61"/>
  <c r="P34" i="61"/>
  <c r="J34" i="61"/>
  <c r="C34" i="61"/>
  <c r="D34" i="61"/>
  <c r="E34" i="61"/>
  <c r="B34" i="61"/>
  <c r="K5" i="61"/>
  <c r="L5" i="61"/>
  <c r="K6" i="61"/>
  <c r="L6" i="61"/>
  <c r="K7" i="61"/>
  <c r="L7" i="61"/>
  <c r="K8" i="61"/>
  <c r="L8" i="61"/>
  <c r="K9" i="61"/>
  <c r="L9" i="61"/>
  <c r="K10" i="61"/>
  <c r="L10" i="61"/>
  <c r="K11" i="61"/>
  <c r="L11" i="61"/>
  <c r="K12" i="61"/>
  <c r="L12" i="61"/>
  <c r="K13" i="61"/>
  <c r="L13" i="61"/>
  <c r="K14" i="61"/>
  <c r="L14" i="61"/>
  <c r="K15" i="61"/>
  <c r="L15" i="61"/>
  <c r="K16" i="61"/>
  <c r="L16" i="61"/>
  <c r="K17" i="61"/>
  <c r="L17" i="61"/>
  <c r="K18" i="61"/>
  <c r="L18" i="61"/>
  <c r="K19" i="61"/>
  <c r="L19" i="61"/>
  <c r="K20" i="61"/>
  <c r="L20" i="61"/>
  <c r="K21" i="61"/>
  <c r="L21" i="61"/>
  <c r="K22" i="61"/>
  <c r="L22" i="61"/>
  <c r="K23" i="61"/>
  <c r="L23" i="61"/>
  <c r="K24" i="61"/>
  <c r="L24" i="61"/>
  <c r="K25" i="61"/>
  <c r="L25" i="61"/>
  <c r="K26" i="61"/>
  <c r="L26" i="61"/>
  <c r="F5" i="61"/>
  <c r="G5" i="61"/>
  <c r="H5" i="61"/>
  <c r="F6" i="61"/>
  <c r="G6" i="61"/>
  <c r="H6" i="61"/>
  <c r="F7" i="61"/>
  <c r="G7" i="61"/>
  <c r="H7" i="61"/>
  <c r="F8" i="61"/>
  <c r="G8" i="61"/>
  <c r="H8" i="61"/>
  <c r="F9" i="61"/>
  <c r="G9" i="61"/>
  <c r="H9" i="61"/>
  <c r="F10" i="61"/>
  <c r="G10" i="61"/>
  <c r="H10" i="61"/>
  <c r="F11" i="61"/>
  <c r="G11" i="61"/>
  <c r="H11" i="61"/>
  <c r="F12" i="61"/>
  <c r="G12" i="61"/>
  <c r="H12" i="61"/>
  <c r="F13" i="61"/>
  <c r="G13" i="61"/>
  <c r="H13" i="61"/>
  <c r="F14" i="61"/>
  <c r="G14" i="61"/>
  <c r="H14" i="61"/>
  <c r="F15" i="61"/>
  <c r="G15" i="61"/>
  <c r="H15" i="61"/>
  <c r="F16" i="61"/>
  <c r="G16" i="61"/>
  <c r="H16" i="61"/>
  <c r="F17" i="61"/>
  <c r="G17" i="61"/>
  <c r="H17" i="61"/>
  <c r="F18" i="61"/>
  <c r="G18" i="61"/>
  <c r="H18" i="61"/>
  <c r="F19" i="61"/>
  <c r="G19" i="61"/>
  <c r="H19" i="61"/>
  <c r="F20" i="61"/>
  <c r="G20" i="61"/>
  <c r="H20" i="61"/>
  <c r="F21" i="61"/>
  <c r="G21" i="61"/>
  <c r="H21" i="61"/>
  <c r="F22" i="61"/>
  <c r="G22" i="61"/>
  <c r="H22" i="61"/>
  <c r="F23" i="61"/>
  <c r="G23" i="61"/>
  <c r="H23" i="61"/>
  <c r="F24" i="61"/>
  <c r="G24" i="61"/>
  <c r="H24" i="61"/>
  <c r="F25" i="61"/>
  <c r="G25" i="61"/>
  <c r="H25" i="61"/>
  <c r="F26" i="61"/>
  <c r="G26" i="61"/>
  <c r="H26" i="61"/>
  <c r="K4" i="61"/>
  <c r="L4" i="61"/>
  <c r="L34" i="61" s="1"/>
  <c r="F4" i="61"/>
  <c r="G4" i="61"/>
  <c r="H4" i="61"/>
  <c r="M34" i="60"/>
  <c r="N34" i="60"/>
  <c r="O34" i="60"/>
  <c r="P34" i="60"/>
  <c r="J34" i="60"/>
  <c r="K34" i="60" s="1"/>
  <c r="C34" i="60"/>
  <c r="D34" i="60"/>
  <c r="E34" i="60"/>
  <c r="B34" i="60"/>
  <c r="K5" i="60"/>
  <c r="L5" i="60"/>
  <c r="K6" i="60"/>
  <c r="L6" i="60"/>
  <c r="K7" i="60"/>
  <c r="L7" i="60"/>
  <c r="K8" i="60"/>
  <c r="L8" i="60"/>
  <c r="K9" i="60"/>
  <c r="L9" i="60"/>
  <c r="K10" i="60"/>
  <c r="L10" i="60"/>
  <c r="K11" i="60"/>
  <c r="L11" i="60"/>
  <c r="K12" i="60"/>
  <c r="L12" i="60"/>
  <c r="K13" i="60"/>
  <c r="L13" i="60"/>
  <c r="K14" i="60"/>
  <c r="L14" i="60"/>
  <c r="K15" i="60"/>
  <c r="L15" i="60"/>
  <c r="K16" i="60"/>
  <c r="L16" i="60"/>
  <c r="K17" i="60"/>
  <c r="L17" i="60"/>
  <c r="K18" i="60"/>
  <c r="L18" i="60"/>
  <c r="K19" i="60"/>
  <c r="L19" i="60"/>
  <c r="K20" i="60"/>
  <c r="L20" i="60"/>
  <c r="K21" i="60"/>
  <c r="L21" i="60"/>
  <c r="K22" i="60"/>
  <c r="L22" i="60"/>
  <c r="K23" i="60"/>
  <c r="L23" i="60"/>
  <c r="K24" i="60"/>
  <c r="L24" i="60"/>
  <c r="K25" i="60"/>
  <c r="L25" i="60"/>
  <c r="K26" i="60"/>
  <c r="L26" i="60"/>
  <c r="F5" i="60"/>
  <c r="G5" i="60"/>
  <c r="H5" i="60"/>
  <c r="F6" i="60"/>
  <c r="G6" i="60"/>
  <c r="H6" i="60"/>
  <c r="F7" i="60"/>
  <c r="G7" i="60"/>
  <c r="H7" i="60"/>
  <c r="F8" i="60"/>
  <c r="G8" i="60"/>
  <c r="H8" i="60"/>
  <c r="F9" i="60"/>
  <c r="G9" i="60"/>
  <c r="H9" i="60"/>
  <c r="F10" i="60"/>
  <c r="G10" i="60"/>
  <c r="H10" i="60"/>
  <c r="F11" i="60"/>
  <c r="G11" i="60"/>
  <c r="H11" i="60"/>
  <c r="F12" i="60"/>
  <c r="G12" i="60"/>
  <c r="H12" i="60"/>
  <c r="F13" i="60"/>
  <c r="G13" i="60"/>
  <c r="H13" i="60"/>
  <c r="F14" i="60"/>
  <c r="G14" i="60"/>
  <c r="H14" i="60"/>
  <c r="F15" i="60"/>
  <c r="G15" i="60"/>
  <c r="H15" i="60"/>
  <c r="F16" i="60"/>
  <c r="G16" i="60"/>
  <c r="H16" i="60"/>
  <c r="F17" i="60"/>
  <c r="G17" i="60"/>
  <c r="H17" i="60"/>
  <c r="F18" i="60"/>
  <c r="G18" i="60"/>
  <c r="H18" i="60"/>
  <c r="F19" i="60"/>
  <c r="G19" i="60"/>
  <c r="H19" i="60"/>
  <c r="F20" i="60"/>
  <c r="G20" i="60"/>
  <c r="H20" i="60"/>
  <c r="F21" i="60"/>
  <c r="G21" i="60"/>
  <c r="H21" i="60"/>
  <c r="F22" i="60"/>
  <c r="G22" i="60"/>
  <c r="H22" i="60"/>
  <c r="F23" i="60"/>
  <c r="G23" i="60"/>
  <c r="H23" i="60"/>
  <c r="F24" i="60"/>
  <c r="G24" i="60"/>
  <c r="H24" i="60"/>
  <c r="F25" i="60"/>
  <c r="G25" i="60"/>
  <c r="H25" i="60"/>
  <c r="F26" i="60"/>
  <c r="G26" i="60"/>
  <c r="K4" i="60"/>
  <c r="L4" i="60"/>
  <c r="L34" i="60" s="1"/>
  <c r="F4" i="60"/>
  <c r="G4" i="60"/>
  <c r="H4" i="60"/>
  <c r="H34" i="60" s="1"/>
  <c r="M34" i="56"/>
  <c r="N34" i="56"/>
  <c r="H34" i="56"/>
  <c r="G34" i="56"/>
  <c r="O34" i="56"/>
  <c r="P34" i="56"/>
  <c r="I34" i="56"/>
  <c r="J34" i="56"/>
  <c r="K34" i="56"/>
  <c r="C34" i="56"/>
  <c r="D34" i="56"/>
  <c r="F34" i="56"/>
  <c r="E34" i="56"/>
  <c r="B34" i="56"/>
  <c r="A4" i="76"/>
  <c r="F4" i="76"/>
  <c r="G4" i="76"/>
  <c r="H4" i="76"/>
  <c r="K4" i="76"/>
  <c r="L4" i="76"/>
  <c r="A5" i="76"/>
  <c r="F5" i="76"/>
  <c r="G5" i="76"/>
  <c r="H5" i="76"/>
  <c r="K5" i="76"/>
  <c r="L5" i="76"/>
  <c r="A6" i="76"/>
  <c r="F6" i="76"/>
  <c r="G6" i="76"/>
  <c r="H6" i="76"/>
  <c r="K6" i="76"/>
  <c r="L6" i="76"/>
  <c r="A7" i="76"/>
  <c r="F7" i="76"/>
  <c r="G7" i="76"/>
  <c r="H7" i="76"/>
  <c r="K7" i="76"/>
  <c r="L7" i="76"/>
  <c r="A8" i="76"/>
  <c r="F8" i="76"/>
  <c r="G8" i="76"/>
  <c r="H8" i="76"/>
  <c r="K8" i="76"/>
  <c r="L8" i="76"/>
  <c r="A9" i="76"/>
  <c r="F9" i="76"/>
  <c r="G9" i="76"/>
  <c r="H9" i="76"/>
  <c r="K9" i="76"/>
  <c r="L9" i="76"/>
  <c r="A10" i="76"/>
  <c r="F10" i="76"/>
  <c r="G10" i="76"/>
  <c r="H10" i="76"/>
  <c r="K10" i="76"/>
  <c r="L10" i="76"/>
  <c r="A11" i="76"/>
  <c r="F11" i="76"/>
  <c r="G11" i="76"/>
  <c r="H11" i="76"/>
  <c r="K11" i="76"/>
  <c r="L11" i="76"/>
  <c r="A12" i="76"/>
  <c r="F12" i="76"/>
  <c r="G12" i="76"/>
  <c r="H12" i="76"/>
  <c r="K12" i="76"/>
  <c r="L12" i="76"/>
  <c r="A13" i="76"/>
  <c r="F13" i="76"/>
  <c r="G13" i="76"/>
  <c r="H13" i="76"/>
  <c r="K13" i="76"/>
  <c r="L13" i="76"/>
  <c r="A14" i="76"/>
  <c r="F14" i="76"/>
  <c r="G14" i="76"/>
  <c r="H14" i="76"/>
  <c r="K14" i="76"/>
  <c r="L14" i="76"/>
  <c r="A15" i="76"/>
  <c r="F15" i="76"/>
  <c r="G15" i="76"/>
  <c r="H15" i="76"/>
  <c r="K15" i="76"/>
  <c r="L15" i="76"/>
  <c r="A16" i="76"/>
  <c r="F16" i="76"/>
  <c r="G16" i="76"/>
  <c r="H16" i="76"/>
  <c r="K16" i="76"/>
  <c r="L16" i="76"/>
  <c r="A17" i="76"/>
  <c r="F17" i="76"/>
  <c r="G17" i="76"/>
  <c r="H17" i="76"/>
  <c r="K17" i="76"/>
  <c r="L17" i="76"/>
  <c r="A18" i="76"/>
  <c r="F18" i="76"/>
  <c r="G18" i="76"/>
  <c r="H18" i="76"/>
  <c r="K18" i="76"/>
  <c r="L18" i="76"/>
  <c r="A19" i="76"/>
  <c r="F19" i="76"/>
  <c r="G19" i="76"/>
  <c r="H19" i="76"/>
  <c r="K19" i="76"/>
  <c r="L19" i="76"/>
  <c r="A20" i="76"/>
  <c r="F20" i="76"/>
  <c r="G20" i="76"/>
  <c r="H20" i="76"/>
  <c r="K20" i="76"/>
  <c r="L20" i="76"/>
  <c r="A21" i="76"/>
  <c r="F21" i="76"/>
  <c r="G21" i="76"/>
  <c r="H21" i="76"/>
  <c r="K21" i="76"/>
  <c r="L21" i="76"/>
  <c r="A22" i="76"/>
  <c r="F22" i="76"/>
  <c r="G22" i="76"/>
  <c r="H22" i="76"/>
  <c r="K22" i="76"/>
  <c r="L22" i="76"/>
  <c r="A23" i="76"/>
  <c r="F23" i="76"/>
  <c r="G23" i="76"/>
  <c r="H23" i="76"/>
  <c r="K23" i="76"/>
  <c r="L23" i="76"/>
  <c r="A24" i="76"/>
  <c r="F24" i="76"/>
  <c r="G24" i="76"/>
  <c r="H24" i="76"/>
  <c r="K24" i="76"/>
  <c r="L24" i="76"/>
  <c r="A25" i="76"/>
  <c r="F25" i="76"/>
  <c r="G25" i="76"/>
  <c r="H25" i="76"/>
  <c r="K25" i="76"/>
  <c r="L25" i="76"/>
  <c r="A26" i="76"/>
  <c r="F26" i="76"/>
  <c r="G26" i="76"/>
  <c r="H26" i="76"/>
  <c r="K26" i="76"/>
  <c r="L26" i="76"/>
  <c r="A27" i="76"/>
  <c r="F27" i="76"/>
  <c r="G27" i="76"/>
  <c r="H27" i="76"/>
  <c r="K27" i="76"/>
  <c r="L27" i="76"/>
  <c r="A28" i="76"/>
  <c r="F28" i="76"/>
  <c r="G28" i="76"/>
  <c r="H28" i="76"/>
  <c r="K28" i="76"/>
  <c r="L28" i="76"/>
  <c r="A29" i="76"/>
  <c r="F29" i="76"/>
  <c r="G29" i="76"/>
  <c r="H29" i="76"/>
  <c r="K29" i="76"/>
  <c r="L29" i="76"/>
  <c r="A30" i="76"/>
  <c r="F30" i="76"/>
  <c r="G30" i="76"/>
  <c r="H30" i="76"/>
  <c r="K30" i="76"/>
  <c r="L30" i="76"/>
  <c r="A31" i="76"/>
  <c r="F31" i="76"/>
  <c r="G31" i="76"/>
  <c r="H31" i="76"/>
  <c r="K31" i="76"/>
  <c r="L31" i="76"/>
  <c r="A32" i="76"/>
  <c r="F32" i="76"/>
  <c r="G32" i="76"/>
  <c r="H32" i="76"/>
  <c r="K32" i="76"/>
  <c r="L32" i="76"/>
  <c r="A33" i="76"/>
  <c r="F33" i="76"/>
  <c r="G33" i="76"/>
  <c r="H33" i="76"/>
  <c r="K33" i="76"/>
  <c r="L33" i="76"/>
  <c r="B34" i="76"/>
  <c r="C34" i="76"/>
  <c r="D34" i="76"/>
  <c r="E34" i="76"/>
  <c r="F34" i="76"/>
  <c r="G34" i="76"/>
  <c r="H34" i="76"/>
  <c r="I34" i="76"/>
  <c r="J34" i="76"/>
  <c r="K34" i="76"/>
  <c r="L34" i="76"/>
  <c r="M34" i="76"/>
  <c r="N34" i="76"/>
  <c r="O34" i="76"/>
  <c r="P34" i="76"/>
  <c r="K5" i="56"/>
  <c r="L5" i="56"/>
  <c r="K6" i="56"/>
  <c r="L6" i="56"/>
  <c r="K7" i="56"/>
  <c r="L7" i="56"/>
  <c r="K8" i="56"/>
  <c r="L8" i="56"/>
  <c r="K9" i="56"/>
  <c r="L9" i="56"/>
  <c r="K10" i="56"/>
  <c r="L10" i="56"/>
  <c r="K11" i="56"/>
  <c r="L11" i="56"/>
  <c r="K12" i="56"/>
  <c r="L12" i="56"/>
  <c r="K13" i="56"/>
  <c r="L13" i="56"/>
  <c r="K14" i="56"/>
  <c r="L14" i="56"/>
  <c r="K15" i="56"/>
  <c r="L15" i="56"/>
  <c r="K16" i="56"/>
  <c r="L16" i="56"/>
  <c r="K17" i="56"/>
  <c r="L17" i="56"/>
  <c r="K18" i="56"/>
  <c r="L18" i="56"/>
  <c r="K19" i="56"/>
  <c r="L19" i="56"/>
  <c r="K20" i="56"/>
  <c r="L20" i="56"/>
  <c r="K21" i="56"/>
  <c r="L21" i="56"/>
  <c r="K22" i="56"/>
  <c r="L22" i="56"/>
  <c r="K23" i="56"/>
  <c r="L23" i="56"/>
  <c r="K24" i="56"/>
  <c r="L24" i="56"/>
  <c r="K25" i="56"/>
  <c r="L25" i="56"/>
  <c r="K26" i="56"/>
  <c r="L26" i="56"/>
  <c r="K27" i="56"/>
  <c r="L27" i="56"/>
  <c r="K28" i="56"/>
  <c r="L28" i="56"/>
  <c r="K29" i="56"/>
  <c r="L29" i="56"/>
  <c r="F5" i="56"/>
  <c r="G5" i="56"/>
  <c r="H5" i="56"/>
  <c r="F6" i="56"/>
  <c r="G6" i="56"/>
  <c r="H6" i="56"/>
  <c r="F7" i="56"/>
  <c r="G7" i="56"/>
  <c r="H7" i="56"/>
  <c r="F8" i="56"/>
  <c r="G8" i="56"/>
  <c r="H8" i="56"/>
  <c r="F9" i="56"/>
  <c r="G9" i="56"/>
  <c r="H9" i="56"/>
  <c r="F10" i="56"/>
  <c r="G10" i="56"/>
  <c r="H10" i="56"/>
  <c r="F11" i="56"/>
  <c r="G11" i="56"/>
  <c r="H11" i="56"/>
  <c r="F12" i="56"/>
  <c r="G12" i="56"/>
  <c r="H12" i="56"/>
  <c r="F13" i="56"/>
  <c r="G13" i="56"/>
  <c r="H13" i="56"/>
  <c r="F14" i="56"/>
  <c r="G14" i="56"/>
  <c r="H14" i="56"/>
  <c r="F15" i="56"/>
  <c r="G15" i="56"/>
  <c r="H15" i="56"/>
  <c r="F16" i="56"/>
  <c r="G16" i="56"/>
  <c r="H16" i="56"/>
  <c r="F17" i="56"/>
  <c r="G17" i="56"/>
  <c r="H17" i="56"/>
  <c r="F18" i="56"/>
  <c r="G18" i="56"/>
  <c r="H18" i="56"/>
  <c r="F19" i="56"/>
  <c r="G19" i="56"/>
  <c r="H19" i="56"/>
  <c r="F20" i="56"/>
  <c r="G20" i="56"/>
  <c r="H20" i="56"/>
  <c r="F21" i="56"/>
  <c r="G21" i="56"/>
  <c r="H21" i="56"/>
  <c r="F22" i="56"/>
  <c r="G22" i="56"/>
  <c r="H22" i="56"/>
  <c r="F23" i="56"/>
  <c r="G23" i="56"/>
  <c r="H23" i="56"/>
  <c r="F24" i="56"/>
  <c r="G24" i="56"/>
  <c r="H24" i="56"/>
  <c r="F25" i="56"/>
  <c r="G25" i="56"/>
  <c r="H25" i="56"/>
  <c r="F26" i="56"/>
  <c r="G26" i="56"/>
  <c r="H26" i="56"/>
  <c r="F27" i="56"/>
  <c r="G27" i="56"/>
  <c r="H27" i="56"/>
  <c r="F28" i="56"/>
  <c r="G28" i="56"/>
  <c r="H28" i="56"/>
  <c r="F29" i="56"/>
  <c r="G29" i="56"/>
  <c r="H29" i="56"/>
  <c r="K4" i="56"/>
  <c r="L4" i="56"/>
  <c r="F4" i="56"/>
  <c r="G4" i="56"/>
  <c r="H4" i="56"/>
  <c r="A4" i="75"/>
  <c r="F4" i="75"/>
  <c r="G4" i="75"/>
  <c r="H4" i="75"/>
  <c r="K4" i="75"/>
  <c r="L4" i="75"/>
  <c r="A5" i="75"/>
  <c r="F5" i="75"/>
  <c r="G5" i="75"/>
  <c r="H5" i="75"/>
  <c r="K5" i="75"/>
  <c r="L5" i="75"/>
  <c r="A6" i="75"/>
  <c r="F6" i="75"/>
  <c r="G6" i="75"/>
  <c r="H6" i="75"/>
  <c r="K6" i="75"/>
  <c r="L6" i="75"/>
  <c r="A7" i="75"/>
  <c r="F7" i="75"/>
  <c r="G7" i="75"/>
  <c r="H7" i="75"/>
  <c r="K7" i="75"/>
  <c r="L7" i="75"/>
  <c r="A8" i="75"/>
  <c r="F8" i="75"/>
  <c r="G8" i="75"/>
  <c r="H8" i="75"/>
  <c r="K8" i="75"/>
  <c r="L8" i="75"/>
  <c r="A9" i="75"/>
  <c r="F9" i="75"/>
  <c r="G9" i="75"/>
  <c r="H9" i="75"/>
  <c r="K9" i="75"/>
  <c r="L9" i="75"/>
  <c r="A10" i="75"/>
  <c r="F10" i="75"/>
  <c r="G10" i="75"/>
  <c r="H10" i="75"/>
  <c r="K10" i="75"/>
  <c r="L10" i="75"/>
  <c r="A11" i="75"/>
  <c r="F11" i="75"/>
  <c r="G11" i="75"/>
  <c r="H11" i="75"/>
  <c r="K11" i="75"/>
  <c r="L11" i="75"/>
  <c r="A12" i="75"/>
  <c r="F12" i="75"/>
  <c r="G12" i="75"/>
  <c r="H12" i="75"/>
  <c r="K12" i="75"/>
  <c r="L12" i="75"/>
  <c r="A13" i="75"/>
  <c r="F13" i="75"/>
  <c r="G13" i="75"/>
  <c r="H13" i="75"/>
  <c r="K13" i="75"/>
  <c r="L13" i="75"/>
  <c r="A14" i="75"/>
  <c r="F14" i="75"/>
  <c r="G14" i="75"/>
  <c r="H14" i="75"/>
  <c r="K14" i="75"/>
  <c r="L14" i="75"/>
  <c r="A15" i="75"/>
  <c r="F15" i="75"/>
  <c r="G15" i="75"/>
  <c r="H15" i="75"/>
  <c r="K15" i="75"/>
  <c r="L15" i="75"/>
  <c r="A16" i="75"/>
  <c r="F16" i="75"/>
  <c r="G16" i="75"/>
  <c r="H16" i="75"/>
  <c r="K16" i="75"/>
  <c r="L16" i="75"/>
  <c r="A17" i="75"/>
  <c r="F17" i="75"/>
  <c r="G17" i="75"/>
  <c r="H17" i="75"/>
  <c r="K17" i="75"/>
  <c r="L17" i="75"/>
  <c r="A18" i="75"/>
  <c r="F18" i="75"/>
  <c r="G18" i="75"/>
  <c r="H18" i="75"/>
  <c r="K18" i="75"/>
  <c r="L18" i="75"/>
  <c r="A19" i="75"/>
  <c r="F19" i="75"/>
  <c r="G19" i="75"/>
  <c r="H19" i="75"/>
  <c r="K19" i="75"/>
  <c r="L19" i="75"/>
  <c r="A20" i="75"/>
  <c r="F20" i="75"/>
  <c r="G20" i="75"/>
  <c r="H20" i="75"/>
  <c r="K20" i="75"/>
  <c r="L20" i="75"/>
  <c r="A21" i="75"/>
  <c r="F21" i="75"/>
  <c r="G21" i="75"/>
  <c r="H21" i="75"/>
  <c r="K21" i="75"/>
  <c r="L21" i="75"/>
  <c r="A22" i="75"/>
  <c r="F22" i="75"/>
  <c r="G22" i="75"/>
  <c r="H22" i="75"/>
  <c r="K22" i="75"/>
  <c r="L22" i="75"/>
  <c r="A23" i="75"/>
  <c r="F23" i="75"/>
  <c r="G23" i="75"/>
  <c r="H23" i="75"/>
  <c r="K23" i="75"/>
  <c r="L23" i="75"/>
  <c r="A24" i="75"/>
  <c r="F24" i="75"/>
  <c r="G24" i="75"/>
  <c r="H24" i="75"/>
  <c r="K24" i="75"/>
  <c r="L24" i="75"/>
  <c r="A25" i="75"/>
  <c r="F25" i="75"/>
  <c r="G25" i="75"/>
  <c r="H25" i="75"/>
  <c r="K25" i="75"/>
  <c r="L25" i="75"/>
  <c r="A26" i="75"/>
  <c r="F26" i="75"/>
  <c r="G26" i="75"/>
  <c r="H26" i="75"/>
  <c r="K26" i="75"/>
  <c r="L26" i="75"/>
  <c r="A27" i="75"/>
  <c r="F27" i="75"/>
  <c r="G27" i="75"/>
  <c r="H27" i="75"/>
  <c r="K27" i="75"/>
  <c r="L27" i="75"/>
  <c r="A28" i="75"/>
  <c r="F28" i="75"/>
  <c r="G28" i="75"/>
  <c r="H28" i="75"/>
  <c r="K28" i="75"/>
  <c r="L28" i="75"/>
  <c r="A29" i="75"/>
  <c r="F29" i="75"/>
  <c r="G29" i="75"/>
  <c r="H29" i="75"/>
  <c r="K29" i="75"/>
  <c r="L29" i="75"/>
  <c r="A30" i="75"/>
  <c r="F30" i="75"/>
  <c r="G30" i="75"/>
  <c r="H30" i="75"/>
  <c r="K30" i="75"/>
  <c r="L30" i="75"/>
  <c r="A31" i="75"/>
  <c r="F31" i="75"/>
  <c r="G31" i="75"/>
  <c r="H31" i="75"/>
  <c r="K31" i="75"/>
  <c r="L31" i="75"/>
  <c r="A32" i="75"/>
  <c r="F32" i="75"/>
  <c r="G32" i="75"/>
  <c r="H32" i="75"/>
  <c r="K32" i="75"/>
  <c r="L32" i="75"/>
  <c r="A33" i="75"/>
  <c r="F33" i="75"/>
  <c r="G33" i="75"/>
  <c r="H33" i="75"/>
  <c r="K33" i="75"/>
  <c r="L33" i="75"/>
  <c r="B34" i="75"/>
  <c r="C34" i="75"/>
  <c r="D34" i="75"/>
  <c r="E34" i="75"/>
  <c r="F34" i="75"/>
  <c r="G34" i="75"/>
  <c r="H34" i="75"/>
  <c r="I34" i="75"/>
  <c r="J34" i="75"/>
  <c r="K34" i="75"/>
  <c r="L34" i="75"/>
  <c r="M34" i="75"/>
  <c r="N34" i="75"/>
  <c r="O34" i="75"/>
  <c r="P34" i="75"/>
  <c r="M34" i="55"/>
  <c r="N34" i="55"/>
  <c r="O34" i="55"/>
  <c r="P34" i="55"/>
  <c r="I34" i="55"/>
  <c r="J34" i="55"/>
  <c r="K34" i="55"/>
  <c r="C34" i="55"/>
  <c r="D34" i="55"/>
  <c r="F34" i="55"/>
  <c r="E34" i="55"/>
  <c r="B34" i="55"/>
  <c r="K5" i="55"/>
  <c r="L5" i="55"/>
  <c r="K6" i="55"/>
  <c r="L6" i="55"/>
  <c r="K7" i="55"/>
  <c r="L7" i="55"/>
  <c r="K8" i="55"/>
  <c r="L8" i="55"/>
  <c r="K9" i="55"/>
  <c r="L9" i="55"/>
  <c r="K10" i="55"/>
  <c r="L10" i="55"/>
  <c r="K11" i="55"/>
  <c r="L11" i="55"/>
  <c r="K12" i="55"/>
  <c r="L12" i="55"/>
  <c r="K13" i="55"/>
  <c r="L13" i="55"/>
  <c r="K14" i="55"/>
  <c r="L14" i="55"/>
  <c r="K15" i="55"/>
  <c r="L15" i="55"/>
  <c r="K16" i="55"/>
  <c r="L16" i="55"/>
  <c r="K17" i="55"/>
  <c r="L17" i="55"/>
  <c r="K18" i="55"/>
  <c r="L18" i="55"/>
  <c r="K19" i="55"/>
  <c r="L19" i="55"/>
  <c r="K20" i="55"/>
  <c r="L20" i="55"/>
  <c r="K21" i="55"/>
  <c r="L21" i="55"/>
  <c r="K22" i="55"/>
  <c r="L22" i="55"/>
  <c r="K23" i="55"/>
  <c r="L23" i="55"/>
  <c r="K24" i="55"/>
  <c r="L24" i="55"/>
  <c r="K25" i="55"/>
  <c r="L25" i="55"/>
  <c r="K26" i="55"/>
  <c r="L26" i="55"/>
  <c r="K27" i="55"/>
  <c r="L27" i="55"/>
  <c r="K28" i="55"/>
  <c r="L28" i="55"/>
  <c r="K29" i="55"/>
  <c r="L29" i="55"/>
  <c r="A4" i="74"/>
  <c r="F4" i="74"/>
  <c r="G4" i="74"/>
  <c r="H4" i="74"/>
  <c r="K4" i="74"/>
  <c r="L4" i="74"/>
  <c r="A5" i="74"/>
  <c r="F5" i="74"/>
  <c r="G5" i="74"/>
  <c r="H5" i="74"/>
  <c r="K5" i="74"/>
  <c r="L5" i="74"/>
  <c r="A6" i="74"/>
  <c r="F6" i="74"/>
  <c r="G6" i="74"/>
  <c r="H6" i="74"/>
  <c r="K6" i="74"/>
  <c r="L6" i="74"/>
  <c r="A7" i="74"/>
  <c r="F7" i="74"/>
  <c r="G7" i="74"/>
  <c r="H7" i="74"/>
  <c r="K7" i="74"/>
  <c r="L7" i="74"/>
  <c r="A8" i="74"/>
  <c r="F8" i="74"/>
  <c r="G8" i="74"/>
  <c r="H8" i="74"/>
  <c r="K8" i="74"/>
  <c r="L8" i="74"/>
  <c r="A9" i="74"/>
  <c r="F9" i="74"/>
  <c r="G9" i="74"/>
  <c r="H9" i="74"/>
  <c r="K9" i="74"/>
  <c r="L9" i="74"/>
  <c r="A10" i="74"/>
  <c r="F10" i="74"/>
  <c r="G10" i="74"/>
  <c r="H10" i="74"/>
  <c r="K10" i="74"/>
  <c r="L10" i="74"/>
  <c r="A11" i="74"/>
  <c r="F11" i="74"/>
  <c r="G11" i="74"/>
  <c r="H11" i="74"/>
  <c r="K11" i="74"/>
  <c r="L11" i="74"/>
  <c r="A12" i="74"/>
  <c r="F12" i="74"/>
  <c r="G12" i="74"/>
  <c r="H12" i="74"/>
  <c r="K12" i="74"/>
  <c r="L12" i="74"/>
  <c r="A13" i="74"/>
  <c r="F13" i="74"/>
  <c r="G13" i="74"/>
  <c r="H13" i="74"/>
  <c r="K13" i="74"/>
  <c r="L13" i="74"/>
  <c r="A14" i="74"/>
  <c r="F14" i="74"/>
  <c r="G14" i="74"/>
  <c r="H14" i="74"/>
  <c r="K14" i="74"/>
  <c r="L14" i="74"/>
  <c r="A15" i="74"/>
  <c r="F15" i="74"/>
  <c r="G15" i="74"/>
  <c r="H15" i="74"/>
  <c r="K15" i="74"/>
  <c r="L15" i="74"/>
  <c r="A16" i="74"/>
  <c r="F16" i="74"/>
  <c r="G16" i="74"/>
  <c r="H16" i="74"/>
  <c r="K16" i="74"/>
  <c r="L16" i="74"/>
  <c r="A17" i="74"/>
  <c r="F17" i="74"/>
  <c r="G17" i="74"/>
  <c r="H17" i="74"/>
  <c r="K17" i="74"/>
  <c r="L17" i="74"/>
  <c r="A18" i="74"/>
  <c r="F18" i="74"/>
  <c r="G18" i="74"/>
  <c r="H18" i="74"/>
  <c r="K18" i="74"/>
  <c r="L18" i="74"/>
  <c r="A19" i="74"/>
  <c r="F19" i="74"/>
  <c r="G19" i="74"/>
  <c r="H19" i="74"/>
  <c r="K19" i="74"/>
  <c r="L19" i="74"/>
  <c r="A20" i="74"/>
  <c r="F20" i="74"/>
  <c r="G20" i="74"/>
  <c r="H20" i="74"/>
  <c r="K20" i="74"/>
  <c r="L20" i="74"/>
  <c r="A21" i="74"/>
  <c r="F21" i="74"/>
  <c r="G21" i="74"/>
  <c r="H21" i="74"/>
  <c r="K21" i="74"/>
  <c r="L21" i="74"/>
  <c r="A22" i="74"/>
  <c r="F22" i="74"/>
  <c r="G22" i="74"/>
  <c r="H22" i="74"/>
  <c r="K22" i="74"/>
  <c r="L22" i="74"/>
  <c r="A23" i="74"/>
  <c r="F23" i="74"/>
  <c r="G23" i="74"/>
  <c r="H23" i="74"/>
  <c r="K23" i="74"/>
  <c r="L23" i="74"/>
  <c r="A24" i="74"/>
  <c r="F24" i="74"/>
  <c r="G24" i="74"/>
  <c r="H24" i="74"/>
  <c r="K24" i="74"/>
  <c r="L24" i="74"/>
  <c r="A25" i="74"/>
  <c r="F25" i="74"/>
  <c r="G25" i="74"/>
  <c r="H25" i="74"/>
  <c r="K25" i="74"/>
  <c r="L25" i="74"/>
  <c r="A26" i="74"/>
  <c r="F26" i="74"/>
  <c r="G26" i="74"/>
  <c r="H26" i="74"/>
  <c r="K26" i="74"/>
  <c r="L26" i="74"/>
  <c r="A27" i="74"/>
  <c r="F27" i="74"/>
  <c r="G27" i="74"/>
  <c r="H27" i="74"/>
  <c r="K27" i="74"/>
  <c r="L27" i="74"/>
  <c r="A28" i="74"/>
  <c r="F28" i="74"/>
  <c r="G28" i="74"/>
  <c r="H28" i="74"/>
  <c r="K28" i="74"/>
  <c r="L28" i="74"/>
  <c r="A29" i="74"/>
  <c r="F29" i="74"/>
  <c r="G29" i="74"/>
  <c r="H29" i="74"/>
  <c r="K29" i="74"/>
  <c r="L29" i="74"/>
  <c r="A30" i="74"/>
  <c r="F30" i="74"/>
  <c r="G30" i="74"/>
  <c r="H30" i="74"/>
  <c r="K30" i="74"/>
  <c r="L30" i="74"/>
  <c r="A31" i="74"/>
  <c r="F31" i="74"/>
  <c r="G31" i="74"/>
  <c r="H31" i="74"/>
  <c r="K31" i="74"/>
  <c r="L31" i="74"/>
  <c r="A32" i="74"/>
  <c r="F32" i="74"/>
  <c r="G32" i="74"/>
  <c r="H32" i="74"/>
  <c r="K32" i="74"/>
  <c r="L32" i="74"/>
  <c r="A33" i="74"/>
  <c r="F33" i="74"/>
  <c r="G33" i="74"/>
  <c r="H33" i="74"/>
  <c r="K33" i="74"/>
  <c r="L33" i="74"/>
  <c r="B34" i="74"/>
  <c r="C34" i="74"/>
  <c r="D34" i="74"/>
  <c r="E34" i="74"/>
  <c r="F34" i="74"/>
  <c r="G34" i="74"/>
  <c r="H34" i="74"/>
  <c r="I34" i="74"/>
  <c r="J34" i="74"/>
  <c r="K34" i="74"/>
  <c r="L34" i="74"/>
  <c r="M34" i="74"/>
  <c r="N34" i="74"/>
  <c r="O34" i="74"/>
  <c r="F5" i="55"/>
  <c r="G5" i="55"/>
  <c r="H5" i="55"/>
  <c r="F6" i="55"/>
  <c r="G6" i="55"/>
  <c r="H6" i="55"/>
  <c r="F7" i="55"/>
  <c r="G7" i="55"/>
  <c r="H7" i="55"/>
  <c r="F8" i="55"/>
  <c r="G8" i="55"/>
  <c r="H8" i="55"/>
  <c r="F9" i="55"/>
  <c r="G9" i="55"/>
  <c r="H9" i="55"/>
  <c r="F10" i="55"/>
  <c r="G10" i="55"/>
  <c r="H10" i="55"/>
  <c r="F11" i="55"/>
  <c r="G11" i="55"/>
  <c r="H11" i="55"/>
  <c r="F12" i="55"/>
  <c r="G12" i="55"/>
  <c r="H12" i="55"/>
  <c r="F13" i="55"/>
  <c r="G13" i="55"/>
  <c r="H13" i="55"/>
  <c r="F14" i="55"/>
  <c r="G14" i="55"/>
  <c r="H14" i="55"/>
  <c r="F15" i="55"/>
  <c r="G15" i="55"/>
  <c r="H15" i="55"/>
  <c r="F16" i="55"/>
  <c r="G16" i="55"/>
  <c r="H16" i="55"/>
  <c r="F17" i="55"/>
  <c r="G17" i="55"/>
  <c r="H17" i="55"/>
  <c r="F18" i="55"/>
  <c r="G18" i="55"/>
  <c r="H18" i="55"/>
  <c r="F19" i="55"/>
  <c r="G19" i="55"/>
  <c r="H19" i="55"/>
  <c r="F20" i="55"/>
  <c r="G20" i="55"/>
  <c r="H20" i="55"/>
  <c r="F21" i="55"/>
  <c r="G21" i="55"/>
  <c r="H21" i="55"/>
  <c r="F22" i="55"/>
  <c r="G22" i="55"/>
  <c r="H22" i="55"/>
  <c r="F23" i="55"/>
  <c r="G23" i="55"/>
  <c r="H23" i="55"/>
  <c r="F24" i="55"/>
  <c r="G24" i="55"/>
  <c r="H24" i="55"/>
  <c r="F25" i="55"/>
  <c r="G25" i="55"/>
  <c r="H25" i="55"/>
  <c r="F26" i="55"/>
  <c r="G26" i="55"/>
  <c r="H26" i="55"/>
  <c r="F27" i="55"/>
  <c r="G27" i="55"/>
  <c r="H27" i="55"/>
  <c r="F28" i="55"/>
  <c r="G28" i="55"/>
  <c r="H28" i="55"/>
  <c r="F29" i="55"/>
  <c r="G29" i="55"/>
  <c r="H29" i="55"/>
  <c r="K4" i="55"/>
  <c r="L4" i="55"/>
  <c r="L34" i="55"/>
  <c r="F4" i="55"/>
  <c r="G4" i="55"/>
  <c r="G34" i="55"/>
  <c r="H4" i="55"/>
  <c r="H34" i="55"/>
  <c r="A4" i="73"/>
  <c r="F4" i="73"/>
  <c r="G4" i="73"/>
  <c r="H4" i="73"/>
  <c r="K4" i="73"/>
  <c r="L4" i="73"/>
  <c r="A5" i="73"/>
  <c r="F5" i="73"/>
  <c r="G5" i="73"/>
  <c r="H5" i="73"/>
  <c r="K5" i="73"/>
  <c r="L5" i="73"/>
  <c r="A6" i="73"/>
  <c r="F6" i="73"/>
  <c r="G6" i="73"/>
  <c r="H6" i="73"/>
  <c r="K6" i="73"/>
  <c r="L6" i="73"/>
  <c r="A7" i="73"/>
  <c r="F7" i="73"/>
  <c r="G7" i="73"/>
  <c r="H7" i="73"/>
  <c r="K7" i="73"/>
  <c r="L7" i="73"/>
  <c r="A8" i="73"/>
  <c r="F8" i="73"/>
  <c r="G8" i="73"/>
  <c r="H8" i="73"/>
  <c r="K8" i="73"/>
  <c r="L8" i="73"/>
  <c r="A9" i="73"/>
  <c r="F9" i="73"/>
  <c r="G9" i="73"/>
  <c r="H9" i="73"/>
  <c r="K9" i="73"/>
  <c r="L9" i="73"/>
  <c r="A10" i="73"/>
  <c r="F10" i="73"/>
  <c r="G10" i="73"/>
  <c r="H10" i="73"/>
  <c r="K10" i="73"/>
  <c r="L10" i="73"/>
  <c r="A11" i="73"/>
  <c r="F11" i="73"/>
  <c r="G11" i="73"/>
  <c r="H11" i="73"/>
  <c r="K11" i="73"/>
  <c r="L11" i="73"/>
  <c r="A12" i="73"/>
  <c r="F12" i="73"/>
  <c r="G12" i="73"/>
  <c r="H12" i="73"/>
  <c r="K12" i="73"/>
  <c r="L12" i="73"/>
  <c r="A13" i="73"/>
  <c r="F13" i="73"/>
  <c r="G13" i="73"/>
  <c r="H13" i="73"/>
  <c r="K13" i="73"/>
  <c r="L13" i="73"/>
  <c r="A14" i="73"/>
  <c r="F14" i="73"/>
  <c r="G14" i="73"/>
  <c r="H14" i="73"/>
  <c r="K14" i="73"/>
  <c r="L14" i="73"/>
  <c r="A15" i="73"/>
  <c r="F15" i="73"/>
  <c r="G15" i="73"/>
  <c r="H15" i="73"/>
  <c r="K15" i="73"/>
  <c r="L15" i="73"/>
  <c r="A16" i="73"/>
  <c r="F16" i="73"/>
  <c r="G16" i="73"/>
  <c r="H16" i="73"/>
  <c r="K16" i="73"/>
  <c r="L16" i="73"/>
  <c r="A17" i="73"/>
  <c r="F17" i="73"/>
  <c r="G17" i="73"/>
  <c r="H17" i="73"/>
  <c r="K17" i="73"/>
  <c r="L17" i="73"/>
  <c r="A18" i="73"/>
  <c r="F18" i="73"/>
  <c r="G18" i="73"/>
  <c r="H18" i="73"/>
  <c r="K18" i="73"/>
  <c r="L18" i="73"/>
  <c r="A19" i="73"/>
  <c r="F19" i="73"/>
  <c r="G19" i="73"/>
  <c r="H19" i="73"/>
  <c r="K19" i="73"/>
  <c r="L19" i="73"/>
  <c r="A20" i="73"/>
  <c r="F20" i="73"/>
  <c r="G20" i="73"/>
  <c r="H20" i="73"/>
  <c r="K20" i="73"/>
  <c r="L20" i="73"/>
  <c r="A21" i="73"/>
  <c r="F21" i="73"/>
  <c r="G21" i="73"/>
  <c r="H21" i="73"/>
  <c r="K21" i="73"/>
  <c r="L21" i="73"/>
  <c r="A22" i="73"/>
  <c r="F22" i="73"/>
  <c r="G22" i="73"/>
  <c r="H22" i="73"/>
  <c r="K22" i="73"/>
  <c r="L22" i="73"/>
  <c r="A23" i="73"/>
  <c r="F23" i="73"/>
  <c r="G23" i="73"/>
  <c r="H23" i="73"/>
  <c r="K23" i="73"/>
  <c r="L23" i="73"/>
  <c r="A24" i="73"/>
  <c r="F24" i="73"/>
  <c r="G24" i="73"/>
  <c r="H24" i="73"/>
  <c r="K24" i="73"/>
  <c r="L24" i="73"/>
  <c r="A25" i="73"/>
  <c r="F25" i="73"/>
  <c r="G25" i="73"/>
  <c r="H25" i="73"/>
  <c r="K25" i="73"/>
  <c r="L25" i="73"/>
  <c r="A26" i="73"/>
  <c r="F26" i="73"/>
  <c r="G26" i="73"/>
  <c r="H26" i="73"/>
  <c r="K26" i="73"/>
  <c r="L26" i="73"/>
  <c r="A27" i="73"/>
  <c r="F27" i="73"/>
  <c r="G27" i="73"/>
  <c r="H27" i="73"/>
  <c r="K27" i="73"/>
  <c r="L27" i="73"/>
  <c r="A28" i="73"/>
  <c r="F28" i="73"/>
  <c r="G28" i="73"/>
  <c r="H28" i="73"/>
  <c r="K28" i="73"/>
  <c r="L28" i="73"/>
  <c r="A29" i="73"/>
  <c r="F29" i="73"/>
  <c r="G29" i="73"/>
  <c r="H29" i="73"/>
  <c r="K29" i="73"/>
  <c r="L29" i="73"/>
  <c r="A30" i="73"/>
  <c r="F30" i="73"/>
  <c r="G30" i="73"/>
  <c r="H30" i="73"/>
  <c r="K30" i="73"/>
  <c r="L30" i="73"/>
  <c r="A31" i="73"/>
  <c r="F31" i="73"/>
  <c r="G31" i="73"/>
  <c r="H31" i="73"/>
  <c r="K31" i="73"/>
  <c r="L31" i="73"/>
  <c r="A32" i="73"/>
  <c r="F32" i="73"/>
  <c r="G32" i="73"/>
  <c r="H32" i="73"/>
  <c r="K32" i="73"/>
  <c r="L32" i="73"/>
  <c r="A33" i="73"/>
  <c r="F33" i="73"/>
  <c r="G33" i="73"/>
  <c r="H33" i="73"/>
  <c r="K33" i="73"/>
  <c r="L33" i="73"/>
  <c r="B34" i="73"/>
  <c r="C34" i="73"/>
  <c r="D34" i="73"/>
  <c r="E34" i="73"/>
  <c r="F34" i="73"/>
  <c r="G34" i="73"/>
  <c r="H34" i="73"/>
  <c r="I34" i="73"/>
  <c r="J34" i="73"/>
  <c r="K34" i="73"/>
  <c r="L34" i="73"/>
  <c r="M34" i="73"/>
  <c r="N34" i="73"/>
  <c r="O34" i="73"/>
  <c r="P34" i="73"/>
  <c r="M34" i="54"/>
  <c r="N34" i="54"/>
  <c r="O34" i="54"/>
  <c r="P34" i="54"/>
  <c r="I34" i="54"/>
  <c r="J34" i="54"/>
  <c r="K34" i="54"/>
  <c r="C34" i="54"/>
  <c r="D34" i="54"/>
  <c r="F34" i="54"/>
  <c r="E34" i="54"/>
  <c r="B34" i="54"/>
  <c r="K5" i="54"/>
  <c r="L5" i="54"/>
  <c r="K6" i="54"/>
  <c r="L6" i="54"/>
  <c r="K7" i="54"/>
  <c r="L7" i="54"/>
  <c r="K8" i="54"/>
  <c r="L8" i="54"/>
  <c r="K9" i="54"/>
  <c r="L9" i="54"/>
  <c r="K10" i="54"/>
  <c r="L10" i="54"/>
  <c r="K11" i="54"/>
  <c r="L11" i="54"/>
  <c r="K12" i="54"/>
  <c r="L12" i="54"/>
  <c r="K13" i="54"/>
  <c r="L13" i="54"/>
  <c r="K14" i="54"/>
  <c r="L14" i="54"/>
  <c r="K15" i="54"/>
  <c r="L15" i="54"/>
  <c r="K16" i="54"/>
  <c r="L16" i="54"/>
  <c r="K17" i="54"/>
  <c r="L17" i="54"/>
  <c r="K18" i="54"/>
  <c r="L18" i="54"/>
  <c r="K19" i="54"/>
  <c r="L19" i="54"/>
  <c r="K20" i="54"/>
  <c r="L20" i="54"/>
  <c r="K21" i="54"/>
  <c r="L21" i="54"/>
  <c r="K22" i="54"/>
  <c r="L22" i="54"/>
  <c r="K23" i="54"/>
  <c r="L23" i="54"/>
  <c r="K24" i="54"/>
  <c r="L24" i="54"/>
  <c r="K25" i="54"/>
  <c r="L25" i="54"/>
  <c r="K26" i="54"/>
  <c r="L26" i="54"/>
  <c r="K27" i="54"/>
  <c r="L27" i="54"/>
  <c r="K28" i="54"/>
  <c r="L28" i="54"/>
  <c r="K29" i="54"/>
  <c r="L29" i="54"/>
  <c r="F5" i="54"/>
  <c r="G5" i="54"/>
  <c r="H5" i="54"/>
  <c r="F6" i="54"/>
  <c r="G6" i="54"/>
  <c r="H6" i="54"/>
  <c r="F7" i="54"/>
  <c r="G7" i="54"/>
  <c r="H7" i="54"/>
  <c r="F8" i="54"/>
  <c r="G8" i="54"/>
  <c r="H8" i="54"/>
  <c r="F9" i="54"/>
  <c r="G9" i="54"/>
  <c r="H9" i="54"/>
  <c r="F10" i="54"/>
  <c r="G10" i="54"/>
  <c r="H10" i="54"/>
  <c r="F11" i="54"/>
  <c r="G11" i="54"/>
  <c r="H11" i="54"/>
  <c r="F12" i="54"/>
  <c r="G12" i="54"/>
  <c r="H12" i="54"/>
  <c r="F13" i="54"/>
  <c r="G13" i="54"/>
  <c r="H13" i="54"/>
  <c r="F14" i="54"/>
  <c r="G14" i="54"/>
  <c r="H14" i="54"/>
  <c r="F15" i="54"/>
  <c r="G15" i="54"/>
  <c r="H15" i="54"/>
  <c r="F16" i="54"/>
  <c r="G16" i="54"/>
  <c r="H16" i="54"/>
  <c r="F17" i="54"/>
  <c r="G17" i="54"/>
  <c r="H17" i="54"/>
  <c r="F18" i="54"/>
  <c r="G18" i="54"/>
  <c r="H18" i="54"/>
  <c r="F19" i="54"/>
  <c r="G19" i="54"/>
  <c r="H19" i="54"/>
  <c r="F20" i="54"/>
  <c r="G20" i="54"/>
  <c r="H20" i="54"/>
  <c r="F21" i="54"/>
  <c r="G21" i="54"/>
  <c r="H21" i="54"/>
  <c r="F22" i="54"/>
  <c r="G22" i="54"/>
  <c r="H22" i="54"/>
  <c r="F23" i="54"/>
  <c r="G23" i="54"/>
  <c r="H23" i="54"/>
  <c r="F24" i="54"/>
  <c r="G24" i="54"/>
  <c r="H24" i="54"/>
  <c r="F25" i="54"/>
  <c r="G25" i="54"/>
  <c r="H25" i="54"/>
  <c r="F26" i="54"/>
  <c r="G26" i="54"/>
  <c r="H26" i="54"/>
  <c r="F27" i="54"/>
  <c r="G27" i="54"/>
  <c r="H27" i="54"/>
  <c r="F28" i="54"/>
  <c r="G28" i="54"/>
  <c r="H28" i="54"/>
  <c r="F29" i="54"/>
  <c r="G29" i="54"/>
  <c r="H29" i="54"/>
  <c r="K4" i="54"/>
  <c r="L4" i="54"/>
  <c r="L34" i="54"/>
  <c r="F4" i="54"/>
  <c r="G4" i="54"/>
  <c r="G34" i="54"/>
  <c r="H4" i="54"/>
  <c r="H34" i="54"/>
  <c r="A4" i="72"/>
  <c r="F4" i="72"/>
  <c r="G4" i="72"/>
  <c r="H4" i="72"/>
  <c r="K4" i="72"/>
  <c r="L4" i="72"/>
  <c r="A5" i="72"/>
  <c r="F5" i="72"/>
  <c r="G5" i="72"/>
  <c r="H5" i="72"/>
  <c r="K5" i="72"/>
  <c r="L5" i="72"/>
  <c r="A6" i="72"/>
  <c r="F6" i="72"/>
  <c r="G6" i="72"/>
  <c r="H6" i="72"/>
  <c r="K6" i="72"/>
  <c r="L6" i="72"/>
  <c r="A7" i="72"/>
  <c r="F7" i="72"/>
  <c r="G7" i="72"/>
  <c r="H7" i="72"/>
  <c r="K7" i="72"/>
  <c r="L7" i="72"/>
  <c r="A8" i="72"/>
  <c r="F8" i="72"/>
  <c r="G8" i="72"/>
  <c r="H8" i="72"/>
  <c r="K8" i="72"/>
  <c r="L8" i="72"/>
  <c r="A9" i="72"/>
  <c r="F9" i="72"/>
  <c r="G9" i="72"/>
  <c r="H9" i="72"/>
  <c r="K9" i="72"/>
  <c r="L9" i="72"/>
  <c r="A10" i="72"/>
  <c r="F10" i="72"/>
  <c r="G10" i="72"/>
  <c r="H10" i="72"/>
  <c r="K10" i="72"/>
  <c r="L10" i="72"/>
  <c r="A11" i="72"/>
  <c r="F11" i="72"/>
  <c r="G11" i="72"/>
  <c r="H11" i="72"/>
  <c r="K11" i="72"/>
  <c r="L11" i="72"/>
  <c r="A12" i="72"/>
  <c r="F12" i="72"/>
  <c r="G12" i="72"/>
  <c r="H12" i="72"/>
  <c r="K12" i="72"/>
  <c r="L12" i="72"/>
  <c r="A13" i="72"/>
  <c r="F13" i="72"/>
  <c r="G13" i="72"/>
  <c r="H13" i="72"/>
  <c r="K13" i="72"/>
  <c r="L13" i="72"/>
  <c r="A14" i="72"/>
  <c r="F14" i="72"/>
  <c r="G14" i="72"/>
  <c r="H14" i="72"/>
  <c r="K14" i="72"/>
  <c r="L14" i="72"/>
  <c r="A15" i="72"/>
  <c r="F15" i="72"/>
  <c r="G15" i="72"/>
  <c r="H15" i="72"/>
  <c r="K15" i="72"/>
  <c r="L15" i="72"/>
  <c r="A16" i="72"/>
  <c r="F16" i="72"/>
  <c r="G16" i="72"/>
  <c r="H16" i="72"/>
  <c r="K16" i="72"/>
  <c r="L16" i="72"/>
  <c r="A17" i="72"/>
  <c r="F17" i="72"/>
  <c r="G17" i="72"/>
  <c r="H17" i="72"/>
  <c r="K17" i="72"/>
  <c r="L17" i="72"/>
  <c r="A18" i="72"/>
  <c r="F18" i="72"/>
  <c r="G18" i="72"/>
  <c r="H18" i="72"/>
  <c r="K18" i="72"/>
  <c r="L18" i="72"/>
  <c r="A19" i="72"/>
  <c r="F19" i="72"/>
  <c r="G19" i="72"/>
  <c r="H19" i="72"/>
  <c r="K19" i="72"/>
  <c r="L19" i="72"/>
  <c r="A20" i="72"/>
  <c r="F20" i="72"/>
  <c r="G20" i="72"/>
  <c r="H20" i="72"/>
  <c r="K20" i="72"/>
  <c r="L20" i="72"/>
  <c r="A21" i="72"/>
  <c r="F21" i="72"/>
  <c r="G21" i="72"/>
  <c r="H21" i="72"/>
  <c r="K21" i="72"/>
  <c r="L21" i="72"/>
  <c r="A22" i="72"/>
  <c r="F22" i="72"/>
  <c r="G22" i="72"/>
  <c r="H22" i="72"/>
  <c r="K22" i="72"/>
  <c r="L22" i="72"/>
  <c r="A23" i="72"/>
  <c r="F23" i="72"/>
  <c r="G23" i="72"/>
  <c r="H23" i="72"/>
  <c r="K23" i="72"/>
  <c r="L23" i="72"/>
  <c r="A24" i="72"/>
  <c r="F24" i="72"/>
  <c r="G24" i="72"/>
  <c r="H24" i="72"/>
  <c r="K24" i="72"/>
  <c r="L24" i="72"/>
  <c r="A25" i="72"/>
  <c r="F25" i="72"/>
  <c r="G25" i="72"/>
  <c r="H25" i="72"/>
  <c r="K25" i="72"/>
  <c r="L25" i="72"/>
  <c r="A26" i="72"/>
  <c r="F26" i="72"/>
  <c r="G26" i="72"/>
  <c r="H26" i="72"/>
  <c r="K26" i="72"/>
  <c r="L26" i="72"/>
  <c r="A27" i="72"/>
  <c r="F27" i="72"/>
  <c r="G27" i="72"/>
  <c r="H27" i="72"/>
  <c r="K27" i="72"/>
  <c r="L27" i="72"/>
  <c r="A28" i="72"/>
  <c r="F28" i="72"/>
  <c r="G28" i="72"/>
  <c r="H28" i="72"/>
  <c r="K28" i="72"/>
  <c r="L28" i="72"/>
  <c r="A29" i="72"/>
  <c r="F29" i="72"/>
  <c r="G29" i="72"/>
  <c r="H29" i="72"/>
  <c r="K29" i="72"/>
  <c r="L29" i="72"/>
  <c r="A30" i="72"/>
  <c r="F30" i="72"/>
  <c r="K30" i="72"/>
  <c r="L30" i="72"/>
  <c r="A31" i="72"/>
  <c r="F31" i="72"/>
  <c r="K31" i="72"/>
  <c r="L31" i="72"/>
  <c r="A32" i="72"/>
  <c r="F32" i="72"/>
  <c r="K32" i="72"/>
  <c r="L32" i="72"/>
  <c r="A33" i="72"/>
  <c r="F33" i="72"/>
  <c r="K33" i="72"/>
  <c r="L33" i="72"/>
  <c r="B34" i="72"/>
  <c r="C34" i="72"/>
  <c r="D34" i="72"/>
  <c r="E34" i="72"/>
  <c r="F34" i="72"/>
  <c r="G34" i="72"/>
  <c r="H34" i="72"/>
  <c r="I34" i="72"/>
  <c r="J34" i="72"/>
  <c r="K34" i="72"/>
  <c r="L34" i="72"/>
  <c r="M34" i="72"/>
  <c r="N34" i="72"/>
  <c r="O34" i="72"/>
  <c r="P34" i="72"/>
  <c r="L34" i="53"/>
  <c r="M34" i="53"/>
  <c r="N34" i="53"/>
  <c r="H34" i="53"/>
  <c r="G34" i="53"/>
  <c r="O34" i="53"/>
  <c r="P34" i="53"/>
  <c r="I34" i="53"/>
  <c r="J34" i="53"/>
  <c r="K34" i="53" s="1"/>
  <c r="C34" i="53"/>
  <c r="D34" i="53"/>
  <c r="E34" i="53"/>
  <c r="B34" i="53"/>
  <c r="K5" i="53"/>
  <c r="L5" i="53"/>
  <c r="K6" i="53"/>
  <c r="L6" i="53"/>
  <c r="K7" i="53"/>
  <c r="L7" i="53"/>
  <c r="K8" i="53"/>
  <c r="L8" i="53"/>
  <c r="K9" i="53"/>
  <c r="L9" i="53"/>
  <c r="K10" i="53"/>
  <c r="L10" i="53"/>
  <c r="K11" i="53"/>
  <c r="L11" i="53"/>
  <c r="K12" i="53"/>
  <c r="L12" i="53"/>
  <c r="K13" i="53"/>
  <c r="L13" i="53"/>
  <c r="K14" i="53"/>
  <c r="L14" i="53"/>
  <c r="K15" i="53"/>
  <c r="L15" i="53"/>
  <c r="K16" i="53"/>
  <c r="L16" i="53"/>
  <c r="K17" i="53"/>
  <c r="L17" i="53"/>
  <c r="K18" i="53"/>
  <c r="L18" i="53"/>
  <c r="K19" i="53"/>
  <c r="L19" i="53"/>
  <c r="K20" i="53"/>
  <c r="L20" i="53"/>
  <c r="K21" i="53"/>
  <c r="L21" i="53"/>
  <c r="K22" i="53"/>
  <c r="L22" i="53"/>
  <c r="K23" i="53"/>
  <c r="L23" i="53"/>
  <c r="K24" i="53"/>
  <c r="L24" i="53"/>
  <c r="K25" i="53"/>
  <c r="L25" i="53"/>
  <c r="K26" i="53"/>
  <c r="L26" i="53"/>
  <c r="K27" i="53"/>
  <c r="L27" i="53"/>
  <c r="K28" i="53"/>
  <c r="L28" i="53"/>
  <c r="K29" i="53"/>
  <c r="L29" i="53"/>
  <c r="F5" i="53"/>
  <c r="G5" i="53"/>
  <c r="H5" i="53"/>
  <c r="F6" i="53"/>
  <c r="G6" i="53"/>
  <c r="H6" i="53"/>
  <c r="F7" i="53"/>
  <c r="G7" i="53"/>
  <c r="H7" i="53"/>
  <c r="F8" i="53"/>
  <c r="G8" i="53"/>
  <c r="H8" i="53"/>
  <c r="F9" i="53"/>
  <c r="G9" i="53"/>
  <c r="H9" i="53"/>
  <c r="F10" i="53"/>
  <c r="G10" i="53"/>
  <c r="H10" i="53"/>
  <c r="F11" i="53"/>
  <c r="G11" i="53"/>
  <c r="H11" i="53"/>
  <c r="F12" i="53"/>
  <c r="G12" i="53"/>
  <c r="H12" i="53"/>
  <c r="F13" i="53"/>
  <c r="G13" i="53"/>
  <c r="H13" i="53"/>
  <c r="F14" i="53"/>
  <c r="G14" i="53"/>
  <c r="H14" i="53"/>
  <c r="F15" i="53"/>
  <c r="G15" i="53"/>
  <c r="H15" i="53"/>
  <c r="F16" i="53"/>
  <c r="G16" i="53"/>
  <c r="H16" i="53"/>
  <c r="F17" i="53"/>
  <c r="G17" i="53"/>
  <c r="H17" i="53"/>
  <c r="F18" i="53"/>
  <c r="G18" i="53"/>
  <c r="H18" i="53"/>
  <c r="F19" i="53"/>
  <c r="G19" i="53"/>
  <c r="H19" i="53"/>
  <c r="F20" i="53"/>
  <c r="G20" i="53"/>
  <c r="H20" i="53"/>
  <c r="F21" i="53"/>
  <c r="G21" i="53"/>
  <c r="H21" i="53"/>
  <c r="F22" i="53"/>
  <c r="G22" i="53"/>
  <c r="H22" i="53"/>
  <c r="F23" i="53"/>
  <c r="G23" i="53"/>
  <c r="H23" i="53"/>
  <c r="F24" i="53"/>
  <c r="G24" i="53"/>
  <c r="H24" i="53"/>
  <c r="F25" i="53"/>
  <c r="G25" i="53"/>
  <c r="H25" i="53"/>
  <c r="F26" i="53"/>
  <c r="G26" i="53"/>
  <c r="H26" i="53"/>
  <c r="F27" i="53"/>
  <c r="G27" i="53"/>
  <c r="H27" i="53"/>
  <c r="F28" i="53"/>
  <c r="G28" i="53"/>
  <c r="H28" i="53"/>
  <c r="F29" i="53"/>
  <c r="G29" i="53"/>
  <c r="H29" i="53"/>
  <c r="K4" i="53"/>
  <c r="L4" i="53"/>
  <c r="F4" i="53"/>
  <c r="G4" i="53"/>
  <c r="H4" i="53"/>
  <c r="L34" i="52"/>
  <c r="M34" i="52"/>
  <c r="N34" i="52"/>
  <c r="H34" i="52"/>
  <c r="G34" i="52"/>
  <c r="O34" i="52"/>
  <c r="P34" i="52"/>
  <c r="I34" i="52"/>
  <c r="J34" i="52"/>
  <c r="C34" i="52"/>
  <c r="D34" i="52"/>
  <c r="E34" i="52"/>
  <c r="A4" i="71"/>
  <c r="F4" i="71"/>
  <c r="G4" i="71"/>
  <c r="H4" i="71"/>
  <c r="K4" i="71"/>
  <c r="L4" i="71"/>
  <c r="A5" i="71"/>
  <c r="F5" i="71"/>
  <c r="G5" i="71"/>
  <c r="H5" i="71"/>
  <c r="K5" i="71"/>
  <c r="L5" i="71"/>
  <c r="A6" i="71"/>
  <c r="F6" i="71"/>
  <c r="G6" i="71"/>
  <c r="H6" i="71"/>
  <c r="K6" i="71"/>
  <c r="L6" i="71"/>
  <c r="A7" i="71"/>
  <c r="F7" i="71"/>
  <c r="G7" i="71"/>
  <c r="H7" i="71"/>
  <c r="K7" i="71"/>
  <c r="L7" i="71"/>
  <c r="A8" i="71"/>
  <c r="F8" i="71"/>
  <c r="G8" i="71"/>
  <c r="H8" i="71"/>
  <c r="K8" i="71"/>
  <c r="L8" i="71"/>
  <c r="A9" i="71"/>
  <c r="F9" i="71"/>
  <c r="G9" i="71"/>
  <c r="H9" i="71"/>
  <c r="K9" i="71"/>
  <c r="L9" i="71"/>
  <c r="A10" i="71"/>
  <c r="F10" i="71"/>
  <c r="G10" i="71"/>
  <c r="H10" i="71"/>
  <c r="K10" i="71"/>
  <c r="L10" i="71"/>
  <c r="A11" i="71"/>
  <c r="F11" i="71"/>
  <c r="G11" i="71"/>
  <c r="H11" i="71"/>
  <c r="K11" i="71"/>
  <c r="L11" i="71"/>
  <c r="A12" i="71"/>
  <c r="F12" i="71"/>
  <c r="G12" i="71"/>
  <c r="H12" i="71"/>
  <c r="K12" i="71"/>
  <c r="L12" i="71"/>
  <c r="A13" i="71"/>
  <c r="F13" i="71"/>
  <c r="G13" i="71"/>
  <c r="H13" i="71"/>
  <c r="K13" i="71"/>
  <c r="L13" i="71"/>
  <c r="A14" i="71"/>
  <c r="F14" i="71"/>
  <c r="G14" i="71"/>
  <c r="H14" i="71"/>
  <c r="K14" i="71"/>
  <c r="L14" i="71"/>
  <c r="A15" i="71"/>
  <c r="F15" i="71"/>
  <c r="G15" i="71"/>
  <c r="H15" i="71"/>
  <c r="K15" i="71"/>
  <c r="L15" i="71"/>
  <c r="A16" i="71"/>
  <c r="F16" i="71"/>
  <c r="G16" i="71"/>
  <c r="H16" i="71"/>
  <c r="K16" i="71"/>
  <c r="L16" i="71"/>
  <c r="A17" i="71"/>
  <c r="F17" i="71"/>
  <c r="G17" i="71"/>
  <c r="H17" i="71"/>
  <c r="K17" i="71"/>
  <c r="L17" i="71"/>
  <c r="A18" i="71"/>
  <c r="F18" i="71"/>
  <c r="G18" i="71"/>
  <c r="H18" i="71"/>
  <c r="K18" i="71"/>
  <c r="L18" i="71"/>
  <c r="A19" i="71"/>
  <c r="F19" i="71"/>
  <c r="G19" i="71"/>
  <c r="H19" i="71"/>
  <c r="K19" i="71"/>
  <c r="L19" i="71"/>
  <c r="A20" i="71"/>
  <c r="F20" i="71"/>
  <c r="G20" i="71"/>
  <c r="H20" i="71"/>
  <c r="K20" i="71"/>
  <c r="L20" i="71"/>
  <c r="A21" i="71"/>
  <c r="F21" i="71"/>
  <c r="G21" i="71"/>
  <c r="H21" i="71"/>
  <c r="K21" i="71"/>
  <c r="L21" i="71"/>
  <c r="A22" i="71"/>
  <c r="F22" i="71"/>
  <c r="G22" i="71"/>
  <c r="H22" i="71"/>
  <c r="K22" i="71"/>
  <c r="L22" i="71"/>
  <c r="A23" i="71"/>
  <c r="F23" i="71"/>
  <c r="G23" i="71"/>
  <c r="H23" i="71"/>
  <c r="K23" i="71"/>
  <c r="L23" i="71"/>
  <c r="A24" i="71"/>
  <c r="F24" i="71"/>
  <c r="G24" i="71"/>
  <c r="H24" i="71"/>
  <c r="K24" i="71"/>
  <c r="L24" i="71"/>
  <c r="A25" i="71"/>
  <c r="F25" i="71"/>
  <c r="G25" i="71"/>
  <c r="H25" i="71"/>
  <c r="K25" i="71"/>
  <c r="L25" i="71"/>
  <c r="A26" i="71"/>
  <c r="F26" i="71"/>
  <c r="G26" i="71"/>
  <c r="H26" i="71"/>
  <c r="K26" i="71"/>
  <c r="L26" i="71"/>
  <c r="A27" i="71"/>
  <c r="F27" i="71"/>
  <c r="G27" i="71"/>
  <c r="H27" i="71"/>
  <c r="K27" i="71"/>
  <c r="L27" i="71"/>
  <c r="A28" i="71"/>
  <c r="F28" i="71"/>
  <c r="G28" i="71"/>
  <c r="H28" i="71"/>
  <c r="K28" i="71"/>
  <c r="L28" i="71"/>
  <c r="A29" i="71"/>
  <c r="F29" i="71"/>
  <c r="G29" i="71"/>
  <c r="H29" i="71"/>
  <c r="K29" i="71"/>
  <c r="L29" i="71"/>
  <c r="A30" i="71"/>
  <c r="F30" i="71"/>
  <c r="G30" i="71"/>
  <c r="H30" i="71"/>
  <c r="K30" i="71"/>
  <c r="L30" i="71"/>
  <c r="A31" i="71"/>
  <c r="F31" i="71"/>
  <c r="G31" i="71"/>
  <c r="H31" i="71"/>
  <c r="K31" i="71"/>
  <c r="L31" i="71"/>
  <c r="A32" i="71"/>
  <c r="F32" i="71"/>
  <c r="G32" i="71"/>
  <c r="H32" i="71"/>
  <c r="K32" i="71"/>
  <c r="L32" i="71"/>
  <c r="A33" i="71"/>
  <c r="F33" i="71"/>
  <c r="G33" i="71"/>
  <c r="H33" i="71"/>
  <c r="K33" i="71"/>
  <c r="L33" i="71"/>
  <c r="B34" i="71"/>
  <c r="C34" i="71"/>
  <c r="D34" i="71"/>
  <c r="E34" i="71"/>
  <c r="F34" i="71"/>
  <c r="G34" i="71"/>
  <c r="H34" i="71"/>
  <c r="I34" i="71"/>
  <c r="J34" i="71"/>
  <c r="K34" i="71"/>
  <c r="L34" i="71"/>
  <c r="M34" i="71"/>
  <c r="N34" i="71"/>
  <c r="O34" i="71"/>
  <c r="P34" i="71"/>
  <c r="B34" i="52"/>
  <c r="K5" i="52"/>
  <c r="L5" i="52"/>
  <c r="K6" i="52"/>
  <c r="L6" i="52"/>
  <c r="K7" i="52"/>
  <c r="L7" i="52"/>
  <c r="K8" i="52"/>
  <c r="L8" i="52"/>
  <c r="K9" i="52"/>
  <c r="L9" i="52"/>
  <c r="K10" i="52"/>
  <c r="L10" i="52"/>
  <c r="K11" i="52"/>
  <c r="L11" i="52"/>
  <c r="K12" i="52"/>
  <c r="L12" i="52"/>
  <c r="K13" i="52"/>
  <c r="L13" i="52"/>
  <c r="K14" i="52"/>
  <c r="L14" i="52"/>
  <c r="K15" i="52"/>
  <c r="L15" i="52"/>
  <c r="K16" i="52"/>
  <c r="L16" i="52"/>
  <c r="K17" i="52"/>
  <c r="L17" i="52"/>
  <c r="K18" i="52"/>
  <c r="L18" i="52"/>
  <c r="K19" i="52"/>
  <c r="L19" i="52"/>
  <c r="K20" i="52"/>
  <c r="L20" i="52"/>
  <c r="K21" i="52"/>
  <c r="L21" i="52"/>
  <c r="K22" i="52"/>
  <c r="L22" i="52"/>
  <c r="K23" i="52"/>
  <c r="L23" i="52"/>
  <c r="K24" i="52"/>
  <c r="L24" i="52"/>
  <c r="K25" i="52"/>
  <c r="L25" i="52"/>
  <c r="K26" i="52"/>
  <c r="L26" i="52"/>
  <c r="K27" i="52"/>
  <c r="L27" i="52"/>
  <c r="F5" i="52"/>
  <c r="G5" i="52"/>
  <c r="H5" i="52"/>
  <c r="F6" i="52"/>
  <c r="G6" i="52"/>
  <c r="H6" i="52"/>
  <c r="F7" i="52"/>
  <c r="G7" i="52"/>
  <c r="H7" i="52"/>
  <c r="F8" i="52"/>
  <c r="G8" i="52"/>
  <c r="H8" i="52"/>
  <c r="F9" i="52"/>
  <c r="G9" i="52"/>
  <c r="H9" i="52"/>
  <c r="F10" i="52"/>
  <c r="G10" i="52"/>
  <c r="H10" i="52"/>
  <c r="F11" i="52"/>
  <c r="G11" i="52"/>
  <c r="H11" i="52"/>
  <c r="F12" i="52"/>
  <c r="G12" i="52"/>
  <c r="H12" i="52"/>
  <c r="F13" i="52"/>
  <c r="G13" i="52"/>
  <c r="H13" i="52"/>
  <c r="F14" i="52"/>
  <c r="G14" i="52"/>
  <c r="H14" i="52"/>
  <c r="F15" i="52"/>
  <c r="G15" i="52"/>
  <c r="H15" i="52"/>
  <c r="F16" i="52"/>
  <c r="G16" i="52"/>
  <c r="H16" i="52"/>
  <c r="F17" i="52"/>
  <c r="G17" i="52"/>
  <c r="H17" i="52"/>
  <c r="F18" i="52"/>
  <c r="G18" i="52"/>
  <c r="H18" i="52"/>
  <c r="F19" i="52"/>
  <c r="G19" i="52"/>
  <c r="H19" i="52"/>
  <c r="F20" i="52"/>
  <c r="G20" i="52"/>
  <c r="H20" i="52"/>
  <c r="F21" i="52"/>
  <c r="G21" i="52"/>
  <c r="H21" i="52"/>
  <c r="F22" i="52"/>
  <c r="G22" i="52"/>
  <c r="H22" i="52"/>
  <c r="F23" i="52"/>
  <c r="G23" i="52"/>
  <c r="H23" i="52"/>
  <c r="F24" i="52"/>
  <c r="G24" i="52"/>
  <c r="H24" i="52"/>
  <c r="F25" i="52"/>
  <c r="G25" i="52"/>
  <c r="H25" i="52"/>
  <c r="F26" i="52"/>
  <c r="G26" i="52"/>
  <c r="H26" i="52"/>
  <c r="F27" i="52"/>
  <c r="G27" i="52"/>
  <c r="H27" i="52"/>
  <c r="K4" i="52"/>
  <c r="L4" i="52"/>
  <c r="F4" i="52"/>
  <c r="G4" i="52"/>
  <c r="H4" i="52"/>
  <c r="N34" i="51"/>
  <c r="M34" i="51"/>
  <c r="L34" i="51"/>
  <c r="H34" i="51"/>
  <c r="G34" i="51"/>
  <c r="P34" i="51"/>
  <c r="O34" i="51"/>
  <c r="J34" i="51"/>
  <c r="I34" i="51"/>
  <c r="K34" i="51" s="1"/>
  <c r="E34" i="51"/>
  <c r="D34" i="51"/>
  <c r="C34" i="51"/>
  <c r="F34" i="51" s="1"/>
  <c r="B34" i="51"/>
  <c r="K5" i="51"/>
  <c r="L5" i="51"/>
  <c r="K6" i="51"/>
  <c r="L6" i="51"/>
  <c r="K7" i="51"/>
  <c r="L7" i="51"/>
  <c r="K8" i="51"/>
  <c r="L8" i="51"/>
  <c r="K9" i="51"/>
  <c r="L9" i="51"/>
  <c r="K10" i="51"/>
  <c r="L10" i="51"/>
  <c r="K11" i="51"/>
  <c r="L11" i="51"/>
  <c r="K12" i="51"/>
  <c r="L12" i="51"/>
  <c r="K13" i="51"/>
  <c r="L13" i="51"/>
  <c r="K14" i="51"/>
  <c r="L14" i="51"/>
  <c r="K15" i="51"/>
  <c r="L15" i="51"/>
  <c r="K16" i="51"/>
  <c r="L16" i="51"/>
  <c r="K17" i="51"/>
  <c r="L17" i="51"/>
  <c r="K18" i="51"/>
  <c r="L18" i="51"/>
  <c r="K19" i="51"/>
  <c r="L19" i="51"/>
  <c r="K20" i="51"/>
  <c r="L20" i="51"/>
  <c r="K21" i="51"/>
  <c r="L21" i="51"/>
  <c r="K22" i="51"/>
  <c r="L22" i="51"/>
  <c r="K23" i="51"/>
  <c r="L23" i="51"/>
  <c r="K24" i="51"/>
  <c r="L24" i="51"/>
  <c r="K25" i="51"/>
  <c r="L25" i="51"/>
  <c r="K26" i="51"/>
  <c r="L26" i="51"/>
  <c r="K27" i="51"/>
  <c r="L27" i="51"/>
  <c r="F5" i="51"/>
  <c r="G5" i="51"/>
  <c r="H5" i="51"/>
  <c r="F6" i="51"/>
  <c r="G6" i="51"/>
  <c r="H6" i="51"/>
  <c r="F7" i="51"/>
  <c r="G7" i="51"/>
  <c r="H7" i="51"/>
  <c r="F8" i="51"/>
  <c r="G8" i="51"/>
  <c r="H8" i="51"/>
  <c r="F9" i="51"/>
  <c r="G9" i="51"/>
  <c r="H9" i="51"/>
  <c r="F10" i="51"/>
  <c r="G10" i="51"/>
  <c r="H10" i="51"/>
  <c r="F11" i="51"/>
  <c r="G11" i="51"/>
  <c r="H11" i="51"/>
  <c r="F12" i="51"/>
  <c r="G12" i="51"/>
  <c r="H12" i="51"/>
  <c r="F13" i="51"/>
  <c r="G13" i="51"/>
  <c r="H13" i="51"/>
  <c r="F14" i="51"/>
  <c r="G14" i="51"/>
  <c r="H14" i="51"/>
  <c r="F15" i="51"/>
  <c r="G15" i="51"/>
  <c r="H15" i="51"/>
  <c r="F16" i="51"/>
  <c r="G16" i="51"/>
  <c r="H16" i="51"/>
  <c r="F17" i="51"/>
  <c r="G17" i="51"/>
  <c r="H17" i="51"/>
  <c r="F18" i="51"/>
  <c r="G18" i="51"/>
  <c r="H18" i="51"/>
  <c r="F19" i="51"/>
  <c r="G19" i="51"/>
  <c r="H19" i="51"/>
  <c r="F20" i="51"/>
  <c r="G20" i="51"/>
  <c r="H20" i="51"/>
  <c r="F21" i="51"/>
  <c r="G21" i="51"/>
  <c r="H21" i="51"/>
  <c r="F22" i="51"/>
  <c r="G22" i="51"/>
  <c r="H22" i="51"/>
  <c r="F23" i="51"/>
  <c r="G23" i="51"/>
  <c r="H23" i="51"/>
  <c r="F24" i="51"/>
  <c r="G24" i="51"/>
  <c r="H24" i="51"/>
  <c r="F25" i="51"/>
  <c r="G25" i="51"/>
  <c r="H25" i="51"/>
  <c r="F26" i="51"/>
  <c r="G26" i="51"/>
  <c r="H26" i="51"/>
  <c r="F27" i="51"/>
  <c r="G27" i="51"/>
  <c r="H27" i="51"/>
  <c r="L4" i="51"/>
  <c r="K4" i="51"/>
  <c r="H4" i="51"/>
  <c r="G4" i="51"/>
  <c r="F4" i="51"/>
  <c r="N34" i="50"/>
  <c r="M34" i="50"/>
  <c r="L34" i="50"/>
  <c r="H34" i="50"/>
  <c r="G34" i="50"/>
  <c r="P34" i="50"/>
  <c r="O34" i="50"/>
  <c r="J34" i="50"/>
  <c r="I34" i="50"/>
  <c r="K34" i="50" s="1"/>
  <c r="E34" i="50"/>
  <c r="D34" i="50"/>
  <c r="B34" i="50"/>
  <c r="K5" i="50"/>
  <c r="L5" i="50"/>
  <c r="K6" i="50"/>
  <c r="L6" i="50"/>
  <c r="K7" i="50"/>
  <c r="L7" i="50"/>
  <c r="K8" i="50"/>
  <c r="L8" i="50"/>
  <c r="K9" i="50"/>
  <c r="L9" i="50"/>
  <c r="K10" i="50"/>
  <c r="L10" i="50"/>
  <c r="K11" i="50"/>
  <c r="L11" i="50"/>
  <c r="K12" i="50"/>
  <c r="L12" i="50"/>
  <c r="K13" i="50"/>
  <c r="L13" i="50"/>
  <c r="K14" i="50"/>
  <c r="L14" i="50"/>
  <c r="K15" i="50"/>
  <c r="L15" i="50"/>
  <c r="K16" i="50"/>
  <c r="L16" i="50"/>
  <c r="K17" i="50"/>
  <c r="L17" i="50"/>
  <c r="K18" i="50"/>
  <c r="L18" i="50"/>
  <c r="K19" i="50"/>
  <c r="L19" i="50"/>
  <c r="K20" i="50"/>
  <c r="L20" i="50"/>
  <c r="K21" i="50"/>
  <c r="L21" i="50"/>
  <c r="K22" i="50"/>
  <c r="L22" i="50"/>
  <c r="K23" i="50"/>
  <c r="L23" i="50"/>
  <c r="K24" i="50"/>
  <c r="L24" i="50"/>
  <c r="K25" i="50"/>
  <c r="L25" i="50"/>
  <c r="K26" i="50"/>
  <c r="L26" i="50"/>
  <c r="K27" i="50"/>
  <c r="L27" i="50"/>
  <c r="F5" i="50"/>
  <c r="G5" i="50"/>
  <c r="H5" i="50"/>
  <c r="F6" i="50"/>
  <c r="G6" i="50"/>
  <c r="H6" i="50"/>
  <c r="F7" i="50"/>
  <c r="G7" i="50"/>
  <c r="H7" i="50"/>
  <c r="F8" i="50"/>
  <c r="G8" i="50"/>
  <c r="H8" i="50"/>
  <c r="F9" i="50"/>
  <c r="G9" i="50"/>
  <c r="H9" i="50"/>
  <c r="F10" i="50"/>
  <c r="G10" i="50"/>
  <c r="H10" i="50"/>
  <c r="F11" i="50"/>
  <c r="G11" i="50"/>
  <c r="H11" i="50"/>
  <c r="F12" i="50"/>
  <c r="G12" i="50"/>
  <c r="H12" i="50"/>
  <c r="F13" i="50"/>
  <c r="G13" i="50"/>
  <c r="H13" i="50"/>
  <c r="F14" i="50"/>
  <c r="G14" i="50"/>
  <c r="H14" i="50"/>
  <c r="F15" i="50"/>
  <c r="G15" i="50"/>
  <c r="H15" i="50"/>
  <c r="F16" i="50"/>
  <c r="G16" i="50"/>
  <c r="H16" i="50"/>
  <c r="F17" i="50"/>
  <c r="G17" i="50"/>
  <c r="H17" i="50"/>
  <c r="F18" i="50"/>
  <c r="G18" i="50"/>
  <c r="H18" i="50"/>
  <c r="F19" i="50"/>
  <c r="G19" i="50"/>
  <c r="H19" i="50"/>
  <c r="F20" i="50"/>
  <c r="G20" i="50"/>
  <c r="H20" i="50"/>
  <c r="F21" i="50"/>
  <c r="G21" i="50"/>
  <c r="H21" i="50"/>
  <c r="F22" i="50"/>
  <c r="G22" i="50"/>
  <c r="H22" i="50"/>
  <c r="F23" i="50"/>
  <c r="G23" i="50"/>
  <c r="H23" i="50"/>
  <c r="F24" i="50"/>
  <c r="G24" i="50"/>
  <c r="H24" i="50"/>
  <c r="F25" i="50"/>
  <c r="G25" i="50"/>
  <c r="H25" i="50"/>
  <c r="F26" i="50"/>
  <c r="G26" i="50"/>
  <c r="H26" i="50"/>
  <c r="F27" i="50"/>
  <c r="G27" i="50"/>
  <c r="H27" i="50"/>
  <c r="L4" i="50"/>
  <c r="K4" i="50"/>
  <c r="H4" i="50"/>
  <c r="G4" i="50"/>
  <c r="F4" i="50"/>
  <c r="N34" i="49"/>
  <c r="M34" i="49"/>
  <c r="L34" i="49"/>
  <c r="H34" i="49"/>
  <c r="G34" i="49"/>
  <c r="P34" i="49"/>
  <c r="O34" i="49"/>
  <c r="J34" i="49"/>
  <c r="I34" i="49"/>
  <c r="K34" i="49" s="1"/>
  <c r="E34" i="49"/>
  <c r="D34" i="49"/>
  <c r="C34" i="49"/>
  <c r="F34" i="49" s="1"/>
  <c r="B34" i="49"/>
  <c r="K5" i="49"/>
  <c r="L5" i="49"/>
  <c r="K6" i="49"/>
  <c r="L6" i="49"/>
  <c r="K7" i="49"/>
  <c r="L7" i="49"/>
  <c r="K8" i="49"/>
  <c r="L8" i="49"/>
  <c r="K9" i="49"/>
  <c r="L9" i="49"/>
  <c r="K10" i="49"/>
  <c r="L10" i="49"/>
  <c r="K11" i="49"/>
  <c r="L11" i="49"/>
  <c r="K12" i="49"/>
  <c r="L12" i="49"/>
  <c r="K13" i="49"/>
  <c r="L13" i="49"/>
  <c r="K14" i="49"/>
  <c r="L14" i="49"/>
  <c r="K15" i="49"/>
  <c r="L15" i="49"/>
  <c r="K16" i="49"/>
  <c r="L16" i="49"/>
  <c r="K17" i="49"/>
  <c r="L17" i="49"/>
  <c r="K18" i="49"/>
  <c r="L18" i="49"/>
  <c r="K19" i="49"/>
  <c r="L19" i="49"/>
  <c r="K20" i="49"/>
  <c r="L20" i="49"/>
  <c r="K21" i="49"/>
  <c r="L21" i="49"/>
  <c r="K22" i="49"/>
  <c r="L22" i="49"/>
  <c r="K23" i="49"/>
  <c r="L23" i="49"/>
  <c r="K24" i="49"/>
  <c r="L24" i="49"/>
  <c r="K25" i="49"/>
  <c r="L25" i="49"/>
  <c r="K26" i="49"/>
  <c r="L26" i="49"/>
  <c r="K27" i="49"/>
  <c r="L27" i="49"/>
  <c r="K28" i="49"/>
  <c r="L28" i="49"/>
  <c r="F5" i="49"/>
  <c r="G5" i="49"/>
  <c r="H5" i="49"/>
  <c r="F6" i="49"/>
  <c r="G6" i="49"/>
  <c r="H6" i="49"/>
  <c r="F7" i="49"/>
  <c r="G7" i="49"/>
  <c r="H7" i="49"/>
  <c r="F8" i="49"/>
  <c r="G8" i="49"/>
  <c r="H8" i="49"/>
  <c r="F9" i="49"/>
  <c r="G9" i="49"/>
  <c r="H9" i="49"/>
  <c r="F10" i="49"/>
  <c r="G10" i="49"/>
  <c r="H10" i="49"/>
  <c r="F11" i="49"/>
  <c r="G11" i="49"/>
  <c r="H11" i="49"/>
  <c r="F12" i="49"/>
  <c r="G12" i="49"/>
  <c r="H12" i="49"/>
  <c r="F13" i="49"/>
  <c r="G13" i="49"/>
  <c r="H13" i="49"/>
  <c r="F14" i="49"/>
  <c r="G14" i="49"/>
  <c r="H14" i="49"/>
  <c r="F15" i="49"/>
  <c r="G15" i="49"/>
  <c r="H15" i="49"/>
  <c r="F16" i="49"/>
  <c r="G16" i="49"/>
  <c r="H16" i="49"/>
  <c r="F17" i="49"/>
  <c r="G17" i="49"/>
  <c r="H17" i="49"/>
  <c r="F18" i="49"/>
  <c r="G18" i="49"/>
  <c r="H18" i="49"/>
  <c r="F19" i="49"/>
  <c r="G19" i="49"/>
  <c r="H19" i="49"/>
  <c r="F20" i="49"/>
  <c r="G20" i="49"/>
  <c r="H20" i="49"/>
  <c r="F21" i="49"/>
  <c r="G21" i="49"/>
  <c r="H21" i="49"/>
  <c r="F22" i="49"/>
  <c r="G22" i="49"/>
  <c r="H22" i="49"/>
  <c r="F23" i="49"/>
  <c r="G23" i="49"/>
  <c r="H23" i="49"/>
  <c r="F24" i="49"/>
  <c r="G24" i="49"/>
  <c r="H24" i="49"/>
  <c r="F25" i="49"/>
  <c r="G25" i="49"/>
  <c r="H25" i="49"/>
  <c r="F26" i="49"/>
  <c r="G26" i="49"/>
  <c r="H26" i="49"/>
  <c r="F27" i="49"/>
  <c r="G27" i="49"/>
  <c r="H27" i="49"/>
  <c r="F28" i="49"/>
  <c r="G28" i="49"/>
  <c r="H28" i="49"/>
  <c r="L4" i="49"/>
  <c r="K4" i="49"/>
  <c r="H4" i="49"/>
  <c r="G4" i="49"/>
  <c r="F4" i="49"/>
  <c r="H29" i="20"/>
  <c r="H28" i="20"/>
  <c r="G27" i="20"/>
  <c r="G28" i="20"/>
  <c r="G29" i="20"/>
  <c r="G30" i="20"/>
  <c r="G31" i="20"/>
  <c r="G32" i="20"/>
  <c r="A4" i="70"/>
  <c r="F4" i="70"/>
  <c r="G4" i="70"/>
  <c r="H4" i="70"/>
  <c r="K4" i="70"/>
  <c r="L4" i="70"/>
  <c r="A5" i="70"/>
  <c r="F5" i="70"/>
  <c r="G5" i="70"/>
  <c r="H5" i="70"/>
  <c r="K5" i="70"/>
  <c r="L5" i="70"/>
  <c r="A6" i="70"/>
  <c r="F6" i="70"/>
  <c r="G6" i="70"/>
  <c r="H6" i="70"/>
  <c r="K6" i="70"/>
  <c r="L6" i="70"/>
  <c r="A7" i="70"/>
  <c r="F7" i="70"/>
  <c r="G7" i="70"/>
  <c r="H7" i="70"/>
  <c r="K7" i="70"/>
  <c r="L7" i="70"/>
  <c r="A8" i="70"/>
  <c r="F8" i="70"/>
  <c r="G8" i="70"/>
  <c r="H8" i="70"/>
  <c r="K8" i="70"/>
  <c r="L8" i="70"/>
  <c r="A9" i="70"/>
  <c r="F9" i="70"/>
  <c r="G9" i="70"/>
  <c r="H9" i="70"/>
  <c r="K9" i="70"/>
  <c r="L9" i="70"/>
  <c r="A10" i="70"/>
  <c r="F10" i="70"/>
  <c r="G10" i="70"/>
  <c r="H10" i="70"/>
  <c r="K10" i="70"/>
  <c r="L10" i="70"/>
  <c r="A11" i="70"/>
  <c r="F11" i="70"/>
  <c r="G11" i="70"/>
  <c r="H11" i="70"/>
  <c r="K11" i="70"/>
  <c r="L11" i="70"/>
  <c r="A12" i="70"/>
  <c r="F12" i="70"/>
  <c r="G12" i="70"/>
  <c r="H12" i="70"/>
  <c r="K12" i="70"/>
  <c r="L12" i="70"/>
  <c r="A13" i="70"/>
  <c r="F13" i="70"/>
  <c r="G13" i="70"/>
  <c r="H13" i="70"/>
  <c r="K13" i="70"/>
  <c r="L13" i="70"/>
  <c r="A14" i="70"/>
  <c r="F14" i="70"/>
  <c r="G14" i="70"/>
  <c r="H14" i="70"/>
  <c r="K14" i="70"/>
  <c r="L14" i="70"/>
  <c r="A15" i="70"/>
  <c r="F15" i="70"/>
  <c r="G15" i="70"/>
  <c r="H15" i="70"/>
  <c r="K15" i="70"/>
  <c r="L15" i="70"/>
  <c r="A16" i="70"/>
  <c r="F16" i="70"/>
  <c r="G16" i="70"/>
  <c r="H16" i="70"/>
  <c r="K16" i="70"/>
  <c r="L16" i="70"/>
  <c r="A17" i="70"/>
  <c r="F17" i="70"/>
  <c r="G17" i="70"/>
  <c r="H17" i="70"/>
  <c r="K17" i="70"/>
  <c r="L17" i="70"/>
  <c r="A18" i="70"/>
  <c r="F18" i="70"/>
  <c r="G18" i="70"/>
  <c r="H18" i="70"/>
  <c r="K18" i="70"/>
  <c r="L18" i="70"/>
  <c r="A19" i="70"/>
  <c r="F19" i="70"/>
  <c r="G19" i="70"/>
  <c r="H19" i="70"/>
  <c r="K19" i="70"/>
  <c r="L19" i="70"/>
  <c r="A20" i="70"/>
  <c r="F20" i="70"/>
  <c r="G20" i="70"/>
  <c r="H20" i="70"/>
  <c r="K20" i="70"/>
  <c r="L20" i="70"/>
  <c r="A21" i="70"/>
  <c r="F21" i="70"/>
  <c r="G21" i="70"/>
  <c r="H21" i="70"/>
  <c r="K21" i="70"/>
  <c r="L21" i="70"/>
  <c r="A22" i="70"/>
  <c r="F22" i="70"/>
  <c r="G22" i="70"/>
  <c r="H22" i="70"/>
  <c r="K22" i="70"/>
  <c r="L22" i="70"/>
  <c r="A23" i="70"/>
  <c r="F23" i="70"/>
  <c r="G23" i="70"/>
  <c r="H23" i="70"/>
  <c r="K23" i="70"/>
  <c r="L23" i="70"/>
  <c r="A24" i="70"/>
  <c r="F24" i="70"/>
  <c r="G24" i="70"/>
  <c r="H24" i="70"/>
  <c r="K24" i="70"/>
  <c r="L24" i="70"/>
  <c r="A25" i="70"/>
  <c r="F25" i="70"/>
  <c r="G25" i="70"/>
  <c r="H25" i="70"/>
  <c r="K25" i="70"/>
  <c r="L25" i="70"/>
  <c r="A26" i="70"/>
  <c r="F26" i="70"/>
  <c r="G26" i="70"/>
  <c r="H26" i="70"/>
  <c r="K26" i="70"/>
  <c r="L26" i="70"/>
  <c r="A27" i="70"/>
  <c r="F27" i="70"/>
  <c r="G27" i="70"/>
  <c r="H27" i="70"/>
  <c r="K27" i="70"/>
  <c r="L27" i="70"/>
  <c r="A28" i="70"/>
  <c r="F28" i="70"/>
  <c r="G28" i="70"/>
  <c r="H28" i="70"/>
  <c r="K28" i="70"/>
  <c r="L28" i="70"/>
  <c r="A29" i="70"/>
  <c r="F29" i="70"/>
  <c r="G29" i="70"/>
  <c r="H29" i="70"/>
  <c r="K29" i="70"/>
  <c r="L29" i="70"/>
  <c r="A30" i="70"/>
  <c r="F30" i="70"/>
  <c r="G30" i="70"/>
  <c r="H30" i="70"/>
  <c r="K30" i="70"/>
  <c r="L30" i="70"/>
  <c r="A31" i="70"/>
  <c r="F31" i="70"/>
  <c r="G31" i="70"/>
  <c r="H31" i="70"/>
  <c r="K31" i="70"/>
  <c r="L31" i="70"/>
  <c r="A32" i="70"/>
  <c r="F32" i="70"/>
  <c r="G32" i="70"/>
  <c r="H32" i="70"/>
  <c r="K32" i="70"/>
  <c r="L32" i="70"/>
  <c r="A33" i="70"/>
  <c r="F33" i="70"/>
  <c r="G33" i="70"/>
  <c r="H33" i="70"/>
  <c r="K33" i="70"/>
  <c r="L33" i="70"/>
  <c r="B34" i="70"/>
  <c r="C34" i="70"/>
  <c r="D34" i="70"/>
  <c r="E34" i="70"/>
  <c r="F34" i="70"/>
  <c r="G34" i="70"/>
  <c r="H34" i="70"/>
  <c r="I34" i="70"/>
  <c r="J34" i="70"/>
  <c r="K34" i="70"/>
  <c r="L34" i="70"/>
  <c r="M34" i="70"/>
  <c r="N34" i="70"/>
  <c r="O34" i="70"/>
  <c r="P34" i="70"/>
  <c r="A4" i="69"/>
  <c r="F4" i="69"/>
  <c r="G4" i="69"/>
  <c r="H4" i="69"/>
  <c r="K4" i="69"/>
  <c r="L4" i="69"/>
  <c r="A5" i="69"/>
  <c r="F5" i="69"/>
  <c r="G5" i="69"/>
  <c r="H5" i="69"/>
  <c r="K5" i="69"/>
  <c r="L5" i="69"/>
  <c r="A6" i="69"/>
  <c r="F6" i="69"/>
  <c r="G6" i="69"/>
  <c r="H6" i="69"/>
  <c r="K6" i="69"/>
  <c r="L6" i="69"/>
  <c r="A7" i="69"/>
  <c r="F7" i="69"/>
  <c r="G7" i="69"/>
  <c r="H7" i="69"/>
  <c r="K7" i="69"/>
  <c r="L7" i="69"/>
  <c r="A8" i="69"/>
  <c r="F8" i="69"/>
  <c r="G8" i="69"/>
  <c r="H8" i="69"/>
  <c r="K8" i="69"/>
  <c r="L8" i="69"/>
  <c r="A9" i="69"/>
  <c r="F9" i="69"/>
  <c r="G9" i="69"/>
  <c r="H9" i="69"/>
  <c r="K9" i="69"/>
  <c r="L9" i="69"/>
  <c r="A10" i="69"/>
  <c r="F10" i="69"/>
  <c r="G10" i="69"/>
  <c r="H10" i="69"/>
  <c r="K10" i="69"/>
  <c r="L10" i="69"/>
  <c r="A11" i="69"/>
  <c r="F11" i="69"/>
  <c r="G11" i="69"/>
  <c r="H11" i="69"/>
  <c r="K11" i="69"/>
  <c r="L11" i="69"/>
  <c r="A12" i="69"/>
  <c r="F12" i="69"/>
  <c r="G12" i="69"/>
  <c r="H12" i="69"/>
  <c r="K12" i="69"/>
  <c r="L12" i="69"/>
  <c r="A13" i="69"/>
  <c r="F13" i="69"/>
  <c r="G13" i="69"/>
  <c r="H13" i="69"/>
  <c r="K13" i="69"/>
  <c r="L13" i="69"/>
  <c r="A14" i="69"/>
  <c r="F14" i="69"/>
  <c r="G14" i="69"/>
  <c r="H14" i="69"/>
  <c r="K14" i="69"/>
  <c r="L14" i="69"/>
  <c r="A15" i="69"/>
  <c r="F15" i="69"/>
  <c r="G15" i="69"/>
  <c r="H15" i="69"/>
  <c r="K15" i="69"/>
  <c r="L15" i="69"/>
  <c r="A16" i="69"/>
  <c r="F16" i="69"/>
  <c r="G16" i="69"/>
  <c r="H16" i="69"/>
  <c r="K16" i="69"/>
  <c r="L16" i="69"/>
  <c r="A17" i="69"/>
  <c r="F17" i="69"/>
  <c r="G17" i="69"/>
  <c r="H17" i="69"/>
  <c r="K17" i="69"/>
  <c r="L17" i="69"/>
  <c r="A18" i="69"/>
  <c r="F18" i="69"/>
  <c r="G18" i="69"/>
  <c r="H18" i="69"/>
  <c r="K18" i="69"/>
  <c r="L18" i="69"/>
  <c r="A19" i="69"/>
  <c r="F19" i="69"/>
  <c r="G19" i="69"/>
  <c r="H19" i="69"/>
  <c r="K19" i="69"/>
  <c r="L19" i="69"/>
  <c r="A20" i="69"/>
  <c r="F20" i="69"/>
  <c r="G20" i="69"/>
  <c r="H20" i="69"/>
  <c r="K20" i="69"/>
  <c r="L20" i="69"/>
  <c r="A21" i="69"/>
  <c r="F21" i="69"/>
  <c r="G21" i="69"/>
  <c r="H21" i="69"/>
  <c r="K21" i="69"/>
  <c r="L21" i="69"/>
  <c r="A22" i="69"/>
  <c r="F22" i="69"/>
  <c r="G22" i="69"/>
  <c r="H22" i="69"/>
  <c r="K22" i="69"/>
  <c r="L22" i="69"/>
  <c r="A23" i="69"/>
  <c r="F23" i="69"/>
  <c r="G23" i="69"/>
  <c r="H23" i="69"/>
  <c r="K23" i="69"/>
  <c r="L23" i="69"/>
  <c r="A24" i="69"/>
  <c r="F24" i="69"/>
  <c r="G24" i="69"/>
  <c r="H24" i="69"/>
  <c r="K24" i="69"/>
  <c r="L24" i="69"/>
  <c r="A25" i="69"/>
  <c r="F25" i="69"/>
  <c r="G25" i="69"/>
  <c r="H25" i="69"/>
  <c r="K25" i="69"/>
  <c r="L25" i="69"/>
  <c r="A26" i="69"/>
  <c r="F26" i="69"/>
  <c r="G26" i="69"/>
  <c r="H26" i="69"/>
  <c r="K26" i="69"/>
  <c r="L26" i="69"/>
  <c r="A27" i="69"/>
  <c r="F27" i="69"/>
  <c r="G27" i="69"/>
  <c r="H27" i="69"/>
  <c r="K27" i="69"/>
  <c r="L27" i="69"/>
  <c r="A28" i="69"/>
  <c r="F28" i="69"/>
  <c r="G28" i="69"/>
  <c r="H28" i="69"/>
  <c r="K28" i="69"/>
  <c r="L28" i="69"/>
  <c r="A29" i="69"/>
  <c r="F29" i="69"/>
  <c r="G29" i="69"/>
  <c r="H29" i="69"/>
  <c r="K29" i="69"/>
  <c r="L29" i="69"/>
  <c r="A30" i="69"/>
  <c r="F30" i="69"/>
  <c r="G30" i="69"/>
  <c r="H30" i="69"/>
  <c r="K30" i="69"/>
  <c r="L30" i="69"/>
  <c r="A31" i="69"/>
  <c r="F31" i="69"/>
  <c r="G31" i="69"/>
  <c r="H31" i="69"/>
  <c r="K31" i="69"/>
  <c r="L31" i="69"/>
  <c r="A32" i="69"/>
  <c r="F32" i="69"/>
  <c r="G32" i="69"/>
  <c r="H32" i="69"/>
  <c r="K32" i="69"/>
  <c r="L32" i="69"/>
  <c r="A33" i="69"/>
  <c r="F33" i="69"/>
  <c r="G33" i="69"/>
  <c r="H33" i="69"/>
  <c r="K33" i="69"/>
  <c r="L33" i="69"/>
  <c r="B34" i="69"/>
  <c r="C34" i="69"/>
  <c r="D34" i="69"/>
  <c r="E34" i="69"/>
  <c r="F34" i="69"/>
  <c r="G34" i="69"/>
  <c r="H34" i="69"/>
  <c r="I34" i="69"/>
  <c r="J34" i="69"/>
  <c r="K34" i="69"/>
  <c r="L34" i="69"/>
  <c r="M34" i="69"/>
  <c r="N34" i="69"/>
  <c r="O34" i="69"/>
  <c r="P34" i="69"/>
  <c r="A4" i="68"/>
  <c r="F4" i="68"/>
  <c r="G4" i="68"/>
  <c r="H4" i="68"/>
  <c r="K4" i="68"/>
  <c r="L4" i="68"/>
  <c r="A5" i="68"/>
  <c r="F5" i="68"/>
  <c r="G5" i="68"/>
  <c r="H5" i="68"/>
  <c r="K5" i="68"/>
  <c r="L5" i="68"/>
  <c r="A6" i="68"/>
  <c r="F6" i="68"/>
  <c r="G6" i="68"/>
  <c r="H6" i="68"/>
  <c r="K6" i="68"/>
  <c r="L6" i="68"/>
  <c r="A7" i="68"/>
  <c r="F7" i="68"/>
  <c r="G7" i="68"/>
  <c r="H7" i="68"/>
  <c r="K7" i="68"/>
  <c r="L7" i="68"/>
  <c r="A8" i="68"/>
  <c r="F8" i="68"/>
  <c r="G8" i="68"/>
  <c r="H8" i="68"/>
  <c r="K8" i="68"/>
  <c r="L8" i="68"/>
  <c r="A9" i="68"/>
  <c r="F9" i="68"/>
  <c r="G9" i="68"/>
  <c r="H9" i="68"/>
  <c r="K9" i="68"/>
  <c r="L9" i="68"/>
  <c r="A10" i="68"/>
  <c r="F10" i="68"/>
  <c r="G10" i="68"/>
  <c r="H10" i="68"/>
  <c r="K10" i="68"/>
  <c r="L10" i="68"/>
  <c r="A11" i="68"/>
  <c r="F11" i="68"/>
  <c r="G11" i="68"/>
  <c r="H11" i="68"/>
  <c r="K11" i="68"/>
  <c r="L11" i="68"/>
  <c r="A12" i="68"/>
  <c r="F12" i="68"/>
  <c r="G12" i="68"/>
  <c r="H12" i="68"/>
  <c r="K12" i="68"/>
  <c r="L12" i="68"/>
  <c r="A13" i="68"/>
  <c r="F13" i="68"/>
  <c r="G13" i="68"/>
  <c r="H13" i="68"/>
  <c r="K13" i="68"/>
  <c r="L13" i="68"/>
  <c r="A14" i="68"/>
  <c r="F14" i="68"/>
  <c r="G14" i="68"/>
  <c r="H14" i="68"/>
  <c r="K14" i="68"/>
  <c r="L14" i="68"/>
  <c r="A15" i="68"/>
  <c r="F15" i="68"/>
  <c r="G15" i="68"/>
  <c r="H15" i="68"/>
  <c r="K15" i="68"/>
  <c r="L15" i="68"/>
  <c r="A16" i="68"/>
  <c r="F16" i="68"/>
  <c r="G16" i="68"/>
  <c r="H16" i="68"/>
  <c r="K16" i="68"/>
  <c r="L16" i="68"/>
  <c r="A17" i="68"/>
  <c r="F17" i="68"/>
  <c r="G17" i="68"/>
  <c r="H17" i="68"/>
  <c r="K17" i="68"/>
  <c r="L17" i="68"/>
  <c r="A18" i="68"/>
  <c r="F18" i="68"/>
  <c r="G18" i="68"/>
  <c r="H18" i="68"/>
  <c r="K18" i="68"/>
  <c r="L18" i="68"/>
  <c r="A19" i="68"/>
  <c r="F19" i="68"/>
  <c r="G19" i="68"/>
  <c r="H19" i="68"/>
  <c r="K19" i="68"/>
  <c r="L19" i="68"/>
  <c r="A20" i="68"/>
  <c r="F20" i="68"/>
  <c r="G20" i="68"/>
  <c r="H20" i="68"/>
  <c r="K20" i="68"/>
  <c r="L20" i="68"/>
  <c r="A21" i="68"/>
  <c r="F21" i="68"/>
  <c r="G21" i="68"/>
  <c r="H21" i="68"/>
  <c r="K21" i="68"/>
  <c r="L21" i="68"/>
  <c r="A22" i="68"/>
  <c r="F22" i="68"/>
  <c r="G22" i="68"/>
  <c r="H22" i="68"/>
  <c r="K22" i="68"/>
  <c r="L22" i="68"/>
  <c r="A23" i="68"/>
  <c r="F23" i="68"/>
  <c r="G23" i="68"/>
  <c r="H23" i="68"/>
  <c r="K23" i="68"/>
  <c r="L23" i="68"/>
  <c r="A24" i="68"/>
  <c r="F24" i="68"/>
  <c r="G24" i="68"/>
  <c r="H24" i="68"/>
  <c r="K24" i="68"/>
  <c r="L24" i="68"/>
  <c r="A25" i="68"/>
  <c r="F25" i="68"/>
  <c r="G25" i="68"/>
  <c r="H25" i="68"/>
  <c r="K25" i="68"/>
  <c r="L25" i="68"/>
  <c r="A26" i="68"/>
  <c r="F26" i="68"/>
  <c r="G26" i="68"/>
  <c r="H26" i="68"/>
  <c r="K26" i="68"/>
  <c r="L26" i="68"/>
  <c r="A27" i="68"/>
  <c r="F27" i="68"/>
  <c r="G27" i="68"/>
  <c r="H27" i="68"/>
  <c r="K27" i="68"/>
  <c r="L27" i="68"/>
  <c r="A28" i="68"/>
  <c r="F28" i="68"/>
  <c r="G28" i="68"/>
  <c r="H28" i="68"/>
  <c r="K28" i="68"/>
  <c r="L28" i="68"/>
  <c r="A29" i="68"/>
  <c r="F29" i="68"/>
  <c r="G29" i="68"/>
  <c r="H29" i="68"/>
  <c r="K29" i="68"/>
  <c r="L29" i="68"/>
  <c r="A30" i="68"/>
  <c r="F30" i="68"/>
  <c r="G30" i="68"/>
  <c r="H30" i="68"/>
  <c r="K30" i="68"/>
  <c r="L30" i="68"/>
  <c r="A31" i="68"/>
  <c r="F31" i="68"/>
  <c r="G31" i="68"/>
  <c r="H31" i="68"/>
  <c r="K31" i="68"/>
  <c r="L31" i="68"/>
  <c r="A32" i="68"/>
  <c r="F32" i="68"/>
  <c r="G32" i="68"/>
  <c r="H32" i="68"/>
  <c r="K32" i="68"/>
  <c r="L32" i="68"/>
  <c r="A33" i="68"/>
  <c r="F33" i="68"/>
  <c r="G33" i="68"/>
  <c r="H33" i="68"/>
  <c r="K33" i="68"/>
  <c r="L33" i="68"/>
  <c r="B34" i="68"/>
  <c r="C34" i="68"/>
  <c r="D34" i="68"/>
  <c r="E34" i="68"/>
  <c r="F34" i="68"/>
  <c r="G34" i="68"/>
  <c r="H34" i="68"/>
  <c r="I34" i="68"/>
  <c r="J34" i="68"/>
  <c r="K34" i="68"/>
  <c r="L34" i="68"/>
  <c r="M34" i="68"/>
  <c r="N34" i="68"/>
  <c r="O34" i="68"/>
  <c r="P34" i="68"/>
  <c r="A4" i="67"/>
  <c r="F4" i="67"/>
  <c r="G4" i="67"/>
  <c r="H4" i="67"/>
  <c r="K4" i="67"/>
  <c r="L4" i="67"/>
  <c r="A5" i="67"/>
  <c r="F5" i="67"/>
  <c r="G5" i="67"/>
  <c r="H5" i="67"/>
  <c r="K5" i="67"/>
  <c r="L5" i="67"/>
  <c r="A6" i="67"/>
  <c r="F6" i="67"/>
  <c r="G6" i="67"/>
  <c r="H6" i="67"/>
  <c r="K6" i="67"/>
  <c r="L6" i="67"/>
  <c r="A7" i="67"/>
  <c r="F7" i="67"/>
  <c r="G7" i="67"/>
  <c r="H7" i="67"/>
  <c r="K7" i="67"/>
  <c r="L7" i="67"/>
  <c r="A8" i="67"/>
  <c r="F8" i="67"/>
  <c r="G8" i="67"/>
  <c r="H8" i="67"/>
  <c r="K8" i="67"/>
  <c r="L8" i="67"/>
  <c r="A9" i="67"/>
  <c r="F9" i="67"/>
  <c r="G9" i="67"/>
  <c r="H9" i="67"/>
  <c r="K9" i="67"/>
  <c r="L9" i="67"/>
  <c r="A10" i="67"/>
  <c r="F10" i="67"/>
  <c r="G10" i="67"/>
  <c r="H10" i="67"/>
  <c r="K10" i="67"/>
  <c r="L10" i="67"/>
  <c r="A11" i="67"/>
  <c r="F11" i="67"/>
  <c r="G11" i="67"/>
  <c r="H11" i="67"/>
  <c r="K11" i="67"/>
  <c r="L11" i="67"/>
  <c r="A12" i="67"/>
  <c r="F12" i="67"/>
  <c r="G12" i="67"/>
  <c r="H12" i="67"/>
  <c r="K12" i="67"/>
  <c r="L12" i="67"/>
  <c r="A13" i="67"/>
  <c r="F13" i="67"/>
  <c r="G13" i="67"/>
  <c r="H13" i="67"/>
  <c r="K13" i="67"/>
  <c r="L13" i="67"/>
  <c r="A14" i="67"/>
  <c r="F14" i="67"/>
  <c r="G14" i="67"/>
  <c r="H14" i="67"/>
  <c r="K14" i="67"/>
  <c r="L14" i="67"/>
  <c r="A15" i="67"/>
  <c r="F15" i="67"/>
  <c r="G15" i="67"/>
  <c r="H15" i="67"/>
  <c r="K15" i="67"/>
  <c r="L15" i="67"/>
  <c r="A16" i="67"/>
  <c r="F16" i="67"/>
  <c r="G16" i="67"/>
  <c r="H16" i="67"/>
  <c r="K16" i="67"/>
  <c r="L16" i="67"/>
  <c r="A17" i="67"/>
  <c r="F17" i="67"/>
  <c r="G17" i="67"/>
  <c r="H17" i="67"/>
  <c r="K17" i="67"/>
  <c r="L17" i="67"/>
  <c r="A18" i="67"/>
  <c r="F18" i="67"/>
  <c r="G18" i="67"/>
  <c r="H18" i="67"/>
  <c r="K18" i="67"/>
  <c r="L18" i="67"/>
  <c r="A19" i="67"/>
  <c r="F19" i="67"/>
  <c r="G19" i="67"/>
  <c r="H19" i="67"/>
  <c r="K19" i="67"/>
  <c r="L19" i="67"/>
  <c r="A20" i="67"/>
  <c r="F20" i="67"/>
  <c r="G20" i="67"/>
  <c r="H20" i="67"/>
  <c r="K20" i="67"/>
  <c r="L20" i="67"/>
  <c r="A21" i="67"/>
  <c r="F21" i="67"/>
  <c r="G21" i="67"/>
  <c r="H21" i="67"/>
  <c r="K21" i="67"/>
  <c r="L21" i="67"/>
  <c r="A22" i="67"/>
  <c r="F22" i="67"/>
  <c r="G22" i="67"/>
  <c r="H22" i="67"/>
  <c r="K22" i="67"/>
  <c r="L22" i="67"/>
  <c r="A23" i="67"/>
  <c r="F23" i="67"/>
  <c r="G23" i="67"/>
  <c r="H23" i="67"/>
  <c r="K23" i="67"/>
  <c r="L23" i="67"/>
  <c r="A24" i="67"/>
  <c r="F24" i="67"/>
  <c r="G24" i="67"/>
  <c r="H24" i="67"/>
  <c r="K24" i="67"/>
  <c r="L24" i="67"/>
  <c r="A25" i="67"/>
  <c r="F25" i="67"/>
  <c r="G25" i="67"/>
  <c r="H25" i="67"/>
  <c r="K25" i="67"/>
  <c r="L25" i="67"/>
  <c r="A26" i="67"/>
  <c r="F26" i="67"/>
  <c r="G26" i="67"/>
  <c r="H26" i="67"/>
  <c r="K26" i="67"/>
  <c r="L26" i="67"/>
  <c r="A27" i="67"/>
  <c r="F27" i="67"/>
  <c r="G27" i="67"/>
  <c r="H27" i="67"/>
  <c r="K27" i="67"/>
  <c r="L27" i="67"/>
  <c r="A28" i="67"/>
  <c r="F28" i="67"/>
  <c r="G28" i="67"/>
  <c r="H28" i="67"/>
  <c r="K28" i="67"/>
  <c r="L28" i="67"/>
  <c r="A29" i="67"/>
  <c r="F29" i="67"/>
  <c r="G29" i="67"/>
  <c r="H29" i="67"/>
  <c r="K29" i="67"/>
  <c r="L29" i="67"/>
  <c r="A30" i="67"/>
  <c r="F30" i="67"/>
  <c r="G30" i="67"/>
  <c r="H30" i="67"/>
  <c r="K30" i="67"/>
  <c r="L30" i="67"/>
  <c r="A31" i="67"/>
  <c r="F31" i="67"/>
  <c r="G31" i="67"/>
  <c r="H31" i="67"/>
  <c r="K31" i="67"/>
  <c r="L31" i="67"/>
  <c r="A32" i="67"/>
  <c r="F32" i="67"/>
  <c r="G32" i="67"/>
  <c r="H32" i="67"/>
  <c r="K32" i="67"/>
  <c r="L32" i="67"/>
  <c r="A33" i="67"/>
  <c r="F33" i="67"/>
  <c r="G33" i="67"/>
  <c r="H33" i="67"/>
  <c r="K33" i="67"/>
  <c r="L33" i="67"/>
  <c r="B34" i="67"/>
  <c r="C34" i="67"/>
  <c r="D34" i="67"/>
  <c r="E34" i="67"/>
  <c r="F34" i="67"/>
  <c r="G34" i="67"/>
  <c r="H34" i="67"/>
  <c r="I34" i="67"/>
  <c r="J34" i="67"/>
  <c r="K34" i="67"/>
  <c r="L34" i="67"/>
  <c r="M34" i="67"/>
  <c r="N34" i="67"/>
  <c r="O34" i="67"/>
  <c r="P34" i="67"/>
  <c r="P34" i="66"/>
  <c r="O34" i="66"/>
  <c r="N34" i="66"/>
  <c r="M34" i="66"/>
  <c r="J34" i="66"/>
  <c r="I34" i="66"/>
  <c r="E34" i="66"/>
  <c r="D34" i="66"/>
  <c r="L34" i="66"/>
  <c r="C34" i="66"/>
  <c r="B34" i="66"/>
  <c r="L33" i="66"/>
  <c r="K33" i="66"/>
  <c r="H33" i="66"/>
  <c r="G33" i="66"/>
  <c r="F33" i="66"/>
  <c r="L32" i="66"/>
  <c r="K32" i="66"/>
  <c r="H32" i="66"/>
  <c r="G32" i="66"/>
  <c r="F32" i="66"/>
  <c r="L31" i="66"/>
  <c r="K31" i="66"/>
  <c r="H31" i="66"/>
  <c r="G31" i="66"/>
  <c r="F31" i="66"/>
  <c r="L30" i="66"/>
  <c r="K30" i="66"/>
  <c r="H30" i="66"/>
  <c r="G30" i="66"/>
  <c r="F30" i="66"/>
  <c r="L29" i="66"/>
  <c r="K29" i="66"/>
  <c r="H29" i="66"/>
  <c r="G29" i="66"/>
  <c r="F29" i="66"/>
  <c r="L28" i="66"/>
  <c r="K28" i="66"/>
  <c r="H28" i="66"/>
  <c r="G28" i="66"/>
  <c r="F28" i="66"/>
  <c r="L27" i="66"/>
  <c r="K27" i="66"/>
  <c r="H27" i="66"/>
  <c r="G27" i="66"/>
  <c r="F27" i="66"/>
  <c r="L26" i="66"/>
  <c r="K26" i="66"/>
  <c r="H26" i="66"/>
  <c r="G26" i="66"/>
  <c r="F26" i="66"/>
  <c r="L25" i="66"/>
  <c r="K25" i="66"/>
  <c r="H25" i="66"/>
  <c r="G25" i="66"/>
  <c r="F25" i="66"/>
  <c r="L24" i="66"/>
  <c r="K24" i="66"/>
  <c r="H24" i="66"/>
  <c r="G24" i="66"/>
  <c r="F24" i="66"/>
  <c r="L23" i="66"/>
  <c r="K23" i="66"/>
  <c r="H23" i="66"/>
  <c r="G23" i="66"/>
  <c r="F23" i="66"/>
  <c r="L22" i="66"/>
  <c r="K22" i="66"/>
  <c r="H22" i="66"/>
  <c r="G22" i="66"/>
  <c r="F22" i="66"/>
  <c r="L21" i="66"/>
  <c r="K21" i="66"/>
  <c r="H21" i="66"/>
  <c r="G21" i="66"/>
  <c r="F21" i="66"/>
  <c r="L20" i="66"/>
  <c r="K20" i="66"/>
  <c r="H20" i="66"/>
  <c r="G20" i="66"/>
  <c r="F20" i="66"/>
  <c r="L19" i="66"/>
  <c r="K19" i="66"/>
  <c r="H19" i="66"/>
  <c r="G19" i="66"/>
  <c r="F19" i="66"/>
  <c r="L18" i="66"/>
  <c r="K18" i="66"/>
  <c r="H18" i="66"/>
  <c r="G18" i="66"/>
  <c r="F18" i="66"/>
  <c r="L17" i="66"/>
  <c r="K17" i="66"/>
  <c r="H17" i="66"/>
  <c r="G17" i="66"/>
  <c r="F17" i="66"/>
  <c r="L16" i="66"/>
  <c r="K16" i="66"/>
  <c r="H16" i="66"/>
  <c r="G16" i="66"/>
  <c r="F16" i="66"/>
  <c r="L15" i="66"/>
  <c r="K15" i="66"/>
  <c r="H15" i="66"/>
  <c r="G15" i="66"/>
  <c r="F15" i="66"/>
  <c r="L14" i="66"/>
  <c r="K14" i="66"/>
  <c r="H14" i="66"/>
  <c r="G14" i="66"/>
  <c r="F14" i="66"/>
  <c r="L13" i="66"/>
  <c r="K13" i="66"/>
  <c r="H13" i="66"/>
  <c r="G13" i="66"/>
  <c r="F13" i="66"/>
  <c r="L12" i="66"/>
  <c r="K12" i="66"/>
  <c r="H12" i="66"/>
  <c r="G12" i="66"/>
  <c r="F12" i="66"/>
  <c r="L11" i="66"/>
  <c r="K11" i="66"/>
  <c r="H11" i="66"/>
  <c r="G11" i="66"/>
  <c r="F11" i="66"/>
  <c r="L10" i="66"/>
  <c r="K10" i="66"/>
  <c r="H10" i="66"/>
  <c r="G10" i="66"/>
  <c r="F10" i="66"/>
  <c r="L9" i="66"/>
  <c r="K9" i="66"/>
  <c r="H9" i="66"/>
  <c r="G9" i="66"/>
  <c r="F9" i="66"/>
  <c r="L8" i="66"/>
  <c r="K8" i="66"/>
  <c r="H8" i="66"/>
  <c r="G8" i="66"/>
  <c r="F8" i="66"/>
  <c r="L7" i="66"/>
  <c r="K7" i="66"/>
  <c r="H7" i="66"/>
  <c r="G7" i="66"/>
  <c r="F7" i="66"/>
  <c r="L6" i="66"/>
  <c r="K6" i="66"/>
  <c r="H6" i="66"/>
  <c r="G6" i="66"/>
  <c r="F6" i="66"/>
  <c r="L5" i="66"/>
  <c r="K5" i="66"/>
  <c r="H5" i="66"/>
  <c r="G5" i="66"/>
  <c r="F5" i="66"/>
  <c r="L4" i="66"/>
  <c r="K4" i="66"/>
  <c r="H4" i="66"/>
  <c r="H34" i="66"/>
  <c r="G4" i="66"/>
  <c r="G34" i="66"/>
  <c r="F4" i="66"/>
  <c r="A4" i="66"/>
  <c r="A5" i="66"/>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O34" i="48"/>
  <c r="P34" i="48"/>
  <c r="L34" i="48"/>
  <c r="M34" i="48"/>
  <c r="N34" i="48"/>
  <c r="I34" i="48"/>
  <c r="J34" i="48"/>
  <c r="G34" i="48"/>
  <c r="H34" i="48"/>
  <c r="C34" i="48"/>
  <c r="D34" i="48"/>
  <c r="E34" i="48"/>
  <c r="B34" i="48"/>
  <c r="K5" i="48"/>
  <c r="L5" i="48"/>
  <c r="K6" i="48"/>
  <c r="L6" i="48"/>
  <c r="K7" i="48"/>
  <c r="L7" i="48"/>
  <c r="K8" i="48"/>
  <c r="L8" i="48"/>
  <c r="K9" i="48"/>
  <c r="L9" i="48"/>
  <c r="K10" i="48"/>
  <c r="L10" i="48"/>
  <c r="K11" i="48"/>
  <c r="L11" i="48"/>
  <c r="K12" i="48"/>
  <c r="L12" i="48"/>
  <c r="K13" i="48"/>
  <c r="L13" i="48"/>
  <c r="K14" i="48"/>
  <c r="L14" i="48"/>
  <c r="K15" i="48"/>
  <c r="L15" i="48"/>
  <c r="K16" i="48"/>
  <c r="L16" i="48"/>
  <c r="K17" i="48"/>
  <c r="L17" i="48"/>
  <c r="K18" i="48"/>
  <c r="L18" i="48"/>
  <c r="K19" i="48"/>
  <c r="L19" i="48"/>
  <c r="K20" i="48"/>
  <c r="L20" i="48"/>
  <c r="K21" i="48"/>
  <c r="L21" i="48"/>
  <c r="K22" i="48"/>
  <c r="L22" i="48"/>
  <c r="K23" i="48"/>
  <c r="L23" i="48"/>
  <c r="K24" i="48"/>
  <c r="L24" i="48"/>
  <c r="K25" i="48"/>
  <c r="L25" i="48"/>
  <c r="K26" i="48"/>
  <c r="L26" i="48"/>
  <c r="K27" i="48"/>
  <c r="L27" i="48"/>
  <c r="K28" i="48"/>
  <c r="L28" i="48"/>
  <c r="F5" i="48"/>
  <c r="G5" i="48"/>
  <c r="H5" i="48"/>
  <c r="F6" i="48"/>
  <c r="G6" i="48"/>
  <c r="H6" i="48"/>
  <c r="F7" i="48"/>
  <c r="G7" i="48"/>
  <c r="H7" i="48"/>
  <c r="F8" i="48"/>
  <c r="G8" i="48"/>
  <c r="H8" i="48"/>
  <c r="F9" i="48"/>
  <c r="G9" i="48"/>
  <c r="H9" i="48"/>
  <c r="F10" i="48"/>
  <c r="G10" i="48"/>
  <c r="H10" i="48"/>
  <c r="F11" i="48"/>
  <c r="G11" i="48"/>
  <c r="H11" i="48"/>
  <c r="F12" i="48"/>
  <c r="G12" i="48"/>
  <c r="H12" i="48"/>
  <c r="F13" i="48"/>
  <c r="G13" i="48"/>
  <c r="H13" i="48"/>
  <c r="F14" i="48"/>
  <c r="G14" i="48"/>
  <c r="H14" i="48"/>
  <c r="F15" i="48"/>
  <c r="G15" i="48"/>
  <c r="H15" i="48"/>
  <c r="F16" i="48"/>
  <c r="G16" i="48"/>
  <c r="H16" i="48"/>
  <c r="F17" i="48"/>
  <c r="G17" i="48"/>
  <c r="H17" i="48"/>
  <c r="F18" i="48"/>
  <c r="G18" i="48"/>
  <c r="H18" i="48"/>
  <c r="F19" i="48"/>
  <c r="G19" i="48"/>
  <c r="H19" i="48"/>
  <c r="F20" i="48"/>
  <c r="G20" i="48"/>
  <c r="H20" i="48"/>
  <c r="F21" i="48"/>
  <c r="G21" i="48"/>
  <c r="H21" i="48"/>
  <c r="F22" i="48"/>
  <c r="G22" i="48"/>
  <c r="H22" i="48"/>
  <c r="F23" i="48"/>
  <c r="G23" i="48"/>
  <c r="H23" i="48"/>
  <c r="F24" i="48"/>
  <c r="G24" i="48"/>
  <c r="H24" i="48"/>
  <c r="F25" i="48"/>
  <c r="G25" i="48"/>
  <c r="H25" i="48"/>
  <c r="F26" i="48"/>
  <c r="G26" i="48"/>
  <c r="H26" i="48"/>
  <c r="F27" i="48"/>
  <c r="G27" i="48"/>
  <c r="H27" i="48"/>
  <c r="F28" i="48"/>
  <c r="G28" i="48"/>
  <c r="H28" i="48"/>
  <c r="K4" i="48"/>
  <c r="L4" i="48"/>
  <c r="F4" i="48"/>
  <c r="G4" i="48"/>
  <c r="H4" i="48"/>
  <c r="P34" i="65"/>
  <c r="O34" i="65"/>
  <c r="N34" i="65"/>
  <c r="M34" i="65"/>
  <c r="J34" i="65"/>
  <c r="I34" i="65"/>
  <c r="E34" i="65"/>
  <c r="D34" i="65"/>
  <c r="L34" i="65"/>
  <c r="C34" i="65"/>
  <c r="B34" i="65"/>
  <c r="L33" i="65"/>
  <c r="K33" i="65"/>
  <c r="H33" i="65"/>
  <c r="G33" i="65"/>
  <c r="F33" i="65"/>
  <c r="L32" i="65"/>
  <c r="K32" i="65"/>
  <c r="H32" i="65"/>
  <c r="G32" i="65"/>
  <c r="F32" i="65"/>
  <c r="L31" i="65"/>
  <c r="K31" i="65"/>
  <c r="H31" i="65"/>
  <c r="G31" i="65"/>
  <c r="F31" i="65"/>
  <c r="L30" i="65"/>
  <c r="K30" i="65"/>
  <c r="H30" i="65"/>
  <c r="G30" i="65"/>
  <c r="F30" i="65"/>
  <c r="L29" i="65"/>
  <c r="K29" i="65"/>
  <c r="H29" i="65"/>
  <c r="G29" i="65"/>
  <c r="F29" i="65"/>
  <c r="L28" i="65"/>
  <c r="K28" i="65"/>
  <c r="H28" i="65"/>
  <c r="G28" i="65"/>
  <c r="F28" i="65"/>
  <c r="L27" i="65"/>
  <c r="K27" i="65"/>
  <c r="H27" i="65"/>
  <c r="G27" i="65"/>
  <c r="F27" i="65"/>
  <c r="L26" i="65"/>
  <c r="K26" i="65"/>
  <c r="H26" i="65"/>
  <c r="G26" i="65"/>
  <c r="F26" i="65"/>
  <c r="L25" i="65"/>
  <c r="K25" i="65"/>
  <c r="H25" i="65"/>
  <c r="G25" i="65"/>
  <c r="F25" i="65"/>
  <c r="L24" i="65"/>
  <c r="K24" i="65"/>
  <c r="H24" i="65"/>
  <c r="G24" i="65"/>
  <c r="F24" i="65"/>
  <c r="L23" i="65"/>
  <c r="K23" i="65"/>
  <c r="H23" i="65"/>
  <c r="G23" i="65"/>
  <c r="F23" i="65"/>
  <c r="L22" i="65"/>
  <c r="K22" i="65"/>
  <c r="H22" i="65"/>
  <c r="G22" i="65"/>
  <c r="F22" i="65"/>
  <c r="L21" i="65"/>
  <c r="K21" i="65"/>
  <c r="H21" i="65"/>
  <c r="G21" i="65"/>
  <c r="F21" i="65"/>
  <c r="L20" i="65"/>
  <c r="K20" i="65"/>
  <c r="H20" i="65"/>
  <c r="G20" i="65"/>
  <c r="F20" i="65"/>
  <c r="L19" i="65"/>
  <c r="K19" i="65"/>
  <c r="H19" i="65"/>
  <c r="G19" i="65"/>
  <c r="F19" i="65"/>
  <c r="L18" i="65"/>
  <c r="K18" i="65"/>
  <c r="H18" i="65"/>
  <c r="G18" i="65"/>
  <c r="F18" i="65"/>
  <c r="L17" i="65"/>
  <c r="K17" i="65"/>
  <c r="H17" i="65"/>
  <c r="G17" i="65"/>
  <c r="F17" i="65"/>
  <c r="L16" i="65"/>
  <c r="K16" i="65"/>
  <c r="H16" i="65"/>
  <c r="G16" i="65"/>
  <c r="F16" i="65"/>
  <c r="L15" i="65"/>
  <c r="K15" i="65"/>
  <c r="H15" i="65"/>
  <c r="G15" i="65"/>
  <c r="F15" i="65"/>
  <c r="L14" i="65"/>
  <c r="K14" i="65"/>
  <c r="H14" i="65"/>
  <c r="G14" i="65"/>
  <c r="F14" i="65"/>
  <c r="L13" i="65"/>
  <c r="K13" i="65"/>
  <c r="H13" i="65"/>
  <c r="G13" i="65"/>
  <c r="F13" i="65"/>
  <c r="L12" i="65"/>
  <c r="K12" i="65"/>
  <c r="H12" i="65"/>
  <c r="G12" i="65"/>
  <c r="F12" i="65"/>
  <c r="L11" i="65"/>
  <c r="K11" i="65"/>
  <c r="H11" i="65"/>
  <c r="G11" i="65"/>
  <c r="F11" i="65"/>
  <c r="L10" i="65"/>
  <c r="K10" i="65"/>
  <c r="H10" i="65"/>
  <c r="G10" i="65"/>
  <c r="F10" i="65"/>
  <c r="L9" i="65"/>
  <c r="K9" i="65"/>
  <c r="H9" i="65"/>
  <c r="G9" i="65"/>
  <c r="F9" i="65"/>
  <c r="L8" i="65"/>
  <c r="K8" i="65"/>
  <c r="H8" i="65"/>
  <c r="G8" i="65"/>
  <c r="F8" i="65"/>
  <c r="L7" i="65"/>
  <c r="K7" i="65"/>
  <c r="H7" i="65"/>
  <c r="G7" i="65"/>
  <c r="F7" i="65"/>
  <c r="L6" i="65"/>
  <c r="K6" i="65"/>
  <c r="H6" i="65"/>
  <c r="G6" i="65"/>
  <c r="F6" i="65"/>
  <c r="L5" i="65"/>
  <c r="K5" i="65"/>
  <c r="H5" i="65"/>
  <c r="G5" i="65"/>
  <c r="F5" i="65"/>
  <c r="L4" i="65"/>
  <c r="K4" i="65"/>
  <c r="H4" i="65"/>
  <c r="H34" i="65"/>
  <c r="G4" i="65"/>
  <c r="G34" i="65"/>
  <c r="F4" i="65"/>
  <c r="A4" i="65"/>
  <c r="A5" i="65"/>
  <c r="A6" i="65"/>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O34" i="47"/>
  <c r="P34" i="47"/>
  <c r="L34" i="47"/>
  <c r="M34" i="47"/>
  <c r="N34" i="47"/>
  <c r="I34" i="47"/>
  <c r="J34" i="47"/>
  <c r="K34" i="47" s="1"/>
  <c r="H34" i="47"/>
  <c r="G34" i="47"/>
  <c r="C34" i="47"/>
  <c r="D34" i="47"/>
  <c r="F34" i="47" s="1"/>
  <c r="E34" i="47"/>
  <c r="B34" i="47"/>
  <c r="K5" i="47"/>
  <c r="L5" i="47"/>
  <c r="K6" i="47"/>
  <c r="L6" i="47"/>
  <c r="K7" i="47"/>
  <c r="L7" i="47"/>
  <c r="K8" i="47"/>
  <c r="L8" i="47"/>
  <c r="K9" i="47"/>
  <c r="L9" i="47"/>
  <c r="K10" i="47"/>
  <c r="L10" i="47"/>
  <c r="K11" i="47"/>
  <c r="L11" i="47"/>
  <c r="K12" i="47"/>
  <c r="L12" i="47"/>
  <c r="K13" i="47"/>
  <c r="L13" i="47"/>
  <c r="K14" i="47"/>
  <c r="L14" i="47"/>
  <c r="K15" i="47"/>
  <c r="L15" i="47"/>
  <c r="K16" i="47"/>
  <c r="L16" i="47"/>
  <c r="K17" i="47"/>
  <c r="L17" i="47"/>
  <c r="K18" i="47"/>
  <c r="L18" i="47"/>
  <c r="K19" i="47"/>
  <c r="L19" i="47"/>
  <c r="K20" i="47"/>
  <c r="L20" i="47"/>
  <c r="K21" i="47"/>
  <c r="L21" i="47"/>
  <c r="K22" i="47"/>
  <c r="L22" i="47"/>
  <c r="K23" i="47"/>
  <c r="L23" i="47"/>
  <c r="K24" i="47"/>
  <c r="L24" i="47"/>
  <c r="K25" i="47"/>
  <c r="L25" i="47"/>
  <c r="K26" i="47"/>
  <c r="L26" i="47"/>
  <c r="K27" i="47"/>
  <c r="L27" i="47"/>
  <c r="K28" i="47"/>
  <c r="L28" i="47"/>
  <c r="F5" i="47"/>
  <c r="G5" i="47"/>
  <c r="H5" i="47"/>
  <c r="F6" i="47"/>
  <c r="G6" i="47"/>
  <c r="H6" i="47"/>
  <c r="F7" i="47"/>
  <c r="G7" i="47"/>
  <c r="H7" i="47"/>
  <c r="F8" i="47"/>
  <c r="G8" i="47"/>
  <c r="H8" i="47"/>
  <c r="F9" i="47"/>
  <c r="G9" i="47"/>
  <c r="H9" i="47"/>
  <c r="F10" i="47"/>
  <c r="G10" i="47"/>
  <c r="H10" i="47"/>
  <c r="F11" i="47"/>
  <c r="G11" i="47"/>
  <c r="H11" i="47"/>
  <c r="F12" i="47"/>
  <c r="G12" i="47"/>
  <c r="H12" i="47"/>
  <c r="F13" i="47"/>
  <c r="G13" i="47"/>
  <c r="H13" i="47"/>
  <c r="F14" i="47"/>
  <c r="G14" i="47"/>
  <c r="H14" i="47"/>
  <c r="F15" i="47"/>
  <c r="G15" i="47"/>
  <c r="H15" i="47"/>
  <c r="F16" i="47"/>
  <c r="G16" i="47"/>
  <c r="H16" i="47"/>
  <c r="F17" i="47"/>
  <c r="G17" i="47"/>
  <c r="H17" i="47"/>
  <c r="F18" i="47"/>
  <c r="G18" i="47"/>
  <c r="H18" i="47"/>
  <c r="F19" i="47"/>
  <c r="G19" i="47"/>
  <c r="H19" i="47"/>
  <c r="F20" i="47"/>
  <c r="G20" i="47"/>
  <c r="H20" i="47"/>
  <c r="F21" i="47"/>
  <c r="G21" i="47"/>
  <c r="H21" i="47"/>
  <c r="F22" i="47"/>
  <c r="G22" i="47"/>
  <c r="H22" i="47"/>
  <c r="F23" i="47"/>
  <c r="G23" i="47"/>
  <c r="H23" i="47"/>
  <c r="F24" i="47"/>
  <c r="G24" i="47"/>
  <c r="H24" i="47"/>
  <c r="F25" i="47"/>
  <c r="G25" i="47"/>
  <c r="H25" i="47"/>
  <c r="F26" i="47"/>
  <c r="G26" i="47"/>
  <c r="H26" i="47"/>
  <c r="F27" i="47"/>
  <c r="G27" i="47"/>
  <c r="H27" i="47"/>
  <c r="F28" i="47"/>
  <c r="G28" i="47"/>
  <c r="H28" i="47"/>
  <c r="K4" i="47"/>
  <c r="L4" i="47"/>
  <c r="F4" i="47"/>
  <c r="G4" i="47"/>
  <c r="H4" i="47"/>
  <c r="O34" i="46"/>
  <c r="P34" i="46"/>
  <c r="L34" i="46"/>
  <c r="M34" i="46"/>
  <c r="N34" i="46"/>
  <c r="I34" i="46"/>
  <c r="J34" i="46"/>
  <c r="H34" i="46"/>
  <c r="G34" i="46"/>
  <c r="C34" i="46"/>
  <c r="D34" i="46"/>
  <c r="E34" i="46"/>
  <c r="B34" i="46"/>
  <c r="K5" i="46"/>
  <c r="L5" i="46"/>
  <c r="K6" i="46"/>
  <c r="L6" i="46"/>
  <c r="K7" i="46"/>
  <c r="L7" i="46"/>
  <c r="K8" i="46"/>
  <c r="L8" i="46"/>
  <c r="K9" i="46"/>
  <c r="L9" i="46"/>
  <c r="K10" i="46"/>
  <c r="L10" i="46"/>
  <c r="K11" i="46"/>
  <c r="L11" i="46"/>
  <c r="K12" i="46"/>
  <c r="L12" i="46"/>
  <c r="K13" i="46"/>
  <c r="L13" i="46"/>
  <c r="K14" i="46"/>
  <c r="L14" i="46"/>
  <c r="K15" i="46"/>
  <c r="L15" i="46"/>
  <c r="K16" i="46"/>
  <c r="L16" i="46"/>
  <c r="K17" i="46"/>
  <c r="L17" i="46"/>
  <c r="K18" i="46"/>
  <c r="L18" i="46"/>
  <c r="K19" i="46"/>
  <c r="L19" i="46"/>
  <c r="K20" i="46"/>
  <c r="L20" i="46"/>
  <c r="K21" i="46"/>
  <c r="L21" i="46"/>
  <c r="K22" i="46"/>
  <c r="L22" i="46"/>
  <c r="K23" i="46"/>
  <c r="L23" i="46"/>
  <c r="K24" i="46"/>
  <c r="L24" i="46"/>
  <c r="K25" i="46"/>
  <c r="L25" i="46"/>
  <c r="K26" i="46"/>
  <c r="L26" i="46"/>
  <c r="K27" i="46"/>
  <c r="L27" i="46"/>
  <c r="K28" i="46"/>
  <c r="L28" i="46"/>
  <c r="K29" i="46"/>
  <c r="L29" i="46"/>
  <c r="F5" i="46"/>
  <c r="G5" i="46"/>
  <c r="H5" i="46"/>
  <c r="F6" i="46"/>
  <c r="G6" i="46"/>
  <c r="H6" i="46"/>
  <c r="F7" i="46"/>
  <c r="G7" i="46"/>
  <c r="H7" i="46"/>
  <c r="F8" i="46"/>
  <c r="G8" i="46"/>
  <c r="H8" i="46"/>
  <c r="F9" i="46"/>
  <c r="G9" i="46"/>
  <c r="H9" i="46"/>
  <c r="F10" i="46"/>
  <c r="G10" i="46"/>
  <c r="H10" i="46"/>
  <c r="F11" i="46"/>
  <c r="G11" i="46"/>
  <c r="H11" i="46"/>
  <c r="F12" i="46"/>
  <c r="G12" i="46"/>
  <c r="H12" i="46"/>
  <c r="F13" i="46"/>
  <c r="G13" i="46"/>
  <c r="H13" i="46"/>
  <c r="F14" i="46"/>
  <c r="G14" i="46"/>
  <c r="H14" i="46"/>
  <c r="F15" i="46"/>
  <c r="G15" i="46"/>
  <c r="H15" i="46"/>
  <c r="F16" i="46"/>
  <c r="G16" i="46"/>
  <c r="H16" i="46"/>
  <c r="F17" i="46"/>
  <c r="G17" i="46"/>
  <c r="H17" i="46"/>
  <c r="F18" i="46"/>
  <c r="G18" i="46"/>
  <c r="H18" i="46"/>
  <c r="F19" i="46"/>
  <c r="G19" i="46"/>
  <c r="H19" i="46"/>
  <c r="F20" i="46"/>
  <c r="G20" i="46"/>
  <c r="H20" i="46"/>
  <c r="F21" i="46"/>
  <c r="G21" i="46"/>
  <c r="H21" i="46"/>
  <c r="F22" i="46"/>
  <c r="G22" i="46"/>
  <c r="H22" i="46"/>
  <c r="F23" i="46"/>
  <c r="G23" i="46"/>
  <c r="H23" i="46"/>
  <c r="F24" i="46"/>
  <c r="G24" i="46"/>
  <c r="H24" i="46"/>
  <c r="F25" i="46"/>
  <c r="G25" i="46"/>
  <c r="H25" i="46"/>
  <c r="F26" i="46"/>
  <c r="G26" i="46"/>
  <c r="H26" i="46"/>
  <c r="F27" i="46"/>
  <c r="G27" i="46"/>
  <c r="H27" i="46"/>
  <c r="F28" i="46"/>
  <c r="G28" i="46"/>
  <c r="H28" i="46"/>
  <c r="F29" i="46"/>
  <c r="G29" i="46"/>
  <c r="H29" i="46"/>
  <c r="K4" i="46"/>
  <c r="L4" i="46"/>
  <c r="F4" i="46"/>
  <c r="G4" i="46"/>
  <c r="H4" i="46"/>
  <c r="P34" i="64"/>
  <c r="O34" i="64"/>
  <c r="N34" i="64"/>
  <c r="M34" i="64"/>
  <c r="J34" i="64"/>
  <c r="I34" i="64"/>
  <c r="E34" i="64"/>
  <c r="D34" i="64"/>
  <c r="L34" i="64"/>
  <c r="C34" i="64"/>
  <c r="B34" i="64"/>
  <c r="L33" i="64"/>
  <c r="K33" i="64"/>
  <c r="H33" i="64"/>
  <c r="G33" i="64"/>
  <c r="F33" i="64"/>
  <c r="L32" i="64"/>
  <c r="K32" i="64"/>
  <c r="H32" i="64"/>
  <c r="G32" i="64"/>
  <c r="F32" i="64"/>
  <c r="L31" i="64"/>
  <c r="K31" i="64"/>
  <c r="H31" i="64"/>
  <c r="G31" i="64"/>
  <c r="F31" i="64"/>
  <c r="L30" i="64"/>
  <c r="K30" i="64"/>
  <c r="H30" i="64"/>
  <c r="G30" i="64"/>
  <c r="F30" i="64"/>
  <c r="L29" i="64"/>
  <c r="K29" i="64"/>
  <c r="H29" i="64"/>
  <c r="G29" i="64"/>
  <c r="F29" i="64"/>
  <c r="L28" i="64"/>
  <c r="K28" i="64"/>
  <c r="H28" i="64"/>
  <c r="G28" i="64"/>
  <c r="F28" i="64"/>
  <c r="L27" i="64"/>
  <c r="K27" i="64"/>
  <c r="H27" i="64"/>
  <c r="G27" i="64"/>
  <c r="F27" i="64"/>
  <c r="L26" i="64"/>
  <c r="K26" i="64"/>
  <c r="H26" i="64"/>
  <c r="G26" i="64"/>
  <c r="F26" i="64"/>
  <c r="L25" i="64"/>
  <c r="K25" i="64"/>
  <c r="H25" i="64"/>
  <c r="G25" i="64"/>
  <c r="F25" i="64"/>
  <c r="L24" i="64"/>
  <c r="K24" i="64"/>
  <c r="H24" i="64"/>
  <c r="G24" i="64"/>
  <c r="F24" i="64"/>
  <c r="L23" i="64"/>
  <c r="K23" i="64"/>
  <c r="H23" i="64"/>
  <c r="G23" i="64"/>
  <c r="F23" i="64"/>
  <c r="L22" i="64"/>
  <c r="K22" i="64"/>
  <c r="H22" i="64"/>
  <c r="G22" i="64"/>
  <c r="F22" i="64"/>
  <c r="L21" i="64"/>
  <c r="K21" i="64"/>
  <c r="H21" i="64"/>
  <c r="G21" i="64"/>
  <c r="F21" i="64"/>
  <c r="L20" i="64"/>
  <c r="K20" i="64"/>
  <c r="H20" i="64"/>
  <c r="G20" i="64"/>
  <c r="F20" i="64"/>
  <c r="L19" i="64"/>
  <c r="K19" i="64"/>
  <c r="H19" i="64"/>
  <c r="G19" i="64"/>
  <c r="F19" i="64"/>
  <c r="L18" i="64"/>
  <c r="K18" i="64"/>
  <c r="H18" i="64"/>
  <c r="G18" i="64"/>
  <c r="F18" i="64"/>
  <c r="L17" i="64"/>
  <c r="K17" i="64"/>
  <c r="H17" i="64"/>
  <c r="G17" i="64"/>
  <c r="F17" i="64"/>
  <c r="L16" i="64"/>
  <c r="K16" i="64"/>
  <c r="H16" i="64"/>
  <c r="G16" i="64"/>
  <c r="F16" i="64"/>
  <c r="L15" i="64"/>
  <c r="K15" i="64"/>
  <c r="H15" i="64"/>
  <c r="G15" i="64"/>
  <c r="F15" i="64"/>
  <c r="L14" i="64"/>
  <c r="K14" i="64"/>
  <c r="H14" i="64"/>
  <c r="G14" i="64"/>
  <c r="F14" i="64"/>
  <c r="L13" i="64"/>
  <c r="K13" i="64"/>
  <c r="H13" i="64"/>
  <c r="G13" i="64"/>
  <c r="F13" i="64"/>
  <c r="L12" i="64"/>
  <c r="K12" i="64"/>
  <c r="H12" i="64"/>
  <c r="G12" i="64"/>
  <c r="F12" i="64"/>
  <c r="L11" i="64"/>
  <c r="K11" i="64"/>
  <c r="H11" i="64"/>
  <c r="G11" i="64"/>
  <c r="F11" i="64"/>
  <c r="L10" i="64"/>
  <c r="K10" i="64"/>
  <c r="H10" i="64"/>
  <c r="G10" i="64"/>
  <c r="F10" i="64"/>
  <c r="L9" i="64"/>
  <c r="K9" i="64"/>
  <c r="H9" i="64"/>
  <c r="G9" i="64"/>
  <c r="F9" i="64"/>
  <c r="L8" i="64"/>
  <c r="K8" i="64"/>
  <c r="H8" i="64"/>
  <c r="G8" i="64"/>
  <c r="F8" i="64"/>
  <c r="L7" i="64"/>
  <c r="K7" i="64"/>
  <c r="H7" i="64"/>
  <c r="G7" i="64"/>
  <c r="F7" i="64"/>
  <c r="L6" i="64"/>
  <c r="K6" i="64"/>
  <c r="H6" i="64"/>
  <c r="G6" i="64"/>
  <c r="F6" i="64"/>
  <c r="L5" i="64"/>
  <c r="K5" i="64"/>
  <c r="H5" i="64"/>
  <c r="G5" i="64"/>
  <c r="F5" i="64"/>
  <c r="L4" i="64"/>
  <c r="K4" i="64"/>
  <c r="H4" i="64"/>
  <c r="H34" i="64"/>
  <c r="G4" i="64"/>
  <c r="G34" i="64"/>
  <c r="F4" i="64"/>
  <c r="A4" i="64"/>
  <c r="A5" i="64"/>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H23" i="14"/>
  <c r="O34" i="45"/>
  <c r="P34" i="45"/>
  <c r="I34" i="45"/>
  <c r="J34" i="45"/>
  <c r="L34" i="45"/>
  <c r="M34" i="45"/>
  <c r="N34" i="45"/>
  <c r="H34" i="45"/>
  <c r="G34" i="45"/>
  <c r="C34" i="45"/>
  <c r="D34" i="45"/>
  <c r="E34" i="45"/>
  <c r="B34" i="45"/>
  <c r="K5" i="45"/>
  <c r="L5" i="45"/>
  <c r="K6" i="45"/>
  <c r="L6" i="45"/>
  <c r="K7" i="45"/>
  <c r="L7" i="45"/>
  <c r="K8" i="45"/>
  <c r="L8" i="45"/>
  <c r="K9" i="45"/>
  <c r="L9" i="45"/>
  <c r="K10" i="45"/>
  <c r="L10" i="45"/>
  <c r="K11" i="45"/>
  <c r="L11" i="45"/>
  <c r="K12" i="45"/>
  <c r="L12" i="45"/>
  <c r="K13" i="45"/>
  <c r="L13" i="45"/>
  <c r="K14" i="45"/>
  <c r="L14" i="45"/>
  <c r="K15" i="45"/>
  <c r="L15" i="45"/>
  <c r="K16" i="45"/>
  <c r="L16" i="45"/>
  <c r="K17" i="45"/>
  <c r="L17" i="45"/>
  <c r="K18" i="45"/>
  <c r="L18" i="45"/>
  <c r="K19" i="45"/>
  <c r="L19" i="45"/>
  <c r="K20" i="45"/>
  <c r="L20" i="45"/>
  <c r="K21" i="45"/>
  <c r="L21" i="45"/>
  <c r="K22" i="45"/>
  <c r="L22" i="45"/>
  <c r="K23" i="45"/>
  <c r="L23" i="45"/>
  <c r="K24" i="45"/>
  <c r="L24" i="45"/>
  <c r="K25" i="45"/>
  <c r="L25" i="45"/>
  <c r="K26" i="45"/>
  <c r="L26" i="45"/>
  <c r="K27" i="45"/>
  <c r="L27" i="45"/>
  <c r="K28" i="45"/>
  <c r="L28" i="45"/>
  <c r="K29" i="45"/>
  <c r="L29" i="45"/>
  <c r="F5" i="45"/>
  <c r="G5" i="45"/>
  <c r="H5" i="45"/>
  <c r="F6" i="45"/>
  <c r="G6" i="45"/>
  <c r="H6" i="45"/>
  <c r="F7" i="45"/>
  <c r="G7" i="45"/>
  <c r="H7" i="45"/>
  <c r="F8" i="45"/>
  <c r="G8" i="45"/>
  <c r="H8" i="45"/>
  <c r="F9" i="45"/>
  <c r="G9" i="45"/>
  <c r="H9" i="45"/>
  <c r="F10" i="45"/>
  <c r="G10" i="45"/>
  <c r="H10" i="45"/>
  <c r="F11" i="45"/>
  <c r="G11" i="45"/>
  <c r="H11" i="45"/>
  <c r="F12" i="45"/>
  <c r="G12" i="45"/>
  <c r="H12" i="45"/>
  <c r="F13" i="45"/>
  <c r="G13" i="45"/>
  <c r="H13" i="45"/>
  <c r="F14" i="45"/>
  <c r="G14" i="45"/>
  <c r="H14" i="45"/>
  <c r="F15" i="45"/>
  <c r="G15" i="45"/>
  <c r="H15" i="45"/>
  <c r="F16" i="45"/>
  <c r="G16" i="45"/>
  <c r="H16" i="45"/>
  <c r="F17" i="45"/>
  <c r="G17" i="45"/>
  <c r="H17" i="45"/>
  <c r="F18" i="45"/>
  <c r="G18" i="45"/>
  <c r="H18" i="45"/>
  <c r="F19" i="45"/>
  <c r="G19" i="45"/>
  <c r="H19" i="45"/>
  <c r="F20" i="45"/>
  <c r="G20" i="45"/>
  <c r="H20" i="45"/>
  <c r="F21" i="45"/>
  <c r="G21" i="45"/>
  <c r="H21" i="45"/>
  <c r="F22" i="45"/>
  <c r="G22" i="45"/>
  <c r="H22" i="45"/>
  <c r="F23" i="45"/>
  <c r="G23" i="45"/>
  <c r="H23" i="45"/>
  <c r="F24" i="45"/>
  <c r="G24" i="45"/>
  <c r="H24" i="45"/>
  <c r="F25" i="45"/>
  <c r="G25" i="45"/>
  <c r="H25" i="45"/>
  <c r="F26" i="45"/>
  <c r="G26" i="45"/>
  <c r="H26" i="45"/>
  <c r="F27" i="45"/>
  <c r="G27" i="45"/>
  <c r="H27" i="45"/>
  <c r="F28" i="45"/>
  <c r="G28" i="45"/>
  <c r="H28" i="45"/>
  <c r="F29" i="45"/>
  <c r="G29" i="45"/>
  <c r="H29" i="45"/>
  <c r="L4" i="45"/>
  <c r="K4" i="45"/>
  <c r="G4" i="45"/>
  <c r="H4" i="45"/>
  <c r="F4" i="45"/>
  <c r="I34" i="44"/>
  <c r="J34" i="44"/>
  <c r="H34" i="44"/>
  <c r="G34" i="44"/>
  <c r="O34" i="43"/>
  <c r="P34" i="43"/>
  <c r="I34" i="43"/>
  <c r="J34" i="43"/>
  <c r="O34" i="42"/>
  <c r="P34" i="42"/>
  <c r="J34" i="42"/>
  <c r="I34" i="42"/>
  <c r="O34" i="44"/>
  <c r="P34" i="44"/>
  <c r="M34" i="44"/>
  <c r="N34" i="44"/>
  <c r="L34" i="44"/>
  <c r="K34" i="44"/>
  <c r="C34" i="44"/>
  <c r="D34" i="44"/>
  <c r="E34" i="44"/>
  <c r="B34" i="44"/>
  <c r="K5" i="44"/>
  <c r="L5" i="44"/>
  <c r="K6" i="44"/>
  <c r="L6" i="44"/>
  <c r="K7" i="44"/>
  <c r="L7" i="44"/>
  <c r="K8" i="44"/>
  <c r="L8" i="44"/>
  <c r="K9" i="44"/>
  <c r="L9" i="44"/>
  <c r="K10" i="44"/>
  <c r="L10" i="44"/>
  <c r="K11" i="44"/>
  <c r="L11" i="44"/>
  <c r="K12" i="44"/>
  <c r="L12" i="44"/>
  <c r="K13" i="44"/>
  <c r="L13" i="44"/>
  <c r="K14" i="44"/>
  <c r="L14" i="44"/>
  <c r="K15" i="44"/>
  <c r="L15" i="44"/>
  <c r="K16" i="44"/>
  <c r="L16" i="44"/>
  <c r="K17" i="44"/>
  <c r="L17" i="44"/>
  <c r="K18" i="44"/>
  <c r="L18" i="44"/>
  <c r="K19" i="44"/>
  <c r="L19" i="44"/>
  <c r="K20" i="44"/>
  <c r="L20" i="44"/>
  <c r="K21" i="44"/>
  <c r="L21" i="44"/>
  <c r="K22" i="44"/>
  <c r="L22" i="44"/>
  <c r="K23" i="44"/>
  <c r="L23" i="44"/>
  <c r="K24" i="44"/>
  <c r="L24" i="44"/>
  <c r="K25" i="44"/>
  <c r="L25" i="44"/>
  <c r="K26" i="44"/>
  <c r="L26" i="44"/>
  <c r="K27" i="44"/>
  <c r="L27" i="44"/>
  <c r="K28" i="44"/>
  <c r="L28" i="44"/>
  <c r="K29" i="44"/>
  <c r="L29" i="44"/>
  <c r="F5" i="44"/>
  <c r="G5" i="44"/>
  <c r="H5" i="44"/>
  <c r="F6" i="44"/>
  <c r="G6" i="44"/>
  <c r="H6" i="44"/>
  <c r="F7" i="44"/>
  <c r="G7" i="44"/>
  <c r="H7" i="44"/>
  <c r="F8" i="44"/>
  <c r="G8" i="44"/>
  <c r="H8" i="44"/>
  <c r="F9" i="44"/>
  <c r="G9" i="44"/>
  <c r="H9" i="44"/>
  <c r="F10" i="44"/>
  <c r="G10" i="44"/>
  <c r="H10" i="44"/>
  <c r="F11" i="44"/>
  <c r="G11" i="44"/>
  <c r="H11" i="44"/>
  <c r="F12" i="44"/>
  <c r="G12" i="44"/>
  <c r="H12" i="44"/>
  <c r="F13" i="44"/>
  <c r="G13" i="44"/>
  <c r="H13" i="44"/>
  <c r="F14" i="44"/>
  <c r="G14" i="44"/>
  <c r="H14" i="44"/>
  <c r="F15" i="44"/>
  <c r="G15" i="44"/>
  <c r="H15" i="44"/>
  <c r="F16" i="44"/>
  <c r="G16" i="44"/>
  <c r="H16" i="44"/>
  <c r="F17" i="44"/>
  <c r="G17" i="44"/>
  <c r="H17" i="44"/>
  <c r="F18" i="44"/>
  <c r="G18" i="44"/>
  <c r="H18" i="44"/>
  <c r="F19" i="44"/>
  <c r="G19" i="44"/>
  <c r="H19" i="44"/>
  <c r="F20" i="44"/>
  <c r="G20" i="44"/>
  <c r="H20" i="44"/>
  <c r="F21" i="44"/>
  <c r="G21" i="44"/>
  <c r="H21" i="44"/>
  <c r="F22" i="44"/>
  <c r="G22" i="44"/>
  <c r="H22" i="44"/>
  <c r="F23" i="44"/>
  <c r="G23" i="44"/>
  <c r="H23" i="44"/>
  <c r="F24" i="44"/>
  <c r="G24" i="44"/>
  <c r="H24" i="44"/>
  <c r="F25" i="44"/>
  <c r="G25" i="44"/>
  <c r="H25" i="44"/>
  <c r="F26" i="44"/>
  <c r="G26" i="44"/>
  <c r="H26" i="44"/>
  <c r="F27" i="44"/>
  <c r="G27" i="44"/>
  <c r="H27" i="44"/>
  <c r="F28" i="44"/>
  <c r="G28" i="44"/>
  <c r="H28" i="44"/>
  <c r="F29" i="44"/>
  <c r="G29" i="44"/>
  <c r="H29" i="44"/>
  <c r="L4" i="44"/>
  <c r="K4" i="44"/>
  <c r="G4" i="44"/>
  <c r="H4" i="44"/>
  <c r="F4" i="44"/>
  <c r="P34" i="63"/>
  <c r="O34" i="63"/>
  <c r="N34" i="63"/>
  <c r="M34" i="63"/>
  <c r="J34" i="63"/>
  <c r="I34" i="63"/>
  <c r="E34" i="63"/>
  <c r="D34" i="63"/>
  <c r="L34" i="63"/>
  <c r="C34" i="63"/>
  <c r="B34" i="63"/>
  <c r="L33" i="63"/>
  <c r="K33" i="63"/>
  <c r="H33" i="63"/>
  <c r="G33" i="63"/>
  <c r="F33" i="63"/>
  <c r="L32" i="63"/>
  <c r="K32" i="63"/>
  <c r="H32" i="63"/>
  <c r="G32" i="63"/>
  <c r="F32" i="63"/>
  <c r="L31" i="63"/>
  <c r="K31" i="63"/>
  <c r="H31" i="63"/>
  <c r="G31" i="63"/>
  <c r="F31" i="63"/>
  <c r="L30" i="63"/>
  <c r="K30" i="63"/>
  <c r="H30" i="63"/>
  <c r="G30" i="63"/>
  <c r="F30" i="63"/>
  <c r="L29" i="63"/>
  <c r="K29" i="63"/>
  <c r="H29" i="63"/>
  <c r="G29" i="63"/>
  <c r="F29" i="63"/>
  <c r="L28" i="63"/>
  <c r="K28" i="63"/>
  <c r="H28" i="63"/>
  <c r="G28" i="63"/>
  <c r="F28" i="63"/>
  <c r="L27" i="63"/>
  <c r="K27" i="63"/>
  <c r="H27" i="63"/>
  <c r="G27" i="63"/>
  <c r="F27" i="63"/>
  <c r="L26" i="63"/>
  <c r="K26" i="63"/>
  <c r="H26" i="63"/>
  <c r="G26" i="63"/>
  <c r="F26" i="63"/>
  <c r="L25" i="63"/>
  <c r="K25" i="63"/>
  <c r="H25" i="63"/>
  <c r="G25" i="63"/>
  <c r="F25" i="63"/>
  <c r="L24" i="63"/>
  <c r="K24" i="63"/>
  <c r="H24" i="63"/>
  <c r="G24" i="63"/>
  <c r="F24" i="63"/>
  <c r="L23" i="63"/>
  <c r="K23" i="63"/>
  <c r="H23" i="63"/>
  <c r="G23" i="63"/>
  <c r="F23" i="63"/>
  <c r="L22" i="63"/>
  <c r="K22" i="63"/>
  <c r="H22" i="63"/>
  <c r="G22" i="63"/>
  <c r="F22" i="63"/>
  <c r="L21" i="63"/>
  <c r="K21" i="63"/>
  <c r="H21" i="63"/>
  <c r="G21" i="63"/>
  <c r="F21" i="63"/>
  <c r="L20" i="63"/>
  <c r="K20" i="63"/>
  <c r="H20" i="63"/>
  <c r="G20" i="63"/>
  <c r="F20" i="63"/>
  <c r="L19" i="63"/>
  <c r="K19" i="63"/>
  <c r="H19" i="63"/>
  <c r="G19" i="63"/>
  <c r="F19" i="63"/>
  <c r="L18" i="63"/>
  <c r="K18" i="63"/>
  <c r="H18" i="63"/>
  <c r="G18" i="63"/>
  <c r="F18" i="63"/>
  <c r="L17" i="63"/>
  <c r="K17" i="63"/>
  <c r="H17" i="63"/>
  <c r="G17" i="63"/>
  <c r="F17" i="63"/>
  <c r="L16" i="63"/>
  <c r="K16" i="63"/>
  <c r="H16" i="63"/>
  <c r="G16" i="63"/>
  <c r="F16" i="63"/>
  <c r="L15" i="63"/>
  <c r="K15" i="63"/>
  <c r="H15" i="63"/>
  <c r="G15" i="63"/>
  <c r="F15" i="63"/>
  <c r="L14" i="63"/>
  <c r="K14" i="63"/>
  <c r="H14" i="63"/>
  <c r="G14" i="63"/>
  <c r="F14" i="63"/>
  <c r="L13" i="63"/>
  <c r="K13" i="63"/>
  <c r="H13" i="63"/>
  <c r="G13" i="63"/>
  <c r="F13" i="63"/>
  <c r="L12" i="63"/>
  <c r="K12" i="63"/>
  <c r="H12" i="63"/>
  <c r="G12" i="63"/>
  <c r="F12" i="63"/>
  <c r="L11" i="63"/>
  <c r="K11" i="63"/>
  <c r="H11" i="63"/>
  <c r="G11" i="63"/>
  <c r="F11" i="63"/>
  <c r="L10" i="63"/>
  <c r="K10" i="63"/>
  <c r="H10" i="63"/>
  <c r="G10" i="63"/>
  <c r="F10" i="63"/>
  <c r="L9" i="63"/>
  <c r="K9" i="63"/>
  <c r="H9" i="63"/>
  <c r="G9" i="63"/>
  <c r="F9" i="63"/>
  <c r="L8" i="63"/>
  <c r="K8" i="63"/>
  <c r="H8" i="63"/>
  <c r="G8" i="63"/>
  <c r="F8" i="63"/>
  <c r="L7" i="63"/>
  <c r="K7" i="63"/>
  <c r="H7" i="63"/>
  <c r="G7" i="63"/>
  <c r="F7" i="63"/>
  <c r="L6" i="63"/>
  <c r="K6" i="63"/>
  <c r="H6" i="63"/>
  <c r="G6" i="63"/>
  <c r="F6" i="63"/>
  <c r="L5" i="63"/>
  <c r="K5" i="63"/>
  <c r="H5" i="63"/>
  <c r="G5" i="63"/>
  <c r="F5" i="63"/>
  <c r="L4" i="63"/>
  <c r="K4" i="63"/>
  <c r="H4" i="63"/>
  <c r="H34" i="63"/>
  <c r="G4" i="63"/>
  <c r="G34" i="63"/>
  <c r="F4" i="63"/>
  <c r="A4" i="63"/>
  <c r="A5" i="63"/>
  <c r="A6" i="63"/>
  <c r="A7" i="63"/>
  <c r="A8" i="63"/>
  <c r="A9" i="63"/>
  <c r="A10" i="63"/>
  <c r="A11" i="63"/>
  <c r="A12" i="63"/>
  <c r="A13" i="63"/>
  <c r="A14" i="63"/>
  <c r="A15" i="63"/>
  <c r="A16" i="63"/>
  <c r="A17" i="63"/>
  <c r="A18" i="63"/>
  <c r="A19" i="63"/>
  <c r="A20" i="63"/>
  <c r="A21" i="63"/>
  <c r="A22" i="63"/>
  <c r="A23" i="63"/>
  <c r="A24" i="63"/>
  <c r="A25" i="63"/>
  <c r="A26" i="63"/>
  <c r="A27" i="63"/>
  <c r="A28" i="63"/>
  <c r="A29" i="63"/>
  <c r="A30" i="63"/>
  <c r="A31" i="63"/>
  <c r="A32" i="63"/>
  <c r="A33" i="63"/>
  <c r="N34" i="43"/>
  <c r="M34" i="43"/>
  <c r="N34" i="42"/>
  <c r="M34" i="42"/>
  <c r="K34" i="43"/>
  <c r="H34" i="42"/>
  <c r="G34" i="42"/>
  <c r="H34" i="43"/>
  <c r="G34" i="43"/>
  <c r="C34" i="43"/>
  <c r="D34" i="43"/>
  <c r="L34" i="43" s="1"/>
  <c r="F34" i="43"/>
  <c r="E34" i="43"/>
  <c r="B34" i="43"/>
  <c r="L5" i="43"/>
  <c r="L6" i="43"/>
  <c r="L7" i="43"/>
  <c r="L8" i="43"/>
  <c r="L9" i="43"/>
  <c r="L10" i="43"/>
  <c r="L11" i="43"/>
  <c r="L12" i="43"/>
  <c r="L13" i="43"/>
  <c r="L14" i="43"/>
  <c r="L15" i="43"/>
  <c r="L16" i="43"/>
  <c r="L17" i="43"/>
  <c r="L18" i="43"/>
  <c r="L19" i="43"/>
  <c r="L20" i="43"/>
  <c r="L21" i="43"/>
  <c r="L22" i="43"/>
  <c r="L23" i="43"/>
  <c r="L24" i="43"/>
  <c r="L25" i="43"/>
  <c r="L26" i="43"/>
  <c r="L27" i="43"/>
  <c r="L28" i="43"/>
  <c r="L29" i="43"/>
  <c r="L4" i="43"/>
  <c r="K5" i="43"/>
  <c r="K6" i="43"/>
  <c r="K7" i="43"/>
  <c r="K8" i="43"/>
  <c r="K9" i="43"/>
  <c r="K10" i="43"/>
  <c r="K11" i="43"/>
  <c r="K12" i="43"/>
  <c r="K13" i="43"/>
  <c r="K14" i="43"/>
  <c r="K15" i="43"/>
  <c r="K16" i="43"/>
  <c r="K17" i="43"/>
  <c r="K18" i="43"/>
  <c r="K19" i="43"/>
  <c r="K20" i="43"/>
  <c r="K21" i="43"/>
  <c r="K22" i="43"/>
  <c r="K23" i="43"/>
  <c r="K24" i="43"/>
  <c r="K25" i="43"/>
  <c r="K26" i="43"/>
  <c r="K27" i="43"/>
  <c r="K28" i="43"/>
  <c r="K29" i="43"/>
  <c r="K4" i="43"/>
  <c r="G5" i="43"/>
  <c r="H5" i="43"/>
  <c r="G6" i="43"/>
  <c r="H6" i="43"/>
  <c r="G7" i="43"/>
  <c r="H7" i="43"/>
  <c r="G8" i="43"/>
  <c r="H8" i="43"/>
  <c r="G9" i="43"/>
  <c r="H9" i="43"/>
  <c r="G10" i="43"/>
  <c r="H10" i="43"/>
  <c r="G11" i="43"/>
  <c r="H11" i="43"/>
  <c r="G12" i="43"/>
  <c r="H12" i="43"/>
  <c r="G13" i="43"/>
  <c r="H13" i="43"/>
  <c r="G14" i="43"/>
  <c r="H14" i="43"/>
  <c r="G15" i="43"/>
  <c r="H15" i="43"/>
  <c r="G16" i="43"/>
  <c r="H16" i="43"/>
  <c r="G17" i="43"/>
  <c r="H17" i="43"/>
  <c r="G18" i="43"/>
  <c r="H18" i="43"/>
  <c r="G19" i="43"/>
  <c r="H19" i="43"/>
  <c r="G20" i="43"/>
  <c r="H20" i="43"/>
  <c r="G21" i="43"/>
  <c r="H21" i="43"/>
  <c r="G22" i="43"/>
  <c r="H22" i="43"/>
  <c r="G23" i="43"/>
  <c r="H23" i="43"/>
  <c r="G24" i="43"/>
  <c r="H24" i="43"/>
  <c r="G25" i="43"/>
  <c r="H25" i="43"/>
  <c r="G26" i="43"/>
  <c r="H26" i="43"/>
  <c r="G27" i="43"/>
  <c r="H27" i="43"/>
  <c r="G28" i="43"/>
  <c r="H28" i="43"/>
  <c r="G29" i="43"/>
  <c r="H29" i="43"/>
  <c r="G4" i="43"/>
  <c r="H4" i="43"/>
  <c r="F5" i="43"/>
  <c r="F6" i="43"/>
  <c r="F7" i="43"/>
  <c r="F8" i="43"/>
  <c r="F9" i="43"/>
  <c r="F10" i="43"/>
  <c r="F11" i="43"/>
  <c r="F12" i="43"/>
  <c r="F13" i="43"/>
  <c r="F14" i="43"/>
  <c r="F15" i="43"/>
  <c r="F16" i="43"/>
  <c r="F17" i="43"/>
  <c r="F18" i="43"/>
  <c r="F19" i="43"/>
  <c r="F20" i="43"/>
  <c r="F21" i="43"/>
  <c r="F22" i="43"/>
  <c r="F23" i="43"/>
  <c r="F24" i="43"/>
  <c r="F25" i="43"/>
  <c r="F26" i="43"/>
  <c r="F27" i="43"/>
  <c r="F28" i="43"/>
  <c r="F29" i="43"/>
  <c r="F4" i="43"/>
  <c r="L5" i="42"/>
  <c r="L6" i="42"/>
  <c r="L7" i="42"/>
  <c r="L8" i="42"/>
  <c r="L9" i="42"/>
  <c r="L10" i="42"/>
  <c r="L11" i="42"/>
  <c r="L12" i="42"/>
  <c r="L13" i="42"/>
  <c r="L14" i="42"/>
  <c r="L15" i="42"/>
  <c r="L16" i="42"/>
  <c r="L17" i="42"/>
  <c r="L18" i="42"/>
  <c r="L19" i="42"/>
  <c r="L20" i="42"/>
  <c r="L21" i="42"/>
  <c r="L22" i="42"/>
  <c r="L23" i="42"/>
  <c r="L24" i="42"/>
  <c r="L25" i="42"/>
  <c r="L26" i="42"/>
  <c r="L27" i="42"/>
  <c r="L28" i="42"/>
  <c r="L29" i="42"/>
  <c r="L4" i="42"/>
  <c r="K34" i="42"/>
  <c r="K5" i="42"/>
  <c r="K6" i="42"/>
  <c r="K7" i="42"/>
  <c r="K8" i="42"/>
  <c r="K9" i="42"/>
  <c r="K10" i="42"/>
  <c r="K11" i="42"/>
  <c r="K12" i="42"/>
  <c r="K13" i="42"/>
  <c r="K14" i="42"/>
  <c r="K15" i="42"/>
  <c r="K16" i="42"/>
  <c r="K17" i="42"/>
  <c r="K18" i="42"/>
  <c r="K19" i="42"/>
  <c r="K20" i="42"/>
  <c r="K21" i="42"/>
  <c r="K22" i="42"/>
  <c r="K23" i="42"/>
  <c r="K24" i="42"/>
  <c r="K25" i="42"/>
  <c r="K26" i="42"/>
  <c r="K27" i="42"/>
  <c r="K28" i="42"/>
  <c r="K29" i="42"/>
  <c r="K4" i="42"/>
  <c r="H5" i="42"/>
  <c r="H6" i="42"/>
  <c r="H7" i="42"/>
  <c r="H8" i="42"/>
  <c r="H9" i="42"/>
  <c r="H10" i="42"/>
  <c r="H11" i="42"/>
  <c r="H12" i="42"/>
  <c r="H13" i="42"/>
  <c r="H14" i="42"/>
  <c r="H15" i="42"/>
  <c r="H16" i="42"/>
  <c r="H17" i="42"/>
  <c r="H18" i="42"/>
  <c r="H19" i="42"/>
  <c r="H20" i="42"/>
  <c r="H21" i="42"/>
  <c r="H22" i="42"/>
  <c r="H23" i="42"/>
  <c r="H24" i="42"/>
  <c r="H25" i="42"/>
  <c r="H26" i="42"/>
  <c r="H27" i="42"/>
  <c r="H28" i="42"/>
  <c r="H29" i="42"/>
  <c r="H4" i="42"/>
  <c r="G5" i="42"/>
  <c r="G6" i="42"/>
  <c r="G7" i="42"/>
  <c r="G8" i="42"/>
  <c r="G9" i="42"/>
  <c r="G10" i="42"/>
  <c r="G11" i="42"/>
  <c r="G12" i="42"/>
  <c r="G13" i="42"/>
  <c r="G14" i="42"/>
  <c r="G15" i="42"/>
  <c r="G16" i="42"/>
  <c r="G17" i="42"/>
  <c r="G18" i="42"/>
  <c r="G19" i="42"/>
  <c r="G20" i="42"/>
  <c r="G21" i="42"/>
  <c r="G22" i="42"/>
  <c r="G23" i="42"/>
  <c r="G24" i="42"/>
  <c r="G25" i="42"/>
  <c r="G26" i="42"/>
  <c r="G27" i="42"/>
  <c r="G28" i="42"/>
  <c r="G29" i="42"/>
  <c r="G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4" i="42"/>
  <c r="C34" i="42"/>
  <c r="D34" i="42"/>
  <c r="E34" i="42"/>
  <c r="B34" i="42"/>
  <c r="G5" i="11"/>
  <c r="H5" i="11"/>
  <c r="G6" i="11"/>
  <c r="H6" i="11"/>
  <c r="G7" i="11"/>
  <c r="H7" i="11"/>
  <c r="G8" i="11"/>
  <c r="H8" i="11"/>
  <c r="G9" i="11"/>
  <c r="H9" i="11"/>
  <c r="G10" i="11"/>
  <c r="H10" i="11"/>
  <c r="G11" i="11"/>
  <c r="H11" i="11"/>
  <c r="G12" i="11"/>
  <c r="H12" i="11"/>
  <c r="G13" i="11"/>
  <c r="H13" i="11"/>
  <c r="G14" i="11"/>
  <c r="H14" i="11"/>
  <c r="G15" i="11"/>
  <c r="H15" i="11"/>
  <c r="G16" i="11"/>
  <c r="H16" i="11"/>
  <c r="G17" i="11"/>
  <c r="H17" i="11"/>
  <c r="G18" i="11"/>
  <c r="H18" i="11"/>
  <c r="G19" i="11"/>
  <c r="H19" i="11"/>
  <c r="G20" i="11"/>
  <c r="H20" i="11"/>
  <c r="G21" i="11"/>
  <c r="H21" i="11"/>
  <c r="G22" i="11"/>
  <c r="H22" i="11"/>
  <c r="G23" i="11"/>
  <c r="H23" i="11"/>
  <c r="G24" i="11"/>
  <c r="H24" i="11"/>
  <c r="G25" i="11"/>
  <c r="H25" i="11"/>
  <c r="G26" i="11"/>
  <c r="H26" i="11"/>
  <c r="G27" i="11"/>
  <c r="H27" i="11"/>
  <c r="G28" i="11"/>
  <c r="H28" i="11"/>
  <c r="G29" i="11"/>
  <c r="H29" i="11"/>
  <c r="G30" i="11"/>
  <c r="H30" i="11"/>
  <c r="G31" i="11"/>
  <c r="H31" i="11"/>
  <c r="G32" i="11"/>
  <c r="H32" i="11"/>
  <c r="G33" i="11"/>
  <c r="H33" i="11"/>
  <c r="G4" i="11"/>
  <c r="H4" i="11"/>
  <c r="G5" i="13"/>
  <c r="H5" i="13"/>
  <c r="G6" i="13"/>
  <c r="H6" i="13"/>
  <c r="G7" i="13"/>
  <c r="H7" i="13"/>
  <c r="G8" i="13"/>
  <c r="H8" i="13"/>
  <c r="G9" i="13"/>
  <c r="H9" i="13"/>
  <c r="G10" i="13"/>
  <c r="H10" i="13"/>
  <c r="G11" i="13"/>
  <c r="H11" i="13"/>
  <c r="G12" i="13"/>
  <c r="H12" i="13"/>
  <c r="G13" i="13"/>
  <c r="H13" i="13"/>
  <c r="G14" i="13"/>
  <c r="H14" i="13"/>
  <c r="G15" i="13"/>
  <c r="H15" i="13"/>
  <c r="G16" i="13"/>
  <c r="H16" i="13"/>
  <c r="G17" i="13"/>
  <c r="H17" i="13"/>
  <c r="G18" i="13"/>
  <c r="H18" i="13"/>
  <c r="G19" i="13"/>
  <c r="H19" i="13"/>
  <c r="G20" i="13"/>
  <c r="H20" i="13"/>
  <c r="G21" i="13"/>
  <c r="H21" i="13"/>
  <c r="G22" i="13"/>
  <c r="H22" i="13"/>
  <c r="G23" i="13"/>
  <c r="H23" i="13"/>
  <c r="G24" i="13"/>
  <c r="H24" i="13"/>
  <c r="G25" i="13"/>
  <c r="H25" i="13"/>
  <c r="G26" i="13"/>
  <c r="H26" i="13"/>
  <c r="G27" i="13"/>
  <c r="H27" i="13"/>
  <c r="G28" i="13"/>
  <c r="H28" i="13"/>
  <c r="G29" i="13"/>
  <c r="H29" i="13"/>
  <c r="G30" i="13"/>
  <c r="H30" i="13"/>
  <c r="G31" i="13"/>
  <c r="H31" i="13"/>
  <c r="G32" i="13"/>
  <c r="H32" i="13"/>
  <c r="G33" i="13"/>
  <c r="H33" i="13"/>
  <c r="G4" i="13"/>
  <c r="H4" i="13"/>
  <c r="G28" i="9"/>
  <c r="H28" i="9"/>
  <c r="G29" i="9"/>
  <c r="H29" i="9"/>
  <c r="P34" i="62"/>
  <c r="O34" i="62"/>
  <c r="N34" i="62"/>
  <c r="M34" i="62"/>
  <c r="J34" i="62"/>
  <c r="I34" i="62"/>
  <c r="E34" i="62"/>
  <c r="D34" i="62"/>
  <c r="L34" i="62"/>
  <c r="C34" i="62"/>
  <c r="B34" i="62"/>
  <c r="L33" i="62"/>
  <c r="K33" i="62"/>
  <c r="H33" i="62"/>
  <c r="G33" i="62"/>
  <c r="F33" i="62"/>
  <c r="L32" i="62"/>
  <c r="K32" i="62"/>
  <c r="H32" i="62"/>
  <c r="G32" i="62"/>
  <c r="F32" i="62"/>
  <c r="L31" i="62"/>
  <c r="K31" i="62"/>
  <c r="H31" i="62"/>
  <c r="G31" i="62"/>
  <c r="F31" i="62"/>
  <c r="L30" i="62"/>
  <c r="K30" i="62"/>
  <c r="H30" i="62"/>
  <c r="G30" i="62"/>
  <c r="F30" i="62"/>
  <c r="L29" i="62"/>
  <c r="K29" i="62"/>
  <c r="H29" i="62"/>
  <c r="G29" i="62"/>
  <c r="F29" i="62"/>
  <c r="L28" i="62"/>
  <c r="K28" i="62"/>
  <c r="H28" i="62"/>
  <c r="G28" i="62"/>
  <c r="F28" i="62"/>
  <c r="L27" i="62"/>
  <c r="K27" i="62"/>
  <c r="H27" i="62"/>
  <c r="G27" i="62"/>
  <c r="F27" i="62"/>
  <c r="L26" i="62"/>
  <c r="K26" i="62"/>
  <c r="H26" i="62"/>
  <c r="G26" i="62"/>
  <c r="F26" i="62"/>
  <c r="L25" i="62"/>
  <c r="K25" i="62"/>
  <c r="H25" i="62"/>
  <c r="G25" i="62"/>
  <c r="F25" i="62"/>
  <c r="L24" i="62"/>
  <c r="K24" i="62"/>
  <c r="H24" i="62"/>
  <c r="G24" i="62"/>
  <c r="F24" i="62"/>
  <c r="L23" i="62"/>
  <c r="K23" i="62"/>
  <c r="H23" i="62"/>
  <c r="G23" i="62"/>
  <c r="F23" i="62"/>
  <c r="L22" i="62"/>
  <c r="K22" i="62"/>
  <c r="H22" i="62"/>
  <c r="G22" i="62"/>
  <c r="F22" i="62"/>
  <c r="L21" i="62"/>
  <c r="K21" i="62"/>
  <c r="H21" i="62"/>
  <c r="G21" i="62"/>
  <c r="F21" i="62"/>
  <c r="L20" i="62"/>
  <c r="K20" i="62"/>
  <c r="H20" i="62"/>
  <c r="G20" i="62"/>
  <c r="F20" i="62"/>
  <c r="L19" i="62"/>
  <c r="K19" i="62"/>
  <c r="H19" i="62"/>
  <c r="G19" i="62"/>
  <c r="F19" i="62"/>
  <c r="L18" i="62"/>
  <c r="K18" i="62"/>
  <c r="H18" i="62"/>
  <c r="G18" i="62"/>
  <c r="F18" i="62"/>
  <c r="L17" i="62"/>
  <c r="K17" i="62"/>
  <c r="H17" i="62"/>
  <c r="G17" i="62"/>
  <c r="F17" i="62"/>
  <c r="L16" i="62"/>
  <c r="K16" i="62"/>
  <c r="H16" i="62"/>
  <c r="G16" i="62"/>
  <c r="F16" i="62"/>
  <c r="L15" i="62"/>
  <c r="K15" i="62"/>
  <c r="H15" i="62"/>
  <c r="G15" i="62"/>
  <c r="F15" i="62"/>
  <c r="L14" i="62"/>
  <c r="K14" i="62"/>
  <c r="H14" i="62"/>
  <c r="G14" i="62"/>
  <c r="F14" i="62"/>
  <c r="L13" i="62"/>
  <c r="K13" i="62"/>
  <c r="H13" i="62"/>
  <c r="G13" i="62"/>
  <c r="F13" i="62"/>
  <c r="L12" i="62"/>
  <c r="K12" i="62"/>
  <c r="H12" i="62"/>
  <c r="G12" i="62"/>
  <c r="F12" i="62"/>
  <c r="L11" i="62"/>
  <c r="K11" i="62"/>
  <c r="H11" i="62"/>
  <c r="G11" i="62"/>
  <c r="F11" i="62"/>
  <c r="L10" i="62"/>
  <c r="K10" i="62"/>
  <c r="H10" i="62"/>
  <c r="G10" i="62"/>
  <c r="F10" i="62"/>
  <c r="L9" i="62"/>
  <c r="K9" i="62"/>
  <c r="H9" i="62"/>
  <c r="G9" i="62"/>
  <c r="F9" i="62"/>
  <c r="L8" i="62"/>
  <c r="K8" i="62"/>
  <c r="H8" i="62"/>
  <c r="G8" i="62"/>
  <c r="F8" i="62"/>
  <c r="L7" i="62"/>
  <c r="K7" i="62"/>
  <c r="H7" i="62"/>
  <c r="G7" i="62"/>
  <c r="F7" i="62"/>
  <c r="L6" i="62"/>
  <c r="K6" i="62"/>
  <c r="H6" i="62"/>
  <c r="G6" i="62"/>
  <c r="F6" i="62"/>
  <c r="L5" i="62"/>
  <c r="K5" i="62"/>
  <c r="H5" i="62"/>
  <c r="G5" i="62"/>
  <c r="F5" i="62"/>
  <c r="L4" i="62"/>
  <c r="K4" i="62"/>
  <c r="H4" i="62"/>
  <c r="H34" i="62"/>
  <c r="G4" i="62"/>
  <c r="G34" i="62"/>
  <c r="F4" i="62"/>
  <c r="A4" i="62"/>
  <c r="A5" i="62"/>
  <c r="A6" i="62"/>
  <c r="A7" i="62"/>
  <c r="A8" i="62"/>
  <c r="A9" i="62"/>
  <c r="A10" i="62"/>
  <c r="A11" i="62"/>
  <c r="A12" i="62"/>
  <c r="A13" i="62"/>
  <c r="A14" i="62"/>
  <c r="A15" i="62"/>
  <c r="A16" i="62"/>
  <c r="A17" i="62"/>
  <c r="A18" i="62"/>
  <c r="A19" i="62"/>
  <c r="A20" i="62"/>
  <c r="A21" i="62"/>
  <c r="A22" i="62"/>
  <c r="A23" i="62"/>
  <c r="A24" i="62"/>
  <c r="A25" i="62"/>
  <c r="A26" i="62"/>
  <c r="A27" i="62"/>
  <c r="A28" i="62"/>
  <c r="A29" i="62"/>
  <c r="A30" i="62"/>
  <c r="A31" i="62"/>
  <c r="A32" i="62"/>
  <c r="A33" i="62"/>
  <c r="G28" i="12"/>
  <c r="H28" i="12"/>
  <c r="G29" i="12"/>
  <c r="H29" i="12"/>
  <c r="G28" i="10"/>
  <c r="H28" i="10"/>
  <c r="G29" i="10"/>
  <c r="H29" i="10"/>
  <c r="I29" i="18"/>
  <c r="I28" i="18"/>
  <c r="C29" i="18"/>
  <c r="B29" i="18"/>
  <c r="C28" i="18"/>
  <c r="B28" i="18"/>
  <c r="H29" i="4"/>
  <c r="G29" i="4"/>
  <c r="H28" i="4"/>
  <c r="G28" i="4"/>
  <c r="C29" i="4"/>
  <c r="B29" i="4"/>
  <c r="C28" i="4"/>
  <c r="B28" i="4"/>
  <c r="H28" i="21"/>
  <c r="H29" i="21"/>
  <c r="G28" i="21"/>
  <c r="G29" i="21"/>
  <c r="H27" i="4"/>
  <c r="G27" i="4"/>
  <c r="H26" i="4"/>
  <c r="G26" i="4"/>
  <c r="H25" i="4"/>
  <c r="G25" i="4"/>
  <c r="H24" i="4"/>
  <c r="G24" i="4"/>
  <c r="B28" i="17"/>
  <c r="B29" i="17"/>
  <c r="H28" i="17"/>
  <c r="H29" i="17"/>
  <c r="G28" i="17"/>
  <c r="G29" i="17"/>
  <c r="P34" i="14"/>
  <c r="O34" i="14"/>
  <c r="N34" i="14"/>
  <c r="M34" i="14"/>
  <c r="J34" i="14"/>
  <c r="I34" i="14"/>
  <c r="E34" i="14"/>
  <c r="D34" i="14"/>
  <c r="L34" i="14"/>
  <c r="C34" i="14"/>
  <c r="B34" i="14"/>
  <c r="P34" i="16"/>
  <c r="O34" i="16"/>
  <c r="N34" i="16"/>
  <c r="M34" i="16"/>
  <c r="J34" i="16"/>
  <c r="I34" i="16"/>
  <c r="E34" i="16"/>
  <c r="D34" i="16"/>
  <c r="L34" i="16"/>
  <c r="C34" i="16"/>
  <c r="B34" i="16"/>
  <c r="P34" i="15"/>
  <c r="O34" i="15"/>
  <c r="N34" i="15"/>
  <c r="M34" i="15"/>
  <c r="J34" i="15"/>
  <c r="I34" i="15"/>
  <c r="E34" i="15"/>
  <c r="D34" i="15"/>
  <c r="L34" i="15"/>
  <c r="C34" i="15"/>
  <c r="B34" i="15"/>
  <c r="P34" i="28"/>
  <c r="O34" i="28"/>
  <c r="M34" i="28"/>
  <c r="J34" i="28"/>
  <c r="I34" i="28"/>
  <c r="E34" i="28"/>
  <c r="D34" i="28"/>
  <c r="L34" i="28"/>
  <c r="C34" i="28"/>
  <c r="G24" i="28"/>
  <c r="H24" i="28"/>
  <c r="G25" i="28"/>
  <c r="H25" i="28"/>
  <c r="G26" i="28"/>
  <c r="H26" i="28"/>
  <c r="G27" i="28"/>
  <c r="H27" i="28"/>
  <c r="G28" i="28"/>
  <c r="H28" i="28"/>
  <c r="G29" i="28"/>
  <c r="H29" i="28"/>
  <c r="G30" i="28"/>
  <c r="H30" i="28"/>
  <c r="G31" i="28"/>
  <c r="H31" i="28"/>
  <c r="G32" i="28"/>
  <c r="H32" i="28"/>
  <c r="G33" i="28"/>
  <c r="H33" i="28"/>
  <c r="G24" i="15"/>
  <c r="H24" i="15"/>
  <c r="G25" i="15"/>
  <c r="H25" i="15"/>
  <c r="G26" i="15"/>
  <c r="H26" i="15"/>
  <c r="G27" i="15"/>
  <c r="H27" i="15"/>
  <c r="G28" i="15"/>
  <c r="H28" i="15"/>
  <c r="G29" i="15"/>
  <c r="H29" i="15"/>
  <c r="G30" i="15"/>
  <c r="H30" i="15"/>
  <c r="G31" i="15"/>
  <c r="H31" i="15"/>
  <c r="G32" i="15"/>
  <c r="H32" i="15"/>
  <c r="G33" i="15"/>
  <c r="H33" i="15"/>
  <c r="G24" i="16"/>
  <c r="H24" i="16"/>
  <c r="G25" i="16"/>
  <c r="H25" i="16"/>
  <c r="G26" i="16"/>
  <c r="H26" i="16"/>
  <c r="G27" i="16"/>
  <c r="H27" i="16"/>
  <c r="G28" i="16"/>
  <c r="H28" i="16"/>
  <c r="G29" i="16"/>
  <c r="H29" i="16"/>
  <c r="G30" i="16"/>
  <c r="H30" i="16"/>
  <c r="G31" i="16"/>
  <c r="H31" i="16"/>
  <c r="G32" i="16"/>
  <c r="H32" i="16"/>
  <c r="G33" i="16"/>
  <c r="H33" i="16"/>
  <c r="G24" i="14"/>
  <c r="H24" i="14"/>
  <c r="G25" i="14"/>
  <c r="H25" i="14"/>
  <c r="G26" i="14"/>
  <c r="H26" i="14"/>
  <c r="G27" i="14"/>
  <c r="H27" i="14"/>
  <c r="G28" i="14"/>
  <c r="H28" i="14"/>
  <c r="G29" i="14"/>
  <c r="H29" i="14"/>
  <c r="G30" i="14"/>
  <c r="H30" i="14"/>
  <c r="G31" i="14"/>
  <c r="H31" i="14"/>
  <c r="G32" i="14"/>
  <c r="H32" i="14"/>
  <c r="G33" i="14"/>
  <c r="H33" i="14"/>
  <c r="P34" i="41"/>
  <c r="O34" i="41"/>
  <c r="N34" i="41"/>
  <c r="M34" i="41"/>
  <c r="J34" i="41"/>
  <c r="I34" i="41"/>
  <c r="E34" i="41"/>
  <c r="D34" i="41"/>
  <c r="L34" i="41"/>
  <c r="C34" i="41"/>
  <c r="B34" i="41"/>
  <c r="P34" i="37"/>
  <c r="O34" i="37"/>
  <c r="N34" i="37"/>
  <c r="M34" i="37"/>
  <c r="J34" i="37"/>
  <c r="I34" i="37"/>
  <c r="E34" i="37"/>
  <c r="D34" i="37"/>
  <c r="L34" i="37"/>
  <c r="C34" i="37"/>
  <c r="B34" i="37"/>
  <c r="B34" i="40"/>
  <c r="C34" i="40"/>
  <c r="D34" i="40"/>
  <c r="E34" i="40"/>
  <c r="F34" i="40"/>
  <c r="I34" i="40"/>
  <c r="J34" i="40"/>
  <c r="K34" i="40"/>
  <c r="L34" i="40"/>
  <c r="M34" i="40"/>
  <c r="N34" i="40"/>
  <c r="O34" i="40"/>
  <c r="P34" i="40"/>
  <c r="B34" i="38"/>
  <c r="C34" i="38"/>
  <c r="D34" i="38"/>
  <c r="E34" i="38"/>
  <c r="F34" i="38"/>
  <c r="J34" i="38"/>
  <c r="K34" i="38"/>
  <c r="L34" i="38"/>
  <c r="M34" i="38"/>
  <c r="N34" i="38"/>
  <c r="O34" i="38"/>
  <c r="P34" i="38"/>
  <c r="B34" i="39"/>
  <c r="C34" i="39"/>
  <c r="D34" i="39"/>
  <c r="E34" i="39"/>
  <c r="F34" i="39"/>
  <c r="I34" i="39"/>
  <c r="J34" i="39"/>
  <c r="K34" i="39"/>
  <c r="L34" i="39"/>
  <c r="M34" i="39"/>
  <c r="N34" i="39"/>
  <c r="O34" i="39"/>
  <c r="P34" i="39"/>
  <c r="G28" i="41"/>
  <c r="H28" i="41"/>
  <c r="G29" i="41"/>
  <c r="H29" i="41"/>
  <c r="G30" i="41"/>
  <c r="H30" i="41"/>
  <c r="G31" i="41"/>
  <c r="H31" i="41"/>
  <c r="G32" i="41"/>
  <c r="H32" i="41"/>
  <c r="G33" i="41"/>
  <c r="H33" i="41"/>
  <c r="G28" i="37"/>
  <c r="H28" i="37"/>
  <c r="G29" i="37"/>
  <c r="H29" i="37"/>
  <c r="G30" i="37"/>
  <c r="H30" i="37"/>
  <c r="G31" i="37"/>
  <c r="H31" i="37"/>
  <c r="G32" i="37"/>
  <c r="H32" i="37"/>
  <c r="G33" i="37"/>
  <c r="H33" i="37"/>
  <c r="G28" i="39"/>
  <c r="H28" i="39"/>
  <c r="G29" i="39"/>
  <c r="H29" i="39"/>
  <c r="G30" i="39"/>
  <c r="H30" i="39"/>
  <c r="G31" i="39"/>
  <c r="H31" i="39"/>
  <c r="G32" i="39"/>
  <c r="H32" i="39"/>
  <c r="G33" i="39"/>
  <c r="H33" i="39"/>
  <c r="G28" i="38"/>
  <c r="H28" i="38"/>
  <c r="G29" i="38"/>
  <c r="H29" i="38"/>
  <c r="G30" i="38"/>
  <c r="H30" i="38"/>
  <c r="G31" i="38"/>
  <c r="H31" i="38"/>
  <c r="G32" i="38"/>
  <c r="H32" i="38"/>
  <c r="G33" i="38"/>
  <c r="H33" i="38"/>
  <c r="K28" i="40"/>
  <c r="L4" i="40"/>
  <c r="F29" i="40"/>
  <c r="F28" i="40"/>
  <c r="G28" i="40"/>
  <c r="H28" i="40"/>
  <c r="G29" i="40"/>
  <c r="H29" i="40"/>
  <c r="G30" i="40"/>
  <c r="H30" i="40"/>
  <c r="G31" i="40"/>
  <c r="H31" i="40"/>
  <c r="G32" i="40"/>
  <c r="H32" i="40"/>
  <c r="G33" i="40"/>
  <c r="H33" i="40"/>
  <c r="L33" i="41"/>
  <c r="K33" i="41"/>
  <c r="F33" i="41"/>
  <c r="L32" i="41"/>
  <c r="K32" i="41"/>
  <c r="F32" i="41"/>
  <c r="L31" i="41"/>
  <c r="K31" i="41"/>
  <c r="F31" i="41"/>
  <c r="L30" i="41"/>
  <c r="K30" i="41"/>
  <c r="F30" i="41"/>
  <c r="L29" i="41"/>
  <c r="K29" i="41"/>
  <c r="F29" i="41"/>
  <c r="L28" i="41"/>
  <c r="K28" i="41"/>
  <c r="F28" i="41"/>
  <c r="L27" i="41"/>
  <c r="K27" i="41"/>
  <c r="H27" i="41"/>
  <c r="G27" i="41"/>
  <c r="F27" i="41"/>
  <c r="L26" i="41"/>
  <c r="K26" i="41"/>
  <c r="H26" i="41"/>
  <c r="G26" i="41"/>
  <c r="F26" i="41"/>
  <c r="L25" i="41"/>
  <c r="K25" i="41"/>
  <c r="H25" i="41"/>
  <c r="G25" i="41"/>
  <c r="F25" i="41"/>
  <c r="L24" i="41"/>
  <c r="K24" i="41"/>
  <c r="H24" i="41"/>
  <c r="G24" i="41"/>
  <c r="F24" i="41"/>
  <c r="L23" i="41"/>
  <c r="K23" i="41"/>
  <c r="H23" i="41"/>
  <c r="G23" i="41"/>
  <c r="F23" i="41"/>
  <c r="L22" i="41"/>
  <c r="K22" i="41"/>
  <c r="H22" i="41"/>
  <c r="G22" i="41"/>
  <c r="F22" i="41"/>
  <c r="L21" i="41"/>
  <c r="K21" i="41"/>
  <c r="H21" i="41"/>
  <c r="G21" i="41"/>
  <c r="F21" i="41"/>
  <c r="L20" i="41"/>
  <c r="K20" i="41"/>
  <c r="H20" i="41"/>
  <c r="G20" i="41"/>
  <c r="F20" i="41"/>
  <c r="L19" i="41"/>
  <c r="K19" i="41"/>
  <c r="H19" i="41"/>
  <c r="G19" i="41"/>
  <c r="F19" i="41"/>
  <c r="L18" i="41"/>
  <c r="K18" i="41"/>
  <c r="H18" i="41"/>
  <c r="G18" i="41"/>
  <c r="F18" i="41"/>
  <c r="L17" i="41"/>
  <c r="K17" i="41"/>
  <c r="H17" i="41"/>
  <c r="G17" i="41"/>
  <c r="F17" i="41"/>
  <c r="L16" i="41"/>
  <c r="K16" i="41"/>
  <c r="H16" i="41"/>
  <c r="G16" i="41"/>
  <c r="F16" i="41"/>
  <c r="L15" i="41"/>
  <c r="K15" i="41"/>
  <c r="H15" i="41"/>
  <c r="G15" i="41"/>
  <c r="F15" i="41"/>
  <c r="L14" i="41"/>
  <c r="K14" i="41"/>
  <c r="H14" i="41"/>
  <c r="G14" i="41"/>
  <c r="F14" i="41"/>
  <c r="L13" i="41"/>
  <c r="K13" i="41"/>
  <c r="H13" i="41"/>
  <c r="G13" i="41"/>
  <c r="F13" i="41"/>
  <c r="L12" i="41"/>
  <c r="K12" i="41"/>
  <c r="H12" i="41"/>
  <c r="G12" i="41"/>
  <c r="F12" i="41"/>
  <c r="L11" i="41"/>
  <c r="K11" i="41"/>
  <c r="H11" i="41"/>
  <c r="G11" i="41"/>
  <c r="F11" i="41"/>
  <c r="L10" i="41"/>
  <c r="K10" i="41"/>
  <c r="H10" i="41"/>
  <c r="G10" i="41"/>
  <c r="F10" i="41"/>
  <c r="L9" i="41"/>
  <c r="K9" i="41"/>
  <c r="H9" i="41"/>
  <c r="G9" i="41"/>
  <c r="F9" i="41"/>
  <c r="L8" i="41"/>
  <c r="K8" i="41"/>
  <c r="H8" i="41"/>
  <c r="G8" i="41"/>
  <c r="F8" i="41"/>
  <c r="L7" i="41"/>
  <c r="K7" i="41"/>
  <c r="H7" i="41"/>
  <c r="G7" i="41"/>
  <c r="F7" i="41"/>
  <c r="L6" i="41"/>
  <c r="K6" i="41"/>
  <c r="H6" i="41"/>
  <c r="G6" i="41"/>
  <c r="F6" i="41"/>
  <c r="L5" i="41"/>
  <c r="K5" i="41"/>
  <c r="H5" i="41"/>
  <c r="G5" i="41"/>
  <c r="F5" i="41"/>
  <c r="L4" i="41"/>
  <c r="K4" i="41"/>
  <c r="H4" i="41"/>
  <c r="G4" i="41"/>
  <c r="G34" i="41"/>
  <c r="F4" i="41"/>
  <c r="A4" i="41"/>
  <c r="A5" i="41"/>
  <c r="A6" i="41"/>
  <c r="A7" i="41"/>
  <c r="A8" i="41"/>
  <c r="A9" i="41"/>
  <c r="A10" i="41"/>
  <c r="A11" i="41"/>
  <c r="A12" i="41"/>
  <c r="A13" i="41"/>
  <c r="A14" i="41"/>
  <c r="A15" i="41"/>
  <c r="A16" i="41"/>
  <c r="A17" i="41"/>
  <c r="A18" i="41"/>
  <c r="A19" i="41"/>
  <c r="A20" i="41"/>
  <c r="A21" i="41"/>
  <c r="A22" i="41"/>
  <c r="A23" i="41"/>
  <c r="A24" i="41"/>
  <c r="A25" i="41"/>
  <c r="A26" i="41"/>
  <c r="A27" i="41"/>
  <c r="A28" i="41"/>
  <c r="A29" i="41"/>
  <c r="A30" i="41"/>
  <c r="A31" i="41"/>
  <c r="A32" i="41"/>
  <c r="A33" i="41"/>
  <c r="L33" i="40"/>
  <c r="K33" i="40"/>
  <c r="F33" i="40"/>
  <c r="L32" i="40"/>
  <c r="K32" i="40"/>
  <c r="F32" i="40"/>
  <c r="L31" i="40"/>
  <c r="K31" i="40"/>
  <c r="F31" i="40"/>
  <c r="L30" i="40"/>
  <c r="K30" i="40"/>
  <c r="F30" i="40"/>
  <c r="L29" i="40"/>
  <c r="K29" i="40"/>
  <c r="L28" i="40"/>
  <c r="L27" i="40"/>
  <c r="K27" i="40"/>
  <c r="H27" i="40"/>
  <c r="G27" i="40"/>
  <c r="F27" i="40"/>
  <c r="L26" i="40"/>
  <c r="K26" i="40"/>
  <c r="H26" i="40"/>
  <c r="G26" i="40"/>
  <c r="F26" i="40"/>
  <c r="L25" i="40"/>
  <c r="K25" i="40"/>
  <c r="H25" i="40"/>
  <c r="G25" i="40"/>
  <c r="F25" i="40"/>
  <c r="L24" i="40"/>
  <c r="K24" i="40"/>
  <c r="H24" i="40"/>
  <c r="G24" i="40"/>
  <c r="F24" i="40"/>
  <c r="L23" i="40"/>
  <c r="K23" i="40"/>
  <c r="H23" i="40"/>
  <c r="G23" i="40"/>
  <c r="F23" i="40"/>
  <c r="L22" i="40"/>
  <c r="K22" i="40"/>
  <c r="H22" i="40"/>
  <c r="G22" i="40"/>
  <c r="F22" i="40"/>
  <c r="L21" i="40"/>
  <c r="K21" i="40"/>
  <c r="H21" i="40"/>
  <c r="G21" i="40"/>
  <c r="F21" i="40"/>
  <c r="L20" i="40"/>
  <c r="K20" i="40"/>
  <c r="H20" i="40"/>
  <c r="G20" i="40"/>
  <c r="F20" i="40"/>
  <c r="L19" i="40"/>
  <c r="K19" i="40"/>
  <c r="H19" i="40"/>
  <c r="G19" i="40"/>
  <c r="F19" i="40"/>
  <c r="L18" i="40"/>
  <c r="K18" i="40"/>
  <c r="H18" i="40"/>
  <c r="G18" i="40"/>
  <c r="F18" i="40"/>
  <c r="L17" i="40"/>
  <c r="K17" i="40"/>
  <c r="H17" i="40"/>
  <c r="G17" i="40"/>
  <c r="F17" i="40"/>
  <c r="L16" i="40"/>
  <c r="K16" i="40"/>
  <c r="H16" i="40"/>
  <c r="G16" i="40"/>
  <c r="F16" i="40"/>
  <c r="L15" i="40"/>
  <c r="K15" i="40"/>
  <c r="H15" i="40"/>
  <c r="G15" i="40"/>
  <c r="F15" i="40"/>
  <c r="L14" i="40"/>
  <c r="K14" i="40"/>
  <c r="H14" i="40"/>
  <c r="G14" i="40"/>
  <c r="F14" i="40"/>
  <c r="L13" i="40"/>
  <c r="K13" i="40"/>
  <c r="H13" i="40"/>
  <c r="G13" i="40"/>
  <c r="F13" i="40"/>
  <c r="L12" i="40"/>
  <c r="K12" i="40"/>
  <c r="H12" i="40"/>
  <c r="G12" i="40"/>
  <c r="F12" i="40"/>
  <c r="L11" i="40"/>
  <c r="K11" i="40"/>
  <c r="H11" i="40"/>
  <c r="G11" i="40"/>
  <c r="F11" i="40"/>
  <c r="L10" i="40"/>
  <c r="K10" i="40"/>
  <c r="H10" i="40"/>
  <c r="G10" i="40"/>
  <c r="F10" i="40"/>
  <c r="L9" i="40"/>
  <c r="K9" i="40"/>
  <c r="H9" i="40"/>
  <c r="G9" i="40"/>
  <c r="F9" i="40"/>
  <c r="L8" i="40"/>
  <c r="K8" i="40"/>
  <c r="H8" i="40"/>
  <c r="G8" i="40"/>
  <c r="F8" i="40"/>
  <c r="L7" i="40"/>
  <c r="K7" i="40"/>
  <c r="H7" i="40"/>
  <c r="G7" i="40"/>
  <c r="F7" i="40"/>
  <c r="L6" i="40"/>
  <c r="K6" i="40"/>
  <c r="H6" i="40"/>
  <c r="G6" i="40"/>
  <c r="F6" i="40"/>
  <c r="L5" i="40"/>
  <c r="K5" i="40"/>
  <c r="H5" i="40"/>
  <c r="G5" i="40"/>
  <c r="F5" i="40"/>
  <c r="K4" i="40"/>
  <c r="H4" i="40"/>
  <c r="H34" i="40"/>
  <c r="G4" i="40"/>
  <c r="G34" i="40"/>
  <c r="F4" i="40"/>
  <c r="A4" i="40"/>
  <c r="A5" i="40"/>
  <c r="A6" i="40"/>
  <c r="A7" i="40"/>
  <c r="A8" i="40"/>
  <c r="A9" i="40"/>
  <c r="A10" i="40"/>
  <c r="A11" i="40"/>
  <c r="A12" i="40"/>
  <c r="A13" i="40"/>
  <c r="A14" i="40"/>
  <c r="A15" i="40"/>
  <c r="A16" i="40"/>
  <c r="A17" i="40"/>
  <c r="A18" i="40"/>
  <c r="A19" i="40"/>
  <c r="A20" i="40"/>
  <c r="A21" i="40"/>
  <c r="A22" i="40"/>
  <c r="A23" i="40"/>
  <c r="A24" i="40"/>
  <c r="A25" i="40"/>
  <c r="A26" i="40"/>
  <c r="A27" i="40"/>
  <c r="A28" i="40"/>
  <c r="A29" i="40"/>
  <c r="A30" i="40"/>
  <c r="A31" i="40"/>
  <c r="A32" i="40"/>
  <c r="A33" i="40"/>
  <c r="L33" i="39"/>
  <c r="K33" i="39"/>
  <c r="F33" i="39"/>
  <c r="L32" i="39"/>
  <c r="K32" i="39"/>
  <c r="F32" i="39"/>
  <c r="L31" i="39"/>
  <c r="K31" i="39"/>
  <c r="F31" i="39"/>
  <c r="L30" i="39"/>
  <c r="K30" i="39"/>
  <c r="F30" i="39"/>
  <c r="L29" i="39"/>
  <c r="K29" i="39"/>
  <c r="F29" i="39"/>
  <c r="L28" i="39"/>
  <c r="K28" i="39"/>
  <c r="F28" i="39"/>
  <c r="L27" i="39"/>
  <c r="K27" i="39"/>
  <c r="H27" i="39"/>
  <c r="G27" i="39"/>
  <c r="F27" i="39"/>
  <c r="L26" i="39"/>
  <c r="K26" i="39"/>
  <c r="H26" i="39"/>
  <c r="G26" i="39"/>
  <c r="F26" i="39"/>
  <c r="L25" i="39"/>
  <c r="K25" i="39"/>
  <c r="H25" i="39"/>
  <c r="G25" i="39"/>
  <c r="F25" i="39"/>
  <c r="L24" i="39"/>
  <c r="K24" i="39"/>
  <c r="H24" i="39"/>
  <c r="G24" i="39"/>
  <c r="F24" i="39"/>
  <c r="L23" i="39"/>
  <c r="K23" i="39"/>
  <c r="H23" i="39"/>
  <c r="G23" i="39"/>
  <c r="F23" i="39"/>
  <c r="L22" i="39"/>
  <c r="K22" i="39"/>
  <c r="H22" i="39"/>
  <c r="G22" i="39"/>
  <c r="F22" i="39"/>
  <c r="L21" i="39"/>
  <c r="K21" i="39"/>
  <c r="H21" i="39"/>
  <c r="G21" i="39"/>
  <c r="F21" i="39"/>
  <c r="L20" i="39"/>
  <c r="K20" i="39"/>
  <c r="H20" i="39"/>
  <c r="G20" i="39"/>
  <c r="F20" i="39"/>
  <c r="L19" i="39"/>
  <c r="K19" i="39"/>
  <c r="H19" i="39"/>
  <c r="G19" i="39"/>
  <c r="F19" i="39"/>
  <c r="L18" i="39"/>
  <c r="K18" i="39"/>
  <c r="H18" i="39"/>
  <c r="G18" i="39"/>
  <c r="F18" i="39"/>
  <c r="L17" i="39"/>
  <c r="K17" i="39"/>
  <c r="H17" i="39"/>
  <c r="G17" i="39"/>
  <c r="F17" i="39"/>
  <c r="L16" i="39"/>
  <c r="K16" i="39"/>
  <c r="H16" i="39"/>
  <c r="G16" i="39"/>
  <c r="F16" i="39"/>
  <c r="L15" i="39"/>
  <c r="K15" i="39"/>
  <c r="H15" i="39"/>
  <c r="G15" i="39"/>
  <c r="F15" i="39"/>
  <c r="L14" i="39"/>
  <c r="K14" i="39"/>
  <c r="H14" i="39"/>
  <c r="G14" i="39"/>
  <c r="F14" i="39"/>
  <c r="L13" i="39"/>
  <c r="K13" i="39"/>
  <c r="H13" i="39"/>
  <c r="G13" i="39"/>
  <c r="F13" i="39"/>
  <c r="L12" i="39"/>
  <c r="K12" i="39"/>
  <c r="H12" i="39"/>
  <c r="G12" i="39"/>
  <c r="F12" i="39"/>
  <c r="L11" i="39"/>
  <c r="K11" i="39"/>
  <c r="H11" i="39"/>
  <c r="G11" i="39"/>
  <c r="F11" i="39"/>
  <c r="L10" i="39"/>
  <c r="K10" i="39"/>
  <c r="H10" i="39"/>
  <c r="G10" i="39"/>
  <c r="F10" i="39"/>
  <c r="L9" i="39"/>
  <c r="K9" i="39"/>
  <c r="H9" i="39"/>
  <c r="G9" i="39"/>
  <c r="F9" i="39"/>
  <c r="L8" i="39"/>
  <c r="K8" i="39"/>
  <c r="H8" i="39"/>
  <c r="G8" i="39"/>
  <c r="F8" i="39"/>
  <c r="L7" i="39"/>
  <c r="K7" i="39"/>
  <c r="H7" i="39"/>
  <c r="G7" i="39"/>
  <c r="F7" i="39"/>
  <c r="L6" i="39"/>
  <c r="K6" i="39"/>
  <c r="H6" i="39"/>
  <c r="G6" i="39"/>
  <c r="F6" i="39"/>
  <c r="L5" i="39"/>
  <c r="K5" i="39"/>
  <c r="H5" i="39"/>
  <c r="G5" i="39"/>
  <c r="F5" i="39"/>
  <c r="L4" i="39"/>
  <c r="K4" i="39"/>
  <c r="H4" i="39"/>
  <c r="H34" i="39"/>
  <c r="G4" i="39"/>
  <c r="G34" i="39"/>
  <c r="F4" i="39"/>
  <c r="A4" i="39"/>
  <c r="A5" i="39"/>
  <c r="A6" i="39"/>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L33" i="38"/>
  <c r="K33" i="38"/>
  <c r="F33" i="38"/>
  <c r="L32" i="38"/>
  <c r="K32" i="38"/>
  <c r="F32" i="38"/>
  <c r="L31" i="38"/>
  <c r="K31" i="38"/>
  <c r="F31" i="38"/>
  <c r="L30" i="38"/>
  <c r="K30" i="38"/>
  <c r="F30" i="38"/>
  <c r="L29" i="38"/>
  <c r="K29" i="38"/>
  <c r="F29" i="38"/>
  <c r="L28" i="38"/>
  <c r="K28" i="38"/>
  <c r="F28" i="38"/>
  <c r="L27" i="38"/>
  <c r="K27" i="38"/>
  <c r="H27" i="38"/>
  <c r="G27" i="38"/>
  <c r="F27" i="38"/>
  <c r="L26" i="38"/>
  <c r="K26" i="38"/>
  <c r="H26" i="38"/>
  <c r="G26" i="38"/>
  <c r="F26" i="38"/>
  <c r="L25" i="38"/>
  <c r="K25" i="38"/>
  <c r="H25" i="38"/>
  <c r="G25" i="38"/>
  <c r="F25" i="38"/>
  <c r="L24" i="38"/>
  <c r="K24" i="38"/>
  <c r="H24" i="38"/>
  <c r="G24" i="38"/>
  <c r="F24" i="38"/>
  <c r="L23" i="38"/>
  <c r="K23" i="38"/>
  <c r="H23" i="38"/>
  <c r="G23" i="38"/>
  <c r="F23" i="38"/>
  <c r="L22" i="38"/>
  <c r="K22" i="38"/>
  <c r="H22" i="38"/>
  <c r="G22" i="38"/>
  <c r="F22" i="38"/>
  <c r="L21" i="38"/>
  <c r="K21" i="38"/>
  <c r="H21" i="38"/>
  <c r="G21" i="38"/>
  <c r="F21" i="38"/>
  <c r="L20" i="38"/>
  <c r="K20" i="38"/>
  <c r="H20" i="38"/>
  <c r="G20" i="38"/>
  <c r="F20" i="38"/>
  <c r="L19" i="38"/>
  <c r="K19" i="38"/>
  <c r="H19" i="38"/>
  <c r="G19" i="38"/>
  <c r="F19" i="38"/>
  <c r="L18" i="38"/>
  <c r="K18" i="38"/>
  <c r="H18" i="38"/>
  <c r="G18" i="38"/>
  <c r="F18" i="38"/>
  <c r="L17" i="38"/>
  <c r="K17" i="38"/>
  <c r="H17" i="38"/>
  <c r="G17" i="38"/>
  <c r="F17" i="38"/>
  <c r="L16" i="38"/>
  <c r="K16" i="38"/>
  <c r="H16" i="38"/>
  <c r="G16" i="38"/>
  <c r="F16" i="38"/>
  <c r="L15" i="38"/>
  <c r="K15" i="38"/>
  <c r="H15" i="38"/>
  <c r="G15" i="38"/>
  <c r="F15" i="38"/>
  <c r="L14" i="38"/>
  <c r="K14" i="38"/>
  <c r="H14" i="38"/>
  <c r="G14" i="38"/>
  <c r="F14" i="38"/>
  <c r="L13" i="38"/>
  <c r="K13" i="38"/>
  <c r="H13" i="38"/>
  <c r="G13" i="38"/>
  <c r="F13" i="38"/>
  <c r="L12" i="38"/>
  <c r="K12" i="38"/>
  <c r="H12" i="38"/>
  <c r="G12" i="38"/>
  <c r="F12" i="38"/>
  <c r="L11" i="38"/>
  <c r="K11" i="38"/>
  <c r="H11" i="38"/>
  <c r="G11" i="38"/>
  <c r="F11" i="38"/>
  <c r="L10" i="38"/>
  <c r="K10" i="38"/>
  <c r="H10" i="38"/>
  <c r="G10" i="38"/>
  <c r="F10" i="38"/>
  <c r="L9" i="38"/>
  <c r="K9" i="38"/>
  <c r="H9" i="38"/>
  <c r="G9" i="38"/>
  <c r="F9" i="38"/>
  <c r="L8" i="38"/>
  <c r="K8" i="38"/>
  <c r="H8" i="38"/>
  <c r="G8" i="38"/>
  <c r="F8" i="38"/>
  <c r="L7" i="38"/>
  <c r="K7" i="38"/>
  <c r="H7" i="38"/>
  <c r="G7" i="38"/>
  <c r="F7" i="38"/>
  <c r="L6" i="38"/>
  <c r="K6" i="38"/>
  <c r="H6" i="38"/>
  <c r="G6" i="38"/>
  <c r="F6" i="38"/>
  <c r="L5" i="38"/>
  <c r="K5" i="38"/>
  <c r="H5" i="38"/>
  <c r="G5" i="38"/>
  <c r="F5" i="38"/>
  <c r="L4" i="38"/>
  <c r="K4" i="38"/>
  <c r="H4" i="38"/>
  <c r="H34" i="38"/>
  <c r="G4" i="38"/>
  <c r="G34" i="38"/>
  <c r="F4" i="38"/>
  <c r="A4" i="38"/>
  <c r="A5" i="38"/>
  <c r="A6" i="38"/>
  <c r="A7" i="38"/>
  <c r="A8" i="38"/>
  <c r="A9" i="38"/>
  <c r="A10" i="38"/>
  <c r="A11" i="38"/>
  <c r="A12" i="38"/>
  <c r="A13" i="38"/>
  <c r="A14" i="38"/>
  <c r="A15" i="38"/>
  <c r="A16" i="38"/>
  <c r="A17" i="38"/>
  <c r="A18" i="38"/>
  <c r="A19" i="38"/>
  <c r="A20" i="38"/>
  <c r="A21" i="38"/>
  <c r="A22" i="38"/>
  <c r="A23" i="38"/>
  <c r="A24" i="38"/>
  <c r="A25" i="38"/>
  <c r="A26" i="38"/>
  <c r="A27" i="38"/>
  <c r="A28" i="38"/>
  <c r="A29" i="38"/>
  <c r="A30" i="38"/>
  <c r="A31" i="38"/>
  <c r="A32" i="38"/>
  <c r="A33" i="38"/>
  <c r="L33" i="37"/>
  <c r="K33" i="37"/>
  <c r="L32" i="37"/>
  <c r="K32" i="37"/>
  <c r="L31" i="37"/>
  <c r="K31" i="37"/>
  <c r="L30" i="37"/>
  <c r="K30" i="37"/>
  <c r="L29" i="37"/>
  <c r="K29" i="37"/>
  <c r="L28" i="37"/>
  <c r="K28" i="37"/>
  <c r="F28" i="37"/>
  <c r="L27" i="37"/>
  <c r="K27" i="37"/>
  <c r="H27" i="37"/>
  <c r="G27" i="37"/>
  <c r="F27" i="37"/>
  <c r="L26" i="37"/>
  <c r="K26" i="37"/>
  <c r="H26" i="37"/>
  <c r="G26" i="37"/>
  <c r="F26" i="37"/>
  <c r="L25" i="37"/>
  <c r="K25" i="37"/>
  <c r="H25" i="37"/>
  <c r="G25" i="37"/>
  <c r="F25" i="37"/>
  <c r="L24" i="37"/>
  <c r="K24" i="37"/>
  <c r="H24" i="37"/>
  <c r="G24" i="37"/>
  <c r="F24" i="37"/>
  <c r="L23" i="37"/>
  <c r="K23" i="37"/>
  <c r="H23" i="37"/>
  <c r="G23" i="37"/>
  <c r="F23" i="37"/>
  <c r="L22" i="37"/>
  <c r="K22" i="37"/>
  <c r="H22" i="37"/>
  <c r="G22" i="37"/>
  <c r="F22" i="37"/>
  <c r="L21" i="37"/>
  <c r="K21" i="37"/>
  <c r="H21" i="37"/>
  <c r="G21" i="37"/>
  <c r="F21" i="37"/>
  <c r="L20" i="37"/>
  <c r="K20" i="37"/>
  <c r="H20" i="37"/>
  <c r="G20" i="37"/>
  <c r="F20" i="37"/>
  <c r="L19" i="37"/>
  <c r="K19" i="37"/>
  <c r="H19" i="37"/>
  <c r="G19" i="37"/>
  <c r="F19" i="37"/>
  <c r="L18" i="37"/>
  <c r="K18" i="37"/>
  <c r="H18" i="37"/>
  <c r="G18" i="37"/>
  <c r="F18" i="37"/>
  <c r="L17" i="37"/>
  <c r="K17" i="37"/>
  <c r="H17" i="37"/>
  <c r="G17" i="37"/>
  <c r="F17" i="37"/>
  <c r="L16" i="37"/>
  <c r="K16" i="37"/>
  <c r="H16" i="37"/>
  <c r="G16" i="37"/>
  <c r="F16" i="37"/>
  <c r="L15" i="37"/>
  <c r="K15" i="37"/>
  <c r="H15" i="37"/>
  <c r="G15" i="37"/>
  <c r="F15" i="37"/>
  <c r="L14" i="37"/>
  <c r="K14" i="37"/>
  <c r="H14" i="37"/>
  <c r="G14" i="37"/>
  <c r="F14" i="37"/>
  <c r="L13" i="37"/>
  <c r="K13" i="37"/>
  <c r="H13" i="37"/>
  <c r="G13" i="37"/>
  <c r="F13" i="37"/>
  <c r="L12" i="37"/>
  <c r="K12" i="37"/>
  <c r="H12" i="37"/>
  <c r="G12" i="37"/>
  <c r="F12" i="37"/>
  <c r="L11" i="37"/>
  <c r="K11" i="37"/>
  <c r="H11" i="37"/>
  <c r="G11" i="37"/>
  <c r="F11" i="37"/>
  <c r="L10" i="37"/>
  <c r="K10" i="37"/>
  <c r="H10" i="37"/>
  <c r="G10" i="37"/>
  <c r="F10" i="37"/>
  <c r="L9" i="37"/>
  <c r="K9" i="37"/>
  <c r="H9" i="37"/>
  <c r="G9" i="37"/>
  <c r="F9" i="37"/>
  <c r="L8" i="37"/>
  <c r="K8" i="37"/>
  <c r="H8" i="37"/>
  <c r="G8" i="37"/>
  <c r="F8" i="37"/>
  <c r="L7" i="37"/>
  <c r="K7" i="37"/>
  <c r="H7" i="37"/>
  <c r="G7" i="37"/>
  <c r="F7" i="37"/>
  <c r="L6" i="37"/>
  <c r="K6" i="37"/>
  <c r="H6" i="37"/>
  <c r="G6" i="37"/>
  <c r="F6" i="37"/>
  <c r="L5" i="37"/>
  <c r="K5" i="37"/>
  <c r="H5" i="37"/>
  <c r="G5" i="37"/>
  <c r="F5" i="37"/>
  <c r="L4" i="37"/>
  <c r="K4" i="37"/>
  <c r="H4" i="37"/>
  <c r="G4" i="37"/>
  <c r="G34" i="37"/>
  <c r="F4" i="37"/>
  <c r="A4" i="37"/>
  <c r="A5" i="37"/>
  <c r="A6" i="37"/>
  <c r="A7" i="37"/>
  <c r="A8" i="37"/>
  <c r="A9" i="37"/>
  <c r="A10" i="37"/>
  <c r="A11" i="37"/>
  <c r="A12" i="37"/>
  <c r="A13" i="37"/>
  <c r="A14" i="37"/>
  <c r="A15" i="37"/>
  <c r="A16" i="37"/>
  <c r="A17" i="37"/>
  <c r="A18" i="37"/>
  <c r="A19" i="37"/>
  <c r="A20" i="37"/>
  <c r="A21" i="37"/>
  <c r="A22" i="37"/>
  <c r="A23" i="37"/>
  <c r="A24" i="37"/>
  <c r="A25" i="37"/>
  <c r="A26" i="37"/>
  <c r="A27" i="37"/>
  <c r="A28" i="37"/>
  <c r="A29" i="37"/>
  <c r="A30" i="37"/>
  <c r="A31" i="37"/>
  <c r="A32" i="37"/>
  <c r="A33" i="37"/>
  <c r="P34" i="30"/>
  <c r="O34" i="30"/>
  <c r="N34" i="30"/>
  <c r="M34" i="30"/>
  <c r="J34" i="30"/>
  <c r="I34" i="30"/>
  <c r="H34" i="30"/>
  <c r="G34" i="30"/>
  <c r="E34" i="30"/>
  <c r="D34" i="30"/>
  <c r="L34" i="30"/>
  <c r="C34" i="30"/>
  <c r="B34" i="30"/>
  <c r="P34" i="35"/>
  <c r="O34" i="35"/>
  <c r="N34" i="35"/>
  <c r="M34" i="35"/>
  <c r="J34" i="35"/>
  <c r="I34" i="35"/>
  <c r="H34" i="35"/>
  <c r="G34" i="35"/>
  <c r="E34" i="35"/>
  <c r="D34" i="35"/>
  <c r="L34" i="35"/>
  <c r="C34" i="35"/>
  <c r="B34" i="35"/>
  <c r="P34" i="34"/>
  <c r="O34" i="34"/>
  <c r="N34" i="34"/>
  <c r="M34" i="34"/>
  <c r="J34" i="34"/>
  <c r="I34" i="34"/>
  <c r="H34" i="34"/>
  <c r="G34" i="34"/>
  <c r="E34" i="34"/>
  <c r="D34" i="34"/>
  <c r="L34" i="34"/>
  <c r="C34" i="34"/>
  <c r="B34" i="34"/>
  <c r="P34" i="33"/>
  <c r="O34" i="33"/>
  <c r="N34" i="33"/>
  <c r="M34" i="33"/>
  <c r="J34" i="33"/>
  <c r="I34" i="33"/>
  <c r="H34" i="33"/>
  <c r="G34" i="33"/>
  <c r="E34" i="33"/>
  <c r="D34" i="33"/>
  <c r="L34" i="33"/>
  <c r="C34" i="33"/>
  <c r="B34" i="33"/>
  <c r="P34" i="32"/>
  <c r="O34" i="32"/>
  <c r="N34" i="32"/>
  <c r="M34" i="32"/>
  <c r="J34" i="32"/>
  <c r="I34" i="32"/>
  <c r="H34" i="32"/>
  <c r="G34" i="32"/>
  <c r="E34" i="32"/>
  <c r="D34" i="32"/>
  <c r="L34" i="32"/>
  <c r="C34" i="32"/>
  <c r="B34" i="32"/>
  <c r="P34" i="31"/>
  <c r="O34" i="31"/>
  <c r="N34" i="31"/>
  <c r="M34" i="31"/>
  <c r="J34" i="31"/>
  <c r="I34" i="31"/>
  <c r="H34" i="31"/>
  <c r="G34" i="31"/>
  <c r="E34" i="31"/>
  <c r="D34" i="31"/>
  <c r="L34" i="31"/>
  <c r="C34" i="31"/>
  <c r="B34" i="31"/>
  <c r="F26" i="34"/>
  <c r="F5" i="34"/>
  <c r="F6" i="34"/>
  <c r="F7" i="34"/>
  <c r="F8" i="34"/>
  <c r="F9" i="34"/>
  <c r="F10" i="34"/>
  <c r="F11" i="34"/>
  <c r="F12" i="34"/>
  <c r="F13" i="34"/>
  <c r="F14" i="34"/>
  <c r="F15" i="34"/>
  <c r="F16" i="34"/>
  <c r="F17" i="34"/>
  <c r="F18" i="34"/>
  <c r="F19" i="34"/>
  <c r="F20" i="34"/>
  <c r="F21" i="34"/>
  <c r="F22" i="34"/>
  <c r="F23" i="34"/>
  <c r="F24" i="34"/>
  <c r="F25" i="34"/>
  <c r="F27" i="34"/>
  <c r="F28" i="34"/>
  <c r="F29" i="34"/>
  <c r="F30" i="34"/>
  <c r="F31" i="34"/>
  <c r="F32" i="34"/>
  <c r="F33" i="34"/>
  <c r="F4" i="34"/>
  <c r="L27" i="21"/>
  <c r="H24" i="21"/>
  <c r="H25" i="21"/>
  <c r="H26" i="21"/>
  <c r="H27" i="21"/>
  <c r="G26" i="21"/>
  <c r="G27" i="21"/>
  <c r="G24" i="21"/>
  <c r="G25" i="21"/>
  <c r="G27" i="23"/>
  <c r="G26" i="23"/>
  <c r="G25" i="23"/>
  <c r="G24" i="23"/>
  <c r="H27" i="23"/>
  <c r="H26" i="23"/>
  <c r="H25" i="23"/>
  <c r="H24" i="23"/>
  <c r="V23" i="3"/>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4" i="30"/>
  <c r="F5" i="30"/>
  <c r="F6" i="30"/>
  <c r="F7" i="30"/>
  <c r="F8" i="30"/>
  <c r="F9" i="30"/>
  <c r="F10" i="30"/>
  <c r="F11" i="30"/>
  <c r="F12" i="30"/>
  <c r="F13" i="30"/>
  <c r="F14" i="30"/>
  <c r="F15" i="30"/>
  <c r="F16" i="30"/>
  <c r="F17" i="30"/>
  <c r="F18" i="30"/>
  <c r="F19" i="30"/>
  <c r="F20" i="30"/>
  <c r="F21" i="30"/>
  <c r="F22" i="30"/>
  <c r="F23" i="30"/>
  <c r="F24" i="30"/>
  <c r="F25" i="30"/>
  <c r="F26" i="30"/>
  <c r="F27" i="30"/>
  <c r="F28" i="30"/>
  <c r="F29" i="30"/>
  <c r="F30" i="30"/>
  <c r="F31" i="30"/>
  <c r="F32" i="30"/>
  <c r="F33" i="30"/>
  <c r="F4" i="30"/>
  <c r="P34" i="29"/>
  <c r="O34" i="29"/>
  <c r="L34" i="29"/>
  <c r="M34" i="29"/>
  <c r="N34" i="29"/>
  <c r="K34" i="29"/>
  <c r="I34" i="29"/>
  <c r="H34" i="29"/>
  <c r="E34" i="29"/>
  <c r="C34" i="29"/>
  <c r="B34" i="29"/>
  <c r="D34" i="29"/>
  <c r="V22" i="3"/>
  <c r="H4" i="20"/>
  <c r="L4" i="25"/>
  <c r="G24" i="19"/>
  <c r="H24" i="19"/>
  <c r="G25" i="19"/>
  <c r="H25" i="19"/>
  <c r="G26" i="19"/>
  <c r="H26" i="19"/>
  <c r="G27" i="19"/>
  <c r="H27" i="19"/>
  <c r="G28" i="19"/>
  <c r="H28" i="19"/>
  <c r="G29" i="19"/>
  <c r="H29" i="19"/>
  <c r="G30" i="19"/>
  <c r="H30" i="19"/>
  <c r="G31" i="19"/>
  <c r="H31" i="19"/>
  <c r="G32" i="19"/>
  <c r="H32" i="19"/>
  <c r="G33" i="19"/>
  <c r="H33" i="19"/>
  <c r="G24" i="18"/>
  <c r="H24" i="18"/>
  <c r="G25" i="18"/>
  <c r="H25" i="18"/>
  <c r="G26" i="18"/>
  <c r="H26" i="18"/>
  <c r="G27" i="18"/>
  <c r="H27" i="18"/>
  <c r="G28" i="18"/>
  <c r="H28" i="18"/>
  <c r="G29" i="18"/>
  <c r="H29" i="18"/>
  <c r="G30" i="18"/>
  <c r="H30" i="18"/>
  <c r="G31" i="18"/>
  <c r="H31" i="18"/>
  <c r="G32" i="18"/>
  <c r="H32" i="18"/>
  <c r="G33" i="18"/>
  <c r="H33" i="18"/>
  <c r="G23" i="18"/>
  <c r="H23" i="18"/>
  <c r="I5" i="18"/>
  <c r="I6" i="18"/>
  <c r="I7" i="18"/>
  <c r="I8" i="18"/>
  <c r="I9" i="18"/>
  <c r="I10" i="18"/>
  <c r="I11" i="18"/>
  <c r="I12" i="18"/>
  <c r="I13" i="18"/>
  <c r="I14" i="18"/>
  <c r="I15" i="18"/>
  <c r="I16" i="18"/>
  <c r="I17" i="18"/>
  <c r="I18" i="18"/>
  <c r="I19" i="18"/>
  <c r="I20" i="18"/>
  <c r="I21" i="18"/>
  <c r="I22" i="18"/>
  <c r="I23" i="18"/>
  <c r="I24" i="18"/>
  <c r="I25" i="18"/>
  <c r="I26" i="18"/>
  <c r="I27" i="18"/>
  <c r="B5" i="18"/>
  <c r="C5" i="18"/>
  <c r="B6" i="18"/>
  <c r="C6" i="18"/>
  <c r="B7" i="18"/>
  <c r="C7" i="18"/>
  <c r="B8" i="18"/>
  <c r="C8" i="18"/>
  <c r="B9" i="18"/>
  <c r="C9" i="18"/>
  <c r="B10" i="18"/>
  <c r="C10" i="18"/>
  <c r="B11" i="18"/>
  <c r="C11" i="18"/>
  <c r="B12" i="18"/>
  <c r="C12" i="18"/>
  <c r="B13" i="18"/>
  <c r="C13" i="18"/>
  <c r="B14" i="18"/>
  <c r="C14" i="18"/>
  <c r="B15" i="18"/>
  <c r="C15" i="18"/>
  <c r="B16" i="18"/>
  <c r="C16" i="18"/>
  <c r="B17" i="18"/>
  <c r="C17" i="18"/>
  <c r="B18" i="18"/>
  <c r="C18" i="18"/>
  <c r="B19" i="18"/>
  <c r="C19" i="18"/>
  <c r="B20" i="18"/>
  <c r="C20" i="18"/>
  <c r="B21" i="18"/>
  <c r="C21" i="18"/>
  <c r="B22" i="18"/>
  <c r="C22" i="18"/>
  <c r="B23" i="18"/>
  <c r="C23" i="18"/>
  <c r="B24" i="18"/>
  <c r="C24" i="18"/>
  <c r="B25" i="18"/>
  <c r="C25" i="18"/>
  <c r="B26" i="18"/>
  <c r="C26" i="18"/>
  <c r="B27" i="18"/>
  <c r="C27" i="18"/>
  <c r="I4" i="18"/>
  <c r="C4" i="18"/>
  <c r="B4" i="18"/>
  <c r="I5" i="4"/>
  <c r="I6" i="4"/>
  <c r="I7" i="4"/>
  <c r="I8" i="4"/>
  <c r="I9" i="4"/>
  <c r="I10" i="4"/>
  <c r="I11" i="4"/>
  <c r="I12" i="4"/>
  <c r="I13" i="4"/>
  <c r="I14" i="4"/>
  <c r="I15" i="4"/>
  <c r="I16" i="4"/>
  <c r="I17" i="4"/>
  <c r="I18" i="4"/>
  <c r="I19" i="4"/>
  <c r="I20" i="4"/>
  <c r="I21" i="4"/>
  <c r="I22" i="4"/>
  <c r="I23" i="4"/>
  <c r="I24" i="4"/>
  <c r="I25" i="4"/>
  <c r="I26" i="4"/>
  <c r="I27"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I4" i="4"/>
  <c r="C4" i="4"/>
  <c r="B4" i="4"/>
  <c r="K28" i="17"/>
  <c r="K32" i="17"/>
  <c r="K5" i="17"/>
  <c r="K6" i="17"/>
  <c r="K7" i="17"/>
  <c r="K8" i="17"/>
  <c r="K9" i="17"/>
  <c r="K10" i="17"/>
  <c r="K11" i="17"/>
  <c r="K12" i="17"/>
  <c r="K13" i="17"/>
  <c r="K14" i="17"/>
  <c r="K15" i="17"/>
  <c r="K16" i="17"/>
  <c r="K17" i="17"/>
  <c r="K18" i="17"/>
  <c r="K19" i="17"/>
  <c r="K20" i="17"/>
  <c r="K21" i="17"/>
  <c r="K22" i="17"/>
  <c r="K23" i="17"/>
  <c r="K24" i="17"/>
  <c r="K25" i="17"/>
  <c r="K26" i="17"/>
  <c r="K27" i="17"/>
  <c r="K29" i="17"/>
  <c r="K30" i="17"/>
  <c r="K31" i="17"/>
  <c r="K33" i="17"/>
  <c r="K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4" i="17"/>
  <c r="L4" i="17"/>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4" i="11"/>
  <c r="K4" i="11"/>
  <c r="K5" i="11"/>
  <c r="K6" i="11"/>
  <c r="K7" i="11"/>
  <c r="K8" i="11"/>
  <c r="K9" i="11"/>
  <c r="K10" i="11"/>
  <c r="K11" i="11"/>
  <c r="K12" i="11"/>
  <c r="K13" i="11"/>
  <c r="K14" i="11"/>
  <c r="K15" i="11"/>
  <c r="K16" i="11"/>
  <c r="K17" i="11"/>
  <c r="K18" i="11"/>
  <c r="K19" i="11"/>
  <c r="K20" i="11"/>
  <c r="K21" i="11"/>
  <c r="K22" i="11"/>
  <c r="K23" i="11"/>
  <c r="K24" i="11"/>
  <c r="K25" i="11"/>
  <c r="K26" i="11"/>
  <c r="K27" i="11"/>
  <c r="F4" i="11"/>
  <c r="F5" i="11"/>
  <c r="F6" i="11"/>
  <c r="F7" i="11"/>
  <c r="F8" i="11"/>
  <c r="F9" i="11"/>
  <c r="F10" i="11"/>
  <c r="F11" i="11"/>
  <c r="F12" i="11"/>
  <c r="F13" i="11"/>
  <c r="F14" i="11"/>
  <c r="F15" i="11"/>
  <c r="F16" i="11"/>
  <c r="F17" i="11"/>
  <c r="F18" i="11"/>
  <c r="F19" i="11"/>
  <c r="F20" i="11"/>
  <c r="F21" i="11"/>
  <c r="F22" i="11"/>
  <c r="F23" i="11"/>
  <c r="F24" i="11"/>
  <c r="F25" i="11"/>
  <c r="F26" i="11"/>
  <c r="F27" i="11"/>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5" i="13"/>
  <c r="L4" i="13"/>
  <c r="H24" i="17"/>
  <c r="H25" i="17"/>
  <c r="H26" i="17"/>
  <c r="H27" i="17"/>
  <c r="G24" i="17"/>
  <c r="G25" i="17"/>
  <c r="G26" i="17"/>
  <c r="G27" i="17"/>
  <c r="K5" i="13"/>
  <c r="K6" i="13"/>
  <c r="K7" i="13"/>
  <c r="K8" i="13"/>
  <c r="K9" i="13"/>
  <c r="K10" i="13"/>
  <c r="K11" i="13"/>
  <c r="K12" i="13"/>
  <c r="K13" i="13"/>
  <c r="K14" i="13"/>
  <c r="K15" i="13"/>
  <c r="K16" i="13"/>
  <c r="K17" i="13"/>
  <c r="K18" i="13"/>
  <c r="K19" i="13"/>
  <c r="K20" i="13"/>
  <c r="K21" i="13"/>
  <c r="K22" i="13"/>
  <c r="K23" i="13"/>
  <c r="K24" i="13"/>
  <c r="K25" i="13"/>
  <c r="K26" i="13"/>
  <c r="K27" i="13"/>
  <c r="K4" i="13"/>
  <c r="B7" i="17"/>
  <c r="B8" i="17"/>
  <c r="B9" i="17"/>
  <c r="B10" i="17"/>
  <c r="B11" i="17"/>
  <c r="B12" i="17"/>
  <c r="B13" i="17"/>
  <c r="B14" i="17"/>
  <c r="B15" i="17"/>
  <c r="B16" i="17"/>
  <c r="B17" i="17"/>
  <c r="B18" i="17"/>
  <c r="B19" i="17"/>
  <c r="B20" i="17"/>
  <c r="B21" i="17"/>
  <c r="B22" i="17"/>
  <c r="B23" i="17"/>
  <c r="B24" i="17"/>
  <c r="B25" i="17"/>
  <c r="B26" i="17"/>
  <c r="B27" i="17"/>
  <c r="B5" i="17"/>
  <c r="B6" i="17"/>
  <c r="F5" i="13"/>
  <c r="F6" i="13"/>
  <c r="F7" i="13"/>
  <c r="F8" i="13"/>
  <c r="F9" i="13"/>
  <c r="F10" i="13"/>
  <c r="F11" i="13"/>
  <c r="F12" i="13"/>
  <c r="F13" i="13"/>
  <c r="F14" i="13"/>
  <c r="F15" i="13"/>
  <c r="F16" i="13"/>
  <c r="F17" i="13"/>
  <c r="F18" i="13"/>
  <c r="F19" i="13"/>
  <c r="F20" i="13"/>
  <c r="F21" i="13"/>
  <c r="F22" i="13"/>
  <c r="F23" i="13"/>
  <c r="F24" i="13"/>
  <c r="F25" i="13"/>
  <c r="F26" i="13"/>
  <c r="F27" i="13"/>
  <c r="B4" i="17"/>
  <c r="G24" i="27"/>
  <c r="H24" i="27"/>
  <c r="G25" i="27"/>
  <c r="H25" i="27"/>
  <c r="G26" i="27"/>
  <c r="H26" i="27"/>
  <c r="G27" i="27"/>
  <c r="H27" i="27"/>
  <c r="G26" i="20"/>
  <c r="H20" i="20"/>
  <c r="H21" i="20"/>
  <c r="H22" i="20"/>
  <c r="H23" i="20"/>
  <c r="H24" i="20"/>
  <c r="H25" i="20"/>
  <c r="H26" i="20"/>
  <c r="H27" i="20"/>
  <c r="K27" i="25"/>
  <c r="G24" i="25"/>
  <c r="H24" i="25"/>
  <c r="G25" i="25"/>
  <c r="H25" i="25"/>
  <c r="G26" i="25"/>
  <c r="H26" i="25"/>
  <c r="G27" i="25"/>
  <c r="H27" i="25"/>
  <c r="F27" i="26"/>
  <c r="G24" i="26"/>
  <c r="H24" i="26"/>
  <c r="G25" i="26"/>
  <c r="H25" i="26"/>
  <c r="G26" i="26"/>
  <c r="H26" i="26"/>
  <c r="G27" i="26"/>
  <c r="H27" i="26"/>
  <c r="G24" i="20"/>
  <c r="G25" i="20"/>
  <c r="F4" i="22"/>
  <c r="G27" i="22"/>
  <c r="H27" i="22"/>
  <c r="G24" i="9"/>
  <c r="H24" i="9"/>
  <c r="G25" i="9"/>
  <c r="H25" i="9"/>
  <c r="G26" i="9"/>
  <c r="H26" i="9"/>
  <c r="G27" i="9"/>
  <c r="H27" i="9"/>
  <c r="G24" i="10"/>
  <c r="H24" i="10"/>
  <c r="G25" i="10"/>
  <c r="H25" i="10"/>
  <c r="G26" i="10"/>
  <c r="H26" i="10"/>
  <c r="G27" i="10"/>
  <c r="H27" i="10"/>
  <c r="H24" i="22"/>
  <c r="H25" i="22"/>
  <c r="H26" i="22"/>
  <c r="G24" i="22"/>
  <c r="G25" i="22"/>
  <c r="G26" i="22"/>
  <c r="G24" i="12"/>
  <c r="H24" i="12"/>
  <c r="G25" i="12"/>
  <c r="H25" i="12"/>
  <c r="G26" i="12"/>
  <c r="H26" i="12"/>
  <c r="G27" i="12"/>
  <c r="H27" i="12"/>
  <c r="A4" i="28"/>
  <c r="F4" i="28"/>
  <c r="G4" i="28"/>
  <c r="H4" i="28"/>
  <c r="K4" i="28"/>
  <c r="L4" i="28"/>
  <c r="A5" i="28"/>
  <c r="F5" i="28"/>
  <c r="G5" i="28"/>
  <c r="H5" i="28"/>
  <c r="K5" i="28"/>
  <c r="L5" i="28"/>
  <c r="A6" i="28"/>
  <c r="F6" i="28"/>
  <c r="G6" i="28"/>
  <c r="H6" i="28"/>
  <c r="K6" i="28"/>
  <c r="L6" i="28"/>
  <c r="A7" i="28"/>
  <c r="F7" i="28"/>
  <c r="G7" i="28"/>
  <c r="H7" i="28"/>
  <c r="K7" i="28"/>
  <c r="L7" i="28"/>
  <c r="A8" i="28"/>
  <c r="F8" i="28"/>
  <c r="G8" i="28"/>
  <c r="H8" i="28"/>
  <c r="K8" i="28"/>
  <c r="L8" i="28"/>
  <c r="A9" i="28"/>
  <c r="F9" i="28"/>
  <c r="G9" i="28"/>
  <c r="H9" i="28"/>
  <c r="K9" i="28"/>
  <c r="L9" i="28"/>
  <c r="A10" i="28"/>
  <c r="F10" i="28"/>
  <c r="G10" i="28"/>
  <c r="H10" i="28"/>
  <c r="K10" i="28"/>
  <c r="L10" i="28"/>
  <c r="A11" i="28"/>
  <c r="F11" i="28"/>
  <c r="G11" i="28"/>
  <c r="H11" i="28"/>
  <c r="K11" i="28"/>
  <c r="L11" i="28"/>
  <c r="A12" i="28"/>
  <c r="F12" i="28"/>
  <c r="G12" i="28"/>
  <c r="H12" i="28"/>
  <c r="K12" i="28"/>
  <c r="L12" i="28"/>
  <c r="A13" i="28"/>
  <c r="F13" i="28"/>
  <c r="G13" i="28"/>
  <c r="H13" i="28"/>
  <c r="K13" i="28"/>
  <c r="L13" i="28"/>
  <c r="A14" i="28"/>
  <c r="F14" i="28"/>
  <c r="G14" i="28"/>
  <c r="H14" i="28"/>
  <c r="K14" i="28"/>
  <c r="L14" i="28"/>
  <c r="A15" i="28"/>
  <c r="F15" i="28"/>
  <c r="G15" i="28"/>
  <c r="H15" i="28"/>
  <c r="K15" i="28"/>
  <c r="L15" i="28"/>
  <c r="A16" i="28"/>
  <c r="F16" i="28"/>
  <c r="G16" i="28"/>
  <c r="H16" i="28"/>
  <c r="K16" i="28"/>
  <c r="L16" i="28"/>
  <c r="A17" i="28"/>
  <c r="F17" i="28"/>
  <c r="G17" i="28"/>
  <c r="H17" i="28"/>
  <c r="K17" i="28"/>
  <c r="L17" i="28"/>
  <c r="A18" i="28"/>
  <c r="F18" i="28"/>
  <c r="G18" i="28"/>
  <c r="H18" i="28"/>
  <c r="K18" i="28"/>
  <c r="L18" i="28"/>
  <c r="A19" i="28"/>
  <c r="F19" i="28"/>
  <c r="G19" i="28"/>
  <c r="H19" i="28"/>
  <c r="K19" i="28"/>
  <c r="L19" i="28"/>
  <c r="A20" i="28"/>
  <c r="F20" i="28"/>
  <c r="G20" i="28"/>
  <c r="H20" i="28"/>
  <c r="K20" i="28"/>
  <c r="L20" i="28"/>
  <c r="A21" i="28"/>
  <c r="F21" i="28"/>
  <c r="G21" i="28"/>
  <c r="H21" i="28"/>
  <c r="K21" i="28"/>
  <c r="L21" i="28"/>
  <c r="A22" i="28"/>
  <c r="F22" i="28"/>
  <c r="G22" i="28"/>
  <c r="H22" i="28"/>
  <c r="K22" i="28"/>
  <c r="L22" i="28"/>
  <c r="A23" i="28"/>
  <c r="F23" i="28"/>
  <c r="G23" i="28"/>
  <c r="H23" i="28"/>
  <c r="K23" i="28"/>
  <c r="L23" i="28"/>
  <c r="A24" i="28"/>
  <c r="F24" i="28"/>
  <c r="K24" i="28"/>
  <c r="L24" i="28"/>
  <c r="A25" i="28"/>
  <c r="F25" i="28"/>
  <c r="K25" i="28"/>
  <c r="L25" i="28"/>
  <c r="A26" i="28"/>
  <c r="F26" i="28"/>
  <c r="K26" i="28"/>
  <c r="L26" i="28"/>
  <c r="A27" i="28"/>
  <c r="F27" i="28"/>
  <c r="K27" i="28"/>
  <c r="L27" i="28"/>
  <c r="A28" i="28"/>
  <c r="F28" i="28"/>
  <c r="K28" i="28"/>
  <c r="L28" i="28"/>
  <c r="A29" i="28"/>
  <c r="F29" i="28"/>
  <c r="K29" i="28"/>
  <c r="L29" i="28"/>
  <c r="A30" i="28"/>
  <c r="F30" i="28"/>
  <c r="K30" i="28"/>
  <c r="L30" i="28"/>
  <c r="A31" i="28"/>
  <c r="F31" i="28"/>
  <c r="K31" i="28"/>
  <c r="L31" i="28"/>
  <c r="A32" i="28"/>
  <c r="F32" i="28"/>
  <c r="K32" i="28"/>
  <c r="L32" i="28"/>
  <c r="A33" i="28"/>
  <c r="A36" i="28" s="1"/>
  <c r="A37" i="28" s="1"/>
  <c r="A38" i="28" s="1"/>
  <c r="A39" i="28" s="1"/>
  <c r="A40" i="28" s="1"/>
  <c r="A41" i="28" s="1"/>
  <c r="A42" i="28" s="1"/>
  <c r="A43" i="28" s="1"/>
  <c r="A44" i="28" s="1"/>
  <c r="A45" i="28" s="1"/>
  <c r="A46" i="28" s="1"/>
  <c r="A47" i="28" s="1"/>
  <c r="A48" i="28" s="1"/>
  <c r="A49" i="28" s="1"/>
  <c r="A50" i="28" s="1"/>
  <c r="A51" i="28" s="1"/>
  <c r="A52" i="28" s="1"/>
  <c r="A53" i="28" s="1"/>
  <c r="A54" i="28" s="1"/>
  <c r="A55" i="28" s="1"/>
  <c r="A56" i="28" s="1"/>
  <c r="A57" i="28" s="1"/>
  <c r="A58" i="28" s="1"/>
  <c r="A59" i="28" s="1"/>
  <c r="A60" i="28" s="1"/>
  <c r="A61" i="28" s="1"/>
  <c r="A62" i="28" s="1"/>
  <c r="A63" i="28" s="1"/>
  <c r="A64" i="28" s="1"/>
  <c r="A65" i="28" s="1"/>
  <c r="F33" i="28"/>
  <c r="K33" i="28"/>
  <c r="L33" i="28"/>
  <c r="P34" i="27"/>
  <c r="O34" i="27"/>
  <c r="N34" i="27"/>
  <c r="M34" i="27"/>
  <c r="J34" i="27"/>
  <c r="I34" i="27"/>
  <c r="E34" i="27"/>
  <c r="D34" i="27"/>
  <c r="C34" i="27"/>
  <c r="B34" i="27"/>
  <c r="L33" i="27"/>
  <c r="K33" i="27"/>
  <c r="F33" i="27"/>
  <c r="L32" i="27"/>
  <c r="K32" i="27"/>
  <c r="F32" i="27"/>
  <c r="L31" i="27"/>
  <c r="K31" i="27"/>
  <c r="F31" i="27"/>
  <c r="L30" i="27"/>
  <c r="K30" i="27"/>
  <c r="F30" i="27"/>
  <c r="L29" i="27"/>
  <c r="K29" i="27"/>
  <c r="F29" i="27"/>
  <c r="L28" i="27"/>
  <c r="K28" i="27"/>
  <c r="F28" i="27"/>
  <c r="L27" i="27"/>
  <c r="K27" i="27"/>
  <c r="F27" i="27"/>
  <c r="L26" i="27"/>
  <c r="K26" i="27"/>
  <c r="F26" i="27"/>
  <c r="L25" i="27"/>
  <c r="K25" i="27"/>
  <c r="F25" i="27"/>
  <c r="L24" i="27"/>
  <c r="K24" i="27"/>
  <c r="F24" i="27"/>
  <c r="L23" i="27"/>
  <c r="K23" i="27"/>
  <c r="H23" i="27"/>
  <c r="G23" i="27"/>
  <c r="F23" i="27"/>
  <c r="L22" i="27"/>
  <c r="K22" i="27"/>
  <c r="H22" i="27"/>
  <c r="G22" i="27"/>
  <c r="F22" i="27"/>
  <c r="L21" i="27"/>
  <c r="K21" i="27"/>
  <c r="H21" i="27"/>
  <c r="G21" i="27"/>
  <c r="F21" i="27"/>
  <c r="L20" i="27"/>
  <c r="K20" i="27"/>
  <c r="H20" i="27"/>
  <c r="G20" i="27"/>
  <c r="F20" i="27"/>
  <c r="L19" i="27"/>
  <c r="K19" i="27"/>
  <c r="H19" i="27"/>
  <c r="G19" i="27"/>
  <c r="F19" i="27"/>
  <c r="L18" i="27"/>
  <c r="K18" i="27"/>
  <c r="H18" i="27"/>
  <c r="G18" i="27"/>
  <c r="F18" i="27"/>
  <c r="L17" i="27"/>
  <c r="K17" i="27"/>
  <c r="H17" i="27"/>
  <c r="G17" i="27"/>
  <c r="F17" i="27"/>
  <c r="L16" i="27"/>
  <c r="K16" i="27"/>
  <c r="H16" i="27"/>
  <c r="G16" i="27"/>
  <c r="F16" i="27"/>
  <c r="L15" i="27"/>
  <c r="K15" i="27"/>
  <c r="H15" i="27"/>
  <c r="G15" i="27"/>
  <c r="F15" i="27"/>
  <c r="L14" i="27"/>
  <c r="K14" i="27"/>
  <c r="H14" i="27"/>
  <c r="G14" i="27"/>
  <c r="F14" i="27"/>
  <c r="L13" i="27"/>
  <c r="K13" i="27"/>
  <c r="H13" i="27"/>
  <c r="G13" i="27"/>
  <c r="F13" i="27"/>
  <c r="L12" i="27"/>
  <c r="K12" i="27"/>
  <c r="H12" i="27"/>
  <c r="G12" i="27"/>
  <c r="F12" i="27"/>
  <c r="L11" i="27"/>
  <c r="K11" i="27"/>
  <c r="H11" i="27"/>
  <c r="G11" i="27"/>
  <c r="F11" i="27"/>
  <c r="L10" i="27"/>
  <c r="K10" i="27"/>
  <c r="H10" i="27"/>
  <c r="G10" i="27"/>
  <c r="F10" i="27"/>
  <c r="L9" i="27"/>
  <c r="K9" i="27"/>
  <c r="H9" i="27"/>
  <c r="G9" i="27"/>
  <c r="F9" i="27"/>
  <c r="L8" i="27"/>
  <c r="K8" i="27"/>
  <c r="H8" i="27"/>
  <c r="G8" i="27"/>
  <c r="F8" i="27"/>
  <c r="L7" i="27"/>
  <c r="K7" i="27"/>
  <c r="H7" i="27"/>
  <c r="G7" i="27"/>
  <c r="F7" i="27"/>
  <c r="L6" i="27"/>
  <c r="K6" i="27"/>
  <c r="H6" i="27"/>
  <c r="G6" i="27"/>
  <c r="F6" i="27"/>
  <c r="L5" i="27"/>
  <c r="K5" i="27"/>
  <c r="H5" i="27"/>
  <c r="G5" i="27"/>
  <c r="F5"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L4" i="27"/>
  <c r="K4" i="27"/>
  <c r="H4" i="27"/>
  <c r="H34" i="27"/>
  <c r="G4" i="27"/>
  <c r="G34" i="27"/>
  <c r="F4" i="27"/>
  <c r="A4" i="27"/>
  <c r="P34" i="26"/>
  <c r="O34" i="26"/>
  <c r="N34" i="26"/>
  <c r="M34" i="26"/>
  <c r="J34" i="26"/>
  <c r="I34" i="26"/>
  <c r="E34" i="26"/>
  <c r="D34" i="26"/>
  <c r="C34" i="26"/>
  <c r="B34" i="26"/>
  <c r="L33" i="26"/>
  <c r="K33" i="26"/>
  <c r="F33" i="26"/>
  <c r="L32" i="26"/>
  <c r="K32" i="26"/>
  <c r="F32" i="26"/>
  <c r="L31" i="26"/>
  <c r="K31" i="26"/>
  <c r="F31" i="26"/>
  <c r="L30" i="26"/>
  <c r="K30" i="26"/>
  <c r="F30" i="26"/>
  <c r="L29" i="26"/>
  <c r="K29" i="26"/>
  <c r="F29" i="26"/>
  <c r="L28" i="26"/>
  <c r="K28" i="26"/>
  <c r="F28" i="26"/>
  <c r="L27" i="26"/>
  <c r="K27" i="26"/>
  <c r="L26" i="26"/>
  <c r="K26" i="26"/>
  <c r="F26" i="26"/>
  <c r="L25" i="26"/>
  <c r="K25" i="26"/>
  <c r="F25" i="26"/>
  <c r="L24" i="26"/>
  <c r="K24" i="26"/>
  <c r="F24" i="26"/>
  <c r="L23" i="26"/>
  <c r="K23" i="26"/>
  <c r="H23" i="26"/>
  <c r="G23" i="26"/>
  <c r="F23" i="26"/>
  <c r="L22" i="26"/>
  <c r="K22" i="26"/>
  <c r="H22" i="26"/>
  <c r="G22" i="26"/>
  <c r="F22" i="26"/>
  <c r="L21" i="26"/>
  <c r="K21" i="26"/>
  <c r="H21" i="26"/>
  <c r="G21" i="26"/>
  <c r="F21" i="26"/>
  <c r="L20" i="26"/>
  <c r="K20" i="26"/>
  <c r="H20" i="26"/>
  <c r="G20" i="26"/>
  <c r="F20" i="26"/>
  <c r="L19" i="26"/>
  <c r="K19" i="26"/>
  <c r="H19" i="26"/>
  <c r="G19" i="26"/>
  <c r="F19" i="26"/>
  <c r="L18" i="26"/>
  <c r="K18" i="26"/>
  <c r="H18" i="26"/>
  <c r="G18" i="26"/>
  <c r="F18" i="26"/>
  <c r="L17" i="26"/>
  <c r="K17" i="26"/>
  <c r="H17" i="26"/>
  <c r="G17" i="26"/>
  <c r="F17" i="26"/>
  <c r="L16" i="26"/>
  <c r="K16" i="26"/>
  <c r="H16" i="26"/>
  <c r="G16" i="26"/>
  <c r="F16" i="26"/>
  <c r="L15" i="26"/>
  <c r="K15" i="26"/>
  <c r="H15" i="26"/>
  <c r="G15" i="26"/>
  <c r="F15" i="26"/>
  <c r="L14" i="26"/>
  <c r="K14" i="26"/>
  <c r="H14" i="26"/>
  <c r="G14" i="26"/>
  <c r="F14" i="26"/>
  <c r="L13" i="26"/>
  <c r="K13" i="26"/>
  <c r="H13" i="26"/>
  <c r="G13" i="26"/>
  <c r="F13" i="26"/>
  <c r="L12" i="26"/>
  <c r="K12" i="26"/>
  <c r="H12" i="26"/>
  <c r="G12" i="26"/>
  <c r="F12" i="26"/>
  <c r="L11" i="26"/>
  <c r="K11" i="26"/>
  <c r="H11" i="26"/>
  <c r="G11" i="26"/>
  <c r="F11" i="26"/>
  <c r="L10" i="26"/>
  <c r="K10" i="26"/>
  <c r="H10" i="26"/>
  <c r="G10" i="26"/>
  <c r="F10" i="26"/>
  <c r="L9" i="26"/>
  <c r="K9" i="26"/>
  <c r="H9" i="26"/>
  <c r="G9" i="26"/>
  <c r="F9" i="26"/>
  <c r="L8" i="26"/>
  <c r="K8" i="26"/>
  <c r="H8" i="26"/>
  <c r="G8" i="26"/>
  <c r="F8" i="26"/>
  <c r="L7" i="26"/>
  <c r="K7" i="26"/>
  <c r="H7" i="26"/>
  <c r="G7" i="26"/>
  <c r="F7" i="26"/>
  <c r="L6" i="26"/>
  <c r="K6" i="26"/>
  <c r="H6" i="26"/>
  <c r="G6" i="26"/>
  <c r="F6" i="26"/>
  <c r="L5" i="26"/>
  <c r="K5" i="26"/>
  <c r="H5" i="26"/>
  <c r="G5" i="26"/>
  <c r="F5" i="26"/>
  <c r="A5"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L4" i="26"/>
  <c r="K4" i="26"/>
  <c r="H4" i="26"/>
  <c r="G4" i="26"/>
  <c r="G34" i="26"/>
  <c r="F4" i="26"/>
  <c r="A4" i="26"/>
  <c r="P34" i="25"/>
  <c r="O34" i="25"/>
  <c r="N34" i="25"/>
  <c r="M34" i="25"/>
  <c r="J34" i="25"/>
  <c r="I34" i="25"/>
  <c r="E34" i="25"/>
  <c r="D34" i="25"/>
  <c r="C34" i="25"/>
  <c r="B34" i="25"/>
  <c r="L33" i="25"/>
  <c r="K33" i="25"/>
  <c r="F33" i="25"/>
  <c r="L32" i="25"/>
  <c r="K32" i="25"/>
  <c r="F32" i="25"/>
  <c r="L31" i="25"/>
  <c r="K31" i="25"/>
  <c r="F31" i="25"/>
  <c r="L30" i="25"/>
  <c r="K30" i="25"/>
  <c r="F30" i="25"/>
  <c r="L29" i="25"/>
  <c r="K29" i="25"/>
  <c r="F29" i="25"/>
  <c r="L28" i="25"/>
  <c r="K28" i="25"/>
  <c r="F28" i="25"/>
  <c r="L27" i="25"/>
  <c r="F27" i="25"/>
  <c r="L26" i="25"/>
  <c r="K26" i="25"/>
  <c r="F26" i="25"/>
  <c r="L25" i="25"/>
  <c r="K25" i="25"/>
  <c r="F25" i="25"/>
  <c r="L24" i="25"/>
  <c r="K24" i="25"/>
  <c r="F24" i="25"/>
  <c r="L23" i="25"/>
  <c r="K23" i="25"/>
  <c r="H23" i="25"/>
  <c r="G23" i="25"/>
  <c r="F23" i="25"/>
  <c r="L22" i="25"/>
  <c r="K22" i="25"/>
  <c r="H22" i="25"/>
  <c r="G22" i="25"/>
  <c r="F22" i="25"/>
  <c r="L21" i="25"/>
  <c r="K21" i="25"/>
  <c r="H21" i="25"/>
  <c r="G21" i="25"/>
  <c r="F21" i="25"/>
  <c r="L20" i="25"/>
  <c r="K20" i="25"/>
  <c r="H20" i="25"/>
  <c r="G20" i="25"/>
  <c r="F20" i="25"/>
  <c r="L19" i="25"/>
  <c r="K19" i="25"/>
  <c r="H19" i="25"/>
  <c r="G19" i="25"/>
  <c r="F19" i="25"/>
  <c r="L18" i="25"/>
  <c r="K18" i="25"/>
  <c r="H18" i="25"/>
  <c r="G18" i="25"/>
  <c r="F18" i="25"/>
  <c r="L17" i="25"/>
  <c r="K17" i="25"/>
  <c r="H17" i="25"/>
  <c r="G17" i="25"/>
  <c r="F17" i="25"/>
  <c r="L16" i="25"/>
  <c r="K16" i="25"/>
  <c r="H16" i="25"/>
  <c r="G16" i="25"/>
  <c r="F16" i="25"/>
  <c r="L15" i="25"/>
  <c r="K15" i="25"/>
  <c r="H15" i="25"/>
  <c r="G15" i="25"/>
  <c r="F15" i="25"/>
  <c r="L14" i="25"/>
  <c r="K14" i="25"/>
  <c r="H14" i="25"/>
  <c r="G14" i="25"/>
  <c r="F14" i="25"/>
  <c r="L13" i="25"/>
  <c r="K13" i="25"/>
  <c r="H13" i="25"/>
  <c r="G13" i="25"/>
  <c r="F13" i="25"/>
  <c r="L12" i="25"/>
  <c r="K12" i="25"/>
  <c r="H12" i="25"/>
  <c r="G12" i="25"/>
  <c r="F12" i="25"/>
  <c r="L11" i="25"/>
  <c r="K11" i="25"/>
  <c r="H11" i="25"/>
  <c r="G11" i="25"/>
  <c r="F11" i="25"/>
  <c r="L10" i="25"/>
  <c r="K10" i="25"/>
  <c r="H10" i="25"/>
  <c r="G10" i="25"/>
  <c r="F10" i="25"/>
  <c r="L9" i="25"/>
  <c r="K9" i="25"/>
  <c r="H9" i="25"/>
  <c r="G9" i="25"/>
  <c r="F9" i="25"/>
  <c r="L8" i="25"/>
  <c r="K8" i="25"/>
  <c r="H8" i="25"/>
  <c r="G8" i="25"/>
  <c r="F8" i="25"/>
  <c r="L7" i="25"/>
  <c r="K7" i="25"/>
  <c r="H7" i="25"/>
  <c r="G7" i="25"/>
  <c r="F7" i="25"/>
  <c r="L6" i="25"/>
  <c r="K6" i="25"/>
  <c r="H6" i="25"/>
  <c r="G6" i="25"/>
  <c r="F6" i="25"/>
  <c r="L5" i="25"/>
  <c r="K5" i="25"/>
  <c r="H5" i="25"/>
  <c r="G5" i="25"/>
  <c r="F5" i="25"/>
  <c r="K4" i="25"/>
  <c r="H4" i="25"/>
  <c r="H34" i="25"/>
  <c r="G4" i="25"/>
  <c r="G34" i="25"/>
  <c r="F4"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P34" i="23"/>
  <c r="O34" i="23"/>
  <c r="N34" i="23"/>
  <c r="M34" i="23"/>
  <c r="J34" i="23"/>
  <c r="I34" i="23"/>
  <c r="E34" i="23"/>
  <c r="D34" i="23"/>
  <c r="C34" i="23"/>
  <c r="B34" i="23"/>
  <c r="K33" i="23"/>
  <c r="F33" i="23"/>
  <c r="L32" i="23"/>
  <c r="K32" i="23"/>
  <c r="F32" i="23"/>
  <c r="L31" i="23"/>
  <c r="K31" i="23"/>
  <c r="F31" i="23"/>
  <c r="L30" i="23"/>
  <c r="K30" i="23"/>
  <c r="F30" i="23"/>
  <c r="L29" i="23"/>
  <c r="K29" i="23"/>
  <c r="F29" i="23"/>
  <c r="L28" i="23"/>
  <c r="K28" i="23"/>
  <c r="F28" i="23"/>
  <c r="L27" i="23"/>
  <c r="K27" i="23"/>
  <c r="F27" i="23"/>
  <c r="L26" i="23"/>
  <c r="K26" i="23"/>
  <c r="F26" i="23"/>
  <c r="L25" i="23"/>
  <c r="K25" i="23"/>
  <c r="F25" i="23"/>
  <c r="L24" i="23"/>
  <c r="K24" i="23"/>
  <c r="F24" i="23"/>
  <c r="L23" i="23"/>
  <c r="K23" i="23"/>
  <c r="H23" i="23"/>
  <c r="G23" i="23"/>
  <c r="F23" i="23"/>
  <c r="L22" i="23"/>
  <c r="K22" i="23"/>
  <c r="H22" i="23"/>
  <c r="G22" i="23"/>
  <c r="F22" i="23"/>
  <c r="L21" i="23"/>
  <c r="K21" i="23"/>
  <c r="H21" i="23"/>
  <c r="G21" i="23"/>
  <c r="F21" i="23"/>
  <c r="L20" i="23"/>
  <c r="K20" i="23"/>
  <c r="H20" i="23"/>
  <c r="G20" i="23"/>
  <c r="F20" i="23"/>
  <c r="L19" i="23"/>
  <c r="K19" i="23"/>
  <c r="H19" i="23"/>
  <c r="G19" i="23"/>
  <c r="F19" i="23"/>
  <c r="L18" i="23"/>
  <c r="K18" i="23"/>
  <c r="H18" i="23"/>
  <c r="G18" i="23"/>
  <c r="F18" i="23"/>
  <c r="L17" i="23"/>
  <c r="K17" i="23"/>
  <c r="H17" i="23"/>
  <c r="G17" i="23"/>
  <c r="F17" i="23"/>
  <c r="L16" i="23"/>
  <c r="K16" i="23"/>
  <c r="H16" i="23"/>
  <c r="G16" i="23"/>
  <c r="F16" i="23"/>
  <c r="L15" i="23"/>
  <c r="K15" i="23"/>
  <c r="H15" i="23"/>
  <c r="G15" i="23"/>
  <c r="F15" i="23"/>
  <c r="L14" i="23"/>
  <c r="K14" i="23"/>
  <c r="H14" i="23"/>
  <c r="G14" i="23"/>
  <c r="F14" i="23"/>
  <c r="L13" i="23"/>
  <c r="K13" i="23"/>
  <c r="H13" i="23"/>
  <c r="G13" i="23"/>
  <c r="F13" i="23"/>
  <c r="L12" i="23"/>
  <c r="K12" i="23"/>
  <c r="H12" i="23"/>
  <c r="G12" i="23"/>
  <c r="F12" i="23"/>
  <c r="L11" i="23"/>
  <c r="K11" i="23"/>
  <c r="H11" i="23"/>
  <c r="G11" i="23"/>
  <c r="F11" i="23"/>
  <c r="L10" i="23"/>
  <c r="K10" i="23"/>
  <c r="H10" i="23"/>
  <c r="G10" i="23"/>
  <c r="F10" i="23"/>
  <c r="L9" i="23"/>
  <c r="K9" i="23"/>
  <c r="H9" i="23"/>
  <c r="G9" i="23"/>
  <c r="F9" i="23"/>
  <c r="L8" i="23"/>
  <c r="K8" i="23"/>
  <c r="H8" i="23"/>
  <c r="G8" i="23"/>
  <c r="F8" i="23"/>
  <c r="L7" i="23"/>
  <c r="K7" i="23"/>
  <c r="H7" i="23"/>
  <c r="G7" i="23"/>
  <c r="F7" i="23"/>
  <c r="L6" i="23"/>
  <c r="K6" i="23"/>
  <c r="H6" i="23"/>
  <c r="G6" i="23"/>
  <c r="F6" i="23"/>
  <c r="L5" i="23"/>
  <c r="K5" i="23"/>
  <c r="H5" i="23"/>
  <c r="G5" i="23"/>
  <c r="F5" i="23"/>
  <c r="L4" i="23"/>
  <c r="K4" i="23"/>
  <c r="H4" i="23"/>
  <c r="H34" i="23"/>
  <c r="G4" i="23"/>
  <c r="G34" i="23"/>
  <c r="F4" i="23"/>
  <c r="A4" i="23"/>
  <c r="A5" i="23"/>
  <c r="A6" i="23"/>
  <c r="A7" i="23"/>
  <c r="A8" i="23"/>
  <c r="A9" i="23"/>
  <c r="A10" i="23"/>
  <c r="A11" i="23"/>
  <c r="A12" i="23"/>
  <c r="A13" i="23"/>
  <c r="A14" i="23"/>
  <c r="A15" i="23"/>
  <c r="A16" i="23"/>
  <c r="A17" i="23"/>
  <c r="A18" i="23"/>
  <c r="A19" i="23"/>
  <c r="A20" i="23"/>
  <c r="A21" i="23"/>
  <c r="A22" i="23"/>
  <c r="A23" i="23"/>
  <c r="A24" i="23"/>
  <c r="A25" i="23"/>
  <c r="A26" i="23"/>
  <c r="A27" i="23"/>
  <c r="A28" i="23"/>
  <c r="A29" i="23"/>
  <c r="A30" i="23"/>
  <c r="A31" i="23"/>
  <c r="A32" i="23"/>
  <c r="A33" i="23"/>
  <c r="P34" i="22"/>
  <c r="O34" i="22"/>
  <c r="N34" i="22"/>
  <c r="M34" i="22"/>
  <c r="J34" i="22"/>
  <c r="I34" i="22"/>
  <c r="E34" i="22"/>
  <c r="D34" i="22"/>
  <c r="C34" i="22"/>
  <c r="B34" i="22"/>
  <c r="L27" i="22"/>
  <c r="K27" i="22"/>
  <c r="F27" i="22"/>
  <c r="K26" i="22"/>
  <c r="F26" i="22"/>
  <c r="K25" i="22"/>
  <c r="F25" i="22"/>
  <c r="L24" i="22"/>
  <c r="K24" i="22"/>
  <c r="F24" i="22"/>
  <c r="L23" i="22"/>
  <c r="K23" i="22"/>
  <c r="H23" i="22"/>
  <c r="G23" i="22"/>
  <c r="F23" i="22"/>
  <c r="L22" i="22"/>
  <c r="K22" i="22"/>
  <c r="H22" i="22"/>
  <c r="G22" i="22"/>
  <c r="F22" i="22"/>
  <c r="L21" i="22"/>
  <c r="K21" i="22"/>
  <c r="H21" i="22"/>
  <c r="G21" i="22"/>
  <c r="F21" i="22"/>
  <c r="L20" i="22"/>
  <c r="K20" i="22"/>
  <c r="H20" i="22"/>
  <c r="G20" i="22"/>
  <c r="F20" i="22"/>
  <c r="L19" i="22"/>
  <c r="K19" i="22"/>
  <c r="H19" i="22"/>
  <c r="G19" i="22"/>
  <c r="F19" i="22"/>
  <c r="L18" i="22"/>
  <c r="K18" i="22"/>
  <c r="H18" i="22"/>
  <c r="G18" i="22"/>
  <c r="F18" i="22"/>
  <c r="L17" i="22"/>
  <c r="K17" i="22"/>
  <c r="H17" i="22"/>
  <c r="G17" i="22"/>
  <c r="F17" i="22"/>
  <c r="L16" i="22"/>
  <c r="K16" i="22"/>
  <c r="H16" i="22"/>
  <c r="G16" i="22"/>
  <c r="F16" i="22"/>
  <c r="L15" i="22"/>
  <c r="K15" i="22"/>
  <c r="H15" i="22"/>
  <c r="G15" i="22"/>
  <c r="F15" i="22"/>
  <c r="L14" i="22"/>
  <c r="K14" i="22"/>
  <c r="H14" i="22"/>
  <c r="G14" i="22"/>
  <c r="F14" i="22"/>
  <c r="L13" i="22"/>
  <c r="K13" i="22"/>
  <c r="H13" i="22"/>
  <c r="G13" i="22"/>
  <c r="F13" i="22"/>
  <c r="L12" i="22"/>
  <c r="K12" i="22"/>
  <c r="H12" i="22"/>
  <c r="G12" i="22"/>
  <c r="F12" i="22"/>
  <c r="L11" i="22"/>
  <c r="K11" i="22"/>
  <c r="H11" i="22"/>
  <c r="G11" i="22"/>
  <c r="F11" i="22"/>
  <c r="L10" i="22"/>
  <c r="K10" i="22"/>
  <c r="H10" i="22"/>
  <c r="G10" i="22"/>
  <c r="F10" i="22"/>
  <c r="L9" i="22"/>
  <c r="K9" i="22"/>
  <c r="H9" i="22"/>
  <c r="G9" i="22"/>
  <c r="F9" i="22"/>
  <c r="L8" i="22"/>
  <c r="K8" i="22"/>
  <c r="H8" i="22"/>
  <c r="G8" i="22"/>
  <c r="F8" i="22"/>
  <c r="L7" i="22"/>
  <c r="K7" i="22"/>
  <c r="H7" i="22"/>
  <c r="G7" i="22"/>
  <c r="F7" i="22"/>
  <c r="L6" i="22"/>
  <c r="K6" i="22"/>
  <c r="H6" i="22"/>
  <c r="G6" i="22"/>
  <c r="F6" i="22"/>
  <c r="L5" i="22"/>
  <c r="K5" i="22"/>
  <c r="H5" i="22"/>
  <c r="G5" i="22"/>
  <c r="F5" i="22"/>
  <c r="L4" i="22"/>
  <c r="K4" i="22"/>
  <c r="H4" i="22"/>
  <c r="H34" i="22"/>
  <c r="G4" i="22"/>
  <c r="G34" i="22"/>
  <c r="A4" i="22"/>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P34" i="21"/>
  <c r="O34" i="21"/>
  <c r="N34" i="21"/>
  <c r="M34" i="21"/>
  <c r="J34" i="21"/>
  <c r="I34" i="21"/>
  <c r="E34" i="21"/>
  <c r="D34" i="21"/>
  <c r="C34" i="21"/>
  <c r="B34" i="21"/>
  <c r="L33" i="21"/>
  <c r="K33" i="21"/>
  <c r="F33" i="21"/>
  <c r="L32" i="21"/>
  <c r="K32" i="21"/>
  <c r="F32" i="21"/>
  <c r="L31" i="21"/>
  <c r="K31" i="21"/>
  <c r="F31" i="21"/>
  <c r="L30" i="21"/>
  <c r="K30" i="21"/>
  <c r="F30" i="21"/>
  <c r="L29" i="21"/>
  <c r="K29" i="21"/>
  <c r="F29" i="21"/>
  <c r="L28" i="21"/>
  <c r="K28" i="21"/>
  <c r="F28" i="21"/>
  <c r="K27" i="21"/>
  <c r="F27" i="21"/>
  <c r="L26" i="21"/>
  <c r="K26" i="21"/>
  <c r="F26" i="21"/>
  <c r="L25" i="21"/>
  <c r="K25" i="21"/>
  <c r="F25" i="21"/>
  <c r="L24" i="21"/>
  <c r="K24" i="21"/>
  <c r="F24" i="21"/>
  <c r="L23" i="21"/>
  <c r="K23" i="21"/>
  <c r="H23" i="21"/>
  <c r="G23" i="21"/>
  <c r="F23" i="21"/>
  <c r="L22" i="21"/>
  <c r="K22" i="21"/>
  <c r="H22" i="21"/>
  <c r="G22" i="21"/>
  <c r="F22" i="21"/>
  <c r="L21" i="21"/>
  <c r="K21" i="21"/>
  <c r="H21" i="21"/>
  <c r="G21" i="21"/>
  <c r="F21" i="21"/>
  <c r="L20" i="21"/>
  <c r="K20" i="21"/>
  <c r="H20" i="21"/>
  <c r="G20" i="21"/>
  <c r="F20" i="21"/>
  <c r="L19" i="21"/>
  <c r="K19" i="21"/>
  <c r="H19" i="21"/>
  <c r="G19" i="21"/>
  <c r="F19" i="21"/>
  <c r="L18" i="21"/>
  <c r="K18" i="21"/>
  <c r="H18" i="21"/>
  <c r="G18" i="21"/>
  <c r="F18" i="21"/>
  <c r="L17" i="21"/>
  <c r="K17" i="21"/>
  <c r="H17" i="21"/>
  <c r="G17" i="21"/>
  <c r="F17" i="21"/>
  <c r="L16" i="21"/>
  <c r="K16" i="21"/>
  <c r="H16" i="21"/>
  <c r="G16" i="21"/>
  <c r="F16" i="21"/>
  <c r="L15" i="21"/>
  <c r="K15" i="21"/>
  <c r="H15" i="21"/>
  <c r="G15" i="21"/>
  <c r="F15" i="21"/>
  <c r="L14" i="21"/>
  <c r="K14" i="21"/>
  <c r="H14" i="21"/>
  <c r="G14" i="21"/>
  <c r="F14" i="21"/>
  <c r="L13" i="21"/>
  <c r="K13" i="21"/>
  <c r="H13" i="21"/>
  <c r="G13" i="21"/>
  <c r="F13" i="21"/>
  <c r="L12" i="21"/>
  <c r="K12" i="21"/>
  <c r="H12" i="21"/>
  <c r="G12" i="21"/>
  <c r="F12" i="21"/>
  <c r="L11" i="21"/>
  <c r="K11" i="21"/>
  <c r="H11" i="21"/>
  <c r="G11" i="21"/>
  <c r="F11" i="21"/>
  <c r="L10" i="21"/>
  <c r="K10" i="21"/>
  <c r="H10" i="21"/>
  <c r="G10" i="21"/>
  <c r="F10" i="21"/>
  <c r="L9" i="21"/>
  <c r="K9" i="21"/>
  <c r="H9" i="21"/>
  <c r="G9" i="21"/>
  <c r="F9" i="21"/>
  <c r="L8" i="21"/>
  <c r="K8" i="21"/>
  <c r="H8" i="21"/>
  <c r="G8" i="21"/>
  <c r="F8" i="21"/>
  <c r="L7" i="21"/>
  <c r="K7" i="21"/>
  <c r="H7" i="21"/>
  <c r="G7" i="21"/>
  <c r="F7" i="21"/>
  <c r="L6" i="21"/>
  <c r="K6" i="21"/>
  <c r="H6" i="21"/>
  <c r="G6" i="21"/>
  <c r="F6" i="21"/>
  <c r="L5" i="21"/>
  <c r="K5" i="21"/>
  <c r="H5" i="21"/>
  <c r="G5" i="21"/>
  <c r="F5" i="21"/>
  <c r="L4" i="21"/>
  <c r="K4" i="21"/>
  <c r="H4" i="21"/>
  <c r="H34" i="21"/>
  <c r="G4" i="21"/>
  <c r="G34" i="21"/>
  <c r="F4"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P34" i="20"/>
  <c r="O34" i="20"/>
  <c r="J34" i="20"/>
  <c r="I34" i="20"/>
  <c r="E34" i="20"/>
  <c r="D34" i="20"/>
  <c r="C34" i="20"/>
  <c r="B34" i="20"/>
  <c r="L33" i="20"/>
  <c r="K33" i="20"/>
  <c r="F33" i="20"/>
  <c r="L32" i="20"/>
  <c r="K32" i="20"/>
  <c r="F32" i="20"/>
  <c r="L31" i="20"/>
  <c r="K31" i="20"/>
  <c r="F31" i="20"/>
  <c r="L30" i="20"/>
  <c r="K30" i="20"/>
  <c r="F30" i="20"/>
  <c r="L29" i="20"/>
  <c r="K29" i="20"/>
  <c r="F29" i="20"/>
  <c r="L28" i="20"/>
  <c r="K28" i="20"/>
  <c r="F28" i="20"/>
  <c r="L27" i="20"/>
  <c r="K27" i="20"/>
  <c r="F27" i="20"/>
  <c r="L26" i="20"/>
  <c r="K26" i="20"/>
  <c r="F26" i="20"/>
  <c r="L25" i="20"/>
  <c r="K25" i="20"/>
  <c r="F25" i="20"/>
  <c r="L24" i="20"/>
  <c r="K24" i="20"/>
  <c r="F24" i="20"/>
  <c r="L23" i="20"/>
  <c r="K23" i="20"/>
  <c r="G23" i="20"/>
  <c r="F23" i="20"/>
  <c r="L22" i="20"/>
  <c r="K22" i="20"/>
  <c r="G22" i="20"/>
  <c r="F22" i="20"/>
  <c r="L21" i="20"/>
  <c r="K21" i="20"/>
  <c r="G21" i="20"/>
  <c r="F21" i="20"/>
  <c r="L20" i="20"/>
  <c r="K20" i="20"/>
  <c r="G20" i="20"/>
  <c r="F20" i="20"/>
  <c r="L19" i="20"/>
  <c r="K19" i="20"/>
  <c r="H19" i="20"/>
  <c r="G19" i="20"/>
  <c r="F19" i="20"/>
  <c r="L18" i="20"/>
  <c r="K18" i="20"/>
  <c r="H18" i="20"/>
  <c r="G18" i="20"/>
  <c r="F18" i="20"/>
  <c r="L17" i="20"/>
  <c r="K17" i="20"/>
  <c r="H17" i="20"/>
  <c r="G17" i="20"/>
  <c r="F17" i="20"/>
  <c r="L16" i="20"/>
  <c r="K16" i="20"/>
  <c r="H16" i="20"/>
  <c r="G16" i="20"/>
  <c r="F16" i="20"/>
  <c r="L15" i="20"/>
  <c r="K15" i="20"/>
  <c r="H15" i="20"/>
  <c r="G15" i="20"/>
  <c r="F15" i="20"/>
  <c r="L14" i="20"/>
  <c r="K14" i="20"/>
  <c r="H14" i="20"/>
  <c r="G14" i="20"/>
  <c r="F14" i="20"/>
  <c r="L13" i="20"/>
  <c r="K13" i="20"/>
  <c r="H13" i="20"/>
  <c r="G13" i="20"/>
  <c r="F13" i="20"/>
  <c r="L12" i="20"/>
  <c r="K12" i="20"/>
  <c r="H12" i="20"/>
  <c r="G12" i="20"/>
  <c r="F12" i="20"/>
  <c r="L11" i="20"/>
  <c r="K11" i="20"/>
  <c r="H11" i="20"/>
  <c r="G11" i="20"/>
  <c r="F11" i="20"/>
  <c r="L10" i="20"/>
  <c r="K10" i="20"/>
  <c r="H10" i="20"/>
  <c r="G10" i="20"/>
  <c r="F10" i="20"/>
  <c r="L9" i="20"/>
  <c r="K9" i="20"/>
  <c r="H9" i="20"/>
  <c r="G9" i="20"/>
  <c r="F9" i="20"/>
  <c r="L8" i="20"/>
  <c r="K8" i="20"/>
  <c r="H8" i="20"/>
  <c r="G8" i="20"/>
  <c r="F8" i="20"/>
  <c r="L7" i="20"/>
  <c r="K7" i="20"/>
  <c r="H7" i="20"/>
  <c r="G7" i="20"/>
  <c r="F7" i="20"/>
  <c r="L6" i="20"/>
  <c r="K6" i="20"/>
  <c r="H6" i="20"/>
  <c r="G6" i="20"/>
  <c r="F6" i="20"/>
  <c r="L5" i="20"/>
  <c r="K5" i="20"/>
  <c r="H5" i="20"/>
  <c r="G5" i="20"/>
  <c r="F5" i="20"/>
  <c r="L4" i="20"/>
  <c r="K4" i="20"/>
  <c r="H34" i="20"/>
  <c r="G4" i="20"/>
  <c r="G34" i="20"/>
  <c r="F4"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P34" i="19"/>
  <c r="O34" i="19"/>
  <c r="N34" i="19"/>
  <c r="M34" i="19"/>
  <c r="J34" i="19"/>
  <c r="I34" i="19"/>
  <c r="D34" i="19"/>
  <c r="C34" i="19"/>
  <c r="B34" i="19"/>
  <c r="L33" i="19"/>
  <c r="K33" i="19"/>
  <c r="F33" i="19"/>
  <c r="L32" i="19"/>
  <c r="K32" i="19"/>
  <c r="F32" i="19"/>
  <c r="L31" i="19"/>
  <c r="K31" i="19"/>
  <c r="F31" i="19"/>
  <c r="L30" i="19"/>
  <c r="K30" i="19"/>
  <c r="L29" i="19"/>
  <c r="K29" i="19"/>
  <c r="L28" i="19"/>
  <c r="K28" i="19"/>
  <c r="L27" i="19"/>
  <c r="L26" i="19"/>
  <c r="L25" i="19"/>
  <c r="L24" i="19"/>
  <c r="L23" i="19"/>
  <c r="H23" i="19"/>
  <c r="G23" i="19"/>
  <c r="L22" i="19"/>
  <c r="H22" i="19"/>
  <c r="G22" i="19"/>
  <c r="L21" i="19"/>
  <c r="H21" i="19"/>
  <c r="G21" i="19"/>
  <c r="L20" i="19"/>
  <c r="H20" i="19"/>
  <c r="G20" i="19"/>
  <c r="L19" i="19"/>
  <c r="H19" i="19"/>
  <c r="G19" i="19"/>
  <c r="L18" i="19"/>
  <c r="H18" i="19"/>
  <c r="G18" i="19"/>
  <c r="L17" i="19"/>
  <c r="H17" i="19"/>
  <c r="G17" i="19"/>
  <c r="L16" i="19"/>
  <c r="H16" i="19"/>
  <c r="G16" i="19"/>
  <c r="L15" i="19"/>
  <c r="H15" i="19"/>
  <c r="G15" i="19"/>
  <c r="L14" i="19"/>
  <c r="H14" i="19"/>
  <c r="G14" i="19"/>
  <c r="L13" i="19"/>
  <c r="H13" i="19"/>
  <c r="G13" i="19"/>
  <c r="L12" i="19"/>
  <c r="H12" i="19"/>
  <c r="G12" i="19"/>
  <c r="L11" i="19"/>
  <c r="H11" i="19"/>
  <c r="G11" i="19"/>
  <c r="L10" i="19"/>
  <c r="H10" i="19"/>
  <c r="G10" i="19"/>
  <c r="L9" i="19"/>
  <c r="H9" i="19"/>
  <c r="G9" i="19"/>
  <c r="L8" i="19"/>
  <c r="H8" i="19"/>
  <c r="G8" i="19"/>
  <c r="L7" i="19"/>
  <c r="H7" i="19"/>
  <c r="G7" i="19"/>
  <c r="L6" i="19"/>
  <c r="H6" i="19"/>
  <c r="G6" i="19"/>
  <c r="L5" i="19"/>
  <c r="H5" i="19"/>
  <c r="G5" i="19"/>
  <c r="L4" i="19"/>
  <c r="H4" i="19"/>
  <c r="H34" i="19"/>
  <c r="G4" i="19"/>
  <c r="G34"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P34" i="18"/>
  <c r="O34" i="18"/>
  <c r="N34" i="18"/>
  <c r="M34" i="18"/>
  <c r="J34" i="18"/>
  <c r="I34" i="18"/>
  <c r="E34" i="18"/>
  <c r="D34" i="18"/>
  <c r="C34" i="18"/>
  <c r="B34" i="18"/>
  <c r="L33" i="18"/>
  <c r="K33" i="18"/>
  <c r="F33" i="18"/>
  <c r="L32" i="18"/>
  <c r="K32" i="18"/>
  <c r="F32" i="18"/>
  <c r="L31" i="18"/>
  <c r="K31" i="18"/>
  <c r="F31" i="18"/>
  <c r="L30" i="18"/>
  <c r="K30" i="18"/>
  <c r="F30" i="18"/>
  <c r="L29" i="18"/>
  <c r="K29" i="18"/>
  <c r="F29" i="18"/>
  <c r="L28" i="18"/>
  <c r="K28" i="18"/>
  <c r="F28" i="18"/>
  <c r="L27" i="18"/>
  <c r="K27" i="18"/>
  <c r="F27" i="18"/>
  <c r="L26" i="18"/>
  <c r="K26" i="18"/>
  <c r="F26" i="18"/>
  <c r="L25" i="18"/>
  <c r="K25" i="18"/>
  <c r="F25" i="18"/>
  <c r="L24" i="18"/>
  <c r="K24" i="18"/>
  <c r="F24" i="18"/>
  <c r="L23" i="18"/>
  <c r="K23" i="18"/>
  <c r="F23" i="18"/>
  <c r="L22" i="18"/>
  <c r="K22" i="18"/>
  <c r="H22" i="18"/>
  <c r="G22" i="18"/>
  <c r="F22" i="18"/>
  <c r="L21" i="18"/>
  <c r="K21" i="18"/>
  <c r="H21" i="18"/>
  <c r="G21" i="18"/>
  <c r="F21" i="18"/>
  <c r="L20" i="18"/>
  <c r="K20" i="18"/>
  <c r="H20" i="18"/>
  <c r="G20" i="18"/>
  <c r="F20" i="18"/>
  <c r="L19" i="18"/>
  <c r="K19" i="18"/>
  <c r="H19" i="18"/>
  <c r="G19" i="18"/>
  <c r="F19" i="18"/>
  <c r="L18" i="18"/>
  <c r="K18" i="18"/>
  <c r="H18" i="18"/>
  <c r="G18" i="18"/>
  <c r="F18" i="18"/>
  <c r="L17" i="18"/>
  <c r="K17" i="18"/>
  <c r="H17" i="18"/>
  <c r="G17" i="18"/>
  <c r="F17" i="18"/>
  <c r="L16" i="18"/>
  <c r="K16" i="18"/>
  <c r="H16" i="18"/>
  <c r="G16" i="18"/>
  <c r="F16" i="18"/>
  <c r="L15" i="18"/>
  <c r="K15" i="18"/>
  <c r="H15" i="18"/>
  <c r="G15" i="18"/>
  <c r="F15" i="18"/>
  <c r="L14" i="18"/>
  <c r="K14" i="18"/>
  <c r="H14" i="18"/>
  <c r="G14" i="18"/>
  <c r="F14" i="18"/>
  <c r="L13" i="18"/>
  <c r="K13" i="18"/>
  <c r="H13" i="18"/>
  <c r="G13" i="18"/>
  <c r="F13" i="18"/>
  <c r="L12" i="18"/>
  <c r="K12" i="18"/>
  <c r="H12" i="18"/>
  <c r="G12" i="18"/>
  <c r="F12" i="18"/>
  <c r="L11" i="18"/>
  <c r="K11" i="18"/>
  <c r="H11" i="18"/>
  <c r="G11" i="18"/>
  <c r="F11" i="18"/>
  <c r="L10" i="18"/>
  <c r="K10" i="18"/>
  <c r="H10" i="18"/>
  <c r="G10" i="18"/>
  <c r="F10" i="18"/>
  <c r="L9" i="18"/>
  <c r="K9" i="18"/>
  <c r="H9" i="18"/>
  <c r="G9" i="18"/>
  <c r="F9" i="18"/>
  <c r="L8" i="18"/>
  <c r="K8" i="18"/>
  <c r="H8" i="18"/>
  <c r="G8" i="18"/>
  <c r="F8" i="18"/>
  <c r="L7" i="18"/>
  <c r="K7" i="18"/>
  <c r="H7" i="18"/>
  <c r="G7" i="18"/>
  <c r="F7" i="18"/>
  <c r="L6" i="18"/>
  <c r="K6" i="18"/>
  <c r="H6" i="18"/>
  <c r="G6" i="18"/>
  <c r="F6" i="18"/>
  <c r="L5" i="18"/>
  <c r="K5" i="18"/>
  <c r="H5" i="18"/>
  <c r="G5" i="18"/>
  <c r="F5" i="18"/>
  <c r="L4" i="18"/>
  <c r="K4" i="18"/>
  <c r="H4" i="18"/>
  <c r="H34" i="18"/>
  <c r="G4" i="18"/>
  <c r="G34" i="18"/>
  <c r="F4"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P34" i="17"/>
  <c r="O34" i="17"/>
  <c r="N34" i="17"/>
  <c r="M34" i="17"/>
  <c r="J34" i="17"/>
  <c r="I34" i="17"/>
  <c r="E34" i="17"/>
  <c r="D34" i="17"/>
  <c r="C34" i="17"/>
  <c r="B34" i="17"/>
  <c r="L33" i="17"/>
  <c r="L32" i="17"/>
  <c r="L31" i="17"/>
  <c r="L30" i="17"/>
  <c r="L29" i="17"/>
  <c r="L28" i="17"/>
  <c r="L27" i="17"/>
  <c r="L26" i="17"/>
  <c r="L25" i="17"/>
  <c r="L24" i="17"/>
  <c r="L23" i="17"/>
  <c r="H23" i="17"/>
  <c r="G23" i="17"/>
  <c r="L22" i="17"/>
  <c r="H22" i="17"/>
  <c r="G22" i="17"/>
  <c r="L21" i="17"/>
  <c r="H21" i="17"/>
  <c r="G21" i="17"/>
  <c r="L20" i="17"/>
  <c r="H20" i="17"/>
  <c r="G20" i="17"/>
  <c r="L19" i="17"/>
  <c r="H19" i="17"/>
  <c r="G19" i="17"/>
  <c r="L18" i="17"/>
  <c r="H18" i="17"/>
  <c r="G18" i="17"/>
  <c r="L17" i="17"/>
  <c r="H17" i="17"/>
  <c r="G17" i="17"/>
  <c r="L16" i="17"/>
  <c r="H16" i="17"/>
  <c r="G16" i="17"/>
  <c r="L15" i="17"/>
  <c r="H15" i="17"/>
  <c r="G15" i="17"/>
  <c r="L14" i="17"/>
  <c r="H14" i="17"/>
  <c r="G14" i="17"/>
  <c r="L13" i="17"/>
  <c r="H13" i="17"/>
  <c r="G13" i="17"/>
  <c r="L12" i="17"/>
  <c r="H12" i="17"/>
  <c r="G12" i="17"/>
  <c r="L11" i="17"/>
  <c r="H11" i="17"/>
  <c r="G11" i="17"/>
  <c r="L10" i="17"/>
  <c r="H10" i="17"/>
  <c r="G10" i="17"/>
  <c r="L9" i="17"/>
  <c r="H9" i="17"/>
  <c r="G9" i="17"/>
  <c r="L8" i="17"/>
  <c r="H8" i="17"/>
  <c r="G8" i="17"/>
  <c r="L7" i="17"/>
  <c r="H7" i="17"/>
  <c r="G7" i="17"/>
  <c r="L6" i="17"/>
  <c r="H6" i="17"/>
  <c r="G6" i="17"/>
  <c r="L5" i="17"/>
  <c r="H5" i="17"/>
  <c r="G5" i="17"/>
  <c r="H4" i="17"/>
  <c r="H34" i="17"/>
  <c r="G4" i="17"/>
  <c r="G34"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L33" i="16"/>
  <c r="K33" i="16"/>
  <c r="F33" i="16"/>
  <c r="L32" i="16"/>
  <c r="K32" i="16"/>
  <c r="F32" i="16"/>
  <c r="L31" i="16"/>
  <c r="K31" i="16"/>
  <c r="F31" i="16"/>
  <c r="L30" i="16"/>
  <c r="K30" i="16"/>
  <c r="F30" i="16"/>
  <c r="L29" i="16"/>
  <c r="K29" i="16"/>
  <c r="F29" i="16"/>
  <c r="L28" i="16"/>
  <c r="K28" i="16"/>
  <c r="F28" i="16"/>
  <c r="L27" i="16"/>
  <c r="K27" i="16"/>
  <c r="F27" i="16"/>
  <c r="L26" i="16"/>
  <c r="K26" i="16"/>
  <c r="F26" i="16"/>
  <c r="L25" i="16"/>
  <c r="K25" i="16"/>
  <c r="F25" i="16"/>
  <c r="L24" i="16"/>
  <c r="K24" i="16"/>
  <c r="F24" i="16"/>
  <c r="L23" i="16"/>
  <c r="K23" i="16"/>
  <c r="H23" i="16"/>
  <c r="G23" i="16"/>
  <c r="F23" i="16"/>
  <c r="L22" i="16"/>
  <c r="K22" i="16"/>
  <c r="H22" i="16"/>
  <c r="G22" i="16"/>
  <c r="F22" i="16"/>
  <c r="L21" i="16"/>
  <c r="K21" i="16"/>
  <c r="H21" i="16"/>
  <c r="G21" i="16"/>
  <c r="F21" i="16"/>
  <c r="L20" i="16"/>
  <c r="K20" i="16"/>
  <c r="H20" i="16"/>
  <c r="G20" i="16"/>
  <c r="F20" i="16"/>
  <c r="L19" i="16"/>
  <c r="K19" i="16"/>
  <c r="H19" i="16"/>
  <c r="G19" i="16"/>
  <c r="F19" i="16"/>
  <c r="L18" i="16"/>
  <c r="K18" i="16"/>
  <c r="H18" i="16"/>
  <c r="G18" i="16"/>
  <c r="F18" i="16"/>
  <c r="L17" i="16"/>
  <c r="K17" i="16"/>
  <c r="H17" i="16"/>
  <c r="G17" i="16"/>
  <c r="F17" i="16"/>
  <c r="L16" i="16"/>
  <c r="K16" i="16"/>
  <c r="H16" i="16"/>
  <c r="G16" i="16"/>
  <c r="F16" i="16"/>
  <c r="L15" i="16"/>
  <c r="K15" i="16"/>
  <c r="H15" i="16"/>
  <c r="G15" i="16"/>
  <c r="F15" i="16"/>
  <c r="L14" i="16"/>
  <c r="K14" i="16"/>
  <c r="H14" i="16"/>
  <c r="G14" i="16"/>
  <c r="F14" i="16"/>
  <c r="L13" i="16"/>
  <c r="K13" i="16"/>
  <c r="H13" i="16"/>
  <c r="G13" i="16"/>
  <c r="F13" i="16"/>
  <c r="L12" i="16"/>
  <c r="K12" i="16"/>
  <c r="H12" i="16"/>
  <c r="G12" i="16"/>
  <c r="F12" i="16"/>
  <c r="L11" i="16"/>
  <c r="K11" i="16"/>
  <c r="H11" i="16"/>
  <c r="G11" i="16"/>
  <c r="F11" i="16"/>
  <c r="L10" i="16"/>
  <c r="K10" i="16"/>
  <c r="H10" i="16"/>
  <c r="G10" i="16"/>
  <c r="F10" i="16"/>
  <c r="L9" i="16"/>
  <c r="K9" i="16"/>
  <c r="H9" i="16"/>
  <c r="G9" i="16"/>
  <c r="F9" i="16"/>
  <c r="L8" i="16"/>
  <c r="K8" i="16"/>
  <c r="H8" i="16"/>
  <c r="G8" i="16"/>
  <c r="F8" i="16"/>
  <c r="L7" i="16"/>
  <c r="K7" i="16"/>
  <c r="H7" i="16"/>
  <c r="G7" i="16"/>
  <c r="F7" i="16"/>
  <c r="L6" i="16"/>
  <c r="K6" i="16"/>
  <c r="H6" i="16"/>
  <c r="G6" i="16"/>
  <c r="F6" i="16"/>
  <c r="L5" i="16"/>
  <c r="K5" i="16"/>
  <c r="H5" i="16"/>
  <c r="G5" i="16"/>
  <c r="F5"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L4" i="16"/>
  <c r="K4" i="16"/>
  <c r="H4" i="16"/>
  <c r="G4" i="16"/>
  <c r="F4" i="16"/>
  <c r="A4" i="16"/>
  <c r="L33" i="15"/>
  <c r="K33" i="15"/>
  <c r="F33" i="15"/>
  <c r="L32" i="15"/>
  <c r="K32" i="15"/>
  <c r="F32" i="15"/>
  <c r="L31" i="15"/>
  <c r="K31" i="15"/>
  <c r="F31" i="15"/>
  <c r="L30" i="15"/>
  <c r="K30" i="15"/>
  <c r="F30" i="15"/>
  <c r="L29" i="15"/>
  <c r="K29" i="15"/>
  <c r="F29" i="15"/>
  <c r="L28" i="15"/>
  <c r="K28" i="15"/>
  <c r="F28" i="15"/>
  <c r="L27" i="15"/>
  <c r="K27" i="15"/>
  <c r="F27" i="15"/>
  <c r="L26" i="15"/>
  <c r="K26" i="15"/>
  <c r="F26" i="15"/>
  <c r="L25" i="15"/>
  <c r="K25" i="15"/>
  <c r="F25" i="15"/>
  <c r="L24" i="15"/>
  <c r="K24" i="15"/>
  <c r="F24" i="15"/>
  <c r="L23" i="15"/>
  <c r="K23" i="15"/>
  <c r="H23" i="15"/>
  <c r="G23" i="15"/>
  <c r="F23" i="15"/>
  <c r="L22" i="15"/>
  <c r="K22" i="15"/>
  <c r="H22" i="15"/>
  <c r="G22" i="15"/>
  <c r="F22" i="15"/>
  <c r="L21" i="15"/>
  <c r="K21" i="15"/>
  <c r="H21" i="15"/>
  <c r="G21" i="15"/>
  <c r="F21" i="15"/>
  <c r="L20" i="15"/>
  <c r="K20" i="15"/>
  <c r="H20" i="15"/>
  <c r="G20" i="15"/>
  <c r="F20" i="15"/>
  <c r="L19" i="15"/>
  <c r="K19" i="15"/>
  <c r="H19" i="15"/>
  <c r="G19" i="15"/>
  <c r="F19" i="15"/>
  <c r="L18" i="15"/>
  <c r="K18" i="15"/>
  <c r="H18" i="15"/>
  <c r="G18" i="15"/>
  <c r="F18" i="15"/>
  <c r="L17" i="15"/>
  <c r="K17" i="15"/>
  <c r="H17" i="15"/>
  <c r="G17" i="15"/>
  <c r="F17" i="15"/>
  <c r="L16" i="15"/>
  <c r="K16" i="15"/>
  <c r="H16" i="15"/>
  <c r="G16" i="15"/>
  <c r="F16" i="15"/>
  <c r="L15" i="15"/>
  <c r="K15" i="15"/>
  <c r="H15" i="15"/>
  <c r="G15" i="15"/>
  <c r="F15" i="15"/>
  <c r="L14" i="15"/>
  <c r="K14" i="15"/>
  <c r="H14" i="15"/>
  <c r="G14" i="15"/>
  <c r="F14" i="15"/>
  <c r="L13" i="15"/>
  <c r="K13" i="15"/>
  <c r="H13" i="15"/>
  <c r="G13" i="15"/>
  <c r="F13" i="15"/>
  <c r="L12" i="15"/>
  <c r="K12" i="15"/>
  <c r="H12" i="15"/>
  <c r="G12" i="15"/>
  <c r="F12" i="15"/>
  <c r="L11" i="15"/>
  <c r="K11" i="15"/>
  <c r="H11" i="15"/>
  <c r="G11" i="15"/>
  <c r="F11" i="15"/>
  <c r="L10" i="15"/>
  <c r="K10" i="15"/>
  <c r="H10" i="15"/>
  <c r="G10" i="15"/>
  <c r="F10" i="15"/>
  <c r="L9" i="15"/>
  <c r="K9" i="15"/>
  <c r="H9" i="15"/>
  <c r="G9" i="15"/>
  <c r="F9" i="15"/>
  <c r="L8" i="15"/>
  <c r="K8" i="15"/>
  <c r="H8" i="15"/>
  <c r="G8" i="15"/>
  <c r="F8" i="15"/>
  <c r="L7" i="15"/>
  <c r="K7" i="15"/>
  <c r="H7" i="15"/>
  <c r="G7" i="15"/>
  <c r="F7" i="15"/>
  <c r="L6" i="15"/>
  <c r="K6" i="15"/>
  <c r="H6" i="15"/>
  <c r="G6" i="15"/>
  <c r="F6" i="15"/>
  <c r="L5" i="15"/>
  <c r="K5" i="15"/>
  <c r="H5" i="15"/>
  <c r="G5" i="15"/>
  <c r="F5" i="15"/>
  <c r="L4" i="15"/>
  <c r="K4" i="15"/>
  <c r="H4" i="15"/>
  <c r="G4" i="15"/>
  <c r="F4"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L33" i="14"/>
  <c r="K33" i="14"/>
  <c r="F33" i="14"/>
  <c r="L32" i="14"/>
  <c r="K32" i="14"/>
  <c r="F32" i="14"/>
  <c r="L31" i="14"/>
  <c r="K31" i="14"/>
  <c r="F31" i="14"/>
  <c r="L30" i="14"/>
  <c r="K30" i="14"/>
  <c r="F30" i="14"/>
  <c r="L29" i="14"/>
  <c r="K29" i="14"/>
  <c r="F29" i="14"/>
  <c r="L28" i="14"/>
  <c r="K28" i="14"/>
  <c r="F28" i="14"/>
  <c r="L27" i="14"/>
  <c r="K27" i="14"/>
  <c r="F27" i="14"/>
  <c r="L26" i="14"/>
  <c r="K26" i="14"/>
  <c r="F26" i="14"/>
  <c r="L25" i="14"/>
  <c r="K25" i="14"/>
  <c r="F25" i="14"/>
  <c r="L24" i="14"/>
  <c r="K24" i="14"/>
  <c r="F24" i="14"/>
  <c r="L23" i="14"/>
  <c r="K23" i="14"/>
  <c r="G23" i="14"/>
  <c r="F23" i="14"/>
  <c r="L22" i="14"/>
  <c r="K22" i="14"/>
  <c r="H22" i="14"/>
  <c r="G22" i="14"/>
  <c r="F22" i="14"/>
  <c r="L21" i="14"/>
  <c r="K21" i="14"/>
  <c r="H21" i="14"/>
  <c r="G21" i="14"/>
  <c r="F21" i="14"/>
  <c r="L20" i="14"/>
  <c r="K20" i="14"/>
  <c r="H20" i="14"/>
  <c r="G20" i="14"/>
  <c r="F20" i="14"/>
  <c r="L19" i="14"/>
  <c r="K19" i="14"/>
  <c r="H19" i="14"/>
  <c r="G19" i="14"/>
  <c r="F19" i="14"/>
  <c r="L18" i="14"/>
  <c r="K18" i="14"/>
  <c r="H18" i="14"/>
  <c r="G18" i="14"/>
  <c r="F18" i="14"/>
  <c r="L17" i="14"/>
  <c r="K17" i="14"/>
  <c r="H17" i="14"/>
  <c r="G17" i="14"/>
  <c r="F17" i="14"/>
  <c r="L16" i="14"/>
  <c r="K16" i="14"/>
  <c r="H16" i="14"/>
  <c r="G16" i="14"/>
  <c r="F16" i="14"/>
  <c r="L15" i="14"/>
  <c r="K15" i="14"/>
  <c r="H15" i="14"/>
  <c r="G15" i="14"/>
  <c r="F15" i="14"/>
  <c r="L14" i="14"/>
  <c r="K14" i="14"/>
  <c r="H14" i="14"/>
  <c r="G14" i="14"/>
  <c r="F14" i="14"/>
  <c r="L13" i="14"/>
  <c r="K13" i="14"/>
  <c r="H13" i="14"/>
  <c r="G13" i="14"/>
  <c r="F13" i="14"/>
  <c r="L12" i="14"/>
  <c r="K12" i="14"/>
  <c r="H12" i="14"/>
  <c r="G12" i="14"/>
  <c r="F12" i="14"/>
  <c r="L11" i="14"/>
  <c r="K11" i="14"/>
  <c r="H11" i="14"/>
  <c r="G11" i="14"/>
  <c r="F11" i="14"/>
  <c r="L10" i="14"/>
  <c r="K10" i="14"/>
  <c r="H10" i="14"/>
  <c r="G10" i="14"/>
  <c r="F10" i="14"/>
  <c r="L9" i="14"/>
  <c r="K9" i="14"/>
  <c r="H9" i="14"/>
  <c r="G9" i="14"/>
  <c r="F9" i="14"/>
  <c r="L8" i="14"/>
  <c r="K8" i="14"/>
  <c r="H8" i="14"/>
  <c r="G8" i="14"/>
  <c r="F8" i="14"/>
  <c r="L7" i="14"/>
  <c r="K7" i="14"/>
  <c r="H7" i="14"/>
  <c r="G7" i="14"/>
  <c r="F7" i="14"/>
  <c r="L6" i="14"/>
  <c r="K6" i="14"/>
  <c r="H6" i="14"/>
  <c r="G6" i="14"/>
  <c r="F6" i="14"/>
  <c r="L5" i="14"/>
  <c r="K5" i="14"/>
  <c r="H5" i="14"/>
  <c r="G5" i="14"/>
  <c r="F5" i="14"/>
  <c r="L4" i="14"/>
  <c r="K4" i="14"/>
  <c r="H4" i="14"/>
  <c r="G4" i="14"/>
  <c r="F4" i="14"/>
  <c r="A4" i="14"/>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P34" i="13"/>
  <c r="O34" i="13"/>
  <c r="J34" i="13"/>
  <c r="I34" i="13"/>
  <c r="G34" i="13"/>
  <c r="E34" i="13"/>
  <c r="D34" i="13"/>
  <c r="C34" i="13"/>
  <c r="K33" i="13"/>
  <c r="F33" i="13"/>
  <c r="K32" i="13"/>
  <c r="F32" i="13"/>
  <c r="K31" i="13"/>
  <c r="F31" i="13"/>
  <c r="K30" i="13"/>
  <c r="F30" i="13"/>
  <c r="K29" i="13"/>
  <c r="F29" i="13"/>
  <c r="K28" i="13"/>
  <c r="F28" i="13"/>
  <c r="H34"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5" i="13"/>
  <c r="A4" i="13"/>
  <c r="P34" i="12"/>
  <c r="O34" i="12"/>
  <c r="N34" i="12"/>
  <c r="M34" i="12"/>
  <c r="J34" i="12"/>
  <c r="I34" i="12"/>
  <c r="E34" i="12"/>
  <c r="D34" i="12"/>
  <c r="C34" i="12"/>
  <c r="B34" i="12"/>
  <c r="L33" i="12"/>
  <c r="K33" i="12"/>
  <c r="F33" i="12"/>
  <c r="L32" i="12"/>
  <c r="K32" i="12"/>
  <c r="F32" i="12"/>
  <c r="L31" i="12"/>
  <c r="K31" i="12"/>
  <c r="F31" i="12"/>
  <c r="L30" i="12"/>
  <c r="K30" i="12"/>
  <c r="F30" i="12"/>
  <c r="L29" i="12"/>
  <c r="K29" i="12"/>
  <c r="F29" i="12"/>
  <c r="L28" i="12"/>
  <c r="K28" i="12"/>
  <c r="F28" i="12"/>
  <c r="L27" i="12"/>
  <c r="K27" i="12"/>
  <c r="F27" i="12"/>
  <c r="L26" i="12"/>
  <c r="K26" i="12"/>
  <c r="F26" i="12"/>
  <c r="L25" i="12"/>
  <c r="K25" i="12"/>
  <c r="F25" i="12"/>
  <c r="L24" i="12"/>
  <c r="K24" i="12"/>
  <c r="F24" i="12"/>
  <c r="L23" i="12"/>
  <c r="K23" i="12"/>
  <c r="H23" i="12"/>
  <c r="G23" i="12"/>
  <c r="F23" i="12"/>
  <c r="L22" i="12"/>
  <c r="K22" i="12"/>
  <c r="H22" i="12"/>
  <c r="G22" i="12"/>
  <c r="F22" i="12"/>
  <c r="L21" i="12"/>
  <c r="K21" i="12"/>
  <c r="H21" i="12"/>
  <c r="G21" i="12"/>
  <c r="F21" i="12"/>
  <c r="L20" i="12"/>
  <c r="K20" i="12"/>
  <c r="H20" i="12"/>
  <c r="G20" i="12"/>
  <c r="F20" i="12"/>
  <c r="L19" i="12"/>
  <c r="K19" i="12"/>
  <c r="H19" i="12"/>
  <c r="G19" i="12"/>
  <c r="F19" i="12"/>
  <c r="L18" i="12"/>
  <c r="K18" i="12"/>
  <c r="H18" i="12"/>
  <c r="G18" i="12"/>
  <c r="F18" i="12"/>
  <c r="L17" i="12"/>
  <c r="K17" i="12"/>
  <c r="H17" i="12"/>
  <c r="G17" i="12"/>
  <c r="F17" i="12"/>
  <c r="L16" i="12"/>
  <c r="K16" i="12"/>
  <c r="H16" i="12"/>
  <c r="G16" i="12"/>
  <c r="F16" i="12"/>
  <c r="L15" i="12"/>
  <c r="K15" i="12"/>
  <c r="H15" i="12"/>
  <c r="G15" i="12"/>
  <c r="F15" i="12"/>
  <c r="L14" i="12"/>
  <c r="K14" i="12"/>
  <c r="H14" i="12"/>
  <c r="G14" i="12"/>
  <c r="F14" i="12"/>
  <c r="L13" i="12"/>
  <c r="K13" i="12"/>
  <c r="H13" i="12"/>
  <c r="G13" i="12"/>
  <c r="F13" i="12"/>
  <c r="L12" i="12"/>
  <c r="K12" i="12"/>
  <c r="H12" i="12"/>
  <c r="G12" i="12"/>
  <c r="F12" i="12"/>
  <c r="L11" i="12"/>
  <c r="K11" i="12"/>
  <c r="H11" i="12"/>
  <c r="G11" i="12"/>
  <c r="F11" i="12"/>
  <c r="L10" i="12"/>
  <c r="K10" i="12"/>
  <c r="H10" i="12"/>
  <c r="G10" i="12"/>
  <c r="F10" i="12"/>
  <c r="L9" i="12"/>
  <c r="K9" i="12"/>
  <c r="H9" i="12"/>
  <c r="G9" i="12"/>
  <c r="F9" i="12"/>
  <c r="L8" i="12"/>
  <c r="K8" i="12"/>
  <c r="H8" i="12"/>
  <c r="G8" i="12"/>
  <c r="F8" i="12"/>
  <c r="L7" i="12"/>
  <c r="K7" i="12"/>
  <c r="H7" i="12"/>
  <c r="G7" i="12"/>
  <c r="F7" i="12"/>
  <c r="L6" i="12"/>
  <c r="K6" i="12"/>
  <c r="H6" i="12"/>
  <c r="G6" i="12"/>
  <c r="F6" i="12"/>
  <c r="L5" i="12"/>
  <c r="K5" i="12"/>
  <c r="H5" i="12"/>
  <c r="G5" i="12"/>
  <c r="F5" i="12"/>
  <c r="L4" i="12"/>
  <c r="K4" i="12"/>
  <c r="H4" i="12"/>
  <c r="H34" i="12"/>
  <c r="G4" i="12"/>
  <c r="G34" i="12"/>
  <c r="F4"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P34" i="11"/>
  <c r="O34" i="11"/>
  <c r="N34" i="11"/>
  <c r="M34" i="11"/>
  <c r="J34" i="11"/>
  <c r="I34" i="11"/>
  <c r="E34" i="11"/>
  <c r="D34" i="11"/>
  <c r="C34" i="11"/>
  <c r="B34" i="11"/>
  <c r="K33" i="11"/>
  <c r="K31" i="11"/>
  <c r="F31" i="11"/>
  <c r="K30" i="11"/>
  <c r="F30" i="11"/>
  <c r="K29" i="11"/>
  <c r="F29" i="11"/>
  <c r="K28" i="11"/>
  <c r="F28" i="11"/>
  <c r="H34" i="11"/>
  <c r="G34"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P34" i="10"/>
  <c r="O34" i="10"/>
  <c r="N34" i="10"/>
  <c r="M34" i="10"/>
  <c r="J34" i="10"/>
  <c r="I34" i="10"/>
  <c r="E34" i="10"/>
  <c r="D34" i="10"/>
  <c r="C34" i="10"/>
  <c r="B34" i="10"/>
  <c r="L33" i="10"/>
  <c r="K33" i="10"/>
  <c r="F33" i="10"/>
  <c r="L32" i="10"/>
  <c r="K32" i="10"/>
  <c r="F32" i="10"/>
  <c r="L31" i="10"/>
  <c r="K31" i="10"/>
  <c r="F31" i="10"/>
  <c r="L30" i="10"/>
  <c r="K30" i="10"/>
  <c r="F30" i="10"/>
  <c r="L29" i="10"/>
  <c r="K29" i="10"/>
  <c r="F29" i="10"/>
  <c r="L28" i="10"/>
  <c r="K28" i="10"/>
  <c r="F28" i="10"/>
  <c r="L27" i="10"/>
  <c r="K27" i="10"/>
  <c r="F27" i="10"/>
  <c r="L26" i="10"/>
  <c r="K26" i="10"/>
  <c r="F26" i="10"/>
  <c r="L25" i="10"/>
  <c r="K25" i="10"/>
  <c r="F25" i="10"/>
  <c r="L24" i="10"/>
  <c r="K24" i="10"/>
  <c r="F24" i="10"/>
  <c r="L23" i="10"/>
  <c r="K23" i="10"/>
  <c r="H23" i="10"/>
  <c r="G23" i="10"/>
  <c r="F23" i="10"/>
  <c r="L22" i="10"/>
  <c r="K22" i="10"/>
  <c r="H22" i="10"/>
  <c r="G22" i="10"/>
  <c r="F22" i="10"/>
  <c r="L21" i="10"/>
  <c r="K21" i="10"/>
  <c r="H21" i="10"/>
  <c r="G21" i="10"/>
  <c r="F21" i="10"/>
  <c r="L20" i="10"/>
  <c r="K20" i="10"/>
  <c r="H20" i="10"/>
  <c r="G20" i="10"/>
  <c r="F20" i="10"/>
  <c r="L19" i="10"/>
  <c r="K19" i="10"/>
  <c r="H19" i="10"/>
  <c r="G19" i="10"/>
  <c r="F19" i="10"/>
  <c r="L18" i="10"/>
  <c r="K18" i="10"/>
  <c r="H18" i="10"/>
  <c r="G18" i="10"/>
  <c r="F18" i="10"/>
  <c r="L17" i="10"/>
  <c r="K17" i="10"/>
  <c r="H17" i="10"/>
  <c r="G17" i="10"/>
  <c r="F17" i="10"/>
  <c r="L16" i="10"/>
  <c r="K16" i="10"/>
  <c r="H16" i="10"/>
  <c r="G16" i="10"/>
  <c r="F16" i="10"/>
  <c r="L15" i="10"/>
  <c r="K15" i="10"/>
  <c r="H15" i="10"/>
  <c r="G15" i="10"/>
  <c r="F15" i="10"/>
  <c r="L14" i="10"/>
  <c r="K14" i="10"/>
  <c r="H14" i="10"/>
  <c r="G14" i="10"/>
  <c r="F14" i="10"/>
  <c r="L13" i="10"/>
  <c r="K13" i="10"/>
  <c r="H13" i="10"/>
  <c r="G13" i="10"/>
  <c r="F13" i="10"/>
  <c r="L12" i="10"/>
  <c r="K12" i="10"/>
  <c r="H12" i="10"/>
  <c r="G12" i="10"/>
  <c r="F12" i="10"/>
  <c r="L11" i="10"/>
  <c r="K11" i="10"/>
  <c r="H11" i="10"/>
  <c r="G11" i="10"/>
  <c r="F11" i="10"/>
  <c r="L10" i="10"/>
  <c r="K10" i="10"/>
  <c r="H10" i="10"/>
  <c r="G10" i="10"/>
  <c r="F10" i="10"/>
  <c r="L9" i="10"/>
  <c r="K9" i="10"/>
  <c r="H9" i="10"/>
  <c r="G9" i="10"/>
  <c r="F9" i="10"/>
  <c r="L8" i="10"/>
  <c r="K8" i="10"/>
  <c r="H8" i="10"/>
  <c r="G8" i="10"/>
  <c r="F8" i="10"/>
  <c r="L7" i="10"/>
  <c r="K7" i="10"/>
  <c r="H7" i="10"/>
  <c r="G7" i="10"/>
  <c r="F7" i="10"/>
  <c r="L6" i="10"/>
  <c r="K6" i="10"/>
  <c r="H6" i="10"/>
  <c r="G6" i="10"/>
  <c r="F6" i="10"/>
  <c r="L5" i="10"/>
  <c r="K5" i="10"/>
  <c r="H5" i="10"/>
  <c r="G5" i="10"/>
  <c r="F5" i="10"/>
  <c r="L4" i="10"/>
  <c r="K4" i="10"/>
  <c r="H4" i="10"/>
  <c r="H34" i="10"/>
  <c r="G4" i="10"/>
  <c r="G34" i="10"/>
  <c r="F4"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P34" i="9"/>
  <c r="O34" i="9"/>
  <c r="N34" i="9"/>
  <c r="M34" i="9"/>
  <c r="J34" i="9"/>
  <c r="I34" i="9"/>
  <c r="E34" i="9"/>
  <c r="D34" i="9"/>
  <c r="C34" i="9"/>
  <c r="B34" i="9"/>
  <c r="L33" i="9"/>
  <c r="K33" i="9"/>
  <c r="F33" i="9"/>
  <c r="L32" i="9"/>
  <c r="K32" i="9"/>
  <c r="F32" i="9"/>
  <c r="L31" i="9"/>
  <c r="K31" i="9"/>
  <c r="F31" i="9"/>
  <c r="L30" i="9"/>
  <c r="K30" i="9"/>
  <c r="F30" i="9"/>
  <c r="L29" i="9"/>
  <c r="K29" i="9"/>
  <c r="F29" i="9"/>
  <c r="L28" i="9"/>
  <c r="K28" i="9"/>
  <c r="F28" i="9"/>
  <c r="L27" i="9"/>
  <c r="K27" i="9"/>
  <c r="F27" i="9"/>
  <c r="L26" i="9"/>
  <c r="K26" i="9"/>
  <c r="F26" i="9"/>
  <c r="L25" i="9"/>
  <c r="K25" i="9"/>
  <c r="F25" i="9"/>
  <c r="L24" i="9"/>
  <c r="K24" i="9"/>
  <c r="F24" i="9"/>
  <c r="L23" i="9"/>
  <c r="K23" i="9"/>
  <c r="H23" i="9"/>
  <c r="G23" i="9"/>
  <c r="F23" i="9"/>
  <c r="L22" i="9"/>
  <c r="K22" i="9"/>
  <c r="H22" i="9"/>
  <c r="G22" i="9"/>
  <c r="F22" i="9"/>
  <c r="L21" i="9"/>
  <c r="K21" i="9"/>
  <c r="H21" i="9"/>
  <c r="G21" i="9"/>
  <c r="F21" i="9"/>
  <c r="L20" i="9"/>
  <c r="K20" i="9"/>
  <c r="H20" i="9"/>
  <c r="G20" i="9"/>
  <c r="F20" i="9"/>
  <c r="L19" i="9"/>
  <c r="K19" i="9"/>
  <c r="H19" i="9"/>
  <c r="G19" i="9"/>
  <c r="F19" i="9"/>
  <c r="L18" i="9"/>
  <c r="K18" i="9"/>
  <c r="H18" i="9"/>
  <c r="G18" i="9"/>
  <c r="F18" i="9"/>
  <c r="L17" i="9"/>
  <c r="K17" i="9"/>
  <c r="H17" i="9"/>
  <c r="G17" i="9"/>
  <c r="F17" i="9"/>
  <c r="L16" i="9"/>
  <c r="K16" i="9"/>
  <c r="H16" i="9"/>
  <c r="G16" i="9"/>
  <c r="F16" i="9"/>
  <c r="L15" i="9"/>
  <c r="K15" i="9"/>
  <c r="H15" i="9"/>
  <c r="G15" i="9"/>
  <c r="F15" i="9"/>
  <c r="L14" i="9"/>
  <c r="K14" i="9"/>
  <c r="H14" i="9"/>
  <c r="G14" i="9"/>
  <c r="F14" i="9"/>
  <c r="L13" i="9"/>
  <c r="K13" i="9"/>
  <c r="H13" i="9"/>
  <c r="G13" i="9"/>
  <c r="F13" i="9"/>
  <c r="L12" i="9"/>
  <c r="K12" i="9"/>
  <c r="H12" i="9"/>
  <c r="G12" i="9"/>
  <c r="F12" i="9"/>
  <c r="L11" i="9"/>
  <c r="K11" i="9"/>
  <c r="H11" i="9"/>
  <c r="G11" i="9"/>
  <c r="F11" i="9"/>
  <c r="L10" i="9"/>
  <c r="K10" i="9"/>
  <c r="H10" i="9"/>
  <c r="G10" i="9"/>
  <c r="F10" i="9"/>
  <c r="L9" i="9"/>
  <c r="K9" i="9"/>
  <c r="H9" i="9"/>
  <c r="G9" i="9"/>
  <c r="F9" i="9"/>
  <c r="L8" i="9"/>
  <c r="K8" i="9"/>
  <c r="H8" i="9"/>
  <c r="G8" i="9"/>
  <c r="F8" i="9"/>
  <c r="L7" i="9"/>
  <c r="K7" i="9"/>
  <c r="H7" i="9"/>
  <c r="G7" i="9"/>
  <c r="F7" i="9"/>
  <c r="L6" i="9"/>
  <c r="K6" i="9"/>
  <c r="H6" i="9"/>
  <c r="G6" i="9"/>
  <c r="F6" i="9"/>
  <c r="L5" i="9"/>
  <c r="K5" i="9"/>
  <c r="H5" i="9"/>
  <c r="G5" i="9"/>
  <c r="F5" i="9"/>
  <c r="L4" i="9"/>
  <c r="K4" i="9"/>
  <c r="H4" i="9"/>
  <c r="H34" i="9"/>
  <c r="G4" i="9"/>
  <c r="G34" i="9"/>
  <c r="F4" i="9"/>
  <c r="A4" i="9"/>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N34" i="4"/>
  <c r="M34" i="4"/>
  <c r="L23" i="4"/>
  <c r="F24" i="4"/>
  <c r="K24" i="4"/>
  <c r="L24" i="4"/>
  <c r="I34" i="4"/>
  <c r="L4" i="4"/>
  <c r="E34" i="4"/>
  <c r="D34" i="4"/>
  <c r="C34" i="4"/>
  <c r="B34" i="4"/>
  <c r="K5" i="4"/>
  <c r="K6" i="4"/>
  <c r="K7" i="4"/>
  <c r="K8" i="4"/>
  <c r="K9" i="4"/>
  <c r="K10" i="4"/>
  <c r="K11" i="4"/>
  <c r="K12" i="4"/>
  <c r="K13" i="4"/>
  <c r="K14" i="4"/>
  <c r="K15" i="4"/>
  <c r="K16" i="4"/>
  <c r="K17" i="4"/>
  <c r="K18" i="4"/>
  <c r="K19" i="4"/>
  <c r="K20" i="4"/>
  <c r="K21" i="4"/>
  <c r="K22" i="4"/>
  <c r="K23" i="4"/>
  <c r="K25" i="4"/>
  <c r="K26" i="4"/>
  <c r="K27" i="4"/>
  <c r="K28" i="4"/>
  <c r="K29" i="4"/>
  <c r="K30" i="4"/>
  <c r="K31" i="4"/>
  <c r="K32" i="4"/>
  <c r="K33" i="4"/>
  <c r="K4" i="4"/>
  <c r="F4" i="4"/>
  <c r="F5" i="4"/>
  <c r="F6" i="4"/>
  <c r="F7" i="4"/>
  <c r="F8" i="4"/>
  <c r="F9" i="4"/>
  <c r="F10" i="4"/>
  <c r="F11" i="4"/>
  <c r="F12" i="4"/>
  <c r="F13" i="4"/>
  <c r="F14" i="4"/>
  <c r="F15" i="4"/>
  <c r="F16" i="4"/>
  <c r="F17" i="4"/>
  <c r="F18" i="4"/>
  <c r="F19" i="4"/>
  <c r="F20" i="4"/>
  <c r="F21" i="4"/>
  <c r="F22" i="4"/>
  <c r="F23" i="4"/>
  <c r="F25" i="4"/>
  <c r="F26" i="4"/>
  <c r="F27" i="4"/>
  <c r="F28" i="4"/>
  <c r="F29" i="4"/>
  <c r="F30" i="4"/>
  <c r="F31" i="4"/>
  <c r="F32" i="4"/>
  <c r="F33" i="4"/>
  <c r="P34" i="4"/>
  <c r="O34" i="4"/>
  <c r="J34" i="4"/>
  <c r="L33" i="4"/>
  <c r="L32" i="4"/>
  <c r="L31" i="4"/>
  <c r="L30" i="4"/>
  <c r="L29" i="4"/>
  <c r="L28" i="4"/>
  <c r="L27" i="4"/>
  <c r="L26" i="4"/>
  <c r="L25" i="4"/>
  <c r="H23" i="4"/>
  <c r="G23" i="4"/>
  <c r="L22" i="4"/>
  <c r="H22" i="4"/>
  <c r="G22" i="4"/>
  <c r="L21" i="4"/>
  <c r="H21" i="4"/>
  <c r="G21" i="4"/>
  <c r="L20" i="4"/>
  <c r="H20" i="4"/>
  <c r="G20" i="4"/>
  <c r="L19" i="4"/>
  <c r="H19" i="4"/>
  <c r="G19" i="4"/>
  <c r="L18" i="4"/>
  <c r="H18" i="4"/>
  <c r="G18" i="4"/>
  <c r="L17" i="4"/>
  <c r="H17" i="4"/>
  <c r="G17" i="4"/>
  <c r="L16" i="4"/>
  <c r="H16" i="4"/>
  <c r="G16" i="4"/>
  <c r="L15" i="4"/>
  <c r="H15" i="4"/>
  <c r="G15" i="4"/>
  <c r="L14" i="4"/>
  <c r="H14" i="4"/>
  <c r="G14" i="4"/>
  <c r="L13" i="4"/>
  <c r="H13" i="4"/>
  <c r="G13" i="4"/>
  <c r="L12" i="4"/>
  <c r="H12" i="4"/>
  <c r="G12" i="4"/>
  <c r="L11" i="4"/>
  <c r="H11" i="4"/>
  <c r="G11" i="4"/>
  <c r="L10" i="4"/>
  <c r="H10" i="4"/>
  <c r="G10" i="4"/>
  <c r="L9" i="4"/>
  <c r="H9" i="4"/>
  <c r="G9" i="4"/>
  <c r="L8" i="4"/>
  <c r="H8" i="4"/>
  <c r="G8" i="4"/>
  <c r="L7" i="4"/>
  <c r="H7" i="4"/>
  <c r="G7" i="4"/>
  <c r="L6" i="4"/>
  <c r="H6" i="4"/>
  <c r="G6" i="4"/>
  <c r="L5" i="4"/>
  <c r="H5" i="4"/>
  <c r="G5" i="4"/>
  <c r="H4" i="4"/>
  <c r="G4" i="4"/>
  <c r="G34"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1" i="4"/>
  <c r="F34" i="95"/>
  <c r="K34" i="95"/>
  <c r="F34" i="94"/>
  <c r="K34" i="94"/>
  <c r="F34" i="93"/>
  <c r="K34" i="93"/>
  <c r="F34" i="92"/>
  <c r="K34" i="92"/>
  <c r="F34" i="91"/>
  <c r="K34" i="91"/>
  <c r="F34" i="90"/>
  <c r="K34" i="90"/>
  <c r="F34" i="89"/>
  <c r="K34" i="89"/>
  <c r="F34" i="88"/>
  <c r="K34" i="88"/>
  <c r="F34" i="86"/>
  <c r="K34" i="86"/>
  <c r="F34" i="85"/>
  <c r="K34" i="85"/>
  <c r="F34" i="84"/>
  <c r="K34" i="84"/>
  <c r="H34" i="41"/>
  <c r="H34" i="37"/>
  <c r="F34" i="82"/>
  <c r="K34" i="82"/>
  <c r="F34" i="78"/>
  <c r="K34" i="78"/>
  <c r="L34" i="56"/>
  <c r="F34" i="66"/>
  <c r="K34" i="66"/>
  <c r="F34" i="65"/>
  <c r="K34" i="65"/>
  <c r="F34" i="64"/>
  <c r="K34" i="64"/>
  <c r="F34" i="63"/>
  <c r="K34" i="63"/>
  <c r="G34" i="14"/>
  <c r="H34" i="14"/>
  <c r="G34" i="16"/>
  <c r="H34" i="16"/>
  <c r="G34" i="15"/>
  <c r="H34" i="15"/>
  <c r="H34" i="28"/>
  <c r="G34" i="28"/>
  <c r="L34" i="9"/>
  <c r="F34" i="62"/>
  <c r="K34" i="62"/>
  <c r="L34" i="12"/>
  <c r="L34" i="10"/>
  <c r="K34" i="17"/>
  <c r="F34" i="14"/>
  <c r="K34" i="14"/>
  <c r="F34" i="16"/>
  <c r="K34" i="16"/>
  <c r="F34" i="15"/>
  <c r="K34" i="15"/>
  <c r="F34" i="28"/>
  <c r="K34" i="28"/>
  <c r="F34" i="41"/>
  <c r="K34" i="41"/>
  <c r="F34" i="37"/>
  <c r="K34" i="37"/>
  <c r="F34" i="30"/>
  <c r="K34" i="30"/>
  <c r="F34" i="35"/>
  <c r="K34" i="35"/>
  <c r="F34" i="34"/>
  <c r="K34" i="34"/>
  <c r="F34" i="33"/>
  <c r="K34" i="33"/>
  <c r="F34" i="32"/>
  <c r="K34" i="32"/>
  <c r="F34" i="31"/>
  <c r="K34" i="31"/>
  <c r="F34" i="10"/>
  <c r="L34" i="21"/>
  <c r="L34" i="18"/>
  <c r="K34" i="18"/>
  <c r="K34" i="4"/>
  <c r="L34" i="22"/>
  <c r="L34" i="27"/>
  <c r="L34" i="11"/>
  <c r="L34" i="17"/>
  <c r="L34" i="25"/>
  <c r="K34" i="26"/>
  <c r="L34" i="26"/>
  <c r="L34" i="20"/>
  <c r="L34" i="13"/>
  <c r="F34" i="11"/>
  <c r="K34" i="11"/>
  <c r="K34" i="13"/>
  <c r="K34" i="21"/>
  <c r="F34" i="21"/>
  <c r="K34" i="22"/>
  <c r="F34" i="17"/>
  <c r="K34" i="9"/>
  <c r="F34" i="9"/>
  <c r="L34" i="4"/>
  <c r="F34" i="4"/>
  <c r="F34" i="22"/>
  <c r="K34" i="10"/>
  <c r="F34" i="18"/>
  <c r="F34" i="19"/>
  <c r="K34" i="19"/>
  <c r="K34" i="23"/>
  <c r="F34" i="23"/>
  <c r="K34" i="27"/>
  <c r="F34" i="27"/>
  <c r="K34" i="25"/>
  <c r="F34" i="25"/>
  <c r="H34" i="26"/>
  <c r="F34" i="26"/>
  <c r="K34" i="20"/>
  <c r="F34" i="12"/>
  <c r="K34" i="12"/>
  <c r="F34" i="20"/>
  <c r="H34" i="4"/>
  <c r="D71" i="100" a="1"/>
  <c r="D14" i="100" a="1"/>
  <c r="E60" i="100" a="1"/>
  <c r="E27" i="100" a="1"/>
  <c r="D17" i="100" a="1"/>
  <c r="E4" i="100" a="1"/>
  <c r="E46" i="100" a="1"/>
  <c r="D85" i="100" a="1"/>
  <c r="E29" i="100" a="1"/>
  <c r="D2" i="100" a="1"/>
  <c r="D73" i="100" a="1"/>
  <c r="E79" i="100" a="1"/>
  <c r="E52" i="100" a="1"/>
  <c r="E35" i="100" a="1"/>
  <c r="E77" i="100" a="1"/>
  <c r="D55" i="100" a="1"/>
  <c r="E44" i="100" a="1"/>
  <c r="D75" i="100" a="1"/>
  <c r="E57" i="100" a="1"/>
  <c r="D49" i="100" a="1"/>
  <c r="D61" i="100" a="1"/>
  <c r="D10" i="100" a="1"/>
  <c r="E43" i="100" a="1"/>
  <c r="E18" i="100" a="1"/>
  <c r="E53" i="100" a="1"/>
  <c r="D21" i="100" a="1"/>
  <c r="D67" i="100" a="1"/>
  <c r="D18" i="100" a="1"/>
  <c r="E78" i="100" a="1"/>
  <c r="D60" i="100" a="1"/>
  <c r="D30" i="100" a="1"/>
  <c r="D25" i="100" a="1"/>
  <c r="D44" i="100" a="1"/>
  <c r="D45" i="100" a="1"/>
  <c r="D82" i="100" a="1"/>
  <c r="D62" i="100" a="1"/>
  <c r="E32" i="100" a="1"/>
  <c r="E42" i="100" a="1"/>
  <c r="E84" i="100" a="1"/>
  <c r="E28" i="100" a="1"/>
  <c r="D24" i="100" a="1"/>
  <c r="E59" i="100" a="1"/>
  <c r="D68" i="100" a="1"/>
  <c r="E80" i="100" a="1"/>
  <c r="D78" i="100" a="1"/>
  <c r="D42" i="100" a="1"/>
  <c r="D41" i="100" a="1"/>
  <c r="D15" i="100" a="1"/>
  <c r="D77" i="100" a="1"/>
  <c r="F83" i="100" a="1"/>
  <c r="D66" i="100" a="1"/>
  <c r="E25" i="100" a="1"/>
  <c r="E7" i="100" a="1"/>
  <c r="D63" i="100" a="1"/>
  <c r="E73" i="100" a="1"/>
  <c r="E40" i="100" a="1"/>
  <c r="E11" i="100" a="1"/>
  <c r="E81" i="100" a="1"/>
  <c r="E49" i="100" a="1"/>
  <c r="D34" i="100" a="1"/>
  <c r="D52" i="100" a="1"/>
  <c r="D8" i="100" a="1"/>
  <c r="E6" i="100" a="1"/>
  <c r="E56" i="100" a="1"/>
  <c r="E72" i="100" a="1"/>
  <c r="E66" i="100" a="1"/>
  <c r="D74" i="100" a="1"/>
  <c r="E3" i="100" a="1"/>
  <c r="D80" i="100" a="1"/>
  <c r="D58" i="100" a="1"/>
  <c r="E65" i="100" a="1"/>
  <c r="E58" i="100" a="1"/>
  <c r="E31" i="100" a="1"/>
  <c r="D59" i="100" a="1"/>
  <c r="E61" i="100" a="1"/>
  <c r="D48" i="100" a="1"/>
  <c r="E71" i="100" a="1"/>
  <c r="D70" i="100" a="1"/>
  <c r="E41" i="100" a="1"/>
  <c r="E21" i="100" a="1"/>
  <c r="E24" i="100" a="1"/>
  <c r="E69" i="100" a="1"/>
  <c r="E13" i="100" a="1"/>
  <c r="D64" i="100" a="1"/>
  <c r="E64" i="100" a="1"/>
  <c r="D23" i="100" a="1"/>
  <c r="D69" i="100" a="1"/>
  <c r="D11" i="100" a="1"/>
  <c r="E34" i="100" a="1"/>
  <c r="D46" i="100" a="1"/>
  <c r="D37" i="100" a="1"/>
  <c r="F84" i="100" a="1"/>
  <c r="E74" i="100" a="1"/>
  <c r="D72" i="100" a="1"/>
  <c r="D81" i="100" a="1"/>
  <c r="E23" i="100" a="1"/>
  <c r="E51" i="100" a="1"/>
  <c r="D29" i="100" a="1"/>
  <c r="E16" i="100" a="1"/>
  <c r="E17" i="100" a="1"/>
  <c r="E67" i="100" a="1"/>
  <c r="D36" i="100" a="1"/>
  <c r="E12" i="100" a="1"/>
  <c r="D5" i="100" a="1"/>
  <c r="D20" i="100" a="1"/>
  <c r="E47" i="100" a="1"/>
  <c r="D7" i="100" a="1"/>
  <c r="E55" i="100" a="1"/>
  <c r="E26" i="100" a="1"/>
  <c r="E63" i="100" a="1"/>
  <c r="D79" i="100" a="1"/>
  <c r="D31" i="100" a="1"/>
  <c r="D22" i="100" a="1"/>
  <c r="D51" i="100" a="1"/>
  <c r="D12" i="100" a="1"/>
  <c r="D26" i="100" a="1"/>
  <c r="E85" i="100" a="1"/>
  <c r="E14" i="100" a="1"/>
  <c r="E20" i="100" a="1"/>
  <c r="E2" i="100" a="1"/>
  <c r="E83" i="100" a="1"/>
  <c r="D56" i="100" a="1"/>
  <c r="E45" i="100" a="1"/>
  <c r="D83" i="100" a="1"/>
  <c r="D19" i="100" a="1"/>
  <c r="D53" i="100" a="1"/>
  <c r="D4" i="100" a="1"/>
  <c r="D40" i="100" a="1"/>
  <c r="E9" i="100" a="1"/>
  <c r="D13" i="100" a="1"/>
  <c r="D35" i="100" a="1"/>
  <c r="D32" i="100" a="1"/>
  <c r="F82" i="100" a="1"/>
  <c r="E48" i="100" a="1"/>
  <c r="D65" i="100" a="1"/>
  <c r="D57" i="100" a="1"/>
  <c r="E30" i="100" a="1"/>
  <c r="D39" i="100" a="1"/>
  <c r="F85" i="100" a="1"/>
  <c r="E19" i="100" a="1"/>
  <c r="D76" i="100" a="1"/>
  <c r="D33" i="100" a="1"/>
  <c r="E36" i="100" a="1"/>
  <c r="E68" i="100" a="1"/>
  <c r="D3" i="100" a="1"/>
  <c r="E76" i="100" a="1"/>
  <c r="D47" i="100" a="1"/>
  <c r="D9" i="100" a="1"/>
  <c r="E5" i="100" a="1"/>
  <c r="D28" i="100" a="1"/>
  <c r="D16" i="100" a="1"/>
  <c r="E8" i="100" a="1"/>
  <c r="E70" i="100" a="1"/>
  <c r="D6" i="100" a="1"/>
  <c r="E82" i="100" a="1"/>
  <c r="E75" i="100" a="1"/>
  <c r="E54" i="100" a="1"/>
  <c r="E37" i="100" a="1"/>
  <c r="E38" i="100" a="1"/>
  <c r="D43" i="100" a="1"/>
  <c r="E39" i="100" a="1"/>
  <c r="D27" i="100" a="1"/>
  <c r="D54" i="100" a="1"/>
  <c r="D38" i="100" a="1"/>
  <c r="E22" i="100" a="1"/>
  <c r="E33" i="100" a="1"/>
  <c r="E15" i="100" a="1"/>
  <c r="E10" i="100" a="1"/>
  <c r="D84" i="100" a="1"/>
  <c r="E50" i="100" a="1"/>
  <c r="E62" i="100" a="1"/>
  <c r="D50" i="100" a="1"/>
  <c r="F34" i="48" l="1"/>
  <c r="K34" i="48"/>
  <c r="F34" i="60"/>
  <c r="G34" i="60"/>
  <c r="D10" i="100"/>
  <c r="E20" i="100"/>
  <c r="D27" i="100"/>
  <c r="E37" i="100"/>
  <c r="E48" i="100"/>
  <c r="D59" i="100"/>
  <c r="E69" i="100"/>
  <c r="E80" i="100"/>
  <c r="E12" i="100"/>
  <c r="E29" i="100"/>
  <c r="E40" i="100"/>
  <c r="D51" i="100"/>
  <c r="E61" i="100"/>
  <c r="E72" i="100"/>
  <c r="D83" i="100"/>
  <c r="E4" i="100"/>
  <c r="E15" i="100"/>
  <c r="E32" i="100"/>
  <c r="D43" i="100"/>
  <c r="E53" i="100"/>
  <c r="E64" i="100"/>
  <c r="D75" i="100"/>
  <c r="E7" i="100"/>
  <c r="D18" i="100"/>
  <c r="E24" i="100"/>
  <c r="D35" i="100"/>
  <c r="E45" i="100"/>
  <c r="E56" i="100"/>
  <c r="D67" i="100"/>
  <c r="E77" i="100"/>
  <c r="E85" i="100"/>
  <c r="E2" i="100"/>
  <c r="E5" i="100"/>
  <c r="D8" i="100"/>
  <c r="E10" i="100"/>
  <c r="E13" i="100"/>
  <c r="D16" i="100"/>
  <c r="E18" i="100"/>
  <c r="E21" i="100"/>
  <c r="D23" i="100"/>
  <c r="D25" i="100"/>
  <c r="E27" i="100"/>
  <c r="E30" i="100"/>
  <c r="D33" i="100"/>
  <c r="E35" i="100"/>
  <c r="E38" i="100"/>
  <c r="D41" i="100"/>
  <c r="E43" i="100"/>
  <c r="E46" i="100"/>
  <c r="D49" i="100"/>
  <c r="E51" i="100"/>
  <c r="E54" i="100"/>
  <c r="D57" i="100"/>
  <c r="E59" i="100"/>
  <c r="E62" i="100"/>
  <c r="D65" i="100"/>
  <c r="E67" i="100"/>
  <c r="E70" i="100"/>
  <c r="D73" i="100"/>
  <c r="E75" i="100"/>
  <c r="E78" i="100"/>
  <c r="D81" i="100"/>
  <c r="E83" i="100"/>
  <c r="D2" i="100"/>
  <c r="F82" i="100"/>
  <c r="E84" i="100"/>
  <c r="F84" i="100"/>
  <c r="E3" i="100"/>
  <c r="D6" i="100"/>
  <c r="E8" i="100"/>
  <c r="E11" i="100"/>
  <c r="D14" i="100"/>
  <c r="E16" i="100"/>
  <c r="E19" i="100"/>
  <c r="D22" i="100"/>
  <c r="E23" i="100"/>
  <c r="E25" i="100"/>
  <c r="E28" i="100"/>
  <c r="D31" i="100"/>
  <c r="E33" i="100"/>
  <c r="E36" i="100"/>
  <c r="D39" i="100"/>
  <c r="E41" i="100"/>
  <c r="E44" i="100"/>
  <c r="D47" i="100"/>
  <c r="E49" i="100"/>
  <c r="E52" i="100"/>
  <c r="D55" i="100"/>
  <c r="E57" i="100"/>
  <c r="E60" i="100"/>
  <c r="D63" i="100"/>
  <c r="E65" i="100"/>
  <c r="E68" i="100"/>
  <c r="D71" i="100"/>
  <c r="E73" i="100"/>
  <c r="E76" i="100"/>
  <c r="D79" i="100"/>
  <c r="E81" i="100"/>
  <c r="F83" i="100"/>
  <c r="D85" i="100"/>
  <c r="D4" i="100"/>
  <c r="E6" i="100"/>
  <c r="E9" i="100"/>
  <c r="D12" i="100"/>
  <c r="E14" i="100"/>
  <c r="E17" i="100"/>
  <c r="D20" i="100"/>
  <c r="E22" i="100"/>
  <c r="E26" i="100"/>
  <c r="D29" i="100"/>
  <c r="E31" i="100"/>
  <c r="E34" i="100"/>
  <c r="D37" i="100"/>
  <c r="E39" i="100"/>
  <c r="E42" i="100"/>
  <c r="D45" i="100"/>
  <c r="E47" i="100"/>
  <c r="E50" i="100"/>
  <c r="D53" i="100"/>
  <c r="E55" i="100"/>
  <c r="E58" i="100"/>
  <c r="D61" i="100"/>
  <c r="E63" i="100"/>
  <c r="E66" i="100"/>
  <c r="D69" i="100"/>
  <c r="E71" i="100"/>
  <c r="E74" i="100"/>
  <c r="D77" i="100"/>
  <c r="E79" i="100"/>
  <c r="E82" i="100"/>
  <c r="D84" i="100"/>
  <c r="F85" i="100"/>
  <c r="D3" i="100"/>
  <c r="D5" i="100"/>
  <c r="D7" i="100"/>
  <c r="D9" i="100"/>
  <c r="D11" i="100"/>
  <c r="D13" i="100"/>
  <c r="D15" i="100"/>
  <c r="D17" i="100"/>
  <c r="D19" i="100"/>
  <c r="D21" i="100"/>
  <c r="D24" i="100"/>
  <c r="D26" i="100"/>
  <c r="D28" i="100"/>
  <c r="D30" i="100"/>
  <c r="D32" i="100"/>
  <c r="D34" i="100"/>
  <c r="D36" i="100"/>
  <c r="D38" i="100"/>
  <c r="D40" i="100"/>
  <c r="D42" i="100"/>
  <c r="D44" i="100"/>
  <c r="D46" i="100"/>
  <c r="D48" i="100"/>
  <c r="D50" i="100"/>
  <c r="D52" i="100"/>
  <c r="D54" i="100"/>
  <c r="D56" i="100"/>
  <c r="D58" i="100"/>
  <c r="D60" i="100"/>
  <c r="D62" i="100"/>
  <c r="D64" i="100"/>
  <c r="D66" i="100"/>
  <c r="D68" i="100"/>
  <c r="D70" i="100"/>
  <c r="D72" i="100"/>
  <c r="D74" i="100"/>
  <c r="D76" i="100"/>
  <c r="D78" i="100"/>
  <c r="D80" i="100"/>
  <c r="D82" i="100"/>
  <c r="K34" i="61"/>
  <c r="F34" i="61"/>
  <c r="F66" i="20"/>
  <c r="K66" i="4"/>
  <c r="F66" i="4"/>
  <c r="K66" i="18"/>
  <c r="F66" i="18"/>
  <c r="F66" i="99"/>
  <c r="K66" i="99"/>
  <c r="F35" i="98"/>
  <c r="K35" i="98"/>
  <c r="F66" i="95"/>
  <c r="K66" i="95"/>
  <c r="F66" i="93"/>
  <c r="K66" i="93"/>
  <c r="F66" i="82"/>
  <c r="K66" i="82"/>
  <c r="F66" i="88"/>
  <c r="K66" i="88"/>
  <c r="F66" i="92"/>
  <c r="K66" i="92"/>
  <c r="F66" i="91"/>
  <c r="K66" i="91"/>
  <c r="F66" i="90"/>
  <c r="K66" i="90"/>
  <c r="F66" i="89"/>
  <c r="K66" i="89"/>
  <c r="F66" i="86"/>
  <c r="K66" i="86"/>
  <c r="F66" i="85"/>
  <c r="K66" i="85"/>
  <c r="F66" i="84"/>
  <c r="K66" i="84"/>
  <c r="F66" i="78"/>
  <c r="K66" i="78"/>
  <c r="F66" i="74"/>
  <c r="K66" i="74"/>
  <c r="F66" i="71"/>
  <c r="K66" i="71"/>
  <c r="F66" i="70"/>
  <c r="K66" i="70"/>
  <c r="F66" i="69"/>
  <c r="K66" i="69"/>
  <c r="F66" i="68"/>
  <c r="K66" i="68"/>
  <c r="F66" i="67"/>
  <c r="K66" i="67"/>
  <c r="F66" i="66"/>
  <c r="K66" i="66"/>
  <c r="F66" i="65"/>
  <c r="K66" i="65"/>
  <c r="F66" i="64"/>
  <c r="K66" i="64"/>
  <c r="F66" i="63"/>
  <c r="K66" i="63"/>
  <c r="F66" i="62"/>
  <c r="K66" i="62"/>
  <c r="F66" i="61"/>
  <c r="K66" i="61"/>
  <c r="F66" i="60"/>
  <c r="K66" i="60"/>
  <c r="F66" i="56"/>
  <c r="K66" i="56"/>
  <c r="F66" i="55"/>
  <c r="K66" i="55"/>
  <c r="F66" i="54"/>
  <c r="K66" i="54"/>
  <c r="F66" i="53"/>
  <c r="K66" i="53"/>
  <c r="F66" i="52"/>
  <c r="K66" i="52"/>
  <c r="F66" i="51"/>
  <c r="K66" i="51"/>
  <c r="F66" i="50"/>
  <c r="K66" i="50"/>
  <c r="F66" i="49"/>
  <c r="K66" i="49"/>
  <c r="F66" i="19"/>
  <c r="K66" i="19"/>
  <c r="F66" i="47"/>
  <c r="K66" i="47"/>
  <c r="F66" i="46"/>
  <c r="K66" i="46"/>
  <c r="F66" i="45"/>
  <c r="K66" i="45"/>
  <c r="F66" i="44"/>
  <c r="K66" i="44"/>
  <c r="F66" i="43"/>
  <c r="K66" i="43"/>
  <c r="F66" i="42"/>
  <c r="K66" i="42"/>
  <c r="F66" i="41"/>
  <c r="K66" i="41"/>
  <c r="F66" i="37"/>
  <c r="K66" i="37"/>
  <c r="F66" i="39"/>
  <c r="K66" i="39"/>
  <c r="F66" i="38"/>
  <c r="K66" i="38"/>
  <c r="F66" i="40"/>
  <c r="K66" i="40"/>
  <c r="F66" i="35"/>
  <c r="K66" i="35"/>
  <c r="F66" i="34"/>
  <c r="K66" i="34"/>
  <c r="F66" i="33"/>
  <c r="K66" i="33"/>
  <c r="F66" i="32"/>
  <c r="K66" i="32"/>
  <c r="F66" i="31"/>
  <c r="K66" i="31"/>
  <c r="F66" i="30"/>
  <c r="K66" i="30"/>
  <c r="F66" i="29"/>
  <c r="J22" i="100" s="1"/>
  <c r="K66" i="29"/>
  <c r="O22" i="100" s="1"/>
  <c r="F66" i="27"/>
  <c r="K66" i="27"/>
  <c r="F66" i="25"/>
  <c r="K66" i="25"/>
  <c r="F66" i="26"/>
  <c r="K66" i="26"/>
  <c r="F35" i="18"/>
  <c r="K35" i="18"/>
  <c r="F35" i="4"/>
  <c r="K35" i="4"/>
  <c r="F34" i="99"/>
  <c r="K34" i="99"/>
  <c r="F66" i="9"/>
  <c r="K66" i="9"/>
  <c r="F66" i="10"/>
  <c r="F66" i="12"/>
  <c r="K66" i="12"/>
  <c r="F66" i="17"/>
  <c r="K66" i="17"/>
  <c r="F66" i="28"/>
  <c r="F66" i="14"/>
  <c r="K66" i="14"/>
  <c r="F66" i="16"/>
  <c r="K66" i="16"/>
  <c r="F66" i="15"/>
  <c r="K66" i="15"/>
  <c r="F66" i="11"/>
  <c r="K66" i="11"/>
  <c r="F66" i="13"/>
  <c r="K66" i="13"/>
  <c r="F66" i="72"/>
  <c r="K66" i="72"/>
  <c r="F66" i="76"/>
  <c r="K66" i="76"/>
  <c r="F66" i="79"/>
  <c r="K66" i="79"/>
  <c r="F66" i="81"/>
  <c r="K66" i="81"/>
  <c r="F66" i="80"/>
  <c r="K66" i="80"/>
  <c r="F66" i="73"/>
  <c r="K66" i="73"/>
  <c r="F66" i="75"/>
  <c r="K66" i="75"/>
  <c r="F66" i="83"/>
  <c r="K66" i="83"/>
  <c r="F66" i="87"/>
  <c r="K66" i="87"/>
  <c r="K34" i="52"/>
  <c r="F34" i="52"/>
  <c r="F34" i="50"/>
  <c r="F34" i="53"/>
  <c r="K34" i="46"/>
  <c r="F34" i="46"/>
  <c r="K34" i="45"/>
  <c r="F34" i="45"/>
  <c r="F34" i="44"/>
  <c r="L34" i="42"/>
  <c r="F34" i="42"/>
  <c r="L34" i="19"/>
  <c r="B6" i="96"/>
  <c r="B11" i="96"/>
  <c r="B5" i="96"/>
  <c r="B9" i="96"/>
  <c r="F17" i="100" a="1"/>
  <c r="F12" i="100" a="1"/>
  <c r="F40" i="100" a="1"/>
  <c r="F52" i="100" a="1"/>
  <c r="F54" i="100" a="1"/>
  <c r="F61" i="100" a="1"/>
  <c r="F6" i="100" a="1"/>
  <c r="F31" i="100" a="1"/>
  <c r="F65" i="100" a="1"/>
  <c r="F60" i="100" a="1"/>
  <c r="F30" i="100" a="1"/>
  <c r="F68" i="100" a="1"/>
  <c r="F58" i="100" a="1"/>
  <c r="F71" i="100" a="1"/>
  <c r="F34" i="100" a="1"/>
  <c r="F37" i="100" a="1"/>
  <c r="F20" i="100" a="1"/>
  <c r="F41" i="100" a="1"/>
  <c r="B17" i="96"/>
  <c r="B12" i="96"/>
  <c r="F53" i="100" a="1"/>
  <c r="F36" i="100" a="1"/>
  <c r="F55" i="100" a="1"/>
  <c r="F51" i="100" a="1"/>
  <c r="F64" i="100" a="1"/>
  <c r="F28" i="100" a="1"/>
  <c r="F78" i="100" a="1"/>
  <c r="F35" i="100" a="1"/>
  <c r="F15" i="100" a="1"/>
  <c r="F81" i="100" a="1"/>
  <c r="F57" i="100" a="1"/>
  <c r="F74" i="100" a="1"/>
  <c r="F72" i="100" a="1"/>
  <c r="F25" i="100" a="1"/>
  <c r="F9" i="100" a="1"/>
  <c r="F27" i="100" a="1"/>
  <c r="F80" i="100" a="1"/>
  <c r="F26" i="100" a="1"/>
  <c r="F63" i="100" a="1"/>
  <c r="F77" i="100" a="1"/>
  <c r="F42" i="100" a="1"/>
  <c r="B14" i="96"/>
  <c r="B7" i="96"/>
  <c r="F48" i="100" a="1"/>
  <c r="F33" i="100" a="1"/>
  <c r="F24" i="100" a="1"/>
  <c r="F79" i="100" a="1"/>
  <c r="F2" i="100" a="1"/>
  <c r="B15" i="96"/>
  <c r="B8" i="96"/>
  <c r="F69" i="100" a="1"/>
  <c r="F67" i="100" a="1"/>
  <c r="F70" i="100" a="1"/>
  <c r="F14" i="100" a="1"/>
  <c r="F8" i="100" a="1"/>
  <c r="F49" i="100" a="1"/>
  <c r="F46" i="100" a="1"/>
  <c r="F11" i="100" a="1"/>
  <c r="F66" i="100" a="1"/>
  <c r="F44" i="100" a="1"/>
  <c r="F32" i="100" a="1"/>
  <c r="F38" i="100" a="1"/>
  <c r="F39" i="100" a="1"/>
  <c r="F73" i="100" a="1"/>
  <c r="B16" i="96"/>
  <c r="F7" i="100" a="1"/>
  <c r="B10" i="96"/>
  <c r="B4" i="96"/>
  <c r="B13" i="96"/>
  <c r="F50" i="100" a="1"/>
  <c r="F16" i="100" a="1"/>
  <c r="F43" i="100" a="1"/>
  <c r="F10" i="100" a="1"/>
  <c r="F5" i="100" a="1"/>
  <c r="F19" i="100" a="1"/>
  <c r="F62" i="100" a="1"/>
  <c r="F47" i="100" a="1"/>
  <c r="F76" i="100" a="1"/>
  <c r="F18" i="100" a="1"/>
  <c r="B3" i="96"/>
  <c r="F75" i="100" a="1"/>
  <c r="F29" i="100" a="1"/>
  <c r="F3" i="100" a="1"/>
  <c r="F21" i="100" a="1"/>
  <c r="F4" i="100" a="1"/>
  <c r="F56" i="100" a="1"/>
  <c r="F45" i="100" a="1"/>
  <c r="F63" i="100" l="1"/>
  <c r="F4" i="100"/>
  <c r="F16" i="100"/>
  <c r="F26" i="100"/>
  <c r="F65" i="100"/>
  <c r="F73" i="100"/>
  <c r="F81" i="100"/>
  <c r="F41" i="100"/>
  <c r="F50" i="100"/>
  <c r="F58" i="100"/>
  <c r="F64" i="100"/>
  <c r="F6" i="100"/>
  <c r="F8" i="100"/>
  <c r="F10" i="100"/>
  <c r="F17" i="100"/>
  <c r="F21" i="100"/>
  <c r="F27" i="100"/>
  <c r="F31" i="100"/>
  <c r="F66" i="100"/>
  <c r="F70" i="100"/>
  <c r="F74" i="100"/>
  <c r="F78" i="100"/>
  <c r="F34" i="100"/>
  <c r="F38" i="100"/>
  <c r="F42" i="100"/>
  <c r="F47" i="100"/>
  <c r="F52" i="100"/>
  <c r="F46" i="100"/>
  <c r="F61" i="100"/>
  <c r="F2" i="100"/>
  <c r="F60" i="100"/>
  <c r="F12" i="100"/>
  <c r="F11" i="100"/>
  <c r="F18" i="100"/>
  <c r="F24" i="100"/>
  <c r="F28" i="100"/>
  <c r="F32" i="100"/>
  <c r="F67" i="100"/>
  <c r="F71" i="100"/>
  <c r="F75" i="100"/>
  <c r="F79" i="100"/>
  <c r="F35" i="100"/>
  <c r="F39" i="100"/>
  <c r="F43" i="100"/>
  <c r="F48" i="100"/>
  <c r="F53" i="100"/>
  <c r="F55" i="100"/>
  <c r="F5" i="100"/>
  <c r="F9" i="100"/>
  <c r="F20" i="100"/>
  <c r="F30" i="100"/>
  <c r="F69" i="100"/>
  <c r="F77" i="100"/>
  <c r="F37" i="100"/>
  <c r="F45" i="100"/>
  <c r="F51" i="100"/>
  <c r="F57" i="100"/>
  <c r="F62" i="100"/>
  <c r="F3" i="100"/>
  <c r="F7" i="100"/>
  <c r="F14" i="100"/>
  <c r="F15" i="100"/>
  <c r="F19" i="100"/>
  <c r="F25" i="100"/>
  <c r="F29" i="100"/>
  <c r="F33" i="100"/>
  <c r="F68" i="100"/>
  <c r="F72" i="100"/>
  <c r="F76" i="100"/>
  <c r="F80" i="100"/>
  <c r="F36" i="100"/>
  <c r="F40" i="100"/>
  <c r="F44" i="100"/>
  <c r="F49" i="100"/>
  <c r="F54" i="100"/>
  <c r="F56" i="100"/>
  <c r="L66" i="10"/>
  <c r="K66" i="10"/>
  <c r="F13" i="100" a="1"/>
  <c r="F13" i="100" l="1"/>
  <c r="F59" i="100"/>
  <c r="N66" i="75"/>
  <c r="F59" i="100"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<sst xmlns="http://schemas.openxmlformats.org/spreadsheetml/2006/main" count="5700" uniqueCount="682">
  <si>
    <t>Site Name</t>
  </si>
  <si>
    <t>GSECL_Vasundhara</t>
  </si>
  <si>
    <t>Date</t>
  </si>
  <si>
    <t>Expected Generation</t>
  </si>
  <si>
    <t>Guaranteed Generation (kWh)</t>
  </si>
  <si>
    <t>Inverter Generation (kWh)</t>
  </si>
  <si>
    <t>ABT Meter Generation at Plant End (kWh)</t>
  </si>
  <si>
    <t>Generation difference (KWh)</t>
  </si>
  <si>
    <t>DC-CUF</t>
  </si>
  <si>
    <t>AC-CUF</t>
  </si>
  <si>
    <t>Pvsyst Irradiation (kWh/m2)</t>
  </si>
  <si>
    <t>Actual Irradiation (kWh/m2)</t>
  </si>
  <si>
    <t>Radiation Difference (KWh/m2)</t>
  </si>
  <si>
    <t>PR</t>
  </si>
  <si>
    <t>Plant Availability</t>
  </si>
  <si>
    <t>Grid Availability</t>
  </si>
  <si>
    <t>Losses due to Grid Unavailability</t>
  </si>
  <si>
    <t>Losses due to Plant Unavailability</t>
  </si>
  <si>
    <t>Plant Code</t>
  </si>
  <si>
    <t>RM</t>
  </si>
  <si>
    <t>GHCL Phase-1_Musiri</t>
  </si>
  <si>
    <t>GHCL-1</t>
  </si>
  <si>
    <t>Mehul Oza</t>
  </si>
  <si>
    <t>GHCL Phase-2_Musiri</t>
  </si>
  <si>
    <t>GHCL-2</t>
  </si>
  <si>
    <t>GHCL Phase-3_Ottapidaram</t>
  </si>
  <si>
    <t>Pollax</t>
  </si>
  <si>
    <t>Thaiagarajar Mills_Ottapidaram</t>
  </si>
  <si>
    <t>GHCL-3</t>
  </si>
  <si>
    <t>Pollax solar solution_Otaapidaram</t>
  </si>
  <si>
    <t>TMILLS</t>
  </si>
  <si>
    <t>VTM Limited</t>
  </si>
  <si>
    <t>VTM</t>
  </si>
  <si>
    <t>Jothi Malleable &amp; Microcast_TSU5_Karambakuddi</t>
  </si>
  <si>
    <t>JOTHI</t>
  </si>
  <si>
    <t>GHCL Limited RT_Manaparai</t>
  </si>
  <si>
    <t>GHCL MANA</t>
  </si>
  <si>
    <t>GHCL Limited RT_Paravai</t>
  </si>
  <si>
    <t>GHCL Para</t>
  </si>
  <si>
    <t>GHCL Limited RT_Paravai-2</t>
  </si>
  <si>
    <t>GHCL Para-2</t>
  </si>
  <si>
    <t>Suriya Spinning mills_Aviyoor</t>
  </si>
  <si>
    <t>SURIYA</t>
  </si>
  <si>
    <t>Pantech Synergy_Aviyoor</t>
  </si>
  <si>
    <t>PANTECH</t>
  </si>
  <si>
    <t>Parvathi Dyeing_Aviyoor</t>
  </si>
  <si>
    <t>PARVATHI</t>
  </si>
  <si>
    <t>Bangalore internation airport limited</t>
  </si>
  <si>
    <t>BIAL</t>
  </si>
  <si>
    <t>Bhargavi Renewables_Tharad</t>
  </si>
  <si>
    <t>BRPL</t>
  </si>
  <si>
    <t>Pidilite Industries Limited_Pransla</t>
  </si>
  <si>
    <t>Pidilite</t>
  </si>
  <si>
    <t>Greenbloom Energy_Balachadi</t>
  </si>
  <si>
    <t>Greenbloom</t>
  </si>
  <si>
    <t>Isha Snacks_Varahi</t>
  </si>
  <si>
    <t>Isha</t>
  </si>
  <si>
    <t>Enviro Vimalachal_Varahi</t>
  </si>
  <si>
    <t>Enviro</t>
  </si>
  <si>
    <t>Vimalachal Print &amp; Packs_Varahi</t>
  </si>
  <si>
    <t>Vimalachal</t>
  </si>
  <si>
    <t>Vasundhara</t>
  </si>
  <si>
    <t>Naresh Rajput</t>
  </si>
  <si>
    <t>Pudumjee</t>
  </si>
  <si>
    <t>Venus Denim-01</t>
  </si>
  <si>
    <t>Venus Denim-02</t>
  </si>
  <si>
    <t>Vishal Spintex</t>
  </si>
  <si>
    <t>Madura Textiles</t>
  </si>
  <si>
    <t>Madura textiles</t>
  </si>
  <si>
    <t>Alkyl Amines</t>
  </si>
  <si>
    <t>Pro-zeal green power five_Greenpro_KA</t>
  </si>
  <si>
    <t>PGP5</t>
  </si>
  <si>
    <t>Rishi FIBC_Bommalapura</t>
  </si>
  <si>
    <t>Rishi Bommalapura</t>
  </si>
  <si>
    <t>Rishi FIBC_Tearakanambi</t>
  </si>
  <si>
    <t>RISHI Terakanambi</t>
  </si>
  <si>
    <t>Automotive axels GO-1_TSU3_KA</t>
  </si>
  <si>
    <t>AAL GO-1</t>
  </si>
  <si>
    <t>Automotive axels GO-2_TSU3_KA</t>
  </si>
  <si>
    <t>AAL GO-2</t>
  </si>
  <si>
    <t>ACG_Tuljapur</t>
  </si>
  <si>
    <t>Kishan Mehta</t>
  </si>
  <si>
    <t>Aarti_Akola</t>
  </si>
  <si>
    <t>ACG_PZ4</t>
  </si>
  <si>
    <t>ACG_PAM</t>
  </si>
  <si>
    <t>ACG_PGP3</t>
  </si>
  <si>
    <t>Asahi Songwon_ Balasinor</t>
  </si>
  <si>
    <t>August Energy_Akola</t>
  </si>
  <si>
    <t>Benzo_Chem</t>
  </si>
  <si>
    <t>Blue Jet</t>
  </si>
  <si>
    <t>EESL Narayan Doho</t>
  </si>
  <si>
    <t>EESL Limbala Dau</t>
  </si>
  <si>
    <t>EESL Potra</t>
  </si>
  <si>
    <t>IGCL, Bharuch</t>
  </si>
  <si>
    <t>Narayan Spinning - 1</t>
  </si>
  <si>
    <t>Narayan Spinning - 2</t>
  </si>
  <si>
    <t>Rishi FIBC, Balasinor</t>
  </si>
  <si>
    <t>Saanika Industries, Bharuch</t>
  </si>
  <si>
    <t>SS Flour Mills, Akola</t>
  </si>
  <si>
    <t>Sumati Spintex</t>
  </si>
  <si>
    <t>Tulsi Industries</t>
  </si>
  <si>
    <t>Tulsi Udyog</t>
  </si>
  <si>
    <t>Val Organics</t>
  </si>
  <si>
    <t>ZEIT - 1, Akola</t>
  </si>
  <si>
    <t>ZEIT - 2, Akola</t>
  </si>
  <si>
    <t>Kiran</t>
  </si>
  <si>
    <t>Jahid Hussain</t>
  </si>
  <si>
    <t>Majethiya</t>
  </si>
  <si>
    <t>Centenary</t>
  </si>
  <si>
    <t>Sainest</t>
  </si>
  <si>
    <t>Orito</t>
  </si>
  <si>
    <t>Universal</t>
  </si>
  <si>
    <t>Aditya-Arka</t>
  </si>
  <si>
    <t xml:space="preserve">Ajay cotspin </t>
  </si>
  <si>
    <t>Atul Patel</t>
  </si>
  <si>
    <t>Unitech cotspin</t>
  </si>
  <si>
    <t>Lincoln Pharma</t>
  </si>
  <si>
    <t>Kamdhenu Yarn</t>
  </si>
  <si>
    <t>Kikani Exports</t>
  </si>
  <si>
    <t>Linde Engineering</t>
  </si>
  <si>
    <t>Alembic Pharma Phase 1</t>
  </si>
  <si>
    <t>Alembic Pharma Phase 2</t>
  </si>
  <si>
    <t>Mark Alloys</t>
  </si>
  <si>
    <t>Ujjaval Alloys</t>
  </si>
  <si>
    <t>Diamond stones</t>
  </si>
  <si>
    <t>Airona Tiles</t>
  </si>
  <si>
    <t>Airolam Ltd.</t>
  </si>
  <si>
    <t>Advatech Cera</t>
  </si>
  <si>
    <t>BPCL</t>
  </si>
  <si>
    <t>GSECL_ Vitthalpar</t>
  </si>
  <si>
    <t>GSECL_Jambudiya</t>
  </si>
  <si>
    <t>Prince</t>
  </si>
  <si>
    <t>Vivekanand</t>
  </si>
  <si>
    <t>Kamal Textiles</t>
  </si>
  <si>
    <t>MBR Flexibles</t>
  </si>
  <si>
    <t>EMcure_TU37</t>
  </si>
  <si>
    <t>ARS Phase-1_TU14</t>
  </si>
  <si>
    <t>Laxmi Mills_TU17</t>
  </si>
  <si>
    <t>Reliance spinning mills</t>
  </si>
  <si>
    <t>HUL Rajahmundry</t>
  </si>
  <si>
    <t>HUL Sumerpur</t>
  </si>
  <si>
    <t>HUL Sonipat</t>
  </si>
  <si>
    <t>Ginni Filaments</t>
  </si>
  <si>
    <t>Sainest Tubes</t>
  </si>
  <si>
    <t>Vikram Aeroma</t>
  </si>
  <si>
    <t>Vikram Thermo</t>
  </si>
  <si>
    <t>Macro Polymers</t>
  </si>
  <si>
    <t>GHCL Phase-5</t>
  </si>
  <si>
    <t>Indocount GM</t>
  </si>
  <si>
    <t>AGL</t>
  </si>
  <si>
    <t>Ground Mounted/ Roof top</t>
  </si>
  <si>
    <t>State</t>
  </si>
  <si>
    <t>DC Capacity
MWp</t>
  </si>
  <si>
    <t>AC Capacity
MW</t>
  </si>
  <si>
    <t>Generation difference (%)</t>
  </si>
  <si>
    <t>Radiation Difference (%)</t>
  </si>
  <si>
    <t>Remarks</t>
  </si>
  <si>
    <t>MTD</t>
  </si>
  <si>
    <t>GM</t>
  </si>
  <si>
    <t>Tamilnadu</t>
  </si>
  <si>
    <t>RT</t>
  </si>
  <si>
    <t>Karnataka</t>
  </si>
  <si>
    <t>Gujarat</t>
  </si>
  <si>
    <t>Maharashtra</t>
  </si>
  <si>
    <t>MP</t>
  </si>
  <si>
    <t>Kamal</t>
  </si>
  <si>
    <t>MBR</t>
  </si>
  <si>
    <t>Sum of AC Capacity</t>
  </si>
  <si>
    <t>Sum of DC Capacity
MWp</t>
  </si>
  <si>
    <t>Count of DC-CUF</t>
  </si>
  <si>
    <t>Count of AC-CUF</t>
  </si>
  <si>
    <t>Generation_Details_Plant-Name_4 mw Vivekanand costpin llp sami</t>
  </si>
  <si>
    <t>DC Capacity (kWp):</t>
  </si>
  <si>
    <t>AC capacity (kWp):</t>
  </si>
  <si>
    <t>COD :</t>
  </si>
  <si>
    <t> </t>
  </si>
  <si>
    <t>as per ALDC instructions 20% load curtailment</t>
  </si>
  <si>
    <t>as per ALDC instructions 30% load curtailment</t>
  </si>
  <si>
    <t>as per ALDC instructions 50% load curtailment</t>
  </si>
  <si>
    <t>as per ALDC instructions 40% load curtailment</t>
  </si>
  <si>
    <t>Generation Details_Prince Spinners_Mujpur_GJ.</t>
  </si>
  <si>
    <t>30-03-2024</t>
  </si>
  <si>
    <t>30% Load shedding message received from ALDC</t>
  </si>
  <si>
    <t>B Phese temporary jamper fail Gss site</t>
  </si>
  <si>
    <t>50% Load shedding message received from ALDC</t>
  </si>
  <si>
    <t>Gss site breckar trip realy testing</t>
  </si>
  <si>
    <t>20% Load Curtailment message received from SLDC</t>
  </si>
  <si>
    <t>20% + 20% Load Curtailment message received from SLDC</t>
  </si>
  <si>
    <t>Generation Details_Majethiya Papers Pvt Ltd._Nani Chandur_GJ.</t>
  </si>
  <si>
    <t>Month</t>
  </si>
  <si>
    <t>20 % Load curtailment ALDC Request</t>
  </si>
  <si>
    <t>10 % Load curtailment ALDC Request</t>
  </si>
  <si>
    <t>30% Load Curtailment ALDC Request</t>
  </si>
  <si>
    <t>50% Load Curtailment ALDC Request</t>
  </si>
  <si>
    <t>Inv.01 &amp; 05 Manually Off due to 50 % Load curtailment ALDC Request</t>
  </si>
  <si>
    <t>Inv.06,07,09,11 Manually Off due to 40 % Load curtailment ALDC Request</t>
  </si>
  <si>
    <t>Inv.09 &amp; 10 Manually off  due to 20 % Load curtailment ALDC Request</t>
  </si>
  <si>
    <t>Inv.09 &amp; 10 Manually off  due to 30 % Load curtailment ALDC Request</t>
  </si>
  <si>
    <t>Inv.10 Manually off  due to 20 % Load curtailment ALDC Request</t>
  </si>
  <si>
    <t>Inv.11 Manually off  due to 20 % Load curtailment ALDC Request</t>
  </si>
  <si>
    <t>Inv.10 &amp; 11 Manually off  due to 30 % Load curtailment ALDC Request</t>
  </si>
  <si>
    <t>Inv.09 &amp; 11 Manually off  due to 30 % Load curtailment ALDC Request</t>
  </si>
  <si>
    <t>Generation Details_Kiran Renewables_Nani Chandur_GJ.</t>
  </si>
  <si>
    <t>Generation Details_Centenary_Polytex_Nani_chandur_GJ.</t>
  </si>
  <si>
    <t>Jumper Burn at GSS End</t>
  </si>
  <si>
    <t xml:space="preserve"> 30 % Load curtailment ALDC Request</t>
  </si>
  <si>
    <t>Inv. 1 &amp; 2  Manually off due to 50 % Load curtailment ALDC Request</t>
  </si>
  <si>
    <t>Inv. 1,2,3  Manually off due to 50 % Load curtailment ALDC Request</t>
  </si>
  <si>
    <t>Inv. 1,2 Manually off due to 40 % Load curtailment ALDC Request</t>
  </si>
  <si>
    <t>Inv.1 Manually off  due to 20 % Load curtailment ALDC Request</t>
  </si>
  <si>
    <t>Inv.1 Manually off  due to 30 % Load curtailment ALDC Request</t>
  </si>
  <si>
    <t>Inv.2 Manually off  due to 30 % Load curtailment ALDC Request</t>
  </si>
  <si>
    <t>Inv.3 Manually off  due to 30 % Load curtailment ALDC Request</t>
  </si>
  <si>
    <t xml:space="preserve"> 20 % Load curtailment ALDC Request</t>
  </si>
  <si>
    <t>Generation Details_Sainest Tubes_Nani Chandur_GJ.</t>
  </si>
  <si>
    <t xml:space="preserve"> 10 % Load curtailment ALDC Request</t>
  </si>
  <si>
    <t>Inv.01 &amp; 02  Manually off  due to 50 % Load curtailment ALDC Request</t>
  </si>
  <si>
    <t>Inv.05 &amp; 06  Manually off due to 50 % Load curtailment ALDC Request</t>
  </si>
  <si>
    <t>Inv.05 &amp; 06  Manually off due to 40 % Load curtailment ALDC Request</t>
  </si>
  <si>
    <t>Inv. 01 Manually off  due to 20 % Load curtailment ALDC Request</t>
  </si>
  <si>
    <t>Generation Details_Orito Polyfeb_Nani Chandur_GJ.</t>
  </si>
  <si>
    <t xml:space="preserve">Inv. 1 &amp; 2 Under BD due 20 % Load curtailment ALDC Request </t>
  </si>
  <si>
    <t>Jumper Burned At  PSS End</t>
  </si>
  <si>
    <t xml:space="preserve">Inv. 1 &amp; 2 Manually off due to 30 % Load curtailment ALDC Request </t>
  </si>
  <si>
    <t>Inv. 1 &amp;  2 Manually off due to 30 % Load curtailment ALDC Request</t>
  </si>
  <si>
    <t>Inv. 1 to 5 Manually off due to 50 % Load curtailment ALDC Request</t>
  </si>
  <si>
    <t>Inv. 6 to 10  Manually off due to 50 % Load curtailment ALDC Request</t>
  </si>
  <si>
    <t>Inv. 6 to 10  Manually off due to 40 % Load curtailment ALDC Request</t>
  </si>
  <si>
    <t>Inv.01 &amp; 02 Manually off  due to 20 % Load curtailment ALDC Request</t>
  </si>
  <si>
    <t>Inv.01 &amp; 02  Manually off  due to 30 % Load curtailment ALDC Request</t>
  </si>
  <si>
    <t>Inv.01 Manually off  due to 20 % Load curtailment ALDC Request</t>
  </si>
  <si>
    <t>Inv.03 &amp; 04  Manually off  due to 30 % Load curtailment ALDC Request</t>
  </si>
  <si>
    <t>Inv.01 Manually off  due to 30 % Load curtailment ALDC Request</t>
  </si>
  <si>
    <t>Generation Details_Universal Craft_Nani Chandur_GJ.</t>
  </si>
  <si>
    <t>30 % Load curtailment ALDC Request</t>
  </si>
  <si>
    <t>30 % Load curtailment ALDC Request &amp; Jumper  Burn At PSS End</t>
  </si>
  <si>
    <t>Inv. 3 &amp; 4 Manually off due to 50 % Load curtailment ALDC Request</t>
  </si>
  <si>
    <t>Inv. 3 , 4  5 Manually off due to 50 % Load curtailment ALDC Request</t>
  </si>
  <si>
    <t>Inv. 3 , 4  Manually off due to 40 % Load curtailment ALDC Request</t>
  </si>
  <si>
    <t>Inv.03 Manually off  due to 20 % Load curtailment ALDC Request</t>
  </si>
  <si>
    <t>Inv.03 Manually off  due to 30 % Load curtailment ALDC Request</t>
  </si>
  <si>
    <t>Inv.06 Manually off  due to 20 % Load curtailment ALDC Request</t>
  </si>
  <si>
    <t>Inv.06 Manually off  due to 30 % Load curtailment ALDC Request</t>
  </si>
  <si>
    <t>Generation Details_Aditya &amp; Arka Energy_Nani Chandur_GJ.</t>
  </si>
  <si>
    <t>Inv. 1,2 , 5 , 6  Manually off due to 50 % Load curtailment ALDC Request</t>
  </si>
  <si>
    <t>Inv. 1,2 , 5   Manually off due to 40 % Load curtailment ALDC Request</t>
  </si>
  <si>
    <t>Inv.01 &amp; 05 Manually off  due to 20 % Load curtailment ALDC Request</t>
  </si>
  <si>
    <t>Inv.04 &amp; 08  Manually off  due to 30 % Load curtailment ALDC Request</t>
  </si>
  <si>
    <t>Inv.05 Manually off  due to 30 % Load curtailment ALDC Request</t>
  </si>
  <si>
    <t>Inv.04 Manually off  due to 30 % Load curtailment ALDC Request</t>
  </si>
  <si>
    <t>Inv.05 Manually off  due to 20 % Load curtailment ALDC Request</t>
  </si>
  <si>
    <t>Inv.08 Manually off  due to 30 % Load curtailment ALDC Request</t>
  </si>
  <si>
    <t>GHCL PHASE-1_MUSIRI_TN_10 MWp</t>
  </si>
  <si>
    <t>20-01-2022</t>
  </si>
  <si>
    <t>TNEB Load Shedding</t>
  </si>
  <si>
    <t>SS END VCB PROBLEM IN OUTDOR</t>
  </si>
  <si>
    <t xml:space="preserve">cloudy &amp; TNEB load shedding </t>
  </si>
  <si>
    <t>cloudy &amp; TNEB load shedding &amp; main supply</t>
  </si>
  <si>
    <t xml:space="preserve"> TNEB load shedding &amp; main supply</t>
  </si>
  <si>
    <t>GHCL Phase-2_Musiri_TN_10MWp</t>
  </si>
  <si>
    <t>31/3/22</t>
  </si>
  <si>
    <t xml:space="preserve">TNEB load shedding </t>
  </si>
  <si>
    <t xml:space="preserve">Solis inverter dc side problem </t>
  </si>
  <si>
    <t xml:space="preserve">cloudy </t>
  </si>
  <si>
    <t>cloudy &amp;  main supply</t>
  </si>
  <si>
    <t>Generation Details_GHCL Phase_3_Ottapidaram_TN.</t>
  </si>
  <si>
    <t xml:space="preserve">INV 11 &amp; 12 MCCB issue </t>
  </si>
  <si>
    <t>Generation Details_T-Mills_Ottapidaram_TN.</t>
  </si>
  <si>
    <t>Generation Details_VTM_2.21MWp_Ottapidaram_TN.</t>
  </si>
  <si>
    <t>Generation Details_Pollax Solar Solution Pvt. Ltd_Ottapidaram_TN.</t>
  </si>
  <si>
    <t>Inv 22 failure due to AC/DC temperature abnormal</t>
  </si>
  <si>
    <t>Generation Details_Jothi Microcast &amp; Malleables Pvt. Ltd_Karambakkudi_Pudukkottai_TN.</t>
  </si>
  <si>
    <t>31/3/24</t>
  </si>
  <si>
    <t>33_KV line SS end tripped on  08-04-2026 at 14:56 hrs to 15:08 hrs due to karambakkudi SS - 33_KV LV breaker trip due to 33_ KV Neduvasal feeder fault trip.</t>
  </si>
  <si>
    <t>33_KV line SS end tripped on  15-04-2026 at 16:48 hrs to 16:55 hrs due to karambakkudi SS - 33_KV LV breaker trip due to 33_ KV Neduvasal feeder fault trip.</t>
  </si>
  <si>
    <t xml:space="preserve">Jothi site 33_KV line SS end manually tripped at 12:09 hrs to 12:55 hrs due to Karambakkudi SS - 110_KV bus isolator clamp burning. </t>
  </si>
  <si>
    <t>Generation_Details_Suriya Spinning_Aviyur_Tamilnadu</t>
  </si>
  <si>
    <t>25-03-2025</t>
  </si>
  <si>
    <t>Shutdown for SS end 110KV side work from EB side</t>
  </si>
  <si>
    <t>Grid failure</t>
  </si>
  <si>
    <t>Generation_Details_Pantech Synergy_Aviyur_Tamilnadu</t>
  </si>
  <si>
    <t>14-02-2025</t>
  </si>
  <si>
    <t>Grid Failure</t>
  </si>
  <si>
    <t xml:space="preserve">Grid Failure </t>
  </si>
  <si>
    <t>Generation_Details_Parvathi Dyeing_Aviyur_Tamilnadu</t>
  </si>
  <si>
    <t>Inverter Main board Failure</t>
  </si>
  <si>
    <t>2 no of Inverter Main board Failure</t>
  </si>
  <si>
    <t>2 no of Inverter Main board Failure &amp; Grid Failure</t>
  </si>
  <si>
    <t>1 no of Inverter Main board Failure</t>
  </si>
  <si>
    <t>1 no of Inverter Main board Failure &amp; Grid failure</t>
  </si>
  <si>
    <t>15/5/23</t>
  </si>
  <si>
    <t>RAIN &amp; CLOUDY</t>
  </si>
  <si>
    <t>CLOUDY</t>
  </si>
  <si>
    <t>INV - 26,27,28 (10:10 to 14:15)</t>
  </si>
  <si>
    <t>ACDB -1 (Load issue Triping)</t>
  </si>
  <si>
    <t>ACDB -1 (Load issue Triping) 11: 23 to 11: 27,13:15 to 13:18</t>
  </si>
  <si>
    <t>ACDB -1 (Load issue Triping) 13:56 to 14:00,15:38 to 15:40</t>
  </si>
  <si>
    <t>ACDB -1 (Load issue Triping) 12:39 to 12:40,13:33 to 13:36</t>
  </si>
  <si>
    <t>ACDB -1 (Load issue Triping) 13:38 to 13:40</t>
  </si>
  <si>
    <t>ACDB - 1 13:31 to 13:33,15:00 to 15:03 INV - 26,27,28 (10:52 to 15:00)</t>
  </si>
  <si>
    <t>ACDB -1 (Load issue Triping) 12:28 to 12:30,12:42 to 12:43</t>
  </si>
  <si>
    <t xml:space="preserve">ACDB -1 (Load issue Triping) 12:24 to 12:26 </t>
  </si>
  <si>
    <t>ACDB -1 (Load issue Triping) 09:00 to 09:07 to 14:09 to 14:11</t>
  </si>
  <si>
    <t>ACDB -1 (Load issue Triping) 14:11 to 14:13</t>
  </si>
  <si>
    <t>ACDB -1 (Load issue Triping) 13:02 to 13:04</t>
  </si>
  <si>
    <t>ACDB -2 Inverter 14 client side load issue (12:53 t0 14:28)</t>
  </si>
  <si>
    <t>ACDB -1 (Load issue Triping) 12:00 to 12:09 (ACDB -2 14:05 to 14:10)</t>
  </si>
  <si>
    <t>ACDB - 1,2 MRT (LT CT COMMISSIONING WORK 15:30 to 15:50,14:25 to 14:45)</t>
  </si>
  <si>
    <t>Election Local Holiday</t>
  </si>
  <si>
    <t>ACDB - 1 Breakar Relay Changing</t>
  </si>
  <si>
    <t>ACDB -1 (Load issue Triping) 12:43 to 12:46</t>
  </si>
  <si>
    <t>ACDB -1 (Load issue Triping) 12:42 to 12:45</t>
  </si>
  <si>
    <t xml:space="preserve">ACDB -1 (Load issue Triping) 13:01 to 13:03 </t>
  </si>
  <si>
    <t>ACDB -1 (Load issue Triping - 09:26 to 09:30) Load isse Tripping - 11:48 to 11:50,12:06 to 12:08</t>
  </si>
  <si>
    <t>ACDB -1 (Load issue Triping) 13:01 to 13:03 to 14:40 to 14:42</t>
  </si>
  <si>
    <t>ACDB -1 (Load issue Triping) 12:30 to 12:31</t>
  </si>
  <si>
    <t>ACDB -1 (Load issue Triping) 12:51to 12:53</t>
  </si>
  <si>
    <t>99.83%%</t>
  </si>
  <si>
    <t xml:space="preserve">ACDB -1 (Load issue Triping) 13:36 to 13:40 </t>
  </si>
  <si>
    <t>GHCL_Paravai_TN_1297KWp</t>
  </si>
  <si>
    <t>21-8-23</t>
  </si>
  <si>
    <t>Client side load issue</t>
  </si>
  <si>
    <t>Rain &amp; Cloudy</t>
  </si>
  <si>
    <t xml:space="preserve">Cloudy </t>
  </si>
  <si>
    <t>Cloudy &amp; Client side Breakdown</t>
  </si>
  <si>
    <t>Mederate Sunny</t>
  </si>
  <si>
    <t>Local holiday</t>
  </si>
  <si>
    <t xml:space="preserve">Rain &amp; Cloudy </t>
  </si>
  <si>
    <t>GHCL_PARAVAI-2_TN_2795 KWp</t>
  </si>
  <si>
    <t>Client side load issue inverter off - 2</t>
  </si>
  <si>
    <t>Rain &amp; Clody</t>
  </si>
  <si>
    <t>Cloudy</t>
  </si>
  <si>
    <t>INV - 4,11 (13:05 to 13:55)</t>
  </si>
  <si>
    <t>INV - 11 Load issue Triping (12:30 to 12:35)</t>
  </si>
  <si>
    <t>INV - 11 Load issue Triping (13:10 to 13:25)</t>
  </si>
  <si>
    <t>INV - 11 Load issue Triping (11:15to 11:20,12:30 to 12:4 5) INV 7,8 - 12:30 to 12:50)</t>
  </si>
  <si>
    <t>INV - 11 Load issue Triping (12:45 to 12:50)</t>
  </si>
  <si>
    <t>INV - 11 Load issue Triping (12:45 to 13:30)</t>
  </si>
  <si>
    <t>INV - 11 Load issue Triping (13:20 to 13:30)</t>
  </si>
  <si>
    <t xml:space="preserve">INV - 11 Load issue Triping (13:10 to 13:13,13:50 to 13:54) </t>
  </si>
  <si>
    <t>INV - 11,13 Load issue Triping (12:35 to 12:44,13:40 to 13:45)</t>
  </si>
  <si>
    <t>INV - 4,11,13 Load issue Tripping (12:45 to 12:55,12:30 to 12:40,13:05 to 13:10)</t>
  </si>
  <si>
    <t xml:space="preserve">INV - 4,11 Load issue Triping (11:50 to 11:55,11:50 to 12:05) </t>
  </si>
  <si>
    <t xml:space="preserve"> ACDB -1 INV - 4 (11:35 to 13:45) ACDB - 2 INV - 11,13 (12:00 to 12:10)</t>
  </si>
  <si>
    <t>ACDB 1,2 ( Inverter - 4,11) MCCB Breakar Changing</t>
  </si>
  <si>
    <t xml:space="preserve">INV - 13,19 Load issue Triping (13:05 to 13:30,13:10 to 13:30) </t>
  </si>
  <si>
    <t>INV - 13 Load issue Triping (12:35 to 12:40)</t>
  </si>
  <si>
    <t>mederate Sunny</t>
  </si>
  <si>
    <t>Generation Details_BIAL_7.0MWp_Bangalore_KN.</t>
  </si>
  <si>
    <t xml:space="preserve">KPTCL LINE FAULT </t>
  </si>
  <si>
    <t>BRPL_THARAD_GJ_32065 KWp</t>
  </si>
  <si>
    <t>31-03-2025</t>
  </si>
  <si>
    <t>20% Curtailment &amp; SMB Side Issue</t>
  </si>
  <si>
    <t xml:space="preserve">20% Curtailment </t>
  </si>
  <si>
    <t xml:space="preserve">30%Curtailment </t>
  </si>
  <si>
    <t xml:space="preserve">40%Curtailment </t>
  </si>
  <si>
    <t xml:space="preserve">50%Curtailment </t>
  </si>
  <si>
    <t xml:space="preserve">20%Curtailment </t>
  </si>
  <si>
    <t xml:space="preserve"> Block-1 WIT OTI Trip</t>
  </si>
  <si>
    <t>Block-1 GFDI Earth Fault</t>
  </si>
  <si>
    <t xml:space="preserve"> INV-3GFDI Earth Fault and Curtalment</t>
  </si>
  <si>
    <t>30% Curtailment</t>
  </si>
  <si>
    <t>40% curtailments</t>
  </si>
  <si>
    <t>40% curtailments &amp; INV-3 Eath fault trip</t>
  </si>
  <si>
    <t>PIDILITE_UPLETA_GJ_1805 KWp</t>
  </si>
  <si>
    <t>Due to capacitor failure Inverter working at 50 % of its Capacity</t>
  </si>
  <si>
    <t>Greenbloom_Balachadi_GJ_4400 KWp</t>
  </si>
  <si>
    <t>Curtailment-20%</t>
  </si>
  <si>
    <t>Curtailment-20% (Weather Cloudy)</t>
  </si>
  <si>
    <t>Plant Side B-Phase open in DP Pole.and it was raining too. (Weather Cloudy)</t>
  </si>
  <si>
    <t>Curtailment-40%</t>
  </si>
  <si>
    <t>Curtailment-50%</t>
  </si>
  <si>
    <t>Curtailment-70%</t>
  </si>
  <si>
    <t>Curtailment-80%</t>
  </si>
  <si>
    <t>Curtailment-30%</t>
  </si>
  <si>
    <t>Grid Unavailability, Curtailment-20%</t>
  </si>
  <si>
    <t>Grid Unavailability.</t>
  </si>
  <si>
    <t>Isha Snacks_Varahi_GJ_1124 KWp</t>
  </si>
  <si>
    <t>Manually Plant Trip Due To Enviro &amp; Vimalachl GSS Side B Phase Jumper Burn</t>
  </si>
  <si>
    <t>GSS Side Plant Trip Due To U/V</t>
  </si>
  <si>
    <t xml:space="preserve">As Per Load Curtailment Of SLDC </t>
  </si>
  <si>
    <t>As Per Load Curtailment Of SLDC  , GSS Side Grid Outage Plant Trip Due To U/V</t>
  </si>
  <si>
    <t>GSS Side Grid Outeg Plant Trip</t>
  </si>
  <si>
    <t>Enviro_Varahi_GJ_1817 KWp</t>
  </si>
  <si>
    <t xml:space="preserve"> Plant Trip Due To GSS Side B Phase Jumper Burn</t>
  </si>
  <si>
    <t xml:space="preserve"> As Per Load Curtailment Of SLDC </t>
  </si>
  <si>
    <t>GSS Side Grid Outage Plant Trip</t>
  </si>
  <si>
    <t>Vimalachal_Varahi_GJ_2525 KWp</t>
  </si>
  <si>
    <t>Inverter No. 9 Trip Due To Ground Fault,As Per Load Curtailment Of SLDC     ( Inverter No. 9 Off )</t>
  </si>
  <si>
    <t>PGP5_Bommalapura_KA_3928 KWp</t>
  </si>
  <si>
    <t>Grid failure from KPTCL</t>
  </si>
  <si>
    <t>Plant tripped due to Rishi FIBC site B phase jumper wire cut taken LC</t>
  </si>
  <si>
    <t xml:space="preserve">inverter no 6 tripped due to IR fault </t>
  </si>
  <si>
    <t>RISHI Bommalapura_Chamarajnagar_KA_3717 KWp</t>
  </si>
  <si>
    <t>Plant tripped due to GOS B phase jumper wire cut</t>
  </si>
  <si>
    <t>AAL GO-1_Begur_KA_6000 KWp</t>
  </si>
  <si>
    <t>KPTCL End main supply failure</t>
  </si>
  <si>
    <t xml:space="preserve">Due to under voltage SS side( dowm time 27 Min) </t>
  </si>
  <si>
    <t>Due to under voltage SS side( dowm time 120 Min)</t>
  </si>
  <si>
    <t>Due to under voltage SS side (down time 45 Min)</t>
  </si>
  <si>
    <t>Due to under voltage SS side (down time 86 Min)</t>
  </si>
  <si>
    <t>Due to under voltage SS side (down time 160 Min)</t>
  </si>
  <si>
    <t>Due to under voltage SS side (down time 20 Min)</t>
  </si>
  <si>
    <t>Due to under voltage SS side (down time 32 Min)</t>
  </si>
  <si>
    <t>Due to under voltage SS side (down time 55 Min)</t>
  </si>
  <si>
    <t>Due to under voltage SS side (down time 270 Min)</t>
  </si>
  <si>
    <t>Due to under voltage SS side (down time 100 Min)</t>
  </si>
  <si>
    <t>Due to under voltage SS side (down time 96 Min)</t>
  </si>
  <si>
    <t>Due to under voltage SS side (down time 66 Min)</t>
  </si>
  <si>
    <t>Generation Details_Kamal Textiles_1.6MWp_GJ</t>
  </si>
  <si>
    <t xml:space="preserve"> Generation Details_MBR Flexibles_1.7MWp_GJ</t>
  </si>
  <si>
    <t>Generation_Details_14MW GSECl_Vasundhara_Gujrat</t>
  </si>
  <si>
    <t>Curtailment</t>
  </si>
  <si>
    <t>Generation_Details_21.5Mwp Pudumjee Paper Product Limited Plant-Solapur_Maharshtra</t>
  </si>
  <si>
    <t>Power Transformer Tripped on HV REF Relay 22:27PM</t>
  </si>
  <si>
    <t>Plant tripped on HV REF Relay from 17:01</t>
  </si>
  <si>
    <t>1)Plant tripped on OV/UV Relay from 13:10 to 13:16
2)Inverter no 7,10,13,28 &amp; 51 Power Module Card Failed due to voltage fluctuation</t>
  </si>
  <si>
    <t>Plant Triped on Under Vtg twice from time 15:22 to 15:28 &amp; 15:50 to 16:40 PM</t>
  </si>
  <si>
    <t xml:space="preserve">Plant Triped on Under Vtg from time 13:10 to 13:37 </t>
  </si>
  <si>
    <t>Generation_Details_Venus_Denim_1_Kalyana_Gujarat</t>
  </si>
  <si>
    <t>Inverter-10,11 manually tripped due to 20% load curtailment from ALDC</t>
  </si>
  <si>
    <t>Plant tripped due to PSS side DO fuse burn</t>
  </si>
  <si>
    <t>Plant tripped due to GSS side DO fuse burn</t>
  </si>
  <si>
    <t>Inverter-9,10,11 manually tripped due to 50% load curtailment from ALDC/Plant tripped due to GSS side DO fuse burn</t>
  </si>
  <si>
    <t>Inverter-9,10,11 manually tripped due to 30% load curtailment from ALDC</t>
  </si>
  <si>
    <t>Inverter-7,8,9,10,11 manually tripped due to 50% load curtailment from ALDC</t>
  </si>
  <si>
    <t>Plant tripped due to Y-phase switch burn/Inverter-10,11 manually tripped due to 20% load curtailment from ALDC</t>
  </si>
  <si>
    <t>Inverter-3,10,11 manually tripped due to 30% load curtailment from ALDC</t>
  </si>
  <si>
    <t>Inverter-3,10,11 manually tripped due to 40% load curtailment from ALDC</t>
  </si>
  <si>
    <t>Inverter-10,11 manually tripped due to 30% load curtailment from ALDC</t>
  </si>
  <si>
    <t>Inverter-3 manually tripped due to 20% load curtailment from ALDC</t>
  </si>
  <si>
    <t>Generation_Details_Venus_Denim_2_Kalyana_Gujarat</t>
  </si>
  <si>
    <t>Plant tripped due to GSS side DO fuse burn/Inverter-5,6 manually tripped due to 30% load curtailment from ALDC</t>
  </si>
  <si>
    <t>Inverter-1,6 manually tripped due to 20% load curtailment from ALDC</t>
  </si>
  <si>
    <t>Inverter-6 manually tripped due to 20% load curtailment from ALDC</t>
  </si>
  <si>
    <t>Plant tripped due to Y-phase switch burn</t>
  </si>
  <si>
    <t>Inverter-5,6 manually tripped due to 20% load curtailment from ALDC</t>
  </si>
  <si>
    <t>Inverter-6 manually tripped due to 30% load curtailment from ALDC</t>
  </si>
  <si>
    <t>Generation_Details_Vishal_Spintex_Kalyana_Gujarat</t>
  </si>
  <si>
    <t>Inverter-7,8 manually tripped due to 20% load curtailment from ALDC/Plant tripped due to O/V issue at GSS side</t>
  </si>
  <si>
    <t>Inverter-7,8 manually tripped due to 20% load curtailment from ALDC</t>
  </si>
  <si>
    <t>Inverter-5,7,8,9,14,15 manually tripped due to 70% load curtailment from ALDC</t>
  </si>
  <si>
    <t>Inverter-2,5,7,8,14 manually tripped due to 70% load curtailment from ALDC</t>
  </si>
  <si>
    <t>Inverter-7,8,14,15,16,17,18 manually tripped due to 70% load curtailment from ALDC</t>
  </si>
  <si>
    <t>Inverter-7,8,14,15,16,17 manually tripped due to 70% load curtailment from ALDC</t>
  </si>
  <si>
    <t>Inverter-7,8,14,15 manually tripped due to 40% load curtailment from ALDC</t>
  </si>
  <si>
    <t>Inverter-7,8 manually tripped due to 20% load curtailment from ALDC/Plant tripped due to switch burn in Venus Denim 11kv pole</t>
  </si>
  <si>
    <t>Inverter-7,8,15 manually tripped due to 30% load curtailment from ALDC</t>
  </si>
  <si>
    <t>Inverter-7,8,15 manually tripped due to 40% load curtailment from ALDC/Plant tripped due to PSS side DO fuse burn</t>
  </si>
  <si>
    <t>Inverter-7,8,15 manually tripped due to 30% load curtailment from ALDC/Plant tripped due to GSS side DO fuse burn</t>
  </si>
  <si>
    <t>Inverter-7,8,15 manually tripped due to 20% load curtailment from ALDC</t>
  </si>
  <si>
    <t>Generation_Details_Madura Textiles-65Mwp-Surendranagar_GJ</t>
  </si>
  <si>
    <t>1.1MW Installation Pending</t>
  </si>
  <si>
    <t>1.1MW Installation Pending, Load Curtailment</t>
  </si>
  <si>
    <t>Generation_Details_Plant-Name_Location_State</t>
  </si>
  <si>
    <t>0-Jan-00</t>
  </si>
  <si>
    <t>due to over voltage issue</t>
  </si>
  <si>
    <t>Generation_Details_Italia_Ceramics_Limited</t>
  </si>
  <si>
    <t>Generation Details_Itallia Ciramics Pvt. Ltd._Tatiyana_Banaskhantha_GJ.</t>
  </si>
  <si>
    <t>As per 20% Load Curtailment ALDC Request</t>
  </si>
  <si>
    <t>GSS end plant triped</t>
  </si>
  <si>
    <t>Manually plant triped due to LT Panel New door Installation Work</t>
  </si>
  <si>
    <t>As per 40% Load Curtailment ALDC Request</t>
  </si>
  <si>
    <t>As per 70% Load Curtailment ALDC Request</t>
  </si>
  <si>
    <t>As per 30% Load Curtailment ALDC Request</t>
  </si>
  <si>
    <t>Generation Details_Ajay Cotspin_Bandhvad_GJ.</t>
  </si>
  <si>
    <t>23-03-2022</t>
  </si>
  <si>
    <t xml:space="preserve">PLANT TRIPPED DUE TO GSS SIDE LUG FIRE </t>
  </si>
  <si>
    <t>Generation Details_Unitech Cotspin_Bandhvad_GJ.</t>
  </si>
  <si>
    <t>22-02-2022</t>
  </si>
  <si>
    <t>arma</t>
  </si>
  <si>
    <t>LT PANEL INV NO 12 MCCCB FIRE DUE TO OVERHEATING</t>
  </si>
  <si>
    <t>INV NO 12  TRIP DOWEN DUE TO INTERNAL  ISSUE</t>
  </si>
  <si>
    <t>INV NO 12  TRIP DOWEN  LT CABEL FAULTY</t>
  </si>
  <si>
    <t>Generation Details_Kamdhenu Yarn_Bandhwad_GJ.</t>
  </si>
  <si>
    <t>27-05-2024</t>
  </si>
  <si>
    <t>Generation Details_Kikani Exports Pvt. Ltd._Daisar_Patan_GJ.</t>
  </si>
  <si>
    <t>Load shedding As Per ALDC</t>
  </si>
  <si>
    <t>Due to half yearly maintenance in GSS there will be zero power from GSS.</t>
  </si>
  <si>
    <t>Generation_Details_Linde_Bhatpur_Gujrat</t>
  </si>
  <si>
    <t>GSS end R-B phase DO fuse &amp; jumper burnet</t>
  </si>
  <si>
    <t>GSS end B phase DO fuse &amp; jumper burnet</t>
  </si>
  <si>
    <t>GSS end R phase DO fuse &amp; jumper burnet</t>
  </si>
  <si>
    <t xml:space="preserve">11KV line tripped from the GSS End </t>
  </si>
  <si>
    <t xml:space="preserve">Plant side in abt main ABT meter replacement </t>
  </si>
  <si>
    <t>Generation_Details_APL PH-01_Bhatpur_Gujrat</t>
  </si>
  <si>
    <t>31-09-2023</t>
  </si>
  <si>
    <t>66kv line tripped due to U/V at GSS end.</t>
  </si>
  <si>
    <t>Generation_Details_Alembic Phase 02_Bhatpur_Gujrat</t>
  </si>
  <si>
    <t>Inv.36 Under BD</t>
  </si>
  <si>
    <t>TR 02 tripped in differential o/c relay</t>
  </si>
  <si>
    <t>Generation_Details_Mark Alloys_Dunavada_GJ</t>
  </si>
  <si>
    <t>20% solar generation load curtailment</t>
  </si>
  <si>
    <t>Inverter-4 tripped due to PV Iso PRO1 Error &amp; Plant tripped due to grid failure from Gss side</t>
  </si>
  <si>
    <t>Inv_04 found 2nos string found faulty</t>
  </si>
  <si>
    <t>Inverter-12 tripped due to PV Iso PRO2 Error and 20% &amp; 10% solar generation load curtailment</t>
  </si>
  <si>
    <t>30%, 20% &amp; 10% solar generation load curtailment</t>
  </si>
  <si>
    <t>30% &amp; 10% solar generation load curtailment</t>
  </si>
  <si>
    <t>30% &amp; 20% solar generation load curtailment</t>
  </si>
  <si>
    <t xml:space="preserve"> 20% solar generation load curtailment</t>
  </si>
  <si>
    <t xml:space="preserve"> 30% solar generation load curtailment</t>
  </si>
  <si>
    <t>Generation_Details_Ujaval Alloys_Dunavada_GJ</t>
  </si>
  <si>
    <t>Plant tripped due to grid failure from Gss side</t>
  </si>
  <si>
    <t>Inverter-9 tripped due to PV Iso PRO2 Error &amp; 20% solar generation load curtailment</t>
  </si>
  <si>
    <t>20% &amp; 10% solar generation load curtailment</t>
  </si>
  <si>
    <t>30%,20% &amp; 10% solar generation load curtailment</t>
  </si>
  <si>
    <t>Row 1 to 87 Tracker main MCCB was tripped &amp; 20% solar generation load curtailment</t>
  </si>
  <si>
    <t xml:space="preserve">20% solar generation load curtailment &amp; Inverter-10 has tripped in display not visible issue </t>
  </si>
  <si>
    <t>30% solar generation load curtailment</t>
  </si>
  <si>
    <t>20% solar generation load curtailment and tracker MMS row no-44 found Gearbox not working</t>
  </si>
  <si>
    <t>Tracker MMS row no-44 found Gearbox not working condition &amp; 20% solar generation load curtailment</t>
  </si>
  <si>
    <t xml:space="preserve">Tracker MMS row no-44 found Gearbox not working condition </t>
  </si>
  <si>
    <t>Generation_Details_Diamond Stone_Dunavada_GJ</t>
  </si>
  <si>
    <t xml:space="preserve">Plant tripped due to grid failure from Gss side </t>
  </si>
  <si>
    <t>Generation_Details_Plant-Airona Tiles_Kamboi_GJ</t>
  </si>
  <si>
    <t>20.44 min Inverter-01,02 Manually tripped due to 20% Load curtailment from ALDC Side</t>
  </si>
  <si>
    <t>18.44 min Inverter-01,02 Manually tripped due to 20% Load curtailment from ALDC Side</t>
  </si>
  <si>
    <t>-</t>
  </si>
  <si>
    <t>35.67 Inv-01,02,03,04 Manually tripped due to 40% load Curtailment  From SLDC Instruction</t>
  </si>
  <si>
    <t>39 min Inv-01,02,03,04&amp;05 Manually tripped due to 50% load Curtailment  From SLDC Instruction</t>
  </si>
  <si>
    <t xml:space="preserve">35.50 min Inverter-01,02&amp;03 Manually tripped due to 50% load Curtailment from SLDC Side/12.11 min  Inv-08 tripped due to ISO pro-01 Alarm </t>
  </si>
  <si>
    <t xml:space="preserve">61.61 min Inverter-01,02,03&amp;04 manually tripped due to 70% load Curtailment from SLDC Side/2.06 min  Inv-08 tripped due to ISO pro-01 Alarm </t>
  </si>
  <si>
    <t>14.61 min Inv-01,02&amp;03 Manually tripped due to 30% load Curtailment  From SLDC Instruction</t>
  </si>
  <si>
    <t>19.72 min Inv-01,02 Manually tripped due to 20% load Curtailment  From SLDC Instruction</t>
  </si>
  <si>
    <t>28.44 min Inv-01,02,03&amp;04 Manually tripped due to 30% load Curtailment  From SLDC Instruction</t>
  </si>
  <si>
    <t>26.83 min Inv-01,02,03&amp;04 Manually tripped due to 30% load Curtailment  From SLDC Instruction</t>
  </si>
  <si>
    <t>19.33 min Inv-01,02,03 Manually tripped due to 30% load Curtailment  From SLDC Instruction</t>
  </si>
  <si>
    <t>34.33 min Inv-05,06 Manually tripped due to 30% load Curtailment  From SLDC Instruction/ 07.00 min Plant tripped due to DO Contacts burn from Plant side</t>
  </si>
  <si>
    <t>12.95 min Inverter-01,02 Manually tripped due to 20% Load curtailment from ALDC Side/  13 min Plant tripped due to DO Contacts burn from Plant side</t>
  </si>
  <si>
    <t>7.89 min Inv-01,02 Manually tripped due to 30% load Curtailment  From SLDC Instruction</t>
  </si>
  <si>
    <t>16.56 min Inv-01,02 Manually tripped due to 30% load Curtailment  From SLDC Instruction</t>
  </si>
  <si>
    <t>20.22 min Inv-01,02 Manually tripped due to 30% load Curtailment  From SLDC Instruction</t>
  </si>
  <si>
    <t>07.33 min Inv-01,02 Manually tripped due to 20% load Curtailment  From SLDC Instruction</t>
  </si>
  <si>
    <t>15.33 min Inv-01,02 Manually tripped due to 20% load Curtailment  From SLDC Instruction</t>
  </si>
  <si>
    <t>09.50 min Inv-01,02 Manually tripped due to 20% load Curtailment  From SLDC Instruction</t>
  </si>
  <si>
    <t>12.39 min Inv-01,02 Manually tripped due to 20% load Curtailment  From SLDC Instruction</t>
  </si>
  <si>
    <t>04.78 min Inv-01,02 Manually tripped due to 20% load Curtailment  From SLDC Instruction</t>
  </si>
  <si>
    <t>4.50 min Inv-01 Manually tripped due to 10% load Curtailment  From SLDC Instruction</t>
  </si>
  <si>
    <t>51.28 min Inv-01,02,03&amp;04 Manually tripped due to 40% load Curtailment  From SLDC Instruction</t>
  </si>
  <si>
    <t>Generation_Details_Plant-Airolam Tiles_Kamboi_GJ</t>
  </si>
  <si>
    <t>21.75 min Inverter-05 Manually tripped due to 20% Load curtailment from ALDC Side</t>
  </si>
  <si>
    <t>9.38 min Inverter-05 Manually tripped due to 20% Load curtailment from ALDC Side</t>
  </si>
  <si>
    <t>40 min Inv-05,06 Manually tripped due to 40% load Curtailment  From SLDC Instruction</t>
  </si>
  <si>
    <t>29.63 min Inv-05,06 Manually tripped due to 50% load Curtailment  From SLDC Instruction</t>
  </si>
  <si>
    <t xml:space="preserve">35.13 min Inverter-05,06 Manually tripped due to 50% load Curtailment from SLDC Side/22.13 min Inv-05 tripped due to ISO pro-01 Alarm </t>
  </si>
  <si>
    <t>68.50 min Inv-05,06 Manually tripped due to 70% load Curtailment  From SLDC Instruction</t>
  </si>
  <si>
    <t>32.75 min Inv-05,06 Manually tripped due to 30% load Curtailment  From SLDC Instruction</t>
  </si>
  <si>
    <t>23.13 min Inv-05 Manually tripped due to 20% load Curtailment  From SLDC Instruction</t>
  </si>
  <si>
    <t>32.63 min Inv-05,06 Manually tripped due to 30% load Curtailment  From SLDC Instruction</t>
  </si>
  <si>
    <t>21 min Inv-05,06 Manually tripped due to 30% load Curtailment  From SLDC Instruction</t>
  </si>
  <si>
    <t>38.75 min Inv-05,06 Manually tripped due to 30% load Curtailment  From SLDC Instruction/ 07.00 min Plant tripped due to DO Contacts burn from Plant side</t>
  </si>
  <si>
    <t>17.75 min Inv-05,06 Manually tripped due to 20% load Curtailment  From SLDC Instruction</t>
  </si>
  <si>
    <t>12.38 min Inv-05 Manually tripped due to 30% load Curtailment  From SLDC Instruction</t>
  </si>
  <si>
    <t>17.75 min Inv-05 Manually tripped due to 30% load Curtailment  From SLDC Instruction</t>
  </si>
  <si>
    <t>24.63 min Inv-05 Manually tripped due to 30% load Curtailment  From SLDC Instruction</t>
  </si>
  <si>
    <t>11.88 min Inv-05 Manually tripped due to 20% load Curtailment  From SLDC Instruction</t>
  </si>
  <si>
    <t>19.13 min Inv-05 Manually tripped due to 20% load Curtailment  From SLDC Instruction</t>
  </si>
  <si>
    <t>09.88 min Inv-05 Manually tripped due to 20% load Curtailment  From SLDC Instruction</t>
  </si>
  <si>
    <t>17 min Inv-05 Manually tripped due to 20% load Curtailment  From SLDC Instruction</t>
  </si>
  <si>
    <t>6.50 min Inv-05 Manually tripped due to 20% load Curtailment  From SLDC Instruction</t>
  </si>
  <si>
    <t>58.63 min Inv-05,06 Manually tripped due to 20% load Curtailment  From SLDC Instruction</t>
  </si>
  <si>
    <t>Generation_Details_Advatech Cera_Kamboi_GJ</t>
  </si>
  <si>
    <t>19.90 min Inverter-08 Manually tripped due to 20% Load curtailment from ALDC Side</t>
  </si>
  <si>
    <t>25.70 min Inverter-08 Manually tripped due to 20% Load curtailment from ALDC Side</t>
  </si>
  <si>
    <t>33 min Inv-08,09 Manually tripped due to 40% load Curtailment  From SLDC Instruction</t>
  </si>
  <si>
    <t>45.90 min Inv-08,09,10 Manually tripped due to 50% load Curtailment  From SLDC Instruction</t>
  </si>
  <si>
    <t>19.10 min Inv-08 Manually tripped due to 30% load Curtailment  From SLDC Instruction</t>
  </si>
  <si>
    <t>44.20 min Inv-08,09 Manually tripped due to 70% load Curtailment  From SLDC Instruction</t>
  </si>
  <si>
    <t>14.50 min Inv-08 Manually tripped due to 30% load Curtailment  From SLDC Instruction</t>
  </si>
  <si>
    <t>17 min Inv-08 Manually tripped due to 20% load Curtailment  From SLDC Instruction</t>
  </si>
  <si>
    <t>24.60 min Inv-08,09 Manually tripped due to 30% load Curtailment  From SLDC Instruction</t>
  </si>
  <si>
    <t>21.90 min Inv-08,09 Manually tripped due to 30% load Curtailment  From SLDC Instruction</t>
  </si>
  <si>
    <t>17.20 min Inv-08,09 Manually tripped due to 30% load Curtailment  From SLDC Instruction</t>
  </si>
  <si>
    <t>31.30 min Inv-08,09 Manually tripped due to 30% load Curtailment  From SLDC Instruction/ 07.00 min Plant tripped due to DO Contacts burn from Plant side</t>
  </si>
  <si>
    <t>11.40 min Inv-08 Manually tripped due to 20% load Curtailment  From SLDC Instruction</t>
  </si>
  <si>
    <t>10.70 min Inv-08 Manually tripped due to 30% load Curtailment  From SLDC Instruction</t>
  </si>
  <si>
    <t>15.90 min Inv-08 Manually tripped due to 30% load Curtailment  From SLDC Instruction</t>
  </si>
  <si>
    <t>17.80 min Inv-08 Manually tripped due to 30% load Curtailment  From SLDC Instruction</t>
  </si>
  <si>
    <t>2.50 min Inv-08 Manually tripped due to 20% load Curtailment  From SLDC Instruction</t>
  </si>
  <si>
    <t>12.70 min Inv-08 Manually tripped due to 20% load Curtailment  From SLDC Instruction</t>
  </si>
  <si>
    <t>8.70 min Inv-08 Manually tripped due to 20% load Curtailment  From SLDC Instruction</t>
  </si>
  <si>
    <t>8.90 min Inv-08 Manually tripped due to 20% load Curtailment  From SLDC Instruction</t>
  </si>
  <si>
    <t>3.30 min Inv-08 Manually tripped due to 20% load Curtailment  From SLDC Instruction</t>
  </si>
  <si>
    <t>8.10 min Inv-08 Manually tripped due to 10% load Curtailment  From SLDC Instruction</t>
  </si>
  <si>
    <t>46.60 min Inv-08,09 Manually tripped due to 20% load Curtailment  From SLDC Instruction</t>
  </si>
  <si>
    <t>Generation_Details_Plant-Name_Location_State BPCL BINA(M.P.)</t>
  </si>
  <si>
    <t>DC Capacity (KWP):</t>
  </si>
  <si>
    <t>AC capacity (KWP):</t>
  </si>
  <si>
    <t>COD :17/8/23</t>
  </si>
  <si>
    <t>17/8/23</t>
  </si>
  <si>
    <t>Generation_Details_15 MW Vitthalpar_Wankaner_Gujarat</t>
  </si>
  <si>
    <t xml:space="preserve">Curtailment </t>
  </si>
  <si>
    <t>Note:-Since the GTI pyranometer has been sent for calibration, the reading of the 11 MW Jambudiya pyranometer has been taken as a reference.</t>
  </si>
  <si>
    <t>Generation_Details_11 MW Jambudiya vidi_Wankaner_Gujarat</t>
  </si>
  <si>
    <t>ACG_Tuljapur_12300 KWp</t>
  </si>
  <si>
    <t>35% Curtailment on plant level due to high tarrif issue</t>
  </si>
  <si>
    <t>30% Curtailment on plant level due to high tarrif issue</t>
  </si>
  <si>
    <t>35% Curtailment on plant level due to high tarrif issue &amp; INV 22 &amp; 23 MCCB Off</t>
  </si>
  <si>
    <t>Aarti_Akola_20998 KWp</t>
  </si>
  <si>
    <t>Got shutdown ,Plant end Line isolator opened, got Trail and line charged after charging the line plant charged normally.</t>
  </si>
  <si>
    <t>Visual inspection carried out, found all normal,then both ICR's VCB Breaker tripped manually,then we taken one trial of main outgoing feeder, but while taking the trail, a There was another line trip. Then we did line petroling. And HT cable failure was found.</t>
  </si>
  <si>
    <t>We talked to the jointer and jointed the cable, then took an IR test of the cable, if the cable was healthy, then we charged the line, and charged the all plant.</t>
  </si>
  <si>
    <t>ACG_PZ4_8390 KWp</t>
  </si>
  <si>
    <t>Got shutdown ,Plant end Line isolator opened, got Trail and line charged after charging the line plant charged normally and Also Line Patrolling work</t>
  </si>
  <si>
    <t>Got shutdown ,Plant end Line isolator opened, got Trail , LINE PETROLLING AND CABLE JOINTING WORK IN PROGRESS</t>
  </si>
  <si>
    <t>FAULTY INVERTER IS REPLACED BY ANOTHER INVERTER NOW INVERTER IS RUNNING NORMALLY</t>
  </si>
  <si>
    <t>faulty power board replaced by another one now inverter runnign normally</t>
  </si>
  <si>
    <t>INVERTER INSTALLTION WORK IN PROGRESS</t>
  </si>
  <si>
    <t>ACG_PAM_1900 KWp</t>
  </si>
  <si>
    <t>ACG_PGP3_6000 KWp</t>
  </si>
  <si>
    <t>GRID SIDE SHUT DOWN FOR MAINTENACE ACTIVITES AT GSS END</t>
  </si>
  <si>
    <t>GRID FAILURE FROM GSS END DUE TO HT CABLE FAILURE AT GSS SIDE</t>
  </si>
  <si>
    <t>Due to maintainance work unexpected the inv 08 strings are cut off</t>
  </si>
  <si>
    <t>STRING RECTIFIED CONNECTED TO INVERTER NOW STRING RUNNING NORMALLY &amp; GRID SIDE SHUT DOWN FOR MAINTENACE ACTIVITES AT GSS END</t>
  </si>
  <si>
    <t>Asahi_Balasinor_4900 KWp</t>
  </si>
  <si>
    <t>Curtailment from the SLDC side</t>
  </si>
  <si>
    <t>Jumper Burnt At GSS Side &amp; Curtailment from the SLDC side</t>
  </si>
  <si>
    <t xml:space="preserve">Jumper lug Burned </t>
  </si>
  <si>
    <t>August Energy_Akola_5900 KWp</t>
  </si>
  <si>
    <t>Benzo_Chem_3700 KWp</t>
  </si>
  <si>
    <t>Blue Jet_7000 KWp</t>
  </si>
  <si>
    <t>EESL Narayan Doho_3317 KWp</t>
  </si>
  <si>
    <t>11 KV Incomer Trip From Gss End</t>
  </si>
  <si>
    <t>33 KV Grid OFF For Maintenance Work</t>
  </si>
  <si>
    <t>33 KV Grid Off</t>
  </si>
  <si>
    <t>EESL Limbala Dau_2831 KWp</t>
  </si>
  <si>
    <t>33 KV Line Trip From Sub Division End</t>
  </si>
  <si>
    <t>Grid Over Voltage From Gss End</t>
  </si>
  <si>
    <t>EESL Potra_2831 KWp</t>
  </si>
  <si>
    <t>Narayan Spinning Mills 1_1715.42 KWp</t>
  </si>
  <si>
    <t>80% Lord Curtailment By GSS (Inv - 1to3 Manually S/D)</t>
  </si>
  <si>
    <t>70% Lord Curtailment By GSS (Inv - 1to3 Manually S/D)</t>
  </si>
  <si>
    <t>Gss end grid outage</t>
  </si>
  <si>
    <t>Narayan Spinning Mills 2_2485 KWp</t>
  </si>
  <si>
    <t>20% Lord Curtailment By GSS (Inv - 8to10 Manually S/D)</t>
  </si>
  <si>
    <t>40% Lord Curtailment By GSS (Inv - 5to10 Manually S/D)</t>
  </si>
  <si>
    <t>50% Lord Curtailment By GSS (Inv - 3to10 Manually S/D)</t>
  </si>
  <si>
    <t>80% Lord Curtailment By GSS (Inv - 1to6,8to10 Manually S/D)</t>
  </si>
  <si>
    <t>70% Lord Curtailment By GSS (Inv - 3to10 Manually S/D)</t>
  </si>
  <si>
    <t>40% Lord Curtailment By GSS (Inv - 1to3,8to10 Manually S/D)</t>
  </si>
  <si>
    <t>30% Lord Curtailment By GSS (Inv - 6to10 Manually S/D)</t>
  </si>
  <si>
    <t>(Gss end grid outage). 30% Lord Curtailment By GSS (Inv - 6to10 Manually S/D)</t>
  </si>
  <si>
    <t>20% Lord Curtailment By GSS (Inv - 6,9 and10 Manually S/D)</t>
  </si>
  <si>
    <t>20% Lord Curtailment By GSS (Inv - 8,9 and10 Manually S/D)</t>
  </si>
  <si>
    <t>Rishi FIBC Balasinor_3000 KWp</t>
  </si>
  <si>
    <t>SS Flour Mills_1700 KWp</t>
  </si>
  <si>
    <t>Sumati Spintex_4600 KWp</t>
  </si>
  <si>
    <t>HT Cable Fault</t>
  </si>
  <si>
    <t>PLANT TRIP DUE TO DO FUSE FAIL</t>
  </si>
  <si>
    <t>Plant Tripped due to gss side some internal issues &amp; Inverter-12  Internal Fault</t>
  </si>
  <si>
    <t>INTERNAL FAULT</t>
  </si>
  <si>
    <t>INV 1 INTERNAL FAULT</t>
  </si>
  <si>
    <t>INV 2 STRING FAULT</t>
  </si>
  <si>
    <t xml:space="preserve">INV, 10,13,14,15,16,17,18 TRIP DUE TO OVER VOLTAGE &amp;  PLANT TRIP DUE TO DO FUSE FAIL
</t>
  </si>
  <si>
    <t>Genaration Low due to GETCO Side maintenance work</t>
  </si>
  <si>
    <t>Tulsi Industries_3800 KWp</t>
  </si>
  <si>
    <t>plant trip due to grid fail</t>
  </si>
  <si>
    <t>INV 12 TRIP DUE TO SOME INTERNAL ISSUE</t>
  </si>
  <si>
    <t>plant trip due to gssside grid fail</t>
  </si>
  <si>
    <t>INV 05 TRIP DUE TO SOME INTERNAL ISSUE &amp; DO fuse fail</t>
  </si>
  <si>
    <t>Plant trip due to Grid fail</t>
  </si>
  <si>
    <t>Plant trip Due to PSS Side Do Fuse fail</t>
  </si>
  <si>
    <t>iNV-11 TRIP DUE TO INS Fault</t>
  </si>
  <si>
    <t>Genaration low due to GETCO SIDE Mainteance work</t>
  </si>
  <si>
    <t>Genaration low due to INV-5,9 TRIPDUE to Overvoltage &amp; inv-7 cable theft</t>
  </si>
  <si>
    <t>Tulsi Udyog_2100 KWp</t>
  </si>
  <si>
    <t>plant trip due to gss grid fail</t>
  </si>
  <si>
    <t>Plant trip due to gss grid fail</t>
  </si>
  <si>
    <t>Saanika Industries_4800 KWp</t>
  </si>
  <si>
    <t>Plant Tripped From GSS end Due to its Annual Maintenance and Testing Work</t>
  </si>
  <si>
    <t>Plant Tripped From GSS Ends Due to Grid Failure</t>
  </si>
  <si>
    <t>IGCL_3000 KWp</t>
  </si>
  <si>
    <t>Inv No. -01 Was Triped due to Internal System Foult….</t>
  </si>
  <si>
    <t>Plant Tripped from GSS end due to y-ph Jumpar Failure at GSS side..</t>
  </si>
  <si>
    <t>Plant Tripped from PSS end due to LT Panel Internal Control Wiring Fired..</t>
  </si>
  <si>
    <t>Plant Tripped from GSS end due to BUS Cuplar Going into Foult at GSS side..</t>
  </si>
  <si>
    <t>Val Organics_2052 KWp</t>
  </si>
  <si>
    <t>Plant Tripped from GSS end due to y-ph Jumpar Failure at GSS side</t>
  </si>
  <si>
    <t>Inv No. -06 has PR Dawn due to A Fan was not Working</t>
  </si>
  <si>
    <t>ZEIT 1_8750 KWp</t>
  </si>
  <si>
    <t>ZEIT 2_4000 KWp</t>
  </si>
  <si>
    <t xml:space="preserve">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</si>
</sst>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409]mmm\-yy;@"/>
    <numFmt numFmtId="166" formatCode="0.0%"/>
    <numFmt numFmtId="167" formatCode="0.000"/>
    <numFmt numFmtId="168" formatCode="[$-409]d\-mmm\-yyyy;@"/>
    <numFmt numFmtId="169" formatCode="0.000%"/>
    <numFmt numFmtId="170" formatCode="_(* #,##0_);_(* \(#,##0\);_(* &quot;-&quot;??_);_(@_)"/>
    <numFmt numFmtId="171" formatCode="[$-409]d\-mmm\-yy;@"/>
  </numFmts>
  <fonts count="61">
    <font>
      <sz val="11"/>
      <color theme="1"/>
      <name val="Calibri"/>
      <family val="2"/>
      <scheme val="minor"/>
    </font>
    <font>
      <sz val="11"/>
      <color theme="1"/>
      <name val="Calibri"/>
      <scheme val="minor"/>
    </font>
    <font>
      <sz val="11"/>
      <color theme="1"/>
      <name val="Calibri"/>
      <family val="2"/>
      <scheme val="minor"/>
    </font>
    <font>
      <sz val="10"/>
      <color theme="0"/>
      <name val="Calibri"/>
      <family val="2"/>
      <scheme val="minor"/>
    </font>
    <font>
      <sz val="11"/>
      <color rgb="FF000000"/>
      <name val="Calibri"/>
      <charset val="1"/>
    </font>
    <font>
      <sz val="10"/>
      <color rgb="FF000000"/>
      <name val="Calibri"/>
      <charset val="1"/>
    </font>
    <font>
      <sz val="10"/>
      <name val="Arial"/>
      <charset val="134"/>
    </font>
    <font>
      <sz val="10"/>
      <name val="Calibri"/>
      <charset val="134"/>
      <scheme val="minor"/>
    </font>
    <font>
      <sz val="10"/>
      <color rgb="FF000000"/>
      <name val="Calibri"/>
      <charset val="1"/>
      <scheme val="minor"/>
    </font>
    <font>
      <sz val="14"/>
      <color rgb="FFFFFF00"/>
      <name val="Calibri"/>
      <charset val="134"/>
    </font>
    <font>
      <sz val="11"/>
      <color rgb="FF000000"/>
      <name val="Calibri"/>
      <charset val="134"/>
    </font>
    <font>
      <b/>
      <sz val="11"/>
      <color rgb="FF000000"/>
      <name val="Calibri"/>
      <charset val="134"/>
    </font>
    <font>
      <b/>
      <sz val="14"/>
      <color rgb="FF000000"/>
      <name val="Calibri"/>
      <charset val="134"/>
    </font>
    <font>
      <sz val="10"/>
      <color rgb="FFFFFFFF"/>
      <name val="Calibri"/>
      <charset val="134"/>
    </font>
    <font>
      <sz val="10"/>
      <color rgb="FFFFFFFF"/>
      <name val="Calibri"/>
      <charset val="134"/>
      <scheme val="minor"/>
    </font>
    <font>
      <b/>
      <sz val="10"/>
      <color rgb="FF000000"/>
      <name val="Calibri"/>
      <charset val="1"/>
    </font>
    <font>
      <sz val="10"/>
      <color rgb="FFFFFFFF"/>
      <name val="Calibri"/>
      <family val="2"/>
      <charset val="134"/>
      <scheme val="minor"/>
    </font>
    <font>
      <sz val="10"/>
      <name val="Calibri"/>
      <family val="2"/>
      <charset val="134"/>
      <scheme val="minor"/>
    </font>
    <font>
      <sz val="10"/>
      <color rgb="FF000000"/>
      <name val="Calibri"/>
      <family val="2"/>
      <charset val="1"/>
      <scheme val="minor"/>
    </font>
    <font>
      <sz val="14"/>
      <color rgb="FFFFFF00"/>
      <name val="Calibri"/>
      <family val="2"/>
    </font>
    <font>
      <sz val="11"/>
      <color rgb="FF000000"/>
      <name val="Aptos Narrow"/>
      <family val="2"/>
    </font>
    <font>
      <sz val="11"/>
      <color rgb="FF000000"/>
      <name val="Aptos Narrow"/>
    </font>
    <font>
      <sz val="10"/>
      <color rgb="FF000000"/>
      <name val="Calibri"/>
    </font>
    <font>
      <sz val="10"/>
      <color rgb="FF000000"/>
      <name val="Aptos Narrow"/>
      <charset val="1"/>
    </font>
    <font>
      <sz val="9"/>
      <name val="Aptos Narrow"/>
    </font>
    <font>
      <sz val="9"/>
      <color rgb="FF000000"/>
      <name val="Aptos Narrow"/>
    </font>
    <font>
      <sz val="14"/>
      <color rgb="FFFFFF00"/>
      <name val="Calibri"/>
    </font>
    <font>
      <sz val="11"/>
      <color rgb="FF000000"/>
      <name val="Calibri"/>
    </font>
    <font>
      <b/>
      <sz val="11"/>
      <color rgb="FF000000"/>
      <name val="Calibri"/>
    </font>
    <font>
      <b/>
      <sz val="14"/>
      <color rgb="FF000000"/>
      <name val="Calibri"/>
    </font>
    <font>
      <sz val="10"/>
      <color rgb="FFFFFFFF"/>
      <name val="Calibri"/>
    </font>
    <font>
      <b/>
      <sz val="10"/>
      <color rgb="FF000000"/>
      <name val="Calibri"/>
    </font>
    <font>
      <b/>
      <sz val="10"/>
      <color rgb="FF000000"/>
      <name val="Calibri"/>
      <charset val="1"/>
      <scheme val="minor"/>
    </font>
    <font>
      <sz val="10"/>
      <color rgb="FFFFFFFF"/>
      <name val="Aptos Narrow"/>
    </font>
    <font>
      <sz val="10"/>
      <name val="Aptos Narrow"/>
      <family val="2"/>
    </font>
    <font>
      <sz val="9"/>
      <name val="Calibri"/>
      <family val="2"/>
    </font>
    <font>
      <sz val="11"/>
      <color rgb="FF000000"/>
      <name val="Calibri"/>
      <family val="2"/>
      <charset val="1"/>
    </font>
    <font>
      <sz val="10"/>
      <color rgb="FF000000"/>
      <name val="Calibri"/>
      <scheme val="minor"/>
    </font>
    <font>
      <sz val="10"/>
      <color rgb="FF000000"/>
      <name val="Aptos Narrow"/>
      <charset val="134"/>
    </font>
    <font>
      <sz val="10"/>
      <color rgb="FF000000"/>
      <name val="Calibri"/>
      <charset val="134"/>
    </font>
    <font>
      <b/>
      <sz val="10"/>
      <color rgb="FF000000"/>
      <name val="Calibri"/>
      <family val="2"/>
      <charset val="1"/>
      <scheme val="minor"/>
    </font>
    <font>
      <sz val="11"/>
      <name val="Aptos Narrow"/>
    </font>
    <font>
      <sz val="8"/>
      <color rgb="FFC00000"/>
      <name val="Segoe UI"/>
    </font>
    <font>
      <sz val="10"/>
      <name val="Aptos Narrow"/>
    </font>
    <font>
      <sz val="11"/>
      <color rgb="FF000000"/>
      <name val="Calibri"/>
      <family val="2"/>
    </font>
    <font>
      <sz val="10"/>
      <color rgb="FF000000"/>
      <name val="Calibri"/>
      <family val="2"/>
      <scheme val="minor"/>
    </font>
    <font>
      <sz val="11"/>
      <name val="Calibri"/>
    </font>
    <font>
      <sz val="9"/>
      <name val="Ebrima"/>
    </font>
    <font>
      <sz val="9"/>
      <color rgb="FF000000"/>
      <name val="Ebrima"/>
    </font>
    <font>
      <sz val="10"/>
      <color theme="1"/>
      <name val="Calibri"/>
      <family val="2"/>
      <scheme val="minor"/>
    </font>
    <font>
      <b/>
      <sz val="11"/>
      <color theme="1"/>
      <name val="Calibri"/>
      <family val="2"/>
      <scheme val="minor"/>
    </font>
    <font>
      <sz val="10"/>
      <color rgb="FF000000"/>
      <name val="Calibri"/>
      <family val="2"/>
    </font>
    <font>
      <sz val="10"/>
      <color rgb="FF000000"/>
      <name val="Calibri"/>
      <family val="2"/>
      <charset val="1"/>
    </font>
    <font>
      <sz val="10"/>
      <color rgb="FF000000"/>
      <name val="Aptos Narrow"/>
      <family val="2"/>
      <charset val="1"/>
    </font>
    <font>
      <sz val="9"/>
      <color rgb="FF000000"/>
      <name val="Calibri"/>
      <family val="2"/>
    </font>
    <font>
      <sz val="10"/>
      <name val="Calibri"/>
    </font>
    <font>
      <sz val="9"/>
      <name val="Calibri"/>
    </font>
    <font>
      <sz val="9"/>
      <color rgb="FFFFFFFF"/>
      <name val="Calibri"/>
    </font>
    <font>
      <sz val="9"/>
      <color rgb="FFFFFFFF"/>
      <name val="Aptos Narrow"/>
    </font>
    <font>
      <sz val="9"/>
      <color theme="1"/>
      <name val="Calibri"/>
      <family val="2"/>
      <scheme val="minor"/>
    </font>
    <font>
      <sz val="10"/>
      <name val="Calibri"/>
      <family val="2"/>
    </font>
  </fonts>
  <fills count="18">
    <fill>
      <patternFill patternType="none"/>
    </fill>
    <fill>
      <patternFill patternType="gray125"/>
    </fill>
    <fill>
      <patternFill patternType="solid">
        <fgColor theme="4" tint="-0.499984740745262"/>
        <bgColor indexed="64"/>
      </patternFill>
    </fill>
    <fill>
      <patternFill patternType="solid">
        <fgColor rgb="FFFFFF00"/>
        <bgColor rgb="FFB4C7E7"/>
      </patternFill>
    </fill>
    <fill>
      <patternFill patternType="solid">
        <fgColor rgb="FFFFFF00"/>
        <bgColor rgb="FFDEE6EF"/>
      </patternFill>
    </fill>
    <fill>
      <patternFill patternType="solid">
        <fgColor rgb="FFFFFF00"/>
        <bgColor rgb="FF000000"/>
      </patternFill>
    </fill>
    <fill>
      <patternFill patternType="solid">
        <fgColor rgb="FF203764"/>
        <bgColor rgb="FF000000"/>
      </patternFill>
    </fill>
    <fill>
      <patternFill patternType="solid">
        <fgColor rgb="FFB4C7E7"/>
        <bgColor rgb="FF99CCFF"/>
      </patternFill>
    </fill>
    <fill>
      <patternFill patternType="solid">
        <fgColor rgb="FFFFFF00"/>
        <bgColor indexed="64"/>
      </patternFill>
    </fill>
    <fill>
      <patternFill patternType="solid">
        <fgColor rgb="FFF8CBAD"/>
        <bgColor rgb="FFD6DCE5"/>
      </patternFill>
    </fill>
    <fill>
      <patternFill patternType="solid">
        <fgColor rgb="FFFFFF00"/>
        <bgColor rgb="FFF4B183"/>
      </patternFill>
    </fill>
    <fill>
      <patternFill patternType="solid">
        <fgColor theme="5" tint="0.59999389629810485"/>
        <bgColor indexed="64"/>
      </patternFill>
    </fill>
    <fill>
      <patternFill patternType="solid">
        <fgColor rgb="FFFFFFFF"/>
        <bgColor rgb="FFDEE6EF"/>
      </patternFill>
    </fill>
    <fill>
      <patternFill patternType="solid">
        <fgColor rgb="FFFFFFFF"/>
        <bgColor rgb="FFB4C7E7"/>
      </patternFill>
    </fill>
    <fill>
      <patternFill patternType="solid">
        <fgColor rgb="FFFFFFFF"/>
        <bgColor rgb="FF000000"/>
      </patternFill>
    </fill>
    <fill>
      <patternFill patternType="solid">
        <fgColor theme="4" tint="0.39997558519241921"/>
        <bgColor indexed="64"/>
      </patternFill>
    </fill>
    <fill>
      <patternFill patternType="solid">
        <fgColor theme="0"/>
        <bgColor indexed="64"/>
      </patternFill>
    </fill>
    <fill>
      <patternFill patternType="solid">
        <fgColor theme="5" tint="0.79998168889431442"/>
        <bgColor indexed="64"/>
      </patternFill>
    </fill>
  </fills>
  <borders count="33">
    <border>
      <left/>
      <right/>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medium">
        <color auto="1"/>
      </top>
      <bottom style="thin">
        <color auto="1"/>
      </bottom>
      <diagonal/>
    </border>
    <border>
      <left/>
      <right style="thin">
        <color rgb="FF000000"/>
      </right>
      <top style="medium">
        <color auto="1"/>
      </top>
      <bottom style="thin">
        <color auto="1"/>
      </bottom>
      <diagonal/>
    </border>
    <border>
      <left/>
      <right style="thin">
        <color auto="1"/>
      </right>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top/>
      <bottom style="thin">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indexed="64"/>
      </right>
      <top/>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s>
  <cellStyleXfs count="7">
    <xf numFmtId="0" fontId="0" fillId="0" borderId="0"/>
    <xf numFmtId="164" fontId="2" fillId="0" borderId="0" applyFont="0" applyFill="0" applyBorder="0" applyAlignment="0" applyProtection="0"/>
    <xf numFmtId="9" fontId="2" fillId="0" borderId="0" applyFont="0" applyFill="0" applyBorder="0" applyAlignment="0" applyProtection="0"/>
    <xf numFmtId="0" fontId="4" fillId="0" borderId="0"/>
    <xf numFmtId="0" fontId="6" fillId="0" borderId="0">
      <alignment vertical="center"/>
    </xf>
    <xf numFmtId="9" fontId="4" fillId="0" borderId="0" applyBorder="0" applyProtection="0"/>
    <xf numFmtId="0" fontId="6" fillId="0" borderId="0"/>
  </cellStyleXfs>
  <cellXfs count="425">
    <xf numFmtId="0" fontId="0" fillId="0" borderId="0" xfId="0"/>
    <xf numFmtId="1" fontId="5" fillId="0" borderId="2" xfId="3" applyNumberFormat="1" applyFont="1" applyBorder="1" applyAlignment="1">
      <alignment horizontal="center"/>
    </xf>
    <xf numFmtId="10" fontId="5" fillId="0" borderId="2" xfId="3" applyNumberFormat="1" applyFont="1" applyBorder="1"/>
    <xf numFmtId="167" fontId="5" fillId="0" borderId="2" xfId="3" applyNumberFormat="1" applyFont="1" applyBorder="1" applyAlignment="1">
      <alignment horizontal="center"/>
    </xf>
    <xf numFmtId="166" fontId="5" fillId="0" borderId="2" xfId="5" applyNumberFormat="1" applyFont="1" applyBorder="1" applyAlignment="1" applyProtection="1">
      <alignment horizontal="center" vertical="center"/>
    </xf>
    <xf numFmtId="9" fontId="5" fillId="5" borderId="2" xfId="3" applyNumberFormat="1" applyFont="1" applyFill="1" applyBorder="1" applyAlignment="1">
      <alignment horizontal="center"/>
    </xf>
    <xf numFmtId="0" fontId="5" fillId="5" borderId="2" xfId="3" applyFont="1" applyFill="1" applyBorder="1"/>
    <xf numFmtId="17" fontId="10" fillId="5" borderId="3" xfId="3" applyNumberFormat="1" applyFont="1" applyFill="1" applyBorder="1"/>
    <xf numFmtId="0" fontId="10" fillId="5" borderId="8" xfId="3" applyFont="1" applyFill="1" applyBorder="1"/>
    <xf numFmtId="15" fontId="10" fillId="5" borderId="11" xfId="3" applyNumberFormat="1" applyFont="1" applyFill="1" applyBorder="1"/>
    <xf numFmtId="0" fontId="12" fillId="7" borderId="11" xfId="3" applyFont="1" applyFill="1" applyBorder="1"/>
    <xf numFmtId="0" fontId="12" fillId="7" borderId="0" xfId="3" applyFont="1" applyFill="1"/>
    <xf numFmtId="0" fontId="13" fillId="6" borderId="1" xfId="3" applyFont="1" applyFill="1" applyBorder="1" applyAlignment="1">
      <alignment horizontal="center" vertical="center" wrapText="1"/>
    </xf>
    <xf numFmtId="168" fontId="5" fillId="0" borderId="2" xfId="3" applyNumberFormat="1" applyFont="1" applyBorder="1" applyAlignment="1">
      <alignment horizontal="center" vertical="center"/>
    </xf>
    <xf numFmtId="0" fontId="5" fillId="5" borderId="2" xfId="3" applyFont="1" applyFill="1" applyBorder="1" applyAlignment="1">
      <alignment horizontal="center"/>
    </xf>
    <xf numFmtId="10" fontId="5" fillId="5" borderId="2" xfId="3" applyNumberFormat="1" applyFont="1" applyFill="1" applyBorder="1" applyAlignment="1">
      <alignment horizontal="center"/>
    </xf>
    <xf numFmtId="0" fontId="5" fillId="5" borderId="2" xfId="3" applyFont="1" applyFill="1" applyBorder="1" applyAlignment="1">
      <alignment horizontal="left"/>
    </xf>
    <xf numFmtId="1" fontId="15" fillId="9" borderId="2" xfId="3" applyNumberFormat="1" applyFont="1" applyFill="1" applyBorder="1" applyAlignment="1" applyProtection="1">
      <alignment horizontal="center" vertical="center"/>
      <protection hidden="1"/>
    </xf>
    <xf numFmtId="10" fontId="15" fillId="9" borderId="2" xfId="3" applyNumberFormat="1" applyFont="1" applyFill="1" applyBorder="1" applyAlignment="1" applyProtection="1">
      <alignment horizontal="center" vertical="center"/>
      <protection hidden="1"/>
    </xf>
    <xf numFmtId="0" fontId="15" fillId="9" borderId="2" xfId="3" applyFont="1" applyFill="1" applyBorder="1" applyAlignment="1" applyProtection="1">
      <alignment horizontal="center" vertical="center"/>
      <protection hidden="1"/>
    </xf>
    <xf numFmtId="10" fontId="8" fillId="0" borderId="3" xfId="2" applyNumberFormat="1" applyFont="1" applyBorder="1" applyAlignment="1">
      <alignment horizontal="center" vertical="center"/>
    </xf>
    <xf numFmtId="10" fontId="18" fillId="0" borderId="3" xfId="2" applyNumberFormat="1" applyFont="1" applyBorder="1" applyAlignment="1">
      <alignment horizontal="center" vertical="center"/>
    </xf>
    <xf numFmtId="166" fontId="5" fillId="0" borderId="2" xfId="5" applyNumberFormat="1" applyFont="1" applyBorder="1" applyAlignment="1">
      <alignment horizontal="center" vertical="center"/>
    </xf>
    <xf numFmtId="0" fontId="4" fillId="5" borderId="8" xfId="0" applyFont="1" applyFill="1" applyBorder="1"/>
    <xf numFmtId="0" fontId="20" fillId="5" borderId="9" xfId="0" applyFont="1" applyFill="1" applyBorder="1"/>
    <xf numFmtId="10" fontId="5" fillId="5" borderId="2" xfId="3" applyNumberFormat="1" applyFont="1" applyFill="1" applyBorder="1"/>
    <xf numFmtId="0" fontId="5" fillId="0" borderId="2" xfId="0" applyFont="1" applyBorder="1"/>
    <xf numFmtId="0" fontId="5" fillId="0" borderId="12" xfId="0" applyFont="1" applyBorder="1"/>
    <xf numFmtId="0" fontId="5" fillId="0" borderId="2" xfId="0" applyFont="1" applyBorder="1" applyAlignment="1">
      <alignment horizontal="center"/>
    </xf>
    <xf numFmtId="0" fontId="5" fillId="0" borderId="12" xfId="0" applyFont="1" applyBorder="1" applyAlignment="1">
      <alignment horizontal="center"/>
    </xf>
    <xf numFmtId="0" fontId="21" fillId="5" borderId="9" xfId="0" applyFont="1" applyFill="1" applyBorder="1"/>
    <xf numFmtId="0" fontId="5" fillId="5" borderId="2" xfId="0" applyFont="1" applyFill="1" applyBorder="1"/>
    <xf numFmtId="0" fontId="5" fillId="5" borderId="12" xfId="0" applyFont="1" applyFill="1" applyBorder="1"/>
    <xf numFmtId="0" fontId="5" fillId="5" borderId="2" xfId="0" applyFont="1" applyFill="1" applyBorder="1" applyAlignment="1">
      <alignment horizontal="center"/>
    </xf>
    <xf numFmtId="0" fontId="5" fillId="5" borderId="12" xfId="0" applyFont="1" applyFill="1" applyBorder="1" applyAlignment="1">
      <alignment horizontal="center"/>
    </xf>
    <xf numFmtId="0" fontId="22" fillId="0" borderId="2" xfId="0" applyFont="1" applyBorder="1"/>
    <xf numFmtId="0" fontId="22" fillId="0" borderId="13" xfId="0" applyFont="1" applyBorder="1"/>
    <xf numFmtId="0" fontId="22" fillId="5" borderId="13" xfId="0" applyFont="1" applyFill="1" applyBorder="1"/>
    <xf numFmtId="10" fontId="22" fillId="0" borderId="13" xfId="0" applyNumberFormat="1" applyFont="1" applyBorder="1"/>
    <xf numFmtId="0" fontId="5" fillId="0" borderId="13" xfId="0" applyFont="1" applyBorder="1"/>
    <xf numFmtId="10" fontId="5" fillId="0" borderId="13" xfId="0" applyNumberFormat="1" applyFont="1" applyBorder="1"/>
    <xf numFmtId="10" fontId="22" fillId="5" borderId="13" xfId="0" applyNumberFormat="1" applyFont="1" applyFill="1" applyBorder="1"/>
    <xf numFmtId="0" fontId="22" fillId="0" borderId="12" xfId="0" applyFont="1" applyBorder="1"/>
    <xf numFmtId="0" fontId="22" fillId="0" borderId="14" xfId="0" applyFont="1" applyBorder="1"/>
    <xf numFmtId="0" fontId="22" fillId="5" borderId="14" xfId="0" applyFont="1" applyFill="1" applyBorder="1"/>
    <xf numFmtId="10" fontId="22" fillId="0" borderId="14" xfId="0" applyNumberFormat="1" applyFont="1" applyBorder="1"/>
    <xf numFmtId="0" fontId="5" fillId="0" borderId="14" xfId="0" applyFont="1" applyBorder="1"/>
    <xf numFmtId="10" fontId="5" fillId="0" borderId="14" xfId="0" applyNumberFormat="1" applyFont="1" applyBorder="1"/>
    <xf numFmtId="10" fontId="22" fillId="5" borderId="14" xfId="0" applyNumberFormat="1" applyFont="1" applyFill="1" applyBorder="1"/>
    <xf numFmtId="0" fontId="5" fillId="5" borderId="13" xfId="0" applyFont="1" applyFill="1" applyBorder="1"/>
    <xf numFmtId="0" fontId="5" fillId="5" borderId="14" xfId="0" applyFont="1" applyFill="1" applyBorder="1"/>
    <xf numFmtId="0" fontId="5" fillId="5" borderId="15" xfId="0" applyFont="1" applyFill="1" applyBorder="1"/>
    <xf numFmtId="0" fontId="24" fillId="10" borderId="16" xfId="0" applyFont="1" applyFill="1" applyBorder="1"/>
    <xf numFmtId="0" fontId="21" fillId="5" borderId="3" xfId="0" applyFont="1" applyFill="1" applyBorder="1"/>
    <xf numFmtId="0" fontId="5" fillId="5" borderId="16" xfId="0" applyFont="1" applyFill="1" applyBorder="1"/>
    <xf numFmtId="0" fontId="25" fillId="5" borderId="8" xfId="0" applyFont="1" applyFill="1" applyBorder="1"/>
    <xf numFmtId="0" fontId="5" fillId="5" borderId="2" xfId="3" applyFont="1" applyFill="1" applyBorder="1" applyAlignment="1">
      <alignment horizontal="left" indent="1"/>
    </xf>
    <xf numFmtId="0" fontId="5" fillId="5" borderId="2" xfId="3" applyFont="1" applyFill="1" applyBorder="1" applyAlignment="1">
      <alignment horizontal="center" indent="1"/>
    </xf>
    <xf numFmtId="9" fontId="5" fillId="5" borderId="2" xfId="3" applyNumberFormat="1" applyFont="1" applyFill="1" applyBorder="1" applyAlignment="1">
      <alignment horizontal="center" vertical="center" indent="3"/>
    </xf>
    <xf numFmtId="10" fontId="5" fillId="5" borderId="2" xfId="3" applyNumberFormat="1" applyFont="1" applyFill="1" applyBorder="1" applyAlignment="1">
      <alignment horizontal="center" vertical="center" indent="3"/>
    </xf>
    <xf numFmtId="0" fontId="5" fillId="5" borderId="2" xfId="3" applyFont="1" applyFill="1" applyBorder="1" applyAlignment="1">
      <alignment horizontal="center" vertical="center" indent="3"/>
    </xf>
    <xf numFmtId="9" fontId="5" fillId="5" borderId="2" xfId="0" applyNumberFormat="1" applyFont="1" applyFill="1" applyBorder="1"/>
    <xf numFmtId="9" fontId="5" fillId="5" borderId="13" xfId="0" applyNumberFormat="1" applyFont="1" applyFill="1" applyBorder="1"/>
    <xf numFmtId="10" fontId="5" fillId="5" borderId="12" xfId="0" applyNumberFormat="1" applyFont="1" applyFill="1" applyBorder="1"/>
    <xf numFmtId="9" fontId="5" fillId="5" borderId="14" xfId="0" applyNumberFormat="1" applyFont="1" applyFill="1" applyBorder="1"/>
    <xf numFmtId="9" fontId="5" fillId="5" borderId="12" xfId="0" applyNumberFormat="1" applyFont="1" applyFill="1" applyBorder="1"/>
    <xf numFmtId="10" fontId="5" fillId="5" borderId="14" xfId="0" applyNumberFormat="1" applyFont="1" applyFill="1" applyBorder="1"/>
    <xf numFmtId="10" fontId="5" fillId="5" borderId="2" xfId="0" applyNumberFormat="1" applyFont="1" applyFill="1" applyBorder="1"/>
    <xf numFmtId="10" fontId="5" fillId="5" borderId="13" xfId="0" applyNumberFormat="1" applyFont="1" applyFill="1" applyBorder="1"/>
    <xf numFmtId="16" fontId="27" fillId="5" borderId="3" xfId="0" applyNumberFormat="1" applyFont="1" applyFill="1" applyBorder="1"/>
    <xf numFmtId="0" fontId="27" fillId="5" borderId="8" xfId="0" applyFont="1" applyFill="1" applyBorder="1"/>
    <xf numFmtId="15" fontId="27" fillId="5" borderId="11" xfId="0" applyNumberFormat="1" applyFont="1" applyFill="1" applyBorder="1"/>
    <xf numFmtId="0" fontId="29" fillId="7" borderId="11" xfId="0" applyFont="1" applyFill="1" applyBorder="1"/>
    <xf numFmtId="0" fontId="29" fillId="7" borderId="0" xfId="0" applyFont="1" applyFill="1"/>
    <xf numFmtId="0" fontId="30" fillId="6" borderId="1" xfId="0" applyFont="1" applyFill="1" applyBorder="1" applyAlignment="1">
      <alignment wrapText="1"/>
    </xf>
    <xf numFmtId="0" fontId="30" fillId="6" borderId="17" xfId="0" applyFont="1" applyFill="1" applyBorder="1" applyAlignment="1">
      <alignment wrapText="1"/>
    </xf>
    <xf numFmtId="15" fontId="5" fillId="0" borderId="2" xfId="0" applyNumberFormat="1" applyFont="1" applyBorder="1"/>
    <xf numFmtId="0" fontId="5" fillId="0" borderId="8" xfId="0" applyFont="1" applyBorder="1"/>
    <xf numFmtId="10" fontId="5" fillId="0" borderId="8" xfId="0" applyNumberFormat="1" applyFont="1" applyBorder="1"/>
    <xf numFmtId="15" fontId="5" fillId="0" borderId="12" xfId="0" applyNumberFormat="1" applyFont="1" applyBorder="1"/>
    <xf numFmtId="0" fontId="31" fillId="9" borderId="14" xfId="0" applyFont="1" applyFill="1" applyBorder="1"/>
    <xf numFmtId="10" fontId="31" fillId="9" borderId="14" xfId="0" applyNumberFormat="1" applyFont="1" applyFill="1" applyBorder="1"/>
    <xf numFmtId="166" fontId="5" fillId="5" borderId="2" xfId="3" applyNumberFormat="1" applyFont="1" applyFill="1" applyBorder="1" applyAlignment="1">
      <alignment horizontal="center" vertical="center" indent="3"/>
    </xf>
    <xf numFmtId="0" fontId="5" fillId="5" borderId="14" xfId="0" applyFont="1" applyFill="1" applyBorder="1" applyAlignment="1">
      <alignment wrapText="1"/>
    </xf>
    <xf numFmtId="0" fontId="15" fillId="9" borderId="14" xfId="0" applyFont="1" applyFill="1" applyBorder="1"/>
    <xf numFmtId="168" fontId="10" fillId="5" borderId="11" xfId="3" applyNumberFormat="1" applyFont="1" applyFill="1" applyBorder="1"/>
    <xf numFmtId="2" fontId="5" fillId="0" borderId="2" xfId="0" applyNumberFormat="1" applyFont="1" applyBorder="1"/>
    <xf numFmtId="1" fontId="5" fillId="0" borderId="2" xfId="0" applyNumberFormat="1" applyFont="1" applyBorder="1"/>
    <xf numFmtId="10" fontId="23" fillId="0" borderId="8" xfId="0" applyNumberFormat="1" applyFont="1" applyBorder="1"/>
    <xf numFmtId="1" fontId="15" fillId="11" borderId="2" xfId="3" applyNumberFormat="1" applyFont="1" applyFill="1" applyBorder="1" applyAlignment="1" applyProtection="1">
      <alignment horizontal="center" vertical="center"/>
      <protection hidden="1"/>
    </xf>
    <xf numFmtId="10" fontId="15" fillId="11" borderId="2" xfId="3" applyNumberFormat="1" applyFont="1" applyFill="1" applyBorder="1" applyAlignment="1" applyProtection="1">
      <alignment horizontal="center" vertical="center"/>
      <protection hidden="1"/>
    </xf>
    <xf numFmtId="0" fontId="15" fillId="11" borderId="2" xfId="3" applyFont="1" applyFill="1" applyBorder="1" applyAlignment="1" applyProtection="1">
      <alignment horizontal="center" vertical="center"/>
      <protection hidden="1"/>
    </xf>
    <xf numFmtId="10" fontId="32" fillId="11" borderId="3" xfId="2" applyNumberFormat="1" applyFont="1" applyFill="1" applyBorder="1" applyAlignment="1">
      <alignment horizontal="center" vertical="center"/>
    </xf>
    <xf numFmtId="166" fontId="15" fillId="11" borderId="2" xfId="5" applyNumberFormat="1" applyFont="1" applyFill="1" applyBorder="1" applyAlignment="1" applyProtection="1">
      <alignment horizontal="center" vertical="center"/>
    </xf>
    <xf numFmtId="10" fontId="8" fillId="0" borderId="18" xfId="2" applyNumberFormat="1" applyFont="1" applyBorder="1" applyAlignment="1">
      <alignment horizontal="center" vertical="center"/>
    </xf>
    <xf numFmtId="10" fontId="5" fillId="0" borderId="13" xfId="3" applyNumberFormat="1" applyFont="1" applyBorder="1"/>
    <xf numFmtId="166" fontId="5" fillId="0" borderId="13" xfId="5" applyNumberFormat="1" applyFont="1" applyBorder="1" applyAlignment="1" applyProtection="1">
      <alignment horizontal="center" vertical="center"/>
    </xf>
    <xf numFmtId="10" fontId="18" fillId="0" borderId="18" xfId="2" applyNumberFormat="1" applyFont="1" applyBorder="1" applyAlignment="1">
      <alignment horizontal="center" vertical="center"/>
    </xf>
    <xf numFmtId="10" fontId="15" fillId="11" borderId="13" xfId="3" applyNumberFormat="1" applyFont="1" applyFill="1" applyBorder="1" applyAlignment="1" applyProtection="1">
      <alignment horizontal="center" vertical="center"/>
      <protection hidden="1"/>
    </xf>
    <xf numFmtId="2" fontId="15" fillId="11" borderId="2" xfId="3" applyNumberFormat="1" applyFont="1" applyFill="1" applyBorder="1" applyAlignment="1" applyProtection="1">
      <alignment horizontal="center" vertical="center"/>
      <protection hidden="1"/>
    </xf>
    <xf numFmtId="10" fontId="32" fillId="11" borderId="18" xfId="2" applyNumberFormat="1" applyFont="1" applyFill="1" applyBorder="1" applyAlignment="1">
      <alignment horizontal="center" vertical="center"/>
    </xf>
    <xf numFmtId="166" fontId="15" fillId="11" borderId="13" xfId="5" applyNumberFormat="1" applyFont="1" applyFill="1" applyBorder="1" applyAlignment="1" applyProtection="1">
      <alignment horizontal="center" vertical="center"/>
    </xf>
    <xf numFmtId="14" fontId="10" fillId="5" borderId="11" xfId="3" applyNumberFormat="1" applyFont="1" applyFill="1" applyBorder="1"/>
    <xf numFmtId="9" fontId="5" fillId="5" borderId="2" xfId="0" applyNumberFormat="1" applyFont="1" applyFill="1" applyBorder="1" applyAlignment="1">
      <alignment horizontal="center"/>
    </xf>
    <xf numFmtId="10" fontId="5" fillId="5" borderId="2" xfId="0" applyNumberFormat="1" applyFont="1" applyFill="1" applyBorder="1" applyAlignment="1">
      <alignment horizontal="center"/>
    </xf>
    <xf numFmtId="0" fontId="27" fillId="5" borderId="11" xfId="0" applyFont="1" applyFill="1" applyBorder="1"/>
    <xf numFmtId="0" fontId="33" fillId="6" borderId="17" xfId="0" applyFont="1" applyFill="1" applyBorder="1" applyAlignment="1">
      <alignment wrapText="1"/>
    </xf>
    <xf numFmtId="0" fontId="23" fillId="0" borderId="8" xfId="0" applyFont="1" applyBorder="1"/>
    <xf numFmtId="9" fontId="23" fillId="0" borderId="8" xfId="0" applyNumberFormat="1" applyFont="1" applyBorder="1"/>
    <xf numFmtId="164" fontId="3" fillId="2" borderId="1" xfId="1" applyFont="1" applyFill="1" applyBorder="1" applyAlignment="1">
      <alignment horizontal="center" vertical="center" wrapText="1"/>
    </xf>
    <xf numFmtId="169" fontId="5" fillId="0" borderId="8" xfId="0" applyNumberFormat="1" applyFont="1" applyBorder="1"/>
    <xf numFmtId="2" fontId="5" fillId="0" borderId="8" xfId="0" applyNumberFormat="1" applyFont="1" applyBorder="1"/>
    <xf numFmtId="0" fontId="34" fillId="12" borderId="3" xfId="0" applyFont="1" applyFill="1" applyBorder="1"/>
    <xf numFmtId="0" fontId="34" fillId="13" borderId="3" xfId="0" applyFont="1" applyFill="1" applyBorder="1"/>
    <xf numFmtId="0" fontId="5" fillId="14" borderId="2" xfId="0" applyFont="1" applyFill="1" applyBorder="1"/>
    <xf numFmtId="0" fontId="5" fillId="14" borderId="12" xfId="0" applyFont="1" applyFill="1" applyBorder="1"/>
    <xf numFmtId="9" fontId="5" fillId="14" borderId="2" xfId="0" applyNumberFormat="1" applyFont="1" applyFill="1" applyBorder="1"/>
    <xf numFmtId="9" fontId="5" fillId="14" borderId="12" xfId="0" applyNumberFormat="1" applyFont="1" applyFill="1" applyBorder="1"/>
    <xf numFmtId="0" fontId="36" fillId="8" borderId="2" xfId="0" applyFont="1" applyFill="1" applyBorder="1"/>
    <xf numFmtId="0" fontId="35" fillId="8" borderId="20" xfId="0" applyFont="1" applyFill="1" applyBorder="1"/>
    <xf numFmtId="0" fontId="35" fillId="8" borderId="21" xfId="0" applyFont="1" applyFill="1" applyBorder="1"/>
    <xf numFmtId="10" fontId="8" fillId="0" borderId="8" xfId="2" applyNumberFormat="1" applyFont="1" applyBorder="1" applyAlignment="1">
      <alignment horizontal="center" vertical="center"/>
    </xf>
    <xf numFmtId="0" fontId="21" fillId="5" borderId="1" xfId="0" applyFont="1" applyFill="1" applyBorder="1"/>
    <xf numFmtId="0" fontId="5" fillId="5" borderId="12" xfId="3" applyFont="1" applyFill="1" applyBorder="1"/>
    <xf numFmtId="0" fontId="5" fillId="0" borderId="21" xfId="0" applyFont="1" applyBorder="1"/>
    <xf numFmtId="0" fontId="25" fillId="5" borderId="17" xfId="0" applyFont="1" applyFill="1" applyBorder="1"/>
    <xf numFmtId="1" fontId="5" fillId="0" borderId="13" xfId="0" applyNumberFormat="1" applyFont="1" applyBorder="1"/>
    <xf numFmtId="1" fontId="5" fillId="0" borderId="2" xfId="0" applyNumberFormat="1" applyFont="1" applyBorder="1" applyAlignment="1">
      <alignment horizontal="center"/>
    </xf>
    <xf numFmtId="0" fontId="5" fillId="0" borderId="2" xfId="0" applyFont="1" applyBorder="1" applyAlignment="1">
      <alignment horizontal="center" vertical="center"/>
    </xf>
    <xf numFmtId="165" fontId="37" fillId="0" borderId="2" xfId="0" applyNumberFormat="1" applyFont="1" applyBorder="1" applyAlignment="1">
      <alignment horizontal="center" vertical="center"/>
    </xf>
    <xf numFmtId="2" fontId="37" fillId="0" borderId="2" xfId="0" applyNumberFormat="1" applyFont="1" applyBorder="1" applyAlignment="1">
      <alignment horizontal="center" vertical="center"/>
    </xf>
    <xf numFmtId="1" fontId="37" fillId="0" borderId="2" xfId="0" applyNumberFormat="1" applyFont="1" applyBorder="1" applyAlignment="1">
      <alignment horizontal="center" vertical="center"/>
    </xf>
    <xf numFmtId="10" fontId="37" fillId="0" borderId="2" xfId="0" applyNumberFormat="1" applyFont="1" applyBorder="1" applyAlignment="1">
      <alignment horizontal="center" vertical="center"/>
    </xf>
    <xf numFmtId="166" fontId="37" fillId="0" borderId="2" xfId="0" applyNumberFormat="1" applyFont="1" applyBorder="1" applyAlignment="1">
      <alignment horizontal="center" vertical="center"/>
    </xf>
    <xf numFmtId="165" fontId="37" fillId="0" borderId="19" xfId="0" applyNumberFormat="1" applyFont="1" applyBorder="1" applyAlignment="1">
      <alignment horizontal="center" vertical="center"/>
    </xf>
    <xf numFmtId="15" fontId="36" fillId="5" borderId="2" xfId="0" applyNumberFormat="1" applyFont="1" applyFill="1" applyBorder="1"/>
    <xf numFmtId="0" fontId="36" fillId="5" borderId="3" xfId="0" applyFont="1" applyFill="1" applyBorder="1"/>
    <xf numFmtId="15" fontId="36" fillId="5" borderId="3" xfId="0" applyNumberFormat="1" applyFont="1" applyFill="1" applyBorder="1"/>
    <xf numFmtId="166" fontId="5" fillId="5" borderId="2" xfId="3" applyNumberFormat="1" applyFont="1" applyFill="1" applyBorder="1" applyAlignment="1">
      <alignment horizontal="center"/>
    </xf>
    <xf numFmtId="0" fontId="5" fillId="5" borderId="2" xfId="0" applyFont="1" applyFill="1" applyBorder="1" applyAlignment="1">
      <alignment horizontal="left" indent="5"/>
    </xf>
    <xf numFmtId="0" fontId="38" fillId="8" borderId="2" xfId="0" applyFont="1" applyFill="1" applyBorder="1" applyAlignment="1">
      <alignment horizontal="left" wrapText="1" indent="5"/>
    </xf>
    <xf numFmtId="0" fontId="5" fillId="5" borderId="2" xfId="3" applyFont="1" applyFill="1" applyBorder="1" applyAlignment="1">
      <alignment horizontal="left" indent="5"/>
    </xf>
    <xf numFmtId="0" fontId="5" fillId="5" borderId="2" xfId="0" applyFont="1" applyFill="1" applyBorder="1" applyAlignment="1">
      <alignment horizontal="left" indent="16"/>
    </xf>
    <xf numFmtId="0" fontId="38" fillId="8" borderId="2" xfId="0" applyFont="1" applyFill="1" applyBorder="1" applyAlignment="1">
      <alignment horizontal="left" wrapText="1" indent="16"/>
    </xf>
    <xf numFmtId="0" fontId="5" fillId="5" borderId="2" xfId="0" applyFont="1" applyFill="1" applyBorder="1" applyAlignment="1">
      <alignment horizontal="left" indent="7"/>
    </xf>
    <xf numFmtId="0" fontId="5" fillId="5" borderId="2" xfId="0" applyFont="1" applyFill="1" applyBorder="1" applyAlignment="1">
      <alignment horizontal="left" indent="8"/>
    </xf>
    <xf numFmtId="0" fontId="5" fillId="5" borderId="2" xfId="0" applyFont="1" applyFill="1" applyBorder="1" applyAlignment="1">
      <alignment horizontal="left" indent="11"/>
    </xf>
    <xf numFmtId="0" fontId="5" fillId="5" borderId="2" xfId="3" applyFont="1" applyFill="1" applyBorder="1" applyAlignment="1">
      <alignment horizontal="left" indent="11"/>
    </xf>
    <xf numFmtId="0" fontId="5" fillId="5" borderId="2" xfId="0" applyFont="1" applyFill="1" applyBorder="1" applyAlignment="1">
      <alignment horizontal="left" indent="15"/>
    </xf>
    <xf numFmtId="10" fontId="5" fillId="0" borderId="2" xfId="3" applyNumberFormat="1" applyFont="1" applyBorder="1" applyAlignment="1">
      <alignment horizontal="center"/>
    </xf>
    <xf numFmtId="10" fontId="8" fillId="0" borderId="2" xfId="2" applyNumberFormat="1" applyFont="1" applyBorder="1" applyAlignment="1">
      <alignment horizontal="center" vertical="center"/>
    </xf>
    <xf numFmtId="0" fontId="13" fillId="6" borderId="17" xfId="3" applyFont="1" applyFill="1" applyBorder="1" applyAlignment="1">
      <alignment horizontal="center" vertical="center" wrapText="1"/>
    </xf>
    <xf numFmtId="10" fontId="5" fillId="0" borderId="13" xfId="3" applyNumberFormat="1" applyFont="1" applyBorder="1" applyAlignment="1">
      <alignment horizontal="center"/>
    </xf>
    <xf numFmtId="0" fontId="23" fillId="8" borderId="12" xfId="0" applyFont="1" applyFill="1" applyBorder="1" applyAlignment="1">
      <alignment horizontal="center"/>
    </xf>
    <xf numFmtId="0" fontId="5" fillId="5" borderId="20" xfId="3" applyFont="1" applyFill="1" applyBorder="1" applyAlignment="1">
      <alignment horizontal="center"/>
    </xf>
    <xf numFmtId="0" fontId="5" fillId="5" borderId="20" xfId="3" applyFont="1" applyFill="1" applyBorder="1"/>
    <xf numFmtId="10" fontId="15" fillId="9" borderId="14" xfId="3" applyNumberFormat="1" applyFont="1" applyFill="1" applyBorder="1" applyAlignment="1" applyProtection="1">
      <alignment horizontal="center" vertical="center"/>
      <protection hidden="1"/>
    </xf>
    <xf numFmtId="9" fontId="5" fillId="5" borderId="2" xfId="3" applyNumberFormat="1" applyFont="1" applyFill="1" applyBorder="1" applyAlignment="1">
      <alignment horizontal="center" vertical="center"/>
    </xf>
    <xf numFmtId="10" fontId="5" fillId="5" borderId="2" xfId="3" applyNumberFormat="1" applyFont="1" applyFill="1" applyBorder="1" applyAlignment="1">
      <alignment horizontal="center" vertical="center"/>
    </xf>
    <xf numFmtId="0" fontId="39" fillId="8" borderId="2" xfId="0" applyFont="1" applyFill="1" applyBorder="1" applyAlignment="1">
      <alignment horizontal="center"/>
    </xf>
    <xf numFmtId="10" fontId="40" fillId="11" borderId="3" xfId="2" applyNumberFormat="1" applyFont="1" applyFill="1" applyBorder="1" applyAlignment="1">
      <alignment horizontal="center" vertical="center"/>
    </xf>
    <xf numFmtId="166" fontId="15" fillId="11" borderId="2" xfId="5" applyNumberFormat="1" applyFont="1" applyFill="1" applyBorder="1" applyAlignment="1">
      <alignment horizontal="center" vertical="center"/>
    </xf>
    <xf numFmtId="10" fontId="8" fillId="8" borderId="3" xfId="2" applyNumberFormat="1" applyFont="1" applyFill="1" applyBorder="1" applyAlignment="1">
      <alignment horizontal="center" vertical="center"/>
    </xf>
    <xf numFmtId="166" fontId="5" fillId="11" borderId="2" xfId="5" applyNumberFormat="1" applyFont="1" applyFill="1" applyBorder="1" applyAlignment="1" applyProtection="1">
      <alignment horizontal="center" vertical="center"/>
    </xf>
    <xf numFmtId="10" fontId="8" fillId="11" borderId="3" xfId="2" applyNumberFormat="1" applyFont="1" applyFill="1" applyBorder="1" applyAlignment="1">
      <alignment horizontal="center" vertical="center"/>
    </xf>
    <xf numFmtId="10" fontId="8" fillId="11" borderId="18" xfId="2" applyNumberFormat="1" applyFont="1" applyFill="1" applyBorder="1" applyAlignment="1">
      <alignment horizontal="center" vertical="center"/>
    </xf>
    <xf numFmtId="10" fontId="5" fillId="0" borderId="22" xfId="3" applyNumberFormat="1" applyFont="1" applyBorder="1" applyAlignment="1">
      <alignment horizontal="center"/>
    </xf>
    <xf numFmtId="10" fontId="15" fillId="9" borderId="14" xfId="0" applyNumberFormat="1" applyFont="1" applyFill="1" applyBorder="1"/>
    <xf numFmtId="0" fontId="21" fillId="0" borderId="0" xfId="0" applyFont="1"/>
    <xf numFmtId="0" fontId="41" fillId="0" borderId="8" xfId="0" applyFont="1" applyBorder="1"/>
    <xf numFmtId="0" fontId="43" fillId="12" borderId="3" xfId="0" applyFont="1" applyFill="1" applyBorder="1"/>
    <xf numFmtId="0" fontId="43" fillId="13" borderId="3" xfId="0" applyFont="1" applyFill="1" applyBorder="1"/>
    <xf numFmtId="10" fontId="5" fillId="0" borderId="2" xfId="0" applyNumberFormat="1" applyFont="1" applyBorder="1"/>
    <xf numFmtId="10" fontId="5" fillId="0" borderId="12" xfId="0" applyNumberFormat="1" applyFont="1" applyBorder="1"/>
    <xf numFmtId="166" fontId="5" fillId="5" borderId="2" xfId="0" applyNumberFormat="1" applyFont="1" applyFill="1" applyBorder="1"/>
    <xf numFmtId="166" fontId="5" fillId="5" borderId="12" xfId="0" applyNumberFormat="1" applyFont="1" applyFill="1" applyBorder="1"/>
    <xf numFmtId="166" fontId="5" fillId="5" borderId="2" xfId="3" applyNumberFormat="1" applyFont="1" applyFill="1" applyBorder="1"/>
    <xf numFmtId="166" fontId="5" fillId="5" borderId="13" xfId="0" applyNumberFormat="1" applyFont="1" applyFill="1" applyBorder="1"/>
    <xf numFmtId="166" fontId="5" fillId="5" borderId="14" xfId="0" applyNumberFormat="1" applyFont="1" applyFill="1" applyBorder="1"/>
    <xf numFmtId="0" fontId="22" fillId="5" borderId="14" xfId="0" quotePrefix="1" applyFont="1" applyFill="1" applyBorder="1"/>
    <xf numFmtId="0" fontId="22" fillId="5" borderId="14" xfId="0" applyFont="1" applyFill="1" applyBorder="1" applyAlignment="1">
      <alignment wrapText="1"/>
    </xf>
    <xf numFmtId="0" fontId="22" fillId="5" borderId="14" xfId="0" quotePrefix="1" applyFont="1" applyFill="1" applyBorder="1" applyAlignment="1">
      <alignment wrapText="1"/>
    </xf>
    <xf numFmtId="2" fontId="5" fillId="5" borderId="13" xfId="0" applyNumberFormat="1" applyFont="1" applyFill="1" applyBorder="1"/>
    <xf numFmtId="2" fontId="5" fillId="5" borderId="14" xfId="0" applyNumberFormat="1" applyFont="1" applyFill="1" applyBorder="1"/>
    <xf numFmtId="0" fontId="30" fillId="6" borderId="23" xfId="0" applyFont="1" applyFill="1" applyBorder="1" applyAlignment="1">
      <alignment wrapText="1"/>
    </xf>
    <xf numFmtId="2" fontId="5" fillId="5" borderId="2" xfId="3" applyNumberFormat="1" applyFont="1" applyFill="1" applyBorder="1"/>
    <xf numFmtId="170" fontId="5" fillId="5" borderId="14" xfId="0" applyNumberFormat="1" applyFont="1" applyFill="1" applyBorder="1"/>
    <xf numFmtId="0" fontId="36" fillId="5" borderId="24" xfId="0" applyFont="1" applyFill="1" applyBorder="1" applyAlignment="1">
      <alignment wrapText="1"/>
    </xf>
    <xf numFmtId="0" fontId="36" fillId="5" borderId="24" xfId="0" applyFont="1" applyFill="1" applyBorder="1"/>
    <xf numFmtId="9" fontId="5" fillId="5" borderId="2" xfId="3" applyNumberFormat="1" applyFont="1" applyFill="1" applyBorder="1"/>
    <xf numFmtId="0" fontId="44" fillId="5" borderId="24" xfId="0" applyFont="1" applyFill="1" applyBorder="1"/>
    <xf numFmtId="0" fontId="27" fillId="5" borderId="24" xfId="0" applyFont="1" applyFill="1" applyBorder="1"/>
    <xf numFmtId="164" fontId="3" fillId="2" borderId="25" xfId="1"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3" fillId="6" borderId="25" xfId="3" applyFont="1" applyFill="1" applyBorder="1" applyAlignment="1">
      <alignment horizontal="center" vertical="center" wrapText="1"/>
    </xf>
    <xf numFmtId="0" fontId="14" fillId="6" borderId="25" xfId="0" applyFont="1" applyFill="1" applyBorder="1" applyAlignment="1">
      <alignment horizontal="center" vertical="center" wrapText="1"/>
    </xf>
    <xf numFmtId="1" fontId="17" fillId="3" borderId="24" xfId="4" applyNumberFormat="1" applyFont="1" applyFill="1" applyBorder="1" applyAlignment="1" applyProtection="1">
      <alignment horizontal="center" vertical="center"/>
      <protection locked="0"/>
    </xf>
    <xf numFmtId="167" fontId="17" fillId="4" borderId="24" xfId="4" applyNumberFormat="1" applyFont="1" applyFill="1" applyBorder="1" applyAlignment="1">
      <alignment horizontal="center" vertical="center"/>
    </xf>
    <xf numFmtId="0" fontId="17" fillId="8" borderId="24" xfId="6" applyFont="1" applyFill="1" applyBorder="1" applyAlignment="1" applyProtection="1">
      <alignment horizontal="center" vertical="center" wrapText="1"/>
      <protection locked="0"/>
    </xf>
    <xf numFmtId="0" fontId="17" fillId="8" borderId="24" xfId="6" applyFont="1" applyFill="1" applyBorder="1" applyAlignment="1" applyProtection="1">
      <alignment horizontal="right" vertical="center" wrapText="1"/>
      <protection locked="0"/>
    </xf>
    <xf numFmtId="1" fontId="7" fillId="3" borderId="24" xfId="4" applyNumberFormat="1" applyFont="1" applyFill="1" applyBorder="1" applyAlignment="1" applyProtection="1">
      <alignment horizontal="center" vertical="center"/>
      <protection locked="0"/>
    </xf>
    <xf numFmtId="167" fontId="7" fillId="4" borderId="24" xfId="4" applyNumberFormat="1" applyFont="1" applyFill="1" applyBorder="1" applyAlignment="1">
      <alignment horizontal="center" vertical="center"/>
    </xf>
    <xf numFmtId="0" fontId="7" fillId="8" borderId="24" xfId="6" applyFont="1" applyFill="1" applyBorder="1" applyAlignment="1" applyProtection="1">
      <alignment horizontal="center" vertical="center" wrapText="1"/>
      <protection locked="0"/>
    </xf>
    <xf numFmtId="0" fontId="7" fillId="8" borderId="24" xfId="6" applyFont="1" applyFill="1" applyBorder="1" applyAlignment="1" applyProtection="1">
      <alignment horizontal="right" vertical="center" wrapText="1"/>
      <protection locked="0"/>
    </xf>
    <xf numFmtId="0" fontId="14" fillId="6" borderId="26" xfId="0" applyFont="1" applyFill="1" applyBorder="1" applyAlignment="1">
      <alignment horizontal="center" vertical="center" wrapText="1"/>
    </xf>
    <xf numFmtId="1" fontId="7" fillId="3" borderId="27" xfId="4" applyNumberFormat="1" applyFont="1" applyFill="1" applyBorder="1" applyAlignment="1" applyProtection="1">
      <alignment horizontal="center" vertical="center"/>
      <protection locked="0"/>
    </xf>
    <xf numFmtId="0" fontId="25" fillId="5" borderId="28" xfId="0" applyFont="1" applyFill="1" applyBorder="1"/>
    <xf numFmtId="0" fontId="21" fillId="5" borderId="24" xfId="0" applyFont="1" applyFill="1" applyBorder="1"/>
    <xf numFmtId="0" fontId="7" fillId="8" borderId="24" xfId="6" applyFont="1" applyFill="1" applyBorder="1" applyAlignment="1" applyProtection="1">
      <alignment horizontal="left" vertical="center" wrapText="1" indent="1"/>
      <protection locked="0"/>
    </xf>
    <xf numFmtId="0" fontId="7" fillId="8" borderId="24" xfId="6" applyFont="1" applyFill="1" applyBorder="1" applyAlignment="1" applyProtection="1">
      <alignment horizontal="left" vertical="center" wrapText="1"/>
      <protection locked="0"/>
    </xf>
    <xf numFmtId="0" fontId="43" fillId="13" borderId="24" xfId="0" applyFont="1" applyFill="1" applyBorder="1"/>
    <xf numFmtId="0" fontId="41" fillId="0" borderId="28" xfId="0" applyFont="1" applyBorder="1"/>
    <xf numFmtId="1" fontId="45" fillId="0" borderId="2" xfId="0" applyNumberFormat="1" applyFont="1" applyBorder="1" applyAlignment="1">
      <alignment horizontal="center" vertical="center"/>
    </xf>
    <xf numFmtId="10" fontId="45" fillId="0" borderId="2" xfId="0" applyNumberFormat="1" applyFont="1" applyBorder="1" applyAlignment="1">
      <alignment horizontal="center" vertical="center"/>
    </xf>
    <xf numFmtId="166" fontId="45" fillId="0" borderId="2" xfId="0" applyNumberFormat="1" applyFont="1" applyBorder="1" applyAlignment="1">
      <alignment horizontal="center" vertical="center"/>
    </xf>
    <xf numFmtId="0" fontId="0" fillId="0" borderId="2" xfId="0" applyBorder="1" applyAlignment="1">
      <alignment horizontal="center"/>
    </xf>
    <xf numFmtId="2" fontId="45" fillId="0" borderId="2" xfId="0" applyNumberFormat="1" applyFont="1" applyBorder="1" applyAlignment="1">
      <alignment horizontal="center" vertical="center"/>
    </xf>
    <xf numFmtId="0" fontId="4" fillId="5" borderId="24" xfId="0" applyFont="1" applyFill="1" applyBorder="1"/>
    <xf numFmtId="0" fontId="4" fillId="5" borderId="24" xfId="0" applyFont="1" applyFill="1" applyBorder="1" applyAlignment="1">
      <alignment wrapText="1"/>
    </xf>
    <xf numFmtId="170" fontId="5" fillId="5" borderId="13" xfId="0" applyNumberFormat="1" applyFont="1" applyFill="1" applyBorder="1"/>
    <xf numFmtId="165" fontId="45" fillId="0" borderId="2" xfId="0" applyNumberFormat="1" applyFont="1" applyBorder="1" applyAlignment="1">
      <alignment horizontal="center" vertical="center"/>
    </xf>
    <xf numFmtId="1" fontId="5" fillId="5" borderId="2" xfId="3" applyNumberFormat="1" applyFont="1" applyFill="1" applyBorder="1"/>
    <xf numFmtId="0" fontId="49" fillId="0" borderId="2" xfId="0" applyFont="1" applyBorder="1" applyAlignment="1">
      <alignment horizontal="center"/>
    </xf>
    <xf numFmtId="0" fontId="0" fillId="0" borderId="2" xfId="0" applyBorder="1"/>
    <xf numFmtId="165" fontId="45" fillId="0" borderId="20" xfId="0" applyNumberFormat="1" applyFont="1" applyBorder="1" applyAlignment="1">
      <alignment horizontal="center" vertical="center"/>
    </xf>
    <xf numFmtId="0" fontId="49" fillId="0" borderId="20" xfId="0" applyFont="1" applyBorder="1" applyAlignment="1">
      <alignment horizontal="center"/>
    </xf>
    <xf numFmtId="2" fontId="45" fillId="0" borderId="19" xfId="0" applyNumberFormat="1" applyFont="1" applyBorder="1" applyAlignment="1">
      <alignment horizontal="center" vertical="center"/>
    </xf>
    <xf numFmtId="1" fontId="45" fillId="0" borderId="19" xfId="0" applyNumberFormat="1" applyFont="1" applyBorder="1" applyAlignment="1">
      <alignment horizontal="center" vertical="center"/>
    </xf>
    <xf numFmtId="10" fontId="45" fillId="0" borderId="19" xfId="0" applyNumberFormat="1" applyFont="1" applyBorder="1" applyAlignment="1">
      <alignment horizontal="center" vertical="center"/>
    </xf>
    <xf numFmtId="166" fontId="45" fillId="0" borderId="19" xfId="0" applyNumberFormat="1" applyFont="1" applyBorder="1" applyAlignment="1">
      <alignment horizontal="center" vertical="center"/>
    </xf>
    <xf numFmtId="0" fontId="5" fillId="0" borderId="19" xfId="0" applyFont="1" applyBorder="1" applyAlignment="1">
      <alignment horizontal="center" vertical="center"/>
    </xf>
    <xf numFmtId="14" fontId="27" fillId="5" borderId="11" xfId="0" applyNumberFormat="1" applyFont="1" applyFill="1" applyBorder="1"/>
    <xf numFmtId="3" fontId="5" fillId="5" borderId="13" xfId="0" applyNumberFormat="1" applyFont="1" applyFill="1" applyBorder="1"/>
    <xf numFmtId="3" fontId="5" fillId="5" borderId="14" xfId="0" applyNumberFormat="1" applyFont="1" applyFill="1" applyBorder="1"/>
    <xf numFmtId="0" fontId="0" fillId="0" borderId="19" xfId="0" applyBorder="1" applyAlignment="1">
      <alignment horizontal="center"/>
    </xf>
    <xf numFmtId="0" fontId="0" fillId="0" borderId="2" xfId="0" applyBorder="1" applyAlignment="1">
      <alignment horizontal="center" vertical="center"/>
    </xf>
    <xf numFmtId="0" fontId="0" fillId="0" borderId="29" xfId="0" applyBorder="1" applyAlignment="1">
      <alignment horizontal="center"/>
    </xf>
    <xf numFmtId="2" fontId="37" fillId="0" borderId="13" xfId="0" applyNumberFormat="1" applyFont="1" applyBorder="1" applyAlignment="1">
      <alignment horizontal="center" vertical="center"/>
    </xf>
    <xf numFmtId="165" fontId="45" fillId="0" borderId="30" xfId="0" applyNumberFormat="1" applyFont="1" applyBorder="1" applyAlignment="1">
      <alignment horizontal="center" vertical="center"/>
    </xf>
    <xf numFmtId="2" fontId="45" fillId="0" borderId="13" xfId="0" applyNumberFormat="1" applyFon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horizontal="center"/>
    </xf>
    <xf numFmtId="2" fontId="45" fillId="0" borderId="22" xfId="0" applyNumberFormat="1" applyFont="1" applyBorder="1" applyAlignment="1">
      <alignment horizontal="center" vertical="center"/>
    </xf>
    <xf numFmtId="0" fontId="0" fillId="0" borderId="13" xfId="0" applyBorder="1" applyAlignment="1">
      <alignment horizontal="center" vertical="center"/>
    </xf>
    <xf numFmtId="0" fontId="4" fillId="8" borderId="24" xfId="0" applyFont="1" applyFill="1" applyBorder="1"/>
    <xf numFmtId="0" fontId="4" fillId="8" borderId="3" xfId="0" applyFont="1" applyFill="1" applyBorder="1"/>
    <xf numFmtId="0" fontId="5" fillId="8" borderId="2" xfId="3" applyFont="1" applyFill="1" applyBorder="1"/>
    <xf numFmtId="0" fontId="46" fillId="8" borderId="24" xfId="0" applyFont="1" applyFill="1" applyBorder="1"/>
    <xf numFmtId="0" fontId="46" fillId="8" borderId="3" xfId="0" applyFont="1" applyFill="1" applyBorder="1"/>
    <xf numFmtId="0" fontId="47" fillId="8" borderId="3" xfId="0" applyFont="1" applyFill="1" applyBorder="1"/>
    <xf numFmtId="10" fontId="48" fillId="8" borderId="24" xfId="0" applyNumberFormat="1" applyFont="1" applyFill="1" applyBorder="1"/>
    <xf numFmtId="10" fontId="48" fillId="8" borderId="3" xfId="0" applyNumberFormat="1" applyFont="1" applyFill="1" applyBorder="1"/>
    <xf numFmtId="0" fontId="5" fillId="5" borderId="13" xfId="0" applyFont="1" applyFill="1" applyBorder="1" applyAlignment="1">
      <alignment horizontal="left"/>
    </xf>
    <xf numFmtId="1" fontId="5" fillId="5" borderId="13" xfId="0" applyNumberFormat="1" applyFont="1" applyFill="1" applyBorder="1"/>
    <xf numFmtId="10" fontId="5" fillId="5" borderId="20" xfId="3" applyNumberFormat="1" applyFont="1" applyFill="1" applyBorder="1"/>
    <xf numFmtId="0" fontId="5" fillId="5" borderId="13" xfId="3" applyFont="1" applyFill="1" applyBorder="1"/>
    <xf numFmtId="1" fontId="15" fillId="11" borderId="12" xfId="3" applyNumberFormat="1" applyFont="1" applyFill="1" applyBorder="1" applyAlignment="1" applyProtection="1">
      <alignment horizontal="center" vertical="center"/>
      <protection hidden="1"/>
    </xf>
    <xf numFmtId="3" fontId="5" fillId="5" borderId="2" xfId="3" applyNumberFormat="1" applyFont="1" applyFill="1" applyBorder="1"/>
    <xf numFmtId="0" fontId="5" fillId="5" borderId="13" xfId="0" applyFont="1" applyFill="1" applyBorder="1" applyAlignment="1">
      <alignment wrapText="1"/>
    </xf>
    <xf numFmtId="0" fontId="47" fillId="8" borderId="2" xfId="0" applyFont="1" applyFill="1" applyBorder="1"/>
    <xf numFmtId="0" fontId="47" fillId="8" borderId="12" xfId="0" applyFont="1" applyFill="1" applyBorder="1"/>
    <xf numFmtId="10" fontId="48" fillId="8" borderId="2" xfId="0" applyNumberFormat="1" applyFont="1" applyFill="1" applyBorder="1"/>
    <xf numFmtId="10" fontId="48" fillId="8" borderId="13" xfId="0" applyNumberFormat="1" applyFont="1" applyFill="1" applyBorder="1"/>
    <xf numFmtId="10" fontId="48" fillId="8" borderId="12" xfId="0" applyNumberFormat="1" applyFont="1" applyFill="1" applyBorder="1"/>
    <xf numFmtId="10" fontId="48" fillId="8" borderId="14" xfId="0" applyNumberFormat="1" applyFont="1" applyFill="1" applyBorder="1"/>
    <xf numFmtId="0" fontId="27" fillId="8" borderId="24" xfId="0" applyFont="1" applyFill="1" applyBorder="1"/>
    <xf numFmtId="0" fontId="27" fillId="8" borderId="3" xfId="0" applyFont="1" applyFill="1" applyBorder="1"/>
    <xf numFmtId="1" fontId="5" fillId="8" borderId="13" xfId="0" applyNumberFormat="1" applyFont="1" applyFill="1" applyBorder="1"/>
    <xf numFmtId="0" fontId="5" fillId="8" borderId="13" xfId="0" applyFont="1" applyFill="1" applyBorder="1"/>
    <xf numFmtId="0" fontId="0" fillId="0" borderId="0" xfId="0" applyAlignment="1">
      <alignment horizontal="right"/>
    </xf>
    <xf numFmtId="0" fontId="50" fillId="15" borderId="2" xfId="0" applyFont="1" applyFill="1" applyBorder="1" applyAlignment="1">
      <alignment horizontal="center" vertical="center"/>
    </xf>
    <xf numFmtId="171" fontId="50" fillId="15" borderId="2" xfId="0" applyNumberFormat="1" applyFont="1" applyFill="1" applyBorder="1" applyAlignment="1">
      <alignment horizontal="center" vertical="center"/>
    </xf>
    <xf numFmtId="0" fontId="13" fillId="6" borderId="2" xfId="3" applyFont="1" applyFill="1" applyBorder="1" applyAlignment="1">
      <alignment horizontal="center" vertical="center" wrapText="1"/>
    </xf>
    <xf numFmtId="0" fontId="16" fillId="6" borderId="2" xfId="0" applyFont="1" applyFill="1" applyBorder="1" applyAlignment="1">
      <alignment horizontal="center" vertical="center" wrapText="1"/>
    </xf>
    <xf numFmtId="10" fontId="0" fillId="0" borderId="2" xfId="0" applyNumberFormat="1" applyBorder="1" applyAlignment="1">
      <alignment horizontal="center" vertical="center"/>
    </xf>
    <xf numFmtId="167" fontId="39" fillId="8" borderId="2" xfId="0" applyNumberFormat="1" applyFont="1" applyFill="1" applyBorder="1" applyAlignment="1">
      <alignment horizontal="center"/>
    </xf>
    <xf numFmtId="10" fontId="8" fillId="11" borderId="2" xfId="2" applyNumberFormat="1" applyFont="1" applyFill="1" applyBorder="1" applyAlignment="1">
      <alignment horizontal="center" vertical="center"/>
    </xf>
    <xf numFmtId="1" fontId="15" fillId="9" borderId="20" xfId="3" applyNumberFormat="1" applyFont="1" applyFill="1" applyBorder="1" applyAlignment="1" applyProtection="1">
      <alignment horizontal="center" vertical="center"/>
      <protection hidden="1"/>
    </xf>
    <xf numFmtId="10" fontId="8" fillId="0" borderId="19" xfId="2" applyNumberFormat="1" applyFont="1" applyBorder="1" applyAlignment="1">
      <alignment horizontal="center" vertical="center"/>
    </xf>
    <xf numFmtId="10" fontId="8" fillId="16" borderId="2" xfId="2" applyNumberFormat="1" applyFont="1" applyFill="1" applyBorder="1" applyAlignment="1">
      <alignment horizontal="center" vertical="center"/>
    </xf>
    <xf numFmtId="0" fontId="34" fillId="13" borderId="24" xfId="0" applyFont="1" applyFill="1" applyBorder="1"/>
    <xf numFmtId="0" fontId="51" fillId="5" borderId="2" xfId="0" applyFont="1" applyFill="1" applyBorder="1"/>
    <xf numFmtId="0" fontId="51" fillId="5" borderId="28" xfId="0" applyFont="1" applyFill="1" applyBorder="1"/>
    <xf numFmtId="165" fontId="37" fillId="0" borderId="2" xfId="0" applyNumberFormat="1" applyFont="1" applyBorder="1" applyAlignment="1">
      <alignment vertical="center"/>
    </xf>
    <xf numFmtId="171" fontId="0" fillId="0" borderId="2" xfId="0" applyNumberFormat="1" applyBorder="1"/>
    <xf numFmtId="0" fontId="0" fillId="0" borderId="2" xfId="0" applyBorder="1" applyAlignment="1">
      <alignment vertical="center"/>
    </xf>
    <xf numFmtId="0" fontId="5" fillId="16" borderId="2" xfId="3" applyFont="1" applyFill="1" applyBorder="1"/>
    <xf numFmtId="0" fontId="5" fillId="5" borderId="2" xfId="3" applyFont="1" applyFill="1" applyBorder="1" applyAlignment="1">
      <alignment horizontal="left" indent="6"/>
    </xf>
    <xf numFmtId="0" fontId="5" fillId="5" borderId="19" xfId="3" applyFont="1" applyFill="1" applyBorder="1"/>
    <xf numFmtId="0" fontId="22" fillId="5" borderId="24" xfId="0" applyFont="1" applyFill="1" applyBorder="1"/>
    <xf numFmtId="0" fontId="22" fillId="5" borderId="28" xfId="0" applyFont="1" applyFill="1" applyBorder="1"/>
    <xf numFmtId="0" fontId="22" fillId="5" borderId="3" xfId="0" applyFont="1" applyFill="1" applyBorder="1"/>
    <xf numFmtId="0" fontId="22" fillId="5" borderId="8" xfId="0" applyFont="1" applyFill="1" applyBorder="1"/>
    <xf numFmtId="10" fontId="22" fillId="5" borderId="24" xfId="0" applyNumberFormat="1" applyFont="1" applyFill="1" applyBorder="1"/>
    <xf numFmtId="10" fontId="22" fillId="5" borderId="28" xfId="0" applyNumberFormat="1" applyFont="1" applyFill="1" applyBorder="1"/>
    <xf numFmtId="10" fontId="22" fillId="5" borderId="3" xfId="0" applyNumberFormat="1" applyFont="1" applyFill="1" applyBorder="1"/>
    <xf numFmtId="10" fontId="22" fillId="5" borderId="8" xfId="0" applyNumberFormat="1" applyFont="1" applyFill="1" applyBorder="1"/>
    <xf numFmtId="0" fontId="22" fillId="0" borderId="24" xfId="0" applyFont="1" applyBorder="1"/>
    <xf numFmtId="0" fontId="22" fillId="0" borderId="3" xfId="0" applyFont="1" applyBorder="1"/>
    <xf numFmtId="0" fontId="22" fillId="0" borderId="24" xfId="0" applyFont="1" applyBorder="1" applyAlignment="1">
      <alignment horizontal="center"/>
    </xf>
    <xf numFmtId="0" fontId="22" fillId="0" borderId="28" xfId="0" applyFont="1" applyBorder="1" applyAlignment="1">
      <alignment horizontal="center"/>
    </xf>
    <xf numFmtId="0" fontId="22" fillId="0" borderId="3" xfId="0" applyFont="1" applyBorder="1" applyAlignment="1">
      <alignment horizontal="center"/>
    </xf>
    <xf numFmtId="0" fontId="22" fillId="0" borderId="8" xfId="0" applyFont="1" applyBorder="1" applyAlignment="1">
      <alignment horizontal="center"/>
    </xf>
    <xf numFmtId="0" fontId="22" fillId="5" borderId="2" xfId="0" applyFont="1" applyFill="1" applyBorder="1"/>
    <xf numFmtId="0" fontId="22" fillId="5" borderId="12" xfId="0" applyFont="1" applyFill="1" applyBorder="1"/>
    <xf numFmtId="0" fontId="22" fillId="5" borderId="32" xfId="0" applyFont="1" applyFill="1" applyBorder="1"/>
    <xf numFmtId="0" fontId="5" fillId="0" borderId="13"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10" fontId="52" fillId="0" borderId="2" xfId="0" applyNumberFormat="1" applyFont="1" applyBorder="1"/>
    <xf numFmtId="0" fontId="34" fillId="12" borderId="24" xfId="0" applyFont="1" applyFill="1" applyBorder="1"/>
    <xf numFmtId="169" fontId="5" fillId="5" borderId="2" xfId="3" applyNumberFormat="1" applyFont="1" applyFill="1" applyBorder="1"/>
    <xf numFmtId="10" fontId="32" fillId="17" borderId="18" xfId="2" applyNumberFormat="1" applyFont="1" applyFill="1" applyBorder="1" applyAlignment="1">
      <alignment horizontal="center" vertical="center"/>
    </xf>
    <xf numFmtId="9" fontId="5" fillId="8" borderId="2" xfId="3" applyNumberFormat="1" applyFont="1" applyFill="1" applyBorder="1"/>
    <xf numFmtId="0" fontId="51" fillId="0" borderId="24" xfId="0" applyFont="1" applyBorder="1"/>
    <xf numFmtId="0" fontId="51" fillId="0" borderId="28" xfId="0" applyFont="1" applyBorder="1"/>
    <xf numFmtId="10" fontId="51" fillId="5" borderId="24" xfId="0" applyNumberFormat="1" applyFont="1" applyFill="1" applyBorder="1"/>
    <xf numFmtId="10" fontId="51" fillId="5" borderId="28" xfId="0" applyNumberFormat="1" applyFont="1" applyFill="1" applyBorder="1"/>
    <xf numFmtId="0" fontId="51" fillId="5" borderId="13" xfId="0" applyFont="1" applyFill="1" applyBorder="1"/>
    <xf numFmtId="1" fontId="15" fillId="9" borderId="14" xfId="0" applyNumberFormat="1" applyFont="1" applyFill="1" applyBorder="1"/>
    <xf numFmtId="0" fontId="51" fillId="5" borderId="12" xfId="0" applyFont="1" applyFill="1" applyBorder="1"/>
    <xf numFmtId="0" fontId="51" fillId="5" borderId="14" xfId="0" applyFont="1" applyFill="1" applyBorder="1"/>
    <xf numFmtId="0" fontId="51" fillId="0" borderId="13" xfId="0" applyFont="1" applyBorder="1"/>
    <xf numFmtId="10" fontId="51" fillId="0" borderId="13" xfId="0" applyNumberFormat="1" applyFont="1" applyBorder="1"/>
    <xf numFmtId="10" fontId="51" fillId="5" borderId="13" xfId="0" applyNumberFormat="1" applyFont="1" applyFill="1" applyBorder="1"/>
    <xf numFmtId="0" fontId="51" fillId="0" borderId="14" xfId="0" applyFont="1" applyBorder="1"/>
    <xf numFmtId="10" fontId="51" fillId="0" borderId="14" xfId="0" applyNumberFormat="1" applyFont="1" applyBorder="1"/>
    <xf numFmtId="10" fontId="51" fillId="5" borderId="14" xfId="0" applyNumberFormat="1" applyFont="1" applyFill="1" applyBorder="1"/>
    <xf numFmtId="10" fontId="53" fillId="0" borderId="3" xfId="0" applyNumberFormat="1" applyFont="1" applyBorder="1" applyAlignment="1">
      <alignment horizontal="center"/>
    </xf>
    <xf numFmtId="10" fontId="53" fillId="0" borderId="8" xfId="0" applyNumberFormat="1" applyFont="1" applyBorder="1" applyAlignment="1">
      <alignment horizontal="center"/>
    </xf>
    <xf numFmtId="15" fontId="5" fillId="0" borderId="12" xfId="0" applyNumberFormat="1" applyFont="1" applyBorder="1" applyAlignment="1">
      <alignment horizontal="center" vertical="center"/>
    </xf>
    <xf numFmtId="10" fontId="22" fillId="5" borderId="14" xfId="0" applyNumberFormat="1" applyFont="1" applyFill="1" applyBorder="1" applyAlignment="1">
      <alignment horizontal="center" vertical="center"/>
    </xf>
    <xf numFmtId="15" fontId="5" fillId="0" borderId="12" xfId="0" applyNumberFormat="1" applyFont="1" applyBorder="1" applyAlignment="1">
      <alignment horizontal="right" vertical="center"/>
    </xf>
    <xf numFmtId="0" fontId="22" fillId="0" borderId="14" xfId="0" applyFont="1" applyBorder="1" applyAlignment="1">
      <alignment horizontal="right" vertical="center"/>
    </xf>
    <xf numFmtId="0" fontId="22" fillId="5" borderId="14" xfId="0" applyFont="1" applyFill="1" applyBorder="1" applyAlignment="1">
      <alignment horizontal="right" vertical="center"/>
    </xf>
    <xf numFmtId="10" fontId="5" fillId="0" borderId="2" xfId="3" applyNumberFormat="1" applyFont="1" applyBorder="1" applyAlignment="1">
      <alignment horizontal="right" vertical="center"/>
    </xf>
    <xf numFmtId="10" fontId="22" fillId="5" borderId="14" xfId="0" applyNumberFormat="1" applyFont="1" applyFill="1" applyBorder="1" applyAlignment="1">
      <alignment horizontal="right" vertical="center"/>
    </xf>
    <xf numFmtId="0" fontId="51" fillId="0" borderId="2" xfId="0" applyFont="1" applyBorder="1"/>
    <xf numFmtId="0" fontId="51" fillId="0" borderId="12" xfId="0" applyFont="1" applyBorder="1"/>
    <xf numFmtId="15" fontId="5" fillId="0" borderId="12" xfId="0" applyNumberFormat="1" applyFont="1" applyBorder="1" applyAlignment="1">
      <alignment vertical="center"/>
    </xf>
    <xf numFmtId="0" fontId="22" fillId="0" borderId="14" xfId="0" applyFont="1" applyBorder="1" applyAlignment="1">
      <alignment vertical="center"/>
    </xf>
    <xf numFmtId="0" fontId="22" fillId="5" borderId="14" xfId="0" applyFont="1" applyFill="1" applyBorder="1" applyAlignment="1">
      <alignment vertical="center"/>
    </xf>
    <xf numFmtId="10" fontId="5" fillId="0" borderId="2" xfId="3" applyNumberFormat="1" applyFont="1" applyBorder="1" applyAlignment="1">
      <alignment vertical="center"/>
    </xf>
    <xf numFmtId="10" fontId="22" fillId="5" borderId="14" xfId="0" applyNumberFormat="1" applyFont="1" applyFill="1" applyBorder="1" applyAlignment="1">
      <alignment vertical="center"/>
    </xf>
    <xf numFmtId="10" fontId="52" fillId="0" borderId="13" xfId="0" applyNumberFormat="1" applyFont="1" applyBorder="1" applyAlignment="1">
      <alignment horizontal="center"/>
    </xf>
    <xf numFmtId="10" fontId="52" fillId="0" borderId="14" xfId="0" applyNumberFormat="1" applyFont="1" applyBorder="1" applyAlignment="1">
      <alignment horizontal="center"/>
    </xf>
    <xf numFmtId="1" fontId="5" fillId="0" borderId="29" xfId="0" applyNumberFormat="1" applyFont="1" applyBorder="1"/>
    <xf numFmtId="0" fontId="54" fillId="8" borderId="24" xfId="0" applyFont="1" applyFill="1" applyBorder="1"/>
    <xf numFmtId="0" fontId="54" fillId="8" borderId="3" xfId="0" applyFont="1" applyFill="1" applyBorder="1"/>
    <xf numFmtId="17" fontId="15" fillId="11" borderId="2" xfId="3" applyNumberFormat="1" applyFont="1" applyFill="1" applyBorder="1" applyProtection="1">
      <protection locked="0"/>
    </xf>
    <xf numFmtId="2" fontId="5" fillId="0" borderId="2" xfId="0" applyNumberFormat="1" applyFont="1" applyBorder="1" applyAlignment="1">
      <alignment horizontal="center"/>
    </xf>
    <xf numFmtId="0" fontId="5" fillId="5" borderId="2" xfId="3" applyFont="1" applyFill="1" applyBorder="1" applyAlignment="1">
      <alignment horizontal="center" wrapText="1" indent="1"/>
    </xf>
    <xf numFmtId="0" fontId="5" fillId="0" borderId="24" xfId="0" applyFont="1" applyBorder="1"/>
    <xf numFmtId="10" fontId="5" fillId="5" borderId="2" xfId="3" applyNumberFormat="1" applyFont="1" applyFill="1" applyBorder="1" applyAlignment="1">
      <alignment horizontal="center" wrapText="1"/>
    </xf>
    <xf numFmtId="0" fontId="51" fillId="5" borderId="8" xfId="0" applyFont="1" applyFill="1" applyBorder="1"/>
    <xf numFmtId="10" fontId="51" fillId="5" borderId="3" xfId="0" applyNumberFormat="1" applyFont="1" applyFill="1" applyBorder="1"/>
    <xf numFmtId="10" fontId="51" fillId="5" borderId="8" xfId="0" applyNumberFormat="1" applyFont="1" applyFill="1" applyBorder="1"/>
    <xf numFmtId="0" fontId="51" fillId="0" borderId="3" xfId="0" applyFont="1" applyBorder="1"/>
    <xf numFmtId="0" fontId="51" fillId="0" borderId="8" xfId="0" applyFont="1" applyBorder="1"/>
    <xf numFmtId="10" fontId="51" fillId="5" borderId="2" xfId="0" applyNumberFormat="1" applyFont="1" applyFill="1" applyBorder="1"/>
    <xf numFmtId="10" fontId="51" fillId="5" borderId="12" xfId="0" applyNumberFormat="1" applyFont="1" applyFill="1" applyBorder="1"/>
    <xf numFmtId="2" fontId="22" fillId="0" borderId="13" xfId="0" applyNumberFormat="1" applyFont="1" applyBorder="1"/>
    <xf numFmtId="10" fontId="22" fillId="5" borderId="2" xfId="0" applyNumberFormat="1" applyFont="1" applyFill="1" applyBorder="1"/>
    <xf numFmtId="10" fontId="22" fillId="5" borderId="12" xfId="0" applyNumberFormat="1" applyFont="1" applyFill="1" applyBorder="1"/>
    <xf numFmtId="9" fontId="15" fillId="9" borderId="2" xfId="3" applyNumberFormat="1" applyFont="1" applyFill="1" applyBorder="1" applyAlignment="1" applyProtection="1">
      <alignment horizontal="center" vertical="center"/>
      <protection hidden="1"/>
    </xf>
    <xf numFmtId="0" fontId="55" fillId="8" borderId="24" xfId="0" applyFont="1" applyFill="1" applyBorder="1" applyAlignment="1">
      <alignment wrapText="1"/>
    </xf>
    <xf numFmtId="0" fontId="56" fillId="8" borderId="24" xfId="0" applyFont="1" applyFill="1" applyBorder="1" applyAlignment="1">
      <alignment wrapText="1"/>
    </xf>
    <xf numFmtId="2" fontId="22" fillId="5" borderId="2" xfId="0" applyNumberFormat="1" applyFont="1" applyFill="1" applyBorder="1" applyAlignment="1">
      <alignment horizontal="right"/>
    </xf>
    <xf numFmtId="2" fontId="22" fillId="5" borderId="12" xfId="0" applyNumberFormat="1" applyFont="1" applyFill="1" applyBorder="1" applyAlignment="1">
      <alignment horizontal="right"/>
    </xf>
    <xf numFmtId="0" fontId="22" fillId="5" borderId="13" xfId="0" quotePrefix="1" applyFont="1" applyFill="1" applyBorder="1"/>
    <xf numFmtId="166" fontId="5" fillId="5" borderId="2" xfId="0" applyNumberFormat="1" applyFont="1" applyFill="1" applyBorder="1" applyAlignment="1">
      <alignment horizontal="center"/>
    </xf>
    <xf numFmtId="167" fontId="5" fillId="5" borderId="2" xfId="0" applyNumberFormat="1" applyFont="1" applyFill="1" applyBorder="1" applyAlignment="1">
      <alignment horizontal="center"/>
    </xf>
    <xf numFmtId="167" fontId="5" fillId="5" borderId="12" xfId="0" applyNumberFormat="1" applyFont="1" applyFill="1" applyBorder="1" applyAlignment="1">
      <alignment horizontal="center"/>
    </xf>
    <xf numFmtId="0" fontId="51" fillId="14" borderId="2" xfId="0" applyFont="1" applyFill="1" applyBorder="1"/>
    <xf numFmtId="0" fontId="57" fillId="6" borderId="1" xfId="0" applyFont="1" applyFill="1" applyBorder="1" applyAlignment="1">
      <alignment horizontal="center" vertical="center" wrapText="1"/>
    </xf>
    <xf numFmtId="0" fontId="57" fillId="6" borderId="17" xfId="0" applyFont="1" applyFill="1" applyBorder="1" applyAlignment="1">
      <alignment horizontal="center" vertical="center" wrapText="1"/>
    </xf>
    <xf numFmtId="0" fontId="58" fillId="6" borderId="17" xfId="0" applyFont="1" applyFill="1" applyBorder="1" applyAlignment="1">
      <alignment horizontal="center" vertical="center" wrapText="1"/>
    </xf>
    <xf numFmtId="0" fontId="57" fillId="6" borderId="23" xfId="0" applyFont="1" applyFill="1" applyBorder="1" applyAlignment="1">
      <alignment horizontal="center" vertical="center" wrapText="1"/>
    </xf>
    <xf numFmtId="0" fontId="59" fillId="0" borderId="0" xfId="0" applyFont="1" applyAlignment="1">
      <alignment horizontal="center" vertical="center"/>
    </xf>
    <xf numFmtId="0" fontId="59" fillId="0" borderId="0" xfId="0" applyFont="1"/>
    <xf numFmtId="0" fontId="60" fillId="16" borderId="24" xfId="0" applyFont="1" applyFill="1" applyBorder="1" applyAlignment="1">
      <alignment horizontal="center"/>
    </xf>
    <xf numFmtId="0" fontId="60" fillId="8" borderId="24" xfId="0" applyFont="1" applyFill="1" applyBorder="1" applyAlignment="1">
      <alignment horizontal="center"/>
    </xf>
    <xf numFmtId="0" fontId="60" fillId="8" borderId="3" xfId="0" applyFont="1" applyFill="1" applyBorder="1" applyAlignment="1">
      <alignment horizontal="center"/>
    </xf>
    <xf numFmtId="10" fontId="8" fillId="16" borderId="3" xfId="2" applyNumberFormat="1" applyFont="1" applyFill="1" applyBorder="1" applyAlignment="1">
      <alignment horizontal="center" vertical="center"/>
    </xf>
    <xf numFmtId="17" fontId="10" fillId="5" borderId="3" xfId="3" applyNumberFormat="1" applyFont="1" applyFill="1" applyBorder="1" applyAlignment="1">
      <alignment horizontal="center"/>
    </xf>
    <xf numFmtId="0" fontId="10" fillId="5" borderId="8" xfId="3" applyFont="1" applyFill="1" applyBorder="1" applyAlignment="1">
      <alignment horizontal="center"/>
    </xf>
    <xf numFmtId="15" fontId="10" fillId="5" borderId="11" xfId="3" applyNumberFormat="1" applyFont="1" applyFill="1" applyBorder="1" applyAlignment="1">
      <alignment horizontal="center"/>
    </xf>
    <xf numFmtId="0" fontId="12" fillId="7" borderId="11" xfId="3" applyFont="1" applyFill="1" applyBorder="1" applyAlignment="1">
      <alignment horizontal="center"/>
    </xf>
    <xf numFmtId="0" fontId="12" fillId="7" borderId="0" xfId="3" applyFont="1" applyFill="1" applyAlignment="1">
      <alignment horizontal="center"/>
    </xf>
    <xf numFmtId="1" fontId="5" fillId="5" borderId="2" xfId="3" applyNumberFormat="1" applyFont="1" applyFill="1" applyBorder="1" applyAlignment="1">
      <alignment horizontal="center"/>
    </xf>
    <xf numFmtId="2" fontId="5" fillId="5" borderId="2" xfId="3" applyNumberFormat="1" applyFont="1" applyFill="1" applyBorder="1" applyAlignment="1">
      <alignment horizontal="center"/>
    </xf>
    <xf numFmtId="0" fontId="5" fillId="5" borderId="13" xfId="0" applyFont="1" applyFill="1" applyBorder="1" applyAlignment="1">
      <alignment horizontal="center"/>
    </xf>
    <xf numFmtId="0" fontId="27" fillId="5" borderId="24" xfId="0" applyFont="1" applyFill="1" applyBorder="1" applyAlignment="1">
      <alignment horizontal="center"/>
    </xf>
    <xf numFmtId="170" fontId="5" fillId="5" borderId="13" xfId="0" applyNumberFormat="1" applyFont="1" applyFill="1" applyBorder="1" applyAlignment="1">
      <alignment horizontal="center"/>
    </xf>
    <xf numFmtId="170" fontId="5" fillId="5" borderId="14" xfId="0" applyNumberFormat="1" applyFont="1" applyFill="1" applyBorder="1" applyAlignment="1">
      <alignment horizontal="center"/>
    </xf>
    <xf numFmtId="17" fontId="15" fillId="11" borderId="2" xfId="3" applyNumberFormat="1" applyFont="1" applyFill="1" applyBorder="1" applyAlignment="1" applyProtection="1">
      <alignment horizontal="center"/>
      <protection locked="0"/>
    </xf>
    <xf numFmtId="0" fontId="5" fillId="5" borderId="19" xfId="3" applyFont="1" applyFill="1" applyBorder="1" applyAlignment="1">
      <alignment horizontal="center"/>
    </xf>
    <xf numFmtId="0" fontId="5" fillId="5" borderId="12" xfId="3" applyFont="1" applyFill="1" applyBorder="1" applyAlignment="1">
      <alignment horizontal="center"/>
    </xf>
    <xf numFmtId="4" fontId="5" fillId="5" borderId="2" xfId="0" applyNumberFormat="1" applyFont="1" applyFill="1" applyBorder="1" applyAlignment="1">
      <alignment horizontal="center"/>
    </xf>
    <xf numFmtId="4" fontId="5" fillId="5" borderId="12" xfId="0" applyNumberFormat="1" applyFont="1" applyFill="1" applyBorder="1" applyAlignment="1">
      <alignment horizontal="center"/>
    </xf>
    <xf numFmtId="2" fontId="5" fillId="0" borderId="2" xfId="3" applyNumberFormat="1" applyFont="1" applyBorder="1" applyAlignment="1">
      <alignment horizontal="center"/>
    </xf>
    <xf numFmtId="2" fontId="0" fillId="0" borderId="0" xfId="0" applyNumberFormat="1"/>
    <xf numFmtId="0" fontId="1" fillId="0" borderId="2" xfId="0" applyFont="1" applyBorder="1"/>
    <xf numFmtId="0" fontId="1" fillId="0" borderId="2" xfId="0" applyFont="1" applyBorder="1" applyAlignment="1">
      <alignment horizontal="center"/>
    </xf>
    <xf numFmtId="0" fontId="0" fillId="0" borderId="0" xfId="0" applyAlignment="1">
      <alignment horizontal="center"/>
    </xf>
    <xf numFmtId="0" fontId="9" fillId="6" borderId="4" xfId="3" applyFont="1" applyFill="1" applyBorder="1" applyAlignment="1">
      <alignment horizontal="center" vertical="center" wrapText="1"/>
    </xf>
    <xf numFmtId="0" fontId="9" fillId="6" borderId="5" xfId="3" applyFont="1" applyFill="1" applyBorder="1" applyAlignment="1">
      <alignment horizontal="center" vertical="center" wrapText="1"/>
    </xf>
    <xf numFmtId="0" fontId="11" fillId="7" borderId="6" xfId="3" applyFont="1" applyFill="1" applyBorder="1"/>
    <xf numFmtId="0" fontId="11" fillId="7" borderId="7" xfId="3" applyFont="1" applyFill="1" applyBorder="1"/>
    <xf numFmtId="0" fontId="11" fillId="7" borderId="9" xfId="3" applyFont="1" applyFill="1" applyBorder="1" applyAlignment="1">
      <alignment horizontal="center"/>
    </xf>
    <xf numFmtId="0" fontId="11" fillId="7" borderId="10" xfId="3" applyFont="1" applyFill="1" applyBorder="1" applyAlignment="1">
      <alignment horizontal="center"/>
    </xf>
    <xf numFmtId="0" fontId="19" fillId="6" borderId="4" xfId="0" applyFont="1" applyFill="1" applyBorder="1" applyAlignment="1">
      <alignment horizontal="center" wrapText="1"/>
    </xf>
    <xf numFmtId="0" fontId="19" fillId="6" borderId="5" xfId="0" applyFont="1" applyFill="1" applyBorder="1" applyAlignment="1">
      <alignment horizontal="center" wrapText="1"/>
    </xf>
    <xf numFmtId="0" fontId="26" fillId="6" borderId="4" xfId="0" applyFont="1" applyFill="1" applyBorder="1" applyAlignment="1">
      <alignment horizontal="center" wrapText="1"/>
    </xf>
    <xf numFmtId="0" fontId="26" fillId="6" borderId="5" xfId="0" applyFont="1" applyFill="1" applyBorder="1" applyAlignment="1">
      <alignment horizontal="center" wrapText="1"/>
    </xf>
    <xf numFmtId="0" fontId="28" fillId="7" borderId="6" xfId="0" applyFont="1" applyFill="1" applyBorder="1"/>
    <xf numFmtId="0" fontId="28" fillId="7" borderId="7" xfId="0" applyFont="1" applyFill="1" applyBorder="1"/>
    <xf numFmtId="0" fontId="26" fillId="6" borderId="4" xfId="0" applyFont="1" applyFill="1" applyBorder="1" applyAlignment="1">
      <alignment wrapText="1"/>
    </xf>
    <xf numFmtId="0" fontId="26" fillId="6" borderId="5" xfId="0" applyFont="1" applyFill="1" applyBorder="1" applyAlignment="1">
      <alignment wrapText="1"/>
    </xf>
    <xf numFmtId="0" fontId="28" fillId="7" borderId="9" xfId="0" applyFont="1" applyFill="1" applyBorder="1"/>
    <xf numFmtId="0" fontId="26" fillId="6" borderId="4" xfId="0" applyFont="1" applyFill="1" applyBorder="1" applyAlignment="1">
      <alignment horizontal="center" vertical="center" wrapText="1"/>
    </xf>
    <xf numFmtId="0" fontId="26" fillId="6" borderId="5" xfId="0" applyFont="1" applyFill="1" applyBorder="1" applyAlignment="1">
      <alignment horizontal="center" vertical="center" wrapText="1"/>
    </xf>
    <xf numFmtId="0" fontId="42" fillId="0" borderId="0" xfId="0" applyFont="1" applyAlignment="1">
      <alignment readingOrder="1"/>
    </xf>
    <xf numFmtId="0" fontId="11" fillId="7" borderId="6" xfId="3" applyFont="1" applyFill="1" applyBorder="1" applyAlignment="1">
      <alignment horizontal="center"/>
    </xf>
    <xf numFmtId="0" fontId="11" fillId="7" borderId="7" xfId="3" applyFont="1" applyFill="1" applyBorder="1" applyAlignment="1">
      <alignment horizontal="center"/>
    </xf>
  </cellXfs>
  <cellStyles count="7">
    <cellStyle name="Comma" xfId="1" builtinId="3"/>
    <cellStyle name="Normal" xfId="0" builtinId="0"/>
    <cellStyle name="Normal 2" xfId="3" xr:uid="{1CB66CF6-B854-49A3-A2F9-2F55860EBCBC}"/>
    <cellStyle name="Normal 2 2" xfId="6" xr:uid="{D9434A57-8691-44AE-ADE5-857CD6C7918E}"/>
    <cellStyle name="Normal 6" xfId="4" xr:uid="{7533DE71-71FF-45D9-9445-05F19C1712B7}"/>
    <cellStyle name="Percent" xfId="2" builtinId="5"/>
    <cellStyle name="Percent 2" xfId="5" xr:uid="{2A6B92B6-2BBF-404F-AA2E-C324C0CAE244}"/>
  </cellStyles>
  <dxfs count="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pivotCacheDefinition" Target="pivotCache/pivotCacheDefinition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externalLink" Target="externalLinks/externalLink1.xml"/><Relationship Id="rId99" Type="http://schemas.openxmlformats.org/officeDocument/2006/relationships/sharedStrings" Target="sharedString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[Generation_Data.xlsx]Capcity!PivotTable1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Capcity!$A$3</c:f>
              <c:strCache>
                <c:ptCount val="1"/>
                <c:pt idx="0">
                  <c:v>Sum of AC Capacity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Capcity!$A$4</c:f>
              <c:strCache>
                <c:ptCount val="1"/>
                <c:pt idx="0">
                  <c:v>Total</c:v>
                </c:pt>
              </c:strCache>
            </c:strRef>
          </c:cat>
          <c:val>
            <c:numRef>
              <c:f>Capcity!$A$4</c:f>
              <c:numCache>
                <c:formatCode>0.00</c:formatCode>
                <c:ptCount val="1"/>
                <c:pt idx="0">
                  <c:v>428.33699999999988</c:v>
                </c:pt>
              </c:numCache>
            </c:numRef>
          </c:val>
          <c:extLst>
            <c:ext xmlns:c16="http://schemas.microsoft.com/office/drawing/2014/chart" uri="{C3380CC4-5D6E-409C-BE32-E72D297353CC}">
              <c16:uniqueId val="{00000000-D119-4845-8725-BEDF59A673D7}"/>
            </c:ext>
          </c:extLst>
        </c:ser>
        <c:ser>
          <c:idx val="1"/>
          <c:order val="1"/>
          <c:tx>
            <c:strRef>
              <c:f>Capcity!$B$3</c:f>
              <c:strCache>
                <c:ptCount val="1"/>
                <c:pt idx="0">
                  <c:v>Sum of DC Capacity
MWp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Capcity!$A$4</c:f>
              <c:strCache>
                <c:ptCount val="1"/>
                <c:pt idx="0">
                  <c:v>Total</c:v>
                </c:pt>
              </c:strCache>
            </c:strRef>
          </c:cat>
          <c:val>
            <c:numRef>
              <c:f>Capcity!$B$4</c:f>
              <c:numCache>
                <c:formatCode>0.00</c:formatCode>
                <c:ptCount val="1"/>
                <c:pt idx="0">
                  <c:v>553.12944000000005</c:v>
                </c:pt>
              </c:numCache>
            </c:numRef>
          </c:val>
          <c:extLst>
            <c:ext xmlns:c16="http://schemas.microsoft.com/office/drawing/2014/chart" uri="{C3380CC4-5D6E-409C-BE32-E72D297353CC}">
              <c16:uniqueId val="{00000001-D119-4845-8725-BEDF59A673D7}"/>
            </c:ext>
          </c:extLst>
        </c:ser>
        <c:dLbls>
          <c:dLblPos val="outEnd"/>
          <c:showLegendKey val="0"/>
          <c:showVal val="1"/>
          <c:showCatName val="0"/>
          <c:showSerName val="0"/>
          <c:showPercent val="0"/>
          <c:showBubbleSize val="0"/>
        </c:dLbls>
        <c:gapWidth val="219"/>
        <c:overlap val="-27"/>
        <c:axId val="1286255823"/>
        <c:axId val="1286263983"/>
      </c:barChart>
      <c:catAx>
        <c:axId val="128625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3983"/>
        <c:crosses val="autoZero"/>
        <c:auto val="1"/>
        <c:lblAlgn val="ctr"/>
        <c:lblOffset val="100"/>
        <c:noMultiLvlLbl val="0"/>
      </c:catAx>
      <c:valAx>
        <c:axId val="128626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55823"/>
        <c:crosses val="autoZero"/>
        <c:crossBetween val="between"/>
      </c:valAx>
      <c:spPr>
        <a:noFill/>
        <a:ln>
          <a:noFill/>
        </a:ln>
        <a:effectLst/>
      </c:spPr>
    </c:plotArea>
    <c:legend>
      <c:legendPos val="r"/>
      <c:layout>
        <c:manualLayout>
          <c:xMode val="edge"/>
          <c:yMode val="edge"/>
          <c:x val="0.73893897637795281"/>
          <c:y val="0.15805336832895889"/>
          <c:w val="0.14161657917760281"/>
          <c:h val="0.58565033537474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[Generation_Data.xlsx]Capcity!PivotTable1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Capcity!$A$3</c:f>
              <c:strCache>
                <c:ptCount val="1"/>
                <c:pt idx="0">
                  <c:v>Sum of AC Capacity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Capcity!$A$4</c:f>
              <c:strCache>
                <c:ptCount val="1"/>
                <c:pt idx="0">
                  <c:v>Total</c:v>
                </c:pt>
              </c:strCache>
            </c:strRef>
          </c:cat>
          <c:val>
            <c:numRef>
              <c:f>Capcity!$A$4</c:f>
              <c:numCache>
                <c:formatCode>0.00</c:formatCode>
                <c:ptCount val="1"/>
                <c:pt idx="0">
                  <c:v>428.33699999999988</c:v>
                </c:pt>
              </c:numCache>
            </c:numRef>
          </c:val>
          <c:extLst>
            <c:ext xmlns:c16="http://schemas.microsoft.com/office/drawing/2014/chart" uri="{C3380CC4-5D6E-409C-BE32-E72D297353CC}">
              <c16:uniqueId val="{00000000-50D4-4530-9657-DA68999A45D8}"/>
            </c:ext>
          </c:extLst>
        </c:ser>
        <c:ser>
          <c:idx val="1"/>
          <c:order val="1"/>
          <c:tx>
            <c:strRef>
              <c:f>Capcity!$B$3</c:f>
              <c:strCache>
                <c:ptCount val="1"/>
                <c:pt idx="0">
                  <c:v>Sum of DC Capacity
MWp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Capcity!$A$4</c:f>
              <c:strCache>
                <c:ptCount val="1"/>
                <c:pt idx="0">
                  <c:v>Total</c:v>
                </c:pt>
              </c:strCache>
            </c:strRef>
          </c:cat>
          <c:val>
            <c:numRef>
              <c:f>Capcity!$B$4</c:f>
              <c:numCache>
                <c:formatCode>0.00</c:formatCode>
                <c:ptCount val="1"/>
                <c:pt idx="0">
                  <c:v>553.12944000000005</c:v>
                </c:pt>
              </c:numCache>
            </c:numRef>
          </c:val>
          <c:extLst>
            <c:ext xmlns:c16="http://schemas.microsoft.com/office/drawing/2014/chart" uri="{C3380CC4-5D6E-409C-BE32-E72D297353CC}">
              <c16:uniqueId val="{00000001-50D4-4530-9657-DA68999A45D8}"/>
            </c:ext>
          </c:extLst>
        </c:ser>
        <c:dLbls>
          <c:dLblPos val="outEnd"/>
          <c:showLegendKey val="0"/>
          <c:showVal val="1"/>
          <c:showCatName val="0"/>
          <c:showSerName val="0"/>
          <c:showPercent val="0"/>
          <c:showBubbleSize val="0"/>
        </c:dLbls>
        <c:gapWidth val="219"/>
        <c:overlap val="-27"/>
        <c:axId val="1286255823"/>
        <c:axId val="1286263983"/>
      </c:barChart>
      <c:catAx>
        <c:axId val="128625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3983"/>
        <c:crosses val="autoZero"/>
        <c:auto val="1"/>
        <c:lblAlgn val="ctr"/>
        <c:lblOffset val="100"/>
        <c:noMultiLvlLbl val="0"/>
      </c:catAx>
      <c:valAx>
        <c:axId val="128626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55823"/>
        <c:crosses val="autoZero"/>
        <c:crossBetween val="between"/>
      </c:valAx>
      <c:spPr>
        <a:noFill/>
        <a:ln>
          <a:noFill/>
        </a:ln>
        <a:effectLst/>
      </c:spPr>
    </c:plotArea>
    <c:legend>
      <c:legendPos val="r"/>
      <c:layout>
        <c:manualLayout>
          <c:xMode val="edge"/>
          <c:yMode val="edge"/>
          <c:x val="0.73893897637795281"/>
          <c:y val="0.15805336832895889"/>
          <c:w val="0.20860226801793316"/>
          <c:h val="0.76898410038326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[Generation_Data.xlsx]Cuf!PivotTable2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Cuf!$A$3</c:f>
              <c:strCache>
                <c:ptCount val="1"/>
                <c:pt idx="0">
                  <c:v>Count of DC-CUF</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Cuf!$A$4</c:f>
              <c:strCache>
                <c:ptCount val="1"/>
                <c:pt idx="0">
                  <c:v>Total</c:v>
                </c:pt>
              </c:strCache>
            </c:strRef>
          </c:cat>
          <c:val>
            <c:numRef>
              <c:f>Cuf!$A$4</c:f>
              <c:numCache>
                <c:formatCode>General</c:formatCode>
                <c:ptCount val="1"/>
                <c:pt idx="0">
                  <c:v>84</c:v>
                </c:pt>
              </c:numCache>
            </c:numRef>
          </c:val>
          <c:extLst>
            <c:ext xmlns:c16="http://schemas.microsoft.com/office/drawing/2014/chart" uri="{C3380CC4-5D6E-409C-BE32-E72D297353CC}">
              <c16:uniqueId val="{00000000-46B3-4739-B6E7-329BDC1B2300}"/>
            </c:ext>
          </c:extLst>
        </c:ser>
        <c:ser>
          <c:idx val="1"/>
          <c:order val="1"/>
          <c:tx>
            <c:strRef>
              <c:f>Cuf!$B$3</c:f>
              <c:strCache>
                <c:ptCount val="1"/>
                <c:pt idx="0">
                  <c:v>Count of AC-CUF</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Cuf!$A$4</c:f>
              <c:strCache>
                <c:ptCount val="1"/>
                <c:pt idx="0">
                  <c:v>Total</c:v>
                </c:pt>
              </c:strCache>
            </c:strRef>
          </c:cat>
          <c:val>
            <c:numRef>
              <c:f>Cuf!$B$4</c:f>
              <c:numCache>
                <c:formatCode>General</c:formatCode>
                <c:ptCount val="1"/>
                <c:pt idx="0">
                  <c:v>84</c:v>
                </c:pt>
              </c:numCache>
            </c:numRef>
          </c:val>
          <c:extLst>
            <c:ext xmlns:c16="http://schemas.microsoft.com/office/drawing/2014/chart" uri="{C3380CC4-5D6E-409C-BE32-E72D297353CC}">
              <c16:uniqueId val="{00000001-46B3-4739-B6E7-329BDC1B2300}"/>
            </c:ext>
          </c:extLst>
        </c:ser>
        <c:dLbls>
          <c:showLegendKey val="0"/>
          <c:showVal val="1"/>
          <c:showCatName val="0"/>
          <c:showSerName val="0"/>
          <c:showPercent val="0"/>
          <c:showBubbleSize val="0"/>
        </c:dLbls>
        <c:gapWidth val="150"/>
        <c:shape val="box"/>
        <c:axId val="1581983599"/>
        <c:axId val="1581985519"/>
        <c:axId val="1358566783"/>
      </c:bar3DChart>
      <c:catAx>
        <c:axId val="15819835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5519"/>
        <c:crosses val="autoZero"/>
        <c:auto val="1"/>
        <c:lblAlgn val="ctr"/>
        <c:lblOffset val="100"/>
        <c:noMultiLvlLbl val="0"/>
      </c:catAx>
      <c:valAx>
        <c:axId val="1581985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3599"/>
        <c:crosses val="autoZero"/>
        <c:crossBetween val="between"/>
      </c:valAx>
      <c:serAx>
        <c:axId val="1358566783"/>
        <c:scaling>
          <c:orientation val="minMax"/>
        </c:scaling>
        <c:delete val="1"/>
        <c:axPos val="b"/>
        <c:majorTickMark val="out"/>
        <c:minorTickMark val="none"/>
        <c:tickLblPos val="nextTo"/>
        <c:crossAx val="15819855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[Generation_Data.xlsx]Cuf!PivotTable2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Cuf!$A$3</c:f>
              <c:strCache>
                <c:ptCount val="1"/>
                <c:pt idx="0">
                  <c:v>Count of DC-CUF</c:v>
                </c:pt>
              </c:strCache>
            </c:strRef>
          </c:tx>
          <c:spPr>
            <a:solidFill>
              <a:schemeClr val="accent1"/>
            </a:solidFill>
            <a:ln>
              <a:noFill/>
            </a:ln>
            <a:effectLst/>
            <a:sp3d/>
          </c:spPr>
          <c:invertIfNegative val="0"/>
          <c:cat>
            <c:strRef>
              <c:f>Cuf!$A$4</c:f>
              <c:strCache>
                <c:ptCount val="1"/>
                <c:pt idx="0">
                  <c:v>Total</c:v>
                </c:pt>
              </c:strCache>
            </c:strRef>
          </c:cat>
          <c:val>
            <c:numRef>
              <c:f>Cuf!$A$4</c:f>
              <c:numCache>
                <c:formatCode>General</c:formatCode>
                <c:ptCount val="1"/>
                <c:pt idx="0">
                  <c:v>84</c:v>
                </c:pt>
              </c:numCache>
            </c:numRef>
          </c:val>
          <c:extLst>
            <c:ext xmlns:c16="http://schemas.microsoft.com/office/drawing/2014/chart" uri="{C3380CC4-5D6E-409C-BE32-E72D297353CC}">
              <c16:uniqueId val="{00000000-DF5F-4F38-A15C-2AE3627DE36F}"/>
            </c:ext>
          </c:extLst>
        </c:ser>
        <c:ser>
          <c:idx val="1"/>
          <c:order val="1"/>
          <c:tx>
            <c:strRef>
              <c:f>Cuf!$B$3</c:f>
              <c:strCache>
                <c:ptCount val="1"/>
                <c:pt idx="0">
                  <c:v>Count of AC-CUF</c:v>
                </c:pt>
              </c:strCache>
            </c:strRef>
          </c:tx>
          <c:spPr>
            <a:solidFill>
              <a:schemeClr val="accent2"/>
            </a:solidFill>
            <a:ln>
              <a:noFill/>
            </a:ln>
            <a:effectLst/>
            <a:sp3d/>
          </c:spPr>
          <c:invertIfNegative val="0"/>
          <c:cat>
            <c:strRef>
              <c:f>Cuf!$A$4</c:f>
              <c:strCache>
                <c:ptCount val="1"/>
                <c:pt idx="0">
                  <c:v>Total</c:v>
                </c:pt>
              </c:strCache>
            </c:strRef>
          </c:cat>
          <c:val>
            <c:numRef>
              <c:f>Cuf!$B$4</c:f>
              <c:numCache>
                <c:formatCode>General</c:formatCode>
                <c:ptCount val="1"/>
                <c:pt idx="0">
                  <c:v>84</c:v>
                </c:pt>
              </c:numCache>
            </c:numRef>
          </c:val>
          <c:extLst>
            <c:ext xmlns:c16="http://schemas.microsoft.com/office/drawing/2014/chart" uri="{C3380CC4-5D6E-409C-BE32-E72D297353CC}">
              <c16:uniqueId val="{00000001-DF5F-4F38-A15C-2AE3627DE36F}"/>
            </c:ext>
          </c:extLst>
        </c:ser>
        <c:dLbls>
          <c:showLegendKey val="0"/>
          <c:showVal val="0"/>
          <c:showCatName val="0"/>
          <c:showSerName val="0"/>
          <c:showPercent val="0"/>
          <c:showBubbleSize val="0"/>
        </c:dLbls>
        <c:gapWidth val="150"/>
        <c:shape val="box"/>
        <c:axId val="1581983599"/>
        <c:axId val="1581985519"/>
        <c:axId val="1358566783"/>
      </c:bar3DChart>
      <c:catAx>
        <c:axId val="158198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5519"/>
        <c:crosses val="autoZero"/>
        <c:auto val="1"/>
        <c:lblAlgn val="ctr"/>
        <c:lblOffset val="100"/>
        <c:noMultiLvlLbl val="0"/>
      </c:catAx>
      <c:valAx>
        <c:axId val="15819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83599"/>
        <c:crosses val="autoZero"/>
        <c:crossBetween val="between"/>
      </c:valAx>
      <c:serAx>
        <c:axId val="1358566783"/>
        <c:scaling>
          <c:orientation val="minMax"/>
        </c:scaling>
        <c:delete val="1"/>
        <c:axPos val="b"/>
        <c:majorTickMark val="none"/>
        <c:minorTickMark val="none"/>
        <c:tickLblPos val="nextTo"/>
        <c:crossAx val="1581985519"/>
        <c:crosses val="autoZero"/>
      </c:serAx>
      <c:spPr>
        <a:noFill/>
        <a:ln>
          <a:noFill/>
        </a:ln>
        <a:effectLst/>
      </c:spPr>
    </c:plotArea>
    <c:legend>
      <c:legendPos val="r"/>
      <c:layout>
        <c:manualLayout>
          <c:xMode val="edge"/>
          <c:yMode val="edge"/>
          <c:x val="0.71889727070829446"/>
          <c:y val="0.1916171675723633"/>
          <c:w val="0.21457225189508655"/>
          <c:h val="0.66770145281135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1047750</xdr:colOff>
      <xdr:row>5</xdr:row>
      <xdr:rowOff>19049</xdr:rowOff>
    </xdr:from>
    <xdr:to>
      <xdr:col>7</xdr:col>
      <xdr:colOff>82550</xdr:colOff>
      <xdr:row>18</xdr:row>
      <xdr:rowOff>152400</xdr:rowOff>
    </xdr:to>
    <xdr:graphicFrame macro="">
      <xdr:nvGraphicFramePr>
        <xdr:cNvPr id="2" name="Chart 1">
          <a:extLst>
            <a:ext uri="{FF2B5EF4-FFF2-40B4-BE49-F238E27FC236}">
              <a16:creationId xmlns:a16="http://schemas.microsoft.com/office/drawing/2014/main" id="{A0C015E4-B9C0-6861-00A6-1D6B1FB85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xdr:rowOff>
    </xdr:from>
    <xdr:to>
      <xdr:col>4</xdr:col>
      <xdr:colOff>215900</xdr:colOff>
      <xdr:row>10</xdr:row>
      <xdr:rowOff>50800</xdr:rowOff>
    </xdr:to>
    <xdr:graphicFrame macro="">
      <xdr:nvGraphicFramePr>
        <xdr:cNvPr id="2" name="Chart 1">
          <a:extLst>
            <a:ext uri="{FF2B5EF4-FFF2-40B4-BE49-F238E27FC236}">
              <a16:creationId xmlns:a16="http://schemas.microsoft.com/office/drawing/2014/main" id="{56D53833-0ADC-4C21-B396-393525D29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10</xdr:row>
      <xdr:rowOff>107950</xdr:rowOff>
    </xdr:from>
    <xdr:to>
      <xdr:col>4</xdr:col>
      <xdr:colOff>209550</xdr:colOff>
      <xdr:row>20</xdr:row>
      <xdr:rowOff>165100</xdr:rowOff>
    </xdr:to>
    <xdr:graphicFrame macro="">
      <xdr:nvGraphicFramePr>
        <xdr:cNvPr id="3" name="Chart 2">
          <a:extLst>
            <a:ext uri="{FF2B5EF4-FFF2-40B4-BE49-F238E27FC236}">
              <a16:creationId xmlns:a16="http://schemas.microsoft.com/office/drawing/2014/main" id="{C0F37F9E-74ED-4EEC-810D-4EC7674DF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107950</xdr:colOff>
      <xdr:row>6</xdr:row>
      <xdr:rowOff>88900</xdr:rowOff>
    </xdr:from>
    <xdr:to>
      <xdr:col>7</xdr:col>
      <xdr:colOff>209550</xdr:colOff>
      <xdr:row>16</xdr:row>
      <xdr:rowOff>171450</xdr:rowOff>
    </xdr:to>
    <xdr:graphicFrame macro="">
      <xdr:nvGraphicFramePr>
        <xdr:cNvPr id="2" name="Chart 1">
          <a:extLst>
            <a:ext uri="{FF2B5EF4-FFF2-40B4-BE49-F238E27FC236}">
              <a16:creationId xmlns:a16="http://schemas.microsoft.com/office/drawing/2014/main" id="{CEFE5593-C539-2D8C-4125-22DB9B9C3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C:/Users/Mehulkumar.Oza/AppData/Local/Microsoft/Windows/INetCache/Content.Outlook/N8VVV3L9/Manapparai_Generation_Summary_Daily_2026.xlsx" TargetMode="External"/><Relationship Id="rId1" Type="http://schemas.openxmlformats.org/officeDocument/2006/relationships/externalLinkPath" Target="file:///C:\Users\Mehulkumar.Oza\AppData\Local\Microsoft\Windows\INetCache\Content.Outlook\N8VVV3L9\Manapparai_Generation_Summary_Daily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Generation Summary 2026"/>
      <sheetName val="Jan-26"/>
      <sheetName val="Feb-26"/>
      <sheetName val="March-26"/>
      <sheetName val="April-26"/>
      <sheetName val="May-26"/>
      <sheetName val="June-26"/>
      <sheetName val="July-26"/>
      <sheetName val="August-26"/>
      <sheetName val="September-26"/>
      <sheetName val="October-26"/>
      <sheetName val="November-26"/>
      <sheetName val="December-26"/>
      <sheetName val="Sheet1"/>
    </sheetNames>
    <sheetDataSet>
      <sheetData sheetId="0">
        <row r="1">
          <cell r="A1" t="str">
            <v>GHCL_MANAPPARAI_TN_3891MWp</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sh Rajput" refreshedDate="46149.453560069443" createdVersion="8" refreshedVersion="8" minRefreshableVersion="3" recordCount="84" xr:uid="{279DDC68-B58F-40B5-95CD-33084CB31002}">
  <cacheSource type="worksheet">
    <worksheetSource ref="A1:V85" sheet="April-26"/>
  </cacheSource>
  <cacheFields count="21">
    <cacheField name="Site Name" numFmtId="0">
      <sharedItems count="84">
        <s v="GHCL Phase-1_Musiri"/>
        <s v="GHCL Phase-2_Musiri"/>
        <s v="GHCL Phase-3_Ottapidaram"/>
        <s v="Thaiagarajar Mills_Ottapidaram"/>
        <s v="Pollax solar solution_Otaapidaram"/>
        <s v="VTM Limited"/>
        <s v="Jothi Malleable &amp; Microcast_TSU5_Karambakuddi"/>
        <s v="GHCL Limited RT_Manaparai"/>
        <s v="GHCL Limited RT_Paravai"/>
        <s v="GHCL Limited RT_Paravai-2"/>
        <s v="Suriya Spinning mills_Aviyoor"/>
        <s v="Pantech Synergy_Aviyoor"/>
        <s v="Parvathi Dyeing_Aviyoor"/>
        <s v="Bangalore internation airport limited"/>
        <s v="Bhargavi Renewables_Tharad"/>
        <s v="Pidilite Industries Limited_Pransla"/>
        <s v="Greenbloom Energy_Balachadi"/>
        <s v="Isha Snacks_Varahi"/>
        <s v="Enviro Vimalachal_Varahi"/>
        <s v="Vimalachal Print &amp; Packs_Varahi"/>
        <s v="GSECL_Vasundhara"/>
        <s v="Pudumjee"/>
        <s v="Venus Denim-01"/>
        <s v="Venus Denim-02"/>
        <s v="Vishal Spintex"/>
        <s v="Madura Textiles"/>
        <s v="Alkyl Amines"/>
        <s v="Pro-zeal green power five_Greenpro_KA"/>
        <s v="Rishi FIBC_Bommalapura"/>
        <s v="Rishi FIBC_Tearakanambi"/>
        <s v="Automotive axels GO-1_TSU3_KA"/>
        <s v="Automotive axels GO-2_TSU3_KA"/>
        <s v="ACG_Tuljapur"/>
        <s v="Aarti_Akola"/>
        <s v="ACG_PZ4"/>
        <s v="ACG_PAM"/>
        <s v="ACG_PGP3"/>
        <s v="Asahi Songwon_ Balasinor"/>
        <s v="August Energy_Akola"/>
        <s v="Benzo_Chem"/>
        <s v="Blue Jet"/>
        <s v="EESL Narayan Doho"/>
        <s v="EESL Limbala Dau"/>
        <s v="EESL Potra"/>
        <s v="IGCL, Bharuch"/>
        <s v="Narayan Spinning - 1"/>
        <s v="Narayan Spinning - 2"/>
        <s v="Rishi FIBC, Balasinor"/>
        <s v="Saanika Industries, Bharuch"/>
        <s v="SS Flour Mills, Akola"/>
        <s v="Sumati Spintex"/>
        <s v="Tulsi Industries"/>
        <s v="Tulsi Udyog"/>
        <s v="Val Organics"/>
        <s v="ZEIT - 1, Akola"/>
        <s v="ZEIT - 2, Akola"/>
        <s v="Kiran"/>
        <s v="Majethiya"/>
        <s v="Centenary"/>
        <s v="Sainest"/>
        <s v="Orito"/>
        <s v="Universal"/>
        <s v="Aditya-Arka"/>
        <s v="Ajay cotspin "/>
        <s v="Unitech cotspin"/>
        <s v="Lincoln Pharma"/>
        <s v="Kamdhenu Yarn"/>
        <s v="Kikani Exports"/>
        <s v="Linde Engineering"/>
        <s v="Alembic Pharma Phase 1"/>
        <s v="Alembic Pharma Phase 2"/>
        <s v="Mark Alloys"/>
        <s v="Ujjaval Alloys"/>
        <s v="Diamond stones"/>
        <s v="Airona Tiles"/>
        <s v="Airolam Ltd."/>
        <s v="Advatech Cera"/>
        <s v="BPCL"/>
        <s v="GSECL_ Vitthalpar"/>
        <s v="GSECL_Jambudiya"/>
        <s v="Prince"/>
        <s v="Vivekanand"/>
        <s v="Kamal Textiles"/>
        <s v="MBR Flexibles"/>
      </sharedItems>
    </cacheField>
    <cacheField name="Ground Mounted/ Roof top" numFmtId="0">
      <sharedItems/>
    </cacheField>
    <cacheField name="State" numFmtId="0">
      <sharedItems count="5">
        <s v="Tamilnadu"/>
        <s v="Karnataka"/>
        <s v="Gujarat"/>
        <s v="Maharashtra"/>
        <s v="MP"/>
      </sharedItems>
    </cacheField>
    <cacheField name="DC Capacity_x000a_MWp" numFmtId="2">
      <sharedItems containsSemiMixedTypes="0" containsString="0" containsNumber="1" minValue="1" maxValue="65"/>
    </cacheField>
    <cacheField name="AC Capacity_x000a_MW" numFmtId="2">
      <sharedItems containsSemiMixedTypes="0" containsString="0" containsNumber="1" minValue="0.8" maxValue="50"/>
    </cacheField>
    <cacheField name="Expected Generation" numFmtId="1">
      <sharedItems containsSemiMixedTypes="0" containsString="0" containsNumber="1" minValue="138930" maxValue="7735659"/>
    </cacheField>
    <cacheField name="Guaranteed Generation (kWh)" numFmtId="1">
      <sharedItems containsSemiMixedTypes="0" containsString="0" containsNumber="1" minValue="120840" maxValue="6923207"/>
    </cacheField>
    <cacheField name="Inverter Generation (kWh)" numFmtId="1">
      <sharedItems containsSemiMixedTypes="0" containsString="0" containsNumber="1" minValue="0" maxValue="7667930"/>
    </cacheField>
    <cacheField name="ABT Meter Generation at Plant End (kWh)" numFmtId="1">
      <sharedItems containsSemiMixedTypes="0" containsString="0" containsNumber="1" minValue="0" maxValue="7452900"/>
    </cacheField>
    <cacheField name="Generation difference (%)" numFmtId="10">
      <sharedItems containsSemiMixedTypes="0" containsString="0" containsNumber="1" minValue="-1" maxValue="0.28999350400508478"/>
    </cacheField>
    <cacheField name="DC-CUF" numFmtId="10">
      <sharedItems containsMixedTypes="1" containsNumber="1" minValue="0" maxValue="6.5416664497092771"/>
    </cacheField>
    <cacheField name="AC-CUF" numFmtId="10">
      <sharedItems containsMixedTypes="1" containsNumber="1" minValue="0" maxValue="0.34291792929292936"/>
    </cacheField>
    <cacheField name="Pvsyst Irradiation (kWh/m2)" numFmtId="1">
      <sharedItems containsSemiMixedTypes="0" containsString="0" containsNumber="1" minValue="134.60000000000005" maxValue="275.40000000000015"/>
    </cacheField>
    <cacheField name="Actual Irradiation (kWh/m2)" numFmtId="1">
      <sharedItems containsSemiMixedTypes="0" containsString="0" containsNumber="1" minValue="0" maxValue="261.36500000000007"/>
    </cacheField>
    <cacheField name="Radiation Difference (%)" numFmtId="166">
      <sharedItems containsSemiMixedTypes="0" containsString="0" containsNumber="1" minValue="-1" maxValue="0.12532783127005917"/>
    </cacheField>
    <cacheField name="PR" numFmtId="166">
      <sharedItems containsMixedTypes="1" containsNumber="1" minValue="0.65143827068044535" maxValue="0.86806706306657544"/>
    </cacheField>
    <cacheField name="Plant Availability" numFmtId="166">
      <sharedItems containsMixedTypes="1" containsNumber="1" minValue="0.86741666666666661" maxValue="1"/>
    </cacheField>
    <cacheField name="Grid Availability" numFmtId="166">
      <sharedItems containsMixedTypes="1" containsNumber="1" minValue="0.73942692307692304" maxValue="1"/>
    </cacheField>
    <cacheField name="Losses due to Grid Unavailability" numFmtId="1">
      <sharedItems containsSemiMixedTypes="0" containsString="0" containsNumber="1" minValue="0" maxValue="629824.67983299994"/>
    </cacheField>
    <cacheField name="Losses due to Plant Unavailability" numFmtId="1">
      <sharedItems containsSemiMixedTypes="0" containsString="0" containsNumber="1" minValue="0" maxValue="36258.953572000006"/>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sh Rajput" refreshedDate="46149.460577314814" createdVersion="8" refreshedVersion="8" minRefreshableVersion="3" recordCount="85" xr:uid="{71823F87-1456-4C67-AADD-A71AF4A26C94}">
  <cacheSource type="worksheet">
    <worksheetSource ref="A1:Y1048576" sheet="April-26"/>
  </cacheSource>
  <cacheFields count="26">
    <cacheField name="Site Name" numFmtId="0">
      <sharedItems containsBlank="1" count="85">
        <s v="GHCL Phase-1_Musiri"/>
        <s v="GHCL Phase-2_Musiri"/>
        <s v="GHCL Phase-3_Ottapidaram"/>
        <s v="Thaiagarajar Mills_Ottapidaram"/>
        <s v="Pollax solar solution_Otaapidaram"/>
        <s v="VTM Limited"/>
        <s v="Jothi Malleable &amp; Microcast_TSU5_Karambakuddi"/>
        <s v="GHCL Limited RT_Manaparai"/>
        <s v="GHCL Limited RT_Paravai"/>
        <s v="GHCL Limited RT_Paravai-2"/>
        <s v="Suriya Spinning mills_Aviyoor"/>
        <s v="Pantech Synergy_Aviyoor"/>
        <s v="Parvathi Dyeing_Aviyoor"/>
        <s v="Bangalore internation airport limited"/>
        <s v="Bhargavi Renewables_Tharad"/>
        <s v="Pidilite Industries Limited_Pransla"/>
        <s v="Greenbloom Energy_Balachadi"/>
        <s v="Isha Snacks_Varahi"/>
        <s v="Enviro Vimalachal_Varahi"/>
        <s v="Vimalachal Print &amp; Packs_Varahi"/>
        <s v="GSECL_Vasundhara"/>
        <s v="Pudumjee"/>
        <s v="Venus Denim-01"/>
        <s v="Venus Denim-02"/>
        <s v="Vishal Spintex"/>
        <s v="Madura Textiles"/>
        <s v="Alkyl Amines"/>
        <s v="Pro-zeal green power five_Greenpro_KA"/>
        <s v="Rishi FIBC_Bommalapura"/>
        <s v="Rishi FIBC_Tearakanambi"/>
        <s v="Automotive axels GO-1_TSU3_KA"/>
        <s v="Automotive axels GO-2_TSU3_KA"/>
        <s v="ACG_Tuljapur"/>
        <s v="Aarti_Akola"/>
        <s v="ACG_PZ4"/>
        <s v="ACG_PAM"/>
        <s v="ACG_PGP3"/>
        <s v="Asahi Songwon_ Balasinor"/>
        <s v="August Energy_Akola"/>
        <s v="Benzo_Chem"/>
        <s v="Blue Jet"/>
        <s v="EESL Narayan Doho"/>
        <s v="EESL Limbala Dau"/>
        <s v="EESL Potra"/>
        <s v="IGCL, Bharuch"/>
        <s v="Narayan Spinning - 1"/>
        <s v="Narayan Spinning - 2"/>
        <s v="Rishi FIBC, Balasinor"/>
        <s v="Saanika Industries, Bharuch"/>
        <s v="SS Flour Mills, Akola"/>
        <s v="Sumati Spintex"/>
        <s v="Tulsi Industries"/>
        <s v="Tulsi Udyog"/>
        <s v="Val Organics"/>
        <s v="ZEIT - 1, Akola"/>
        <s v="ZEIT - 2, Akola"/>
        <s v="Kiran"/>
        <s v="Majethiya"/>
        <s v="Centenary"/>
        <s v="Sainest"/>
        <s v="Orito"/>
        <s v="Universal"/>
        <s v="Aditya-Arka"/>
        <s v="Ajay cotspin "/>
        <s v="Unitech cotspin"/>
        <s v="Lincoln Pharma"/>
        <s v="Kamdhenu Yarn"/>
        <s v="Kikani Exports"/>
        <s v="Linde Engineering"/>
        <s v="Alembic Pharma Phase 1"/>
        <s v="Alembic Pharma Phase 2"/>
        <s v="Mark Alloys"/>
        <s v="Ujjaval Alloys"/>
        <s v="Diamond stones"/>
        <s v="Airona Tiles"/>
        <s v="Airolam Ltd."/>
        <s v="Advatech Cera"/>
        <s v="BPCL"/>
        <s v="GSECL_ Vitthalpar"/>
        <s v="GSECL_Jambudiya"/>
        <s v="Prince"/>
        <s v="Vivekanand"/>
        <s v="Kamal Textiles"/>
        <s v="MBR Flexibles"/>
        <m/>
      </sharedItems>
    </cacheField>
    <cacheField name="Ground Mounted/ Roof top" numFmtId="0">
      <sharedItems containsBlank="1"/>
    </cacheField>
    <cacheField name="State" numFmtId="0">
      <sharedItems containsBlank="1"/>
    </cacheField>
    <cacheField name="DC Capacity_x000a_MWp" numFmtId="0">
      <sharedItems containsString="0" containsBlank="1" containsNumber="1" minValue="1" maxValue="65"/>
    </cacheField>
    <cacheField name="AC Capacity_x000a_MW" numFmtId="0">
      <sharedItems containsString="0" containsBlank="1" containsNumber="1" minValue="0.8" maxValue="50"/>
    </cacheField>
    <cacheField name="Expected Generation" numFmtId="0">
      <sharedItems containsString="0" containsBlank="1" containsNumber="1" minValue="138930" maxValue="7735659"/>
    </cacheField>
    <cacheField name="Guaranteed Generation (kWh)" numFmtId="0">
      <sharedItems containsString="0" containsBlank="1" containsNumber="1" minValue="120840" maxValue="6923207"/>
    </cacheField>
    <cacheField name="Inverter Generation (kWh)" numFmtId="0">
      <sharedItems containsString="0" containsBlank="1" containsNumber="1" minValue="0" maxValue="7667930"/>
    </cacheField>
    <cacheField name="ABT Meter Generation at Plant End (kWh)" numFmtId="0">
      <sharedItems containsString="0" containsBlank="1" containsNumber="1" minValue="0" maxValue="7452900"/>
    </cacheField>
    <cacheField name="Generation difference (%)" numFmtId="0">
      <sharedItems containsString="0" containsBlank="1" containsNumber="1" minValue="-1" maxValue="0.28999350400508478"/>
    </cacheField>
    <cacheField name="DC-CUF" numFmtId="0">
      <sharedItems containsBlank="1" containsMixedTypes="1" containsNumber="1" minValue="0" maxValue="6.5416664497092771"/>
    </cacheField>
    <cacheField name="AC-CUF" numFmtId="0">
      <sharedItems containsBlank="1" containsMixedTypes="1" containsNumber="1" minValue="0" maxValue="0.34291792929292936"/>
    </cacheField>
    <cacheField name="Pvsyst Irradiation (kWh/m2)" numFmtId="0">
      <sharedItems containsString="0" containsBlank="1" containsNumber="1" minValue="134.60000000000005" maxValue="275.40000000000015"/>
    </cacheField>
    <cacheField name="Actual Irradiation (kWh/m2)" numFmtId="0">
      <sharedItems containsString="0" containsBlank="1" containsNumber="1" minValue="0" maxValue="261.36500000000007"/>
    </cacheField>
    <cacheField name="Radiation Difference (%)" numFmtId="0">
      <sharedItems containsString="0" containsBlank="1" containsNumber="1" minValue="-1" maxValue="0.12532783127005917"/>
    </cacheField>
    <cacheField name="PR" numFmtId="0">
      <sharedItems containsBlank="1" containsMixedTypes="1" containsNumber="1" minValue="0.65143827068044535" maxValue="0.86806706306657544"/>
    </cacheField>
    <cacheField name="Plant Availability" numFmtId="0">
      <sharedItems containsBlank="1" containsMixedTypes="1" containsNumber="1" minValue="0.86741666666666661" maxValue="1"/>
    </cacheField>
    <cacheField name="Grid Availability" numFmtId="0">
      <sharedItems containsBlank="1" containsMixedTypes="1" containsNumber="1" minValue="0.73942692307692304" maxValue="1"/>
    </cacheField>
    <cacheField name="Losses due to Grid Unavailability" numFmtId="0">
      <sharedItems containsString="0" containsBlank="1" containsNumber="1" minValue="0" maxValue="629824.67983299994"/>
    </cacheField>
    <cacheField name="Losses due to Plant Unavailability" numFmtId="0">
      <sharedItems containsString="0" containsBlank="1" containsNumber="1" minValue="0" maxValue="36258.953572000006"/>
    </cacheField>
    <cacheField name="Remarks" numFmtId="0">
      <sharedItems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Blank="1"/>
    </cacheField>
    <cacheField name="MT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s v="GM"/>
    <x v="0"/>
    <n v="10"/>
    <n v="7.5"/>
    <n v="1441290"/>
    <n v="1191870"/>
    <n v="1300330.4999999995"/>
    <n v="1280640"/>
    <n v="7.4479599285156933E-2"/>
    <n v="0.18060145833333335"/>
    <n v="0.24080194444444442"/>
    <n v="175.20000000000007"/>
    <n v="188.93"/>
    <n v="7.8367579908675378E-2"/>
    <n v="0.68826046683956998"/>
    <n v="1"/>
    <n v="0.94625000000000015"/>
    <n v="114903"/>
    <n v="0"/>
    <m/>
  </r>
  <r>
    <x v="1"/>
    <s v="GM"/>
    <x v="0"/>
    <n v="10"/>
    <n v="7.5"/>
    <n v="1425870"/>
    <n v="1194240"/>
    <n v="1330504.2"/>
    <n v="1308400"/>
    <n v="9.5592175777063235E-2"/>
    <n v="0.18479225000000002"/>
    <n v="0.24638966666666662"/>
    <n v="175.20000000000007"/>
    <n v="188.66"/>
    <n v="7.6826484018264363E-2"/>
    <n v="0.70523916039436019"/>
    <n v="0.99959999999999993"/>
    <n v="0.97253999999999996"/>
    <n v="61636"/>
    <n v="1236"/>
    <m/>
  </r>
  <r>
    <x v="2"/>
    <s v="GM"/>
    <x v="0"/>
    <n v="21.211400000000001"/>
    <n v="16"/>
    <n v="3138450"/>
    <n v="3104370"/>
    <n v="2791856"/>
    <n v="2728080"/>
    <n v="-0.1212129997390775"/>
    <n v="0.18280631065265746"/>
    <n v="0.21788986440271113"/>
    <n v="183.60000000000008"/>
    <n v="164.70700000000005"/>
    <n v="-0.10290305010893258"/>
    <n v="0.79911930682917731"/>
    <n v="0.99988333333333324"/>
    <n v="1"/>
    <n v="0"/>
    <n v="366"/>
    <m/>
  </r>
  <r>
    <x v="3"/>
    <s v="GM"/>
    <x v="0"/>
    <n v="9.9979999999999993"/>
    <n v="7.67"/>
    <n v="1463460"/>
    <n v="1219200"/>
    <n v="1342088.8999999999"/>
    <n v="1299150"/>
    <n v="6.5575787401574798E-2"/>
    <n v="0.18643852381587436"/>
    <n v="0.21882392343672277"/>
    <n v="179.39999999999998"/>
    <n v="176.87699999999998"/>
    <n v="-1.4063545150501653E-2"/>
    <n v="0.75892138122779951"/>
    <n v="0.99869999999999992"/>
    <n v="1"/>
    <n v="0"/>
    <n v="1458"/>
    <m/>
  </r>
  <r>
    <x v="4"/>
    <s v="GM"/>
    <x v="0"/>
    <n v="15"/>
    <n v="12.095000000000001"/>
    <n v="2128380"/>
    <n v="2094870"/>
    <n v="1939607"/>
    <n v="1911150"/>
    <n v="-8.7699952741697576E-2"/>
    <n v="0.17959324074074071"/>
    <n v="0.20511928712507463"/>
    <n v="179.39999999999998"/>
    <n v="161.51599999999999"/>
    <n v="-9.9687848383500491E-2"/>
    <n v="0.80058404946465567"/>
    <n v="1"/>
    <n v="1"/>
    <n v="0"/>
    <n v="0"/>
    <m/>
  </r>
  <r>
    <x v="5"/>
    <s v="GM"/>
    <x v="0"/>
    <n v="2.2050000000000001"/>
    <n v="1.76"/>
    <n v="338670"/>
    <n v="316890"/>
    <n v="286681.80000000005"/>
    <n v="282552"/>
    <n v="-0.10835936760390041"/>
    <n v="0.18057558578987148"/>
    <n v="0.20755098873514047"/>
    <n v="183.30000000000013"/>
    <n v="162.71199999999996"/>
    <n v="-0.11231860338243399"/>
    <n v="0.79904630124826403"/>
    <n v="1"/>
    <n v="1"/>
    <n v="0"/>
    <n v="0"/>
    <m/>
  </r>
  <r>
    <x v="6"/>
    <s v="GM"/>
    <x v="0"/>
    <n v="12.0006"/>
    <n v="9"/>
    <n v="1816043.7278648845"/>
    <n v="1699495.7401783399"/>
    <n v="1870026.2999999996"/>
    <n v="1814400"/>
    <n v="6.761079601741303E-2"/>
    <n v="0.21642740779627681"/>
    <n v="0.25648879913411737"/>
    <n v="174.39999999999995"/>
    <n v="186.36000000000004"/>
    <n v="6.8577981651376699E-2"/>
    <n v="0.8361651299276629"/>
    <n v="1"/>
    <n v="0.99672666666666676"/>
    <n v="7796"/>
    <n v="0"/>
    <m/>
  </r>
  <r>
    <x v="7"/>
    <s v="RT"/>
    <x v="0"/>
    <n v="3.891"/>
    <n v="3.08"/>
    <n v="550276.99999999965"/>
    <n v="541160.00000000023"/>
    <n v="520564"/>
    <n v="493673"/>
    <n v="-8.7750388055289036E-2"/>
    <n v="0.18581484337074156"/>
    <n v="0.21431009402409745"/>
    <n v="179.49799999999999"/>
    <n v="178.18599999999998"/>
    <n v="-7.3092736409319983E-3"/>
    <n v="0.75082603137695425"/>
    <n v="1"/>
    <n v="0.9968866666666667"/>
    <n v="0"/>
    <n v="0"/>
    <m/>
  </r>
  <r>
    <x v="8"/>
    <s v="RT"/>
    <x v="0"/>
    <n v="1.2969999999999999"/>
    <n v="1.1000000000000001"/>
    <n v="181403.99999999994"/>
    <n v="180441.00000000006"/>
    <n v="163670"/>
    <n v="165448"/>
    <n v="-8.3090871808513878E-2"/>
    <n v="0.17526557011907823"/>
    <n v="0.19535532561544511"/>
    <n v="178.70000000000005"/>
    <n v="173.83799999999999"/>
    <n v="-2.7207610520425574E-2"/>
    <n v="0.72591269161941763"/>
    <n v="1"/>
    <n v="0.99847666666666668"/>
    <n v="0"/>
    <n v="0"/>
    <m/>
  </r>
  <r>
    <x v="9"/>
    <s v="RT"/>
    <x v="0"/>
    <n v="2.7949999999999999"/>
    <n v="2.2000000000000002"/>
    <n v="377310"/>
    <n v="373140"/>
    <n v="412256"/>
    <n v="412722"/>
    <n v="0.1060781476121563"/>
    <n v="0.20485788113695094"/>
    <n v="0.23931072464357345"/>
    <n v="180.29999999999995"/>
    <n v="184.53500000000003"/>
    <n v="2.3488630061009826E-2"/>
    <n v="0.79929376225975901"/>
    <n v="1"/>
    <n v="0.999"/>
    <n v="0"/>
    <n v="0"/>
    <m/>
  </r>
  <r>
    <x v="10"/>
    <s v="GM"/>
    <x v="0"/>
    <n v="1.4790000000000001"/>
    <n v="1.1000000000000001"/>
    <n v="202885.00000000006"/>
    <n v="191883.00000000009"/>
    <n v="223938.80000000002"/>
    <n v="220836"/>
    <n v="0.15088882287643982"/>
    <n v="0.21029486890541657"/>
    <n v="0.25239027752166704"/>
    <n v="171.6"/>
    <n v="191.67266666700002"/>
    <n v="0.1169735819755246"/>
    <n v="0.78995251772102759"/>
    <n v="1"/>
    <n v="0.98267666666666664"/>
    <n v="6082.7053599999999"/>
    <n v="0"/>
    <m/>
  </r>
  <r>
    <x v="11"/>
    <s v="GM"/>
    <x v="0"/>
    <n v="2.6080000000000001"/>
    <n v="1.9"/>
    <n v="389850"/>
    <n v="365730"/>
    <n v="389716"/>
    <n v="383784"/>
    <n v="4.9364285128373389E-2"/>
    <n v="0.20754302999318336"/>
    <n v="0.2523686654647867"/>
    <n v="171.6"/>
    <n v="185.87724999900001"/>
    <n v="8.3200757569930187E-2"/>
    <n v="0.803922920077072"/>
    <n v="1"/>
    <n v="0.98510333333333333"/>
    <n v="10064.06424"/>
    <n v="0"/>
    <m/>
  </r>
  <r>
    <x v="12"/>
    <s v="GM"/>
    <x v="0"/>
    <n v="1.75"/>
    <n v="1.375"/>
    <n v="262931"/>
    <n v="248361.00000000015"/>
    <n v="226939.50000000003"/>
    <n v="224816"/>
    <n v="-9.4801518756971237E-2"/>
    <n v="0.18011071428571426"/>
    <n v="0.21022887445887448"/>
    <n v="171.6"/>
    <n v="185.70183333300002"/>
    <n v="8.2178515926573603E-2"/>
    <n v="0.69832220801597045"/>
    <n v="0.86741666666666661"/>
    <n v="0.97979999999999989"/>
    <n v="7410.21"/>
    <n v="36258.953572000006"/>
    <m/>
  </r>
  <r>
    <x v="13"/>
    <s v="GM"/>
    <x v="1"/>
    <n v="7.0179999999999998"/>
    <n v="5.72"/>
    <n v="1050118.0000000002"/>
    <n v="1028275.0000000005"/>
    <n v="1163968"/>
    <n v="1033839"/>
    <n v="5.4110038656969509E-3"/>
    <n v="0.23035369367657779"/>
    <n v="0.25197309939277024"/>
    <n v="200.40000000000012"/>
    <n v="193.04"/>
    <n v="-3.6726546906188241E-2"/>
    <n v="0.85917250024417702"/>
    <n v="1"/>
    <n v="0.99848333333333328"/>
    <n v="1500"/>
    <n v="0"/>
    <m/>
  </r>
  <r>
    <x v="14"/>
    <s v="GM"/>
    <x v="2"/>
    <n v="32.064999999999998"/>
    <n v="24.2"/>
    <n v="5855010"/>
    <n v="5677500"/>
    <n v="4939255"/>
    <n v="4792200"/>
    <n v="-0.15593130779392339"/>
    <n v="0.21394281580816743"/>
    <n v="0.25255290144151638"/>
    <n v="221.10000000000008"/>
    <n v="207.82000000000002"/>
    <n v="-6.0063319764812544E-2"/>
    <n v="0.7412127195740571"/>
    <n v="0.99973000000000001"/>
    <n v="1"/>
    <n v="629824.67983299994"/>
    <n v="3935.0390848000002"/>
    <m/>
  </r>
  <r>
    <x v="15"/>
    <s v="GM"/>
    <x v="2"/>
    <n v="1.8049999999999999"/>
    <n v="1.5820000000000001"/>
    <n v="333716.00000000006"/>
    <n v="319656.39999999991"/>
    <n v="340823"/>
    <n v="340823"/>
    <n v="6.621672520869315E-2"/>
    <n v="0.26225223145583254"/>
    <n v="0.29921951819075715"/>
    <n v="275.40000000000015"/>
    <n v="237.96599999999998"/>
    <n v="-0.13592592592592645"/>
    <n v="0.79348144965330958"/>
    <n v="0.93122666666666665"/>
    <n v="0.9969433333333334"/>
    <n v="17927.32"/>
    <n v="0"/>
    <m/>
  </r>
  <r>
    <x v="16"/>
    <s v="GM"/>
    <x v="2"/>
    <n v="4.4000000000000004"/>
    <n v="3.96"/>
    <n v="777010"/>
    <n v="670209.00000000012"/>
    <n v="766733"/>
    <n v="752100"/>
    <n v="0.1221872580045924"/>
    <n v="0.24207856060606062"/>
    <n v="0.26225214085297416"/>
    <n v="225"/>
    <n v="229.72099999999998"/>
    <n v="2.0982222222222111E-2"/>
    <n v="0.75856147239477456"/>
    <n v="0.9973333333333334"/>
    <n v="0.97099999999999975"/>
    <n v="32173"/>
    <n v="2076.6"/>
    <m/>
  </r>
  <r>
    <x v="17"/>
    <s v="GM"/>
    <x v="2"/>
    <n v="1.1240000000000001"/>
    <n v="0.88"/>
    <n v="193521.90000000005"/>
    <n v="167856.00000000003"/>
    <n v="177605"/>
    <n v="175740"/>
    <n v="4.6968830426079314E-2"/>
    <n v="0.21946050810597073"/>
    <n v="0.2548743832901974"/>
    <n v="216.89999999999992"/>
    <n v="206.01999999999995"/>
    <n v="-5.0161364684186124E-2"/>
    <n v="0.76697197280020857"/>
    <n v="0.99741999999999997"/>
    <n v="0.95275999999999994"/>
    <n v="12075"/>
    <n v="411"/>
    <m/>
  </r>
  <r>
    <x v="18"/>
    <s v="GM"/>
    <x v="2"/>
    <n v="1.8169999999999999"/>
    <n v="1.54"/>
    <n v="312660"/>
    <n v="271500"/>
    <n v="295577"/>
    <n v="290500"/>
    <n v="6.9981583793738492E-2"/>
    <n v="0.2259348437595548"/>
    <n v="0.24852601363505325"/>
    <n v="216.89999999999992"/>
    <n v="207.28000000000006"/>
    <n v="-4.4352236053480251E-2"/>
    <n v="0.78479876257660852"/>
    <n v="0.99634333333333336"/>
    <n v="0.9595699999999997"/>
    <n v="14819"/>
    <n v="936"/>
    <m/>
  </r>
  <r>
    <x v="19"/>
    <s v="GM"/>
    <x v="2"/>
    <n v="2.5249999999999999"/>
    <n v="1.98"/>
    <n v="475836.00000000023"/>
    <n v="415518.90000000008"/>
    <n v="413247"/>
    <n v="406590"/>
    <n v="-2.1488553228264901E-2"/>
    <n v="0.22730858085808581"/>
    <n v="0.26319525008056366"/>
    <n v="216.89999999999992"/>
    <n v="208.89000000000001"/>
    <n v="-3.692946058091244E-2"/>
    <n v="0.78348498356944696"/>
    <n v="0.99582999999999988"/>
    <n v="0.96854000000000018"/>
    <n v="17421"/>
    <n v="1352"/>
    <m/>
  </r>
  <r>
    <x v="20"/>
    <s v="GM"/>
    <x v="2"/>
    <n v="18.09"/>
    <n v="14"/>
    <n v="2770680"/>
    <n v="2644740"/>
    <n v="5415420"/>
    <n v="2691000"/>
    <n v="4.5941756089445472E-2"/>
    <n v="0.21238283889195991"/>
    <n v="0.27442896825396823"/>
    <n v="199.20000000000016"/>
    <n v="197.49"/>
    <n v="-8.0367047400837291E-3"/>
    <n v="0.7754300957940149"/>
    <n v="1"/>
    <n v="0.94517333333333342"/>
    <n v="279144"/>
    <n v="0"/>
    <s v=" "/>
  </r>
  <r>
    <x v="21"/>
    <s v="GM"/>
    <x v="3"/>
    <n v="21.5"/>
    <n v="15.4"/>
    <n v="2328207"/>
    <n v="2189481"/>
    <n v="2410514.9995599999"/>
    <n v="2409540"/>
    <n v="0.10050738051620453"/>
    <n v="0.15572"/>
    <n v="0.21740000000000001"/>
    <n v="198.60000000000008"/>
    <n v="142"/>
    <n v="-0.28499496475327318"/>
    <n v="0.78955617411071077"/>
    <n v="0.99809523809523815"/>
    <n v="0.99428571428571444"/>
    <n v="14060"/>
    <n v="4218"/>
    <s v=" "/>
  </r>
  <r>
    <x v="22"/>
    <s v="GM"/>
    <x v="2"/>
    <n v="3.3291999999999997"/>
    <n v="2.42"/>
    <n v="450892"/>
    <n v="395968"/>
    <n v="405353"/>
    <n v="399060"/>
    <n v="7.8087118150961697E-3"/>
    <n v="0.1691"/>
    <n v="0.23264333333333337"/>
    <n v="172.27"/>
    <n v="162.60325000000003"/>
    <n v="-5.6113949033493808E-2"/>
    <n v="0.7487973243423881"/>
    <n v="0.99139565217391301"/>
    <n v="0.9428260869565217"/>
    <n v="34334"/>
    <n v="3447"/>
    <s v=" "/>
  </r>
  <r>
    <x v="23"/>
    <s v="GM"/>
    <x v="2"/>
    <n v="1.8007"/>
    <n v="1.54"/>
    <n v="243800"/>
    <n v="214107"/>
    <n v="225776"/>
    <n v="222320"/>
    <n v="3.8359325010391999E-2"/>
    <n v="0.17412999999999995"/>
    <n v="0.20362000000000002"/>
    <n v="172.27"/>
    <n v="162.60325000000003"/>
    <n v="-5.6113949033493808E-2"/>
    <n v="0.77109375924420143"/>
    <n v="0.99139565217391301"/>
    <n v="0.96952173913043493"/>
    <n v="9620"/>
    <n v="1872"/>
    <s v=" "/>
  </r>
  <r>
    <x v="24"/>
    <s v="GM"/>
    <x v="2"/>
    <n v="5.1480800000000002"/>
    <n v="3.96"/>
    <n v="855370"/>
    <n v="760380"/>
    <n v="801525.10000000009"/>
    <n v="781250"/>
    <n v="2.7446802914332307E-2"/>
    <n v="0.21622999999999998"/>
    <n v="0.28112333333333334"/>
    <n v="210.67999999999995"/>
    <n v="198.83200000000002"/>
    <n v="-5.6236947028668743E-2"/>
    <n v="0.78304290498727924"/>
    <n v="0.99766521739130443"/>
    <n v="0.9576347826086955"/>
    <n v="42836"/>
    <n v="2630"/>
    <s v=" "/>
  </r>
  <r>
    <x v="25"/>
    <s v="GM"/>
    <x v="2"/>
    <n v="65"/>
    <n v="50"/>
    <n v="7735659"/>
    <n v="6923207"/>
    <n v="7667930"/>
    <n v="7452900"/>
    <n v="7.6509773577476445E-2"/>
    <n v="0.16384333333333334"/>
    <n v="0.21299666666666672"/>
    <n v="173.42"/>
    <n v="155.05999999999997"/>
    <n v="-0.10587014185215093"/>
    <n v="0.76079036402782063"/>
    <n v="0.99980000000000002"/>
    <n v="0.99623478260869591"/>
    <n v="378885"/>
    <n v="2576"/>
    <s v=" "/>
  </r>
  <r>
    <x v="26"/>
    <s v="GM"/>
    <x v="3"/>
    <n v="3.75"/>
    <n v="3"/>
    <n v="425720"/>
    <n v="397700"/>
    <n v="326224"/>
    <n v="320040"/>
    <n v="-0.19527281870756852"/>
    <n v="0.12081666666666664"/>
    <n v="0.15102666666666667"/>
    <n v="134.60000000000005"/>
    <n v="133.54"/>
    <n v="-7.8751857355130669E-3"/>
    <n v="0.65143827068044535"/>
    <n v="1"/>
    <n v="0.84373500000000023"/>
    <n v="61759"/>
    <n v="0"/>
    <s v=" "/>
  </r>
  <r>
    <x v="27"/>
    <s v="GM"/>
    <x v="1"/>
    <n v="3.9283999999999999"/>
    <n v="2.86"/>
    <n v="623300"/>
    <n v="557680.99999999965"/>
    <n v="586166.6"/>
    <n v="580729.5"/>
    <n v="4.1329182812396989E-2"/>
    <n v="0.20723965934675129"/>
    <n v="0.25447058962855473"/>
    <n v="185.50000000000009"/>
    <n v="184.26399999999998"/>
    <n v="-6.6630727762808789E-3"/>
    <n v="0.80977594500098193"/>
    <n v="0.99513000000000007"/>
    <n v="0.99551333333333336"/>
    <n v="8409.1899999999987"/>
    <n v="1893.3"/>
    <m/>
  </r>
  <r>
    <x v="28"/>
    <s v="GM"/>
    <x v="1"/>
    <n v="3.7170000000000001"/>
    <n v="3.3"/>
    <n v="632445"/>
    <n v="570599.00000000012"/>
    <n v="587316"/>
    <n v="585140"/>
    <n v="2.548374602829637E-2"/>
    <n v="0.21945565420141688"/>
    <n v="0.23669206899503509"/>
    <n v="185.50000000000009"/>
    <n v="183.33"/>
    <n v="-1.1698113207547557E-2"/>
    <n v="0.86187787609785715"/>
    <n v="0.99502000000000002"/>
    <n v="0.99686333333333343"/>
    <n v="1183.6100000000001"/>
    <n v="1714.06"/>
    <m/>
  </r>
  <r>
    <x v="29"/>
    <s v="GM"/>
    <x v="1"/>
    <n v="4"/>
    <n v="3.2"/>
    <n v="573111.99999999988"/>
    <n v="548348"/>
    <n v="514946.29999999993"/>
    <n v="512980"/>
    <n v="-6.4499186647895126E-2"/>
    <n v="0.17880079861111112"/>
    <n v="0.20719787326388889"/>
    <n v="181.80000000000004"/>
    <n v="180.94"/>
    <n v="-4.730473047304961E-3"/>
    <n v="0.7114876478390626"/>
    <n v="1"/>
    <n v="0.94582333333333346"/>
    <n v="22937.629999999997"/>
    <n v="0"/>
    <m/>
  </r>
  <r>
    <x v="30"/>
    <s v="GM"/>
    <x v="1"/>
    <n v="6"/>
    <n v="4.9000000000000004"/>
    <n v="847911.66666666698"/>
    <n v="818450.566666667"/>
    <n v="869813.51000000013"/>
    <n v="850740"/>
    <n v="3.9451904181384265E-2"/>
    <n v="0.20134571990740735"/>
    <n v="0.22861159297052158"/>
    <n v="176.61000000000007"/>
    <n v="184.16000000000005"/>
    <n v="4.2749561180001019E-2"/>
    <n v="0.78719004307848239"/>
    <n v="1"/>
    <n v="0.99838620689655166"/>
    <n v="0"/>
    <n v="556.11"/>
    <m/>
  </r>
  <r>
    <x v="31"/>
    <s v="GM"/>
    <x v="1"/>
    <n v="6"/>
    <n v="4.5"/>
    <n v="852172.73333333398"/>
    <n v="821080.86666666658"/>
    <n v="868917.89999999991"/>
    <n v="853740"/>
    <n v="3.977578172771138E-2"/>
    <n v="0.20113840277777778"/>
    <n v="0.24256151234567899"/>
    <n v="176.61000000000007"/>
    <n v="182.74"/>
    <n v="3.4709246362040293E-2"/>
    <n v="0.79249014993980516"/>
    <n v="1"/>
    <n v="0.99805862068965512"/>
    <n v="0"/>
    <n v="1065.8699999999999"/>
    <m/>
  </r>
  <r>
    <x v="32"/>
    <s v="GM"/>
    <x v="3"/>
    <n v="12.3"/>
    <n v="10.119999999999999"/>
    <n v="1556230"/>
    <n v="1517620"/>
    <n v="1525862"/>
    <n v="1495935"/>
    <n v="-1.4288820653391494E-2"/>
    <n v="0.17229697380307132"/>
    <n v="0.19850851435885897"/>
    <n v="171.59999999999991"/>
    <n v="156.68"/>
    <n v="-8.6946386946386428E-2"/>
    <n v="0.79176551658291661"/>
    <n v="1"/>
    <n v="1"/>
    <n v="68285"/>
    <n v="8421"/>
    <m/>
  </r>
  <r>
    <x v="33"/>
    <s v="GM"/>
    <x v="3"/>
    <n v="20.998000000000001"/>
    <n v="14.85"/>
    <n v="2999178"/>
    <n v="2317536"/>
    <n v="2550625"/>
    <n v="2531100"/>
    <n v="9.2151319332256329E-2"/>
    <n v="0.16870819707697027"/>
    <n v="0.2165569716222239"/>
    <n v="173.41999999999993"/>
    <n v="174.86"/>
    <n v="8.3035405374240773E-3"/>
    <n v="0.69466946068522595"/>
    <n v="0.99996923076923083"/>
    <n v="0.95914615384615387"/>
    <n v="117502"/>
    <n v="0"/>
    <m/>
  </r>
  <r>
    <x v="34"/>
    <s v="GM"/>
    <x v="3"/>
    <n v="8.39"/>
    <n v="6"/>
    <n v="1099956"/>
    <n v="989950"/>
    <n v="1086597"/>
    <n v="1075080"/>
    <n v="8.5994242133441076E-2"/>
    <n v="0.17987634088200236"/>
    <n v="0.22911699885224912"/>
    <n v="182"/>
    <n v="172.87400000000002"/>
    <n v="-5.014285714285701E-2"/>
    <n v="0.74916393115819446"/>
    <n v="0.9966576923076923"/>
    <n v="0.93826923076923074"/>
    <n v="66877.920000000013"/>
    <n v="8536"/>
    <m/>
  </r>
  <r>
    <x v="35"/>
    <s v="GM"/>
    <x v="3"/>
    <n v="1.9"/>
    <n v="1.54"/>
    <n v="268034"/>
    <n v="268034"/>
    <n v="271446"/>
    <n v="266625"/>
    <n v="-5.2567957796398968E-3"/>
    <n v="0.19842543859649125"/>
    <n v="0.22999677223361428"/>
    <n v="174.19999999999996"/>
    <n v="173.01000000000005"/>
    <n v="-6.8312284730190171E-3"/>
    <n v="0.82576912195522589"/>
    <n v="1"/>
    <n v="1"/>
    <n v="0"/>
    <n v="0"/>
    <m/>
  </r>
  <r>
    <x v="36"/>
    <s v="GM"/>
    <x v="3"/>
    <n v="6"/>
    <n v="3.9"/>
    <n v="808132"/>
    <n v="727298"/>
    <n v="775711"/>
    <n v="773730"/>
    <n v="6.3841781498092942E-2"/>
    <n v="0.17956273148148144"/>
    <n v="0.24660576923076921"/>
    <n v="181.74000000000004"/>
    <n v="174.11399999999998"/>
    <n v="-4.196104324859723E-2"/>
    <n v="0.74253171293903242"/>
    <n v="0.99476153846153847"/>
    <n v="0.95885769230769224"/>
    <n v="30259"/>
    <n v="2002"/>
    <m/>
  </r>
  <r>
    <x v="37"/>
    <s v="GM"/>
    <x v="2"/>
    <n v="4.9000000000000004"/>
    <n v="3.96"/>
    <n v="800850"/>
    <n v="761580"/>
    <n v="676099"/>
    <n v="661550"/>
    <n v="-0.13134536096010924"/>
    <n v="0.19163803854875286"/>
    <n v="0.2167204571222428"/>
    <n v="208.29000000000011"/>
    <n v="199.76000000000002"/>
    <n v="-4.095251812377014E-2"/>
    <n v="0.69072580974720676"/>
    <n v="0.99066666666666658"/>
    <n v="0.99236111111111103"/>
    <n v="83124"/>
    <n v="11062"/>
    <m/>
  </r>
  <r>
    <x v="38"/>
    <s v="GM"/>
    <x v="3"/>
    <n v="5.9"/>
    <n v="3.96"/>
    <n v="805948"/>
    <n v="805948"/>
    <n v="794736"/>
    <n v="781695"/>
    <n v="-3.0092512172001172E-2"/>
    <n v="0.18708474576271189"/>
    <n v="0.25091814448629424"/>
    <n v="183.81999999999991"/>
    <n v="167.84"/>
    <n v="-8.6932869111086455E-2"/>
    <n v="0.80255610670372102"/>
    <n v="1"/>
    <n v="1"/>
    <n v="0"/>
    <n v="0"/>
    <m/>
  </r>
  <r>
    <x v="39"/>
    <s v="GM"/>
    <x v="3"/>
    <n v="3.7"/>
    <n v="2.94"/>
    <n v="521768"/>
    <n v="496366"/>
    <n v="524008"/>
    <n v="510780"/>
    <n v="2.9039055857975768E-2"/>
    <n v="0.19669969969969966"/>
    <n v="0.23104179945251371"/>
    <n v="174.19999999999996"/>
    <n v="174.72999999999996"/>
    <n v="3.0424799081515573E-3"/>
    <n v="0.81052929539165464"/>
    <n v="1"/>
    <n v="1"/>
    <n v="0"/>
    <n v="0"/>
    <m/>
  </r>
  <r>
    <x v="40"/>
    <s v="GM"/>
    <x v="3"/>
    <n v="7"/>
    <n v="5.5"/>
    <n v="973700"/>
    <n v="884832"/>
    <n v="1017271"/>
    <n v="1000200"/>
    <n v="0.13038407290875556"/>
    <n v="0.20183948412698413"/>
    <n v="0.23969715007215006"/>
    <n v="174.19999999999996"/>
    <n v="178.63000000000005"/>
    <n v="2.5430539609644622E-2"/>
    <n v="0.81354995561455812"/>
    <n v="1"/>
    <n v="1"/>
    <n v="0"/>
    <n v="0"/>
    <m/>
  </r>
  <r>
    <x v="41"/>
    <s v="GM"/>
    <x v="3"/>
    <n v="3.3170000000000002"/>
    <n v="2.86"/>
    <n v="422734"/>
    <n v="382252"/>
    <n v="395039"/>
    <n v="387720"/>
    <n v="1.4304699517595722E-2"/>
    <n v="0.16541009278799451"/>
    <n v="0.18297745740257801"/>
    <n v="166.40000000000006"/>
    <n v="146.57000000000002"/>
    <n v="-0.11917067307692328"/>
    <n v="0.81254872625609631"/>
    <n v="1"/>
    <n v="0.94714615384615386"/>
    <n v="21811"/>
    <n v="0"/>
    <m/>
  </r>
  <r>
    <x v="42"/>
    <s v="GM"/>
    <x v="3"/>
    <n v="2.831"/>
    <n v="2.42"/>
    <n v="412470"/>
    <n v="410040"/>
    <n v="383696"/>
    <n v="376400"/>
    <n v="-8.2040776509608823E-2"/>
    <n v="0.18824129675418971"/>
    <n v="0.20701488813182406"/>
    <n v="195.9"/>
    <n v="167.10499999999996"/>
    <n v="-0.14698825931597775"/>
    <n v="0.81106928974606762"/>
    <n v="1"/>
    <n v="0.97126666666666661"/>
    <n v="7469"/>
    <n v="0"/>
    <m/>
  </r>
  <r>
    <x v="43"/>
    <s v="GM"/>
    <x v="3"/>
    <n v="3.125"/>
    <n v="2.6"/>
    <n v="400374"/>
    <n v="394004"/>
    <n v="385984"/>
    <n v="383880"/>
    <n v="-2.5695170607405001E-2"/>
    <n v="0.17154844444444442"/>
    <n v="0.19590247863247859"/>
    <n v="168.48"/>
    <n v="154.47800000000001"/>
    <n v="-8.3107787274453837E-2"/>
    <n v="0.79956291510765287"/>
    <n v="1"/>
    <n v="0.95861538461538442"/>
    <n v="12462"/>
    <n v="0"/>
    <m/>
  </r>
  <r>
    <x v="44"/>
    <s v="GM"/>
    <x v="2"/>
    <n v="3"/>
    <n v="2.4"/>
    <n v="479190"/>
    <n v="466470"/>
    <n v="468054"/>
    <n v="462300"/>
    <n v="-8.9394816386905909E-3"/>
    <n v="0.21669166666666667"/>
    <n v="0.24857349537037032"/>
    <n v="200.09999999999988"/>
    <n v="192.21600000000004"/>
    <n v="-3.9400299850074205E-2"/>
    <n v="0.81168060931452102"/>
    <n v="0.97400666666666658"/>
    <n v="0.99298333333333322"/>
    <n v="5790"/>
    <n v="13016"/>
    <m/>
  </r>
  <r>
    <x v="45"/>
    <s v="GM"/>
    <x v="2"/>
    <n v="1.7154200000000002"/>
    <n v="1.4"/>
    <n v="253526"/>
    <n v="225966"/>
    <n v="244862"/>
    <n v="241815"/>
    <n v="7.013887044953665E-2"/>
    <n v="0.19825238781820842"/>
    <n v="0.22860128990114503"/>
    <n v="205.20000000000007"/>
    <n v="182.35"/>
    <n v="-0.11135477582846039"/>
    <n v="0.78278979560795214"/>
    <n v="1"/>
    <n v="0.95427692307692302"/>
    <n v="9046"/>
    <n v="0"/>
    <m/>
  </r>
  <r>
    <x v="46"/>
    <s v="GM"/>
    <x v="2"/>
    <n v="2.4849999999999999"/>
    <n v="2"/>
    <n v="365040"/>
    <n v="327158"/>
    <n v="302194"/>
    <n v="297950"/>
    <n v="-8.9277963552778783E-2"/>
    <n v="0.16889894925106191"/>
    <n v="0.19677853090766817"/>
    <n v="177.84000000000006"/>
    <n v="182.35"/>
    <n v="2.5359874044084192E-2"/>
    <n v="0.66688918815884057"/>
    <n v="0.99758076923076922"/>
    <n v="0.73942692307692304"/>
    <n v="38867"/>
    <n v="0"/>
    <m/>
  </r>
  <r>
    <x v="47"/>
    <s v="GM"/>
    <x v="2"/>
    <n v="3"/>
    <n v="2.42"/>
    <n v="463620"/>
    <n v="446730"/>
    <n v="442960"/>
    <n v="432090"/>
    <n v="-3.277147270163186E-2"/>
    <n v="0.2050740740740741"/>
    <n v="0.23215243342516068"/>
    <n v="198.81000000000006"/>
    <n v="194.25000000000003"/>
    <n v="-2.2936472008450427E-2"/>
    <n v="0.76012012012011998"/>
    <n v="1"/>
    <n v="0.98802777777777773"/>
    <n v="51435"/>
    <n v="0"/>
    <m/>
  </r>
  <r>
    <x v="48"/>
    <s v="GM"/>
    <x v="2"/>
    <n v="4.8"/>
    <n v="3.6"/>
    <n v="825900"/>
    <n v="680521"/>
    <n v="762845"/>
    <n v="751250"/>
    <n v="0.10393360381237317"/>
    <n v="0.2207306134259259"/>
    <n v="0.26305709876543204"/>
    <n v="215.09999999999985"/>
    <n v="191.50700000000006"/>
    <n v="-0.1096838679683859"/>
    <n v="0.82987066617234151"/>
    <n v="1"/>
    <n v="0.98199999999999998"/>
    <n v="17346"/>
    <n v="0"/>
    <m/>
  </r>
  <r>
    <x v="49"/>
    <s v="GM"/>
    <x v="3"/>
    <n v="1.7"/>
    <n v="1.28"/>
    <n v="267644"/>
    <n v="228592"/>
    <n v="240384"/>
    <n v="242775"/>
    <n v="6.2045040946314835E-2"/>
    <n v="0.19639215686274511"/>
    <n v="0.24068761488970589"/>
    <n v="182.78"/>
    <n v="172.63"/>
    <n v="-5.5531239741766089E-2"/>
    <n v="0.81910648752346915"/>
    <n v="1"/>
    <n v="1"/>
    <n v="0"/>
    <n v="0"/>
    <m/>
  </r>
  <r>
    <x v="50"/>
    <s v="GM"/>
    <x v="2"/>
    <n v="4.5999999999999996"/>
    <n v="3.96"/>
    <n v="959490"/>
    <n v="954870"/>
    <n v="845485"/>
    <n v="831400"/>
    <n v="-0.1293055599191513"/>
    <n v="0.25527928743961353"/>
    <n v="0.27676461169667699"/>
    <n v="248.4"/>
    <n v="227.46300000000005"/>
    <n v="-8.4287439613526388E-2"/>
    <n v="0.80804828458484101"/>
    <n v="0.99278999999999995"/>
    <n v="0.94545666666666672"/>
    <n v="49689"/>
    <n v="6323"/>
    <m/>
  </r>
  <r>
    <x v="51"/>
    <s v="GM"/>
    <x v="2"/>
    <n v="3.8"/>
    <n v="2.86"/>
    <n v="855510"/>
    <n v="707940"/>
    <n v="762672"/>
    <n v="747600"/>
    <n v="5.6021696753962201E-2"/>
    <n v="0.27875438596491225"/>
    <n v="0.33039080071974808"/>
    <n v="218.10000000000008"/>
    <n v="241.74300000000005"/>
    <n v="0.10840440165061882"/>
    <n v="0.83023358647297674"/>
    <n v="0.99395999999999995"/>
    <n v="0.99526000000000014"/>
    <n v="3730"/>
    <n v="7267"/>
    <m/>
  </r>
  <r>
    <x v="52"/>
    <s v="GM"/>
    <x v="2"/>
    <n v="2.1"/>
    <n v="1.76"/>
    <n v="497430"/>
    <n v="400110"/>
    <n v="429910"/>
    <n v="421590"/>
    <n v="5.3685236559946017E-2"/>
    <n v="0.28433201058201057"/>
    <n v="0.31518691378066388"/>
    <n v="218.10000000000008"/>
    <n v="245.434"/>
    <n v="0.12532783127005917"/>
    <n v="0.83411038250221081"/>
    <n v="1"/>
    <n v="0.9970566666666667"/>
    <n v="1272"/>
    <n v="0"/>
    <m/>
  </r>
  <r>
    <x v="53"/>
    <s v="GM"/>
    <x v="2"/>
    <n v="2.0528400000000002"/>
    <n v="1.6"/>
    <n v="337890"/>
    <n v="296460"/>
    <n v="330770"/>
    <n v="325440"/>
    <n v="9.7753491196114151E-2"/>
    <n v="0.22378888650736431"/>
    <n v="0.25980624956361276"/>
    <n v="199.1699999999999"/>
    <n v="194.78900000000002"/>
    <n v="-2.1996284581010637E-2"/>
    <n v="0.82719249180037013"/>
    <n v="0.99939333333333336"/>
    <n v="0.99277999999999988"/>
    <n v="3970"/>
    <n v="226"/>
    <m/>
  </r>
  <r>
    <x v="54"/>
    <s v="GM"/>
    <x v="3"/>
    <n v="8.75"/>
    <n v="6.3250000000000002"/>
    <n v="1293058"/>
    <n v="1293058"/>
    <n v="1308104"/>
    <n v="1290375"/>
    <n v="-2.0749262600749541E-3"/>
    <n v="0.20763555555555563"/>
    <n v="0.26285767614028482"/>
    <n v="210.9"/>
    <n v="175.34500000000003"/>
    <n v="-0.16858700806069216"/>
    <n v="0.85259117739313917"/>
    <n v="0.99995384615384608"/>
    <n v="1"/>
    <n v="0"/>
    <n v="0"/>
    <m/>
  </r>
  <r>
    <x v="55"/>
    <s v="GM"/>
    <x v="3"/>
    <n v="4"/>
    <n v="3.0249999999999999"/>
    <n v="601640"/>
    <n v="601640"/>
    <n v="605574"/>
    <n v="600240"/>
    <n v="-2.3269729406289476E-3"/>
    <n v="0.21026875"/>
    <n v="0.25749905303030296"/>
    <n v="182.78"/>
    <n v="174.40300000000005"/>
    <n v="-4.5831053725790306E-2"/>
    <n v="0.86806706306657544"/>
    <n v="1"/>
    <n v="1"/>
    <n v="0"/>
    <n v="0"/>
    <m/>
  </r>
  <r>
    <x v="56"/>
    <s v="GM"/>
    <x v="2"/>
    <n v="2.9"/>
    <n v="2.2000000000000002"/>
    <n v="467790"/>
    <n v="394770"/>
    <n v="402794"/>
    <n v="397280"/>
    <n v="6.3581325835296498E-3"/>
    <n v="0.1929090038314176"/>
    <n v="0.25428914141414138"/>
    <n v="205.20000000000007"/>
    <n v="180.56000000000003"/>
    <n v="-0.12007797270955183"/>
    <n v="0.76924281545536477"/>
    <n v="1"/>
    <n v="0.95355384615384609"/>
    <n v="24137"/>
    <n v="0"/>
    <m/>
  </r>
  <r>
    <x v="57"/>
    <s v="GM"/>
    <x v="2"/>
    <n v="1"/>
    <n v="0.8"/>
    <n v="138930"/>
    <n v="120840"/>
    <n v="138578"/>
    <n v="138075"/>
    <n v="0.14262661370407151"/>
    <n v="0.19246944444444444"/>
    <n v="0.24058680555555551"/>
    <n v="205.49999999999989"/>
    <n v="180.56000000000003"/>
    <n v="-0.12136253041362467"/>
    <n v="0.7674900310146211"/>
    <n v="1"/>
    <n v="0.95355384615384609"/>
    <n v="24137"/>
    <n v="0"/>
    <m/>
  </r>
  <r>
    <x v="58"/>
    <s v="GM"/>
    <x v="2"/>
    <n v="1.343"/>
    <n v="1.125"/>
    <n v="247830"/>
    <n v="198690"/>
    <n v="192241"/>
    <n v="190185"/>
    <n v="-4.2805375207609846E-2"/>
    <n v="0.19880967154794407"/>
    <n v="0.23733456790123456"/>
    <n v="213.89999999999992"/>
    <n v="176.35000000000008"/>
    <n v="-0.17554932211313631"/>
    <n v="0.81169812029781496"/>
    <n v="1"/>
    <n v="0.94355"/>
    <n v="15812"/>
    <n v="0"/>
    <m/>
  </r>
  <r>
    <x v="59"/>
    <s v="GM"/>
    <x v="2"/>
    <n v="1.5"/>
    <n v="1.2"/>
    <n v="236850"/>
    <n v="213900"/>
    <n v="201296"/>
    <n v="200790"/>
    <n v="-6.1290322580645158E-2"/>
    <n v="0.18638518518518524"/>
    <n v="0.23298148148148146"/>
    <n v="205.49999999999989"/>
    <n v="176.35000000000008"/>
    <n v="-0.14184914841849061"/>
    <n v="0.76097155278329043"/>
    <n v="1"/>
    <n v="0.97015769230769233"/>
    <n v="8486"/>
    <n v="0"/>
    <m/>
  </r>
  <r>
    <x v="60"/>
    <s v="GM"/>
    <x v="2"/>
    <n v="3"/>
    <n v="2.4"/>
    <n v="478140"/>
    <n v="384660"/>
    <n v="403460"/>
    <n v="398400"/>
    <n v="3.5719856496646392E-2"/>
    <n v="0.18678703703703697"/>
    <n v="0.23348379629629629"/>
    <n v="195"/>
    <n v="176.35000000000008"/>
    <n v="-9.5641025641025237E-2"/>
    <n v="0.76261222946791385"/>
    <n v="0.99758076923076922"/>
    <n v="0.95925384615384601"/>
    <n v="23453"/>
    <n v="1209"/>
    <m/>
  </r>
  <r>
    <x v="61"/>
    <s v="GM"/>
    <x v="2"/>
    <n v="1.5"/>
    <n v="1.2"/>
    <n v="261180"/>
    <n v="214950"/>
    <n v="211281"/>
    <n v="208300"/>
    <n v="-3.0937427308676435E-2"/>
    <n v="0.1956305555555555"/>
    <n v="0.2445381944444445"/>
    <n v="213.60000000000008"/>
    <n v="180.56000000000003"/>
    <n v="-0.15468164794007508"/>
    <n v="0.78009525919361966"/>
    <n v="0.99811538461538463"/>
    <n v="0.95496153846153831"/>
    <n v="13997"/>
    <n v="207"/>
    <m/>
  </r>
  <r>
    <x v="62"/>
    <s v="GM"/>
    <x v="2"/>
    <n v="1.788"/>
    <n v="1.5"/>
    <n v="268140"/>
    <n v="223260"/>
    <n v="249616"/>
    <n v="248355"/>
    <n v="0.11240257995162591"/>
    <e v="#VALUE!"/>
    <e v="#VALUE!"/>
    <n v="195.29999999999995"/>
    <n v="180.56000000000003"/>
    <n v="-7.5473630312339612E-2"/>
    <n v="0.77318489134970592"/>
    <n v="1"/>
    <n v="0.94943846153846145"/>
    <n v="18057"/>
    <n v="0"/>
    <m/>
  </r>
  <r>
    <x v="63"/>
    <s v="GM"/>
    <x v="2"/>
    <n v="3.9980000000000002"/>
    <n v="3.2"/>
    <n v="516010.7999999997"/>
    <n v="534658.80000000016"/>
    <n v="629046.11999999988"/>
    <n v="620000"/>
    <n v="0.17653748521486917"/>
    <n v="0.21852805569451397"/>
    <n v="0.27302348958333333"/>
    <n v="214.50000000000011"/>
    <n v="194.3955"/>
    <n v="-9.3727272727273214E-2"/>
    <n v="0.809381904931184"/>
    <n v="0.995"/>
    <n v="1"/>
    <n v="0"/>
    <n v="4414"/>
    <m/>
  </r>
  <r>
    <x v="64"/>
    <s v="GM"/>
    <x v="2"/>
    <n v="2.0049999999999999"/>
    <n v="1.6"/>
    <n v="317310"/>
    <n v="268290"/>
    <n v="313254.64000000007"/>
    <n v="308340"/>
    <n v="0.16759715233515998"/>
    <n v="0.21699545580493212"/>
    <n v="0.27192243055555554"/>
    <n v="214.50000000000011"/>
    <n v="184.98299999999998"/>
    <n v="-0.13760839160839217"/>
    <n v="0.84460046695940261"/>
    <n v="1"/>
    <n v="1"/>
    <n v="0"/>
    <n v="0"/>
    <m/>
  </r>
  <r>
    <x v="65"/>
    <s v="GM"/>
    <x v="2"/>
    <n v="4.0039999999999996"/>
    <n v="3.3"/>
    <n v="658890"/>
    <n v="610650"/>
    <n v="694797.86"/>
    <n v="684320"/>
    <n v="0.13780047490379102"/>
    <n v="0.24100824869574874"/>
    <n v="0.29242334175084184"/>
    <n v="196.2"/>
    <n v="203.69607500000001"/>
    <n v="3.8206294597349741E-2"/>
    <n v="0.85403451361411908"/>
    <n v="0.99543999999999999"/>
    <n v="1"/>
    <n v="0"/>
    <n v="5395"/>
    <m/>
  </r>
  <r>
    <x v="66"/>
    <s v="GM"/>
    <x v="2"/>
    <n v="2.48"/>
    <n v="1.9"/>
    <n v="459510"/>
    <n v="369000"/>
    <n v="436294"/>
    <n v="428190"/>
    <n v="0.18236856368563686"/>
    <n v="0.24434027777777781"/>
    <n v="0.31892836257309942"/>
    <n v="222.00000000000011"/>
    <n v="208.34000000000003"/>
    <n v="-6.1531531531531868E-2"/>
    <n v="0.8473821620060773"/>
    <n v="1"/>
    <n v="1"/>
    <n v="0"/>
    <n v="0"/>
    <m/>
  </r>
  <r>
    <x v="67"/>
    <s v="GM"/>
    <x v="2"/>
    <n v="8.9960000000000004"/>
    <n v="7.67"/>
    <n v="1385610"/>
    <n v="1315110"/>
    <n v="1611289.7"/>
    <n v="1581774.4103999999"/>
    <n v="0.2252128719270631"/>
    <n v="0.24876638073711776"/>
    <n v="0.29177344994929749"/>
    <n v="194.70000000000005"/>
    <n v="218.64496666599999"/>
    <n v="0.1229839068618384"/>
    <n v="0.81964907212887905"/>
    <n v="1"/>
    <n v="0.99968666666666672"/>
    <n v="729"/>
    <n v="0"/>
    <m/>
  </r>
  <r>
    <x v="68"/>
    <s v="GM"/>
    <x v="2"/>
    <n v="1.4950000000000001"/>
    <n v="1.2"/>
    <n v="252990"/>
    <n v="250260"/>
    <n v="238790.20000000004"/>
    <n v="237080"/>
    <n v="-4.5831535203388313E-2"/>
    <n v="0.22184150873281305"/>
    <n v="0.27637754629629624"/>
    <n v="203.10000000000005"/>
    <n v="190.41046600000001"/>
    <n v="-6.2479241752831288E-2"/>
    <n v="0.83909717896580627"/>
    <n v="1"/>
    <n v="0.99335333333333331"/>
    <n v="1987.65"/>
    <n v="0"/>
    <m/>
  </r>
  <r>
    <x v="69"/>
    <s v="GM"/>
    <x v="2"/>
    <n v="11.994"/>
    <n v="9.6"/>
    <n v="1939380"/>
    <n v="1855770"/>
    <n v="2020332.7"/>
    <n v="1972740"/>
    <n v="8.8676236818140158E-2"/>
    <n v="0.23395177913030596"/>
    <n v="0.29229350405092597"/>
    <n v="195.29999999999995"/>
    <n v="207.64049"/>
    <n v="6.3187352790578841E-2"/>
    <n v="0.8114981847080831"/>
    <n v="0.99973000000000001"/>
    <n v="0.99900333333333335"/>
    <n v="0"/>
    <n v="1694"/>
    <m/>
  </r>
  <r>
    <x v="70"/>
    <s v="GM"/>
    <x v="2"/>
    <n v="12.01"/>
    <n v="9.68"/>
    <n v="2274990"/>
    <n v="1955040"/>
    <n v="2068246.9"/>
    <n v="2022840"/>
    <n v="5.7905157950732415E-2"/>
    <n v="0.23918111064853367"/>
    <n v="0.29675259699265383"/>
    <n v="221.39999999999992"/>
    <n v="207.64999999999998"/>
    <n v="-6.2104787714543579E-2"/>
    <n v="0.82980211617101651"/>
    <n v="0.99545666666666677"/>
    <n v="0.99902999999999997"/>
    <n v="1283"/>
    <n v="8471"/>
    <m/>
  </r>
  <r>
    <x v="71"/>
    <s v="GM"/>
    <x v="2"/>
    <n v="3.085"/>
    <n v="2.64"/>
    <n v="616920"/>
    <n v="552000"/>
    <n v="627664"/>
    <n v="615720"/>
    <n v="0.13707246376811594"/>
    <n v="0.28257878624167115"/>
    <n v="0.33021043771043768"/>
    <n v="271.29000000000013"/>
    <n v="260.66899999999998"/>
    <n v="-3.914998709867723E-2"/>
    <n v="0.78168007483645019"/>
    <n v="0.99955666666666665"/>
    <n v="0.96418333333333328"/>
    <n v="26217"/>
    <n v="253"/>
    <m/>
  </r>
  <r>
    <x v="72"/>
    <s v="GM"/>
    <x v="2"/>
    <n v="4.8049999999999997"/>
    <n v="3.96"/>
    <n v="1048590"/>
    <n v="900450"/>
    <n v="977105"/>
    <n v="955550"/>
    <n v="8.512965739352546E-2"/>
    <n v="0.28243294022430343"/>
    <n v="0.3426995650953984"/>
    <n v="271.29000000000013"/>
    <n v="261.36500000000007"/>
    <n v="-3.6584466806738408E-2"/>
    <n v="0.78080068956043547"/>
    <n v="0.99317666666666671"/>
    <n v="0.96656333333333344"/>
    <n v="43917"/>
    <n v="3572"/>
    <m/>
  </r>
  <r>
    <x v="73"/>
    <s v="GM"/>
    <x v="2"/>
    <n v="1.353"/>
    <n v="1.1000000000000001"/>
    <n v="279780"/>
    <n v="241380"/>
    <n v="271591"/>
    <n v="268620"/>
    <n v="0.12515949954428701"/>
    <n v="0.27879506446579622"/>
    <n v="0.34291792929292936"/>
    <n v="271.29000000000013"/>
    <n v="259.62100000000004"/>
    <n v="-4.3013011906078702E-2"/>
    <n v="0.77442714683510006"/>
    <n v="1"/>
    <n v="0.9596800000000002"/>
    <n v="13400"/>
    <n v="0"/>
    <m/>
  </r>
  <r>
    <x v="74"/>
    <s v="GM"/>
    <x v="2"/>
    <n v="5.0511999999999997"/>
    <n v="3.96"/>
    <n v="867390"/>
    <n v="738840"/>
    <n v="828825"/>
    <n v="813350"/>
    <n v="0.12179226896215689"/>
    <n v="0.22789495512617464"/>
    <n v="0.29069168350168356"/>
    <n v="222.59999999999985"/>
    <n v="205.61499999999995"/>
    <n v="-7.6302785265049022E-2"/>
    <n v="0.79797929902866249"/>
    <n v="0.99873666666666661"/>
    <n v="0.97798000000000018"/>
    <n v="27078"/>
    <n v="634"/>
    <m/>
  </r>
  <r>
    <x v="75"/>
    <s v="GM"/>
    <x v="2"/>
    <n v="2.5255999999999998"/>
    <n v="1.76"/>
    <n v="420630"/>
    <n v="357450"/>
    <n v="409721"/>
    <n v="403340"/>
    <n v="0.14623303958595607"/>
    <n v="0.22531443300601836"/>
    <n v="0.32332759469696976"/>
    <n v="222.59999999999985"/>
    <n v="206.327"/>
    <n v="-7.3104222821203352E-2"/>
    <n v="0.78585467219477678"/>
    <n v="0.99896666666666667"/>
    <n v="0.9755299999999999"/>
    <n v="14562"/>
    <n v="142"/>
    <m/>
  </r>
  <r>
    <x v="76"/>
    <s v="GM"/>
    <x v="2"/>
    <n v="3.0339999999999998"/>
    <n v="2.2000000000000002"/>
    <n v="504990"/>
    <n v="429420"/>
    <n v="496803"/>
    <n v="485880"/>
    <n v="0.15691630571468493"/>
    <n v="0.22742561195341685"/>
    <n v="0.31363575757575757"/>
    <n v="222.59999999999985"/>
    <n v="206.59699999999998"/>
    <n v="-7.1891284815812598E-2"/>
    <n v="0.7923910217156529"/>
    <n v="1"/>
    <n v="0.98082000000000003"/>
    <n v="13713"/>
    <n v="0"/>
    <m/>
  </r>
  <r>
    <x v="77"/>
    <s v="GM"/>
    <x v="4"/>
    <n v="18"/>
    <n v="14"/>
    <n v="2275650"/>
    <n v="2139780"/>
    <n v="2760302.3000000003"/>
    <n v="2715600"/>
    <n v="0.28999350400508478"/>
    <n v="0.2129862885802469"/>
    <n v="0.27383951388888883"/>
    <n v="194.39999999999995"/>
    <n v="189.45499999999998"/>
    <n v="-2.5437242798353736E-2"/>
    <n v="0.80971880742074387"/>
    <n v="1"/>
    <n v="1"/>
    <n v="0"/>
    <n v="0"/>
    <m/>
  </r>
  <r>
    <x v="78"/>
    <s v="GM"/>
    <x v="2"/>
    <n v="19.204999999999998"/>
    <n v="15"/>
    <n v="2934300"/>
    <n v="2825310"/>
    <n v="3015184.9"/>
    <n v="2931750"/>
    <n v="6.7204979276610316E-2"/>
    <n v="6.5416664497092771"/>
    <n v="0.26038932051838348"/>
    <n v="200.99999999999991"/>
    <n v="200.40999999999997"/>
    <n v="-2.9353233830843126E-3"/>
    <n v="0.78394286645461897"/>
    <n v="1"/>
    <n v="0.93917666666666666"/>
    <n v="332105.73"/>
    <n v="0"/>
    <m/>
  </r>
  <r>
    <x v="79"/>
    <s v="GM"/>
    <x v="2"/>
    <n v="14.298"/>
    <n v="11"/>
    <n v="2255280"/>
    <n v="2088974.0999999994"/>
    <n v="2309314"/>
    <n v="2233710"/>
    <n v="0.1054775643221238"/>
    <n v="0.22432372048926813"/>
    <n v="0.29158005050505048"/>
    <n v="201.99999998999994"/>
    <n v="203.601"/>
    <n v="7.9257426241550587E-3"/>
    <n v="0.79359609605697112"/>
    <n v="1"/>
    <n v="0.94337000000000004"/>
    <n v="239922.21600000001"/>
    <n v="0"/>
    <m/>
  </r>
  <r>
    <x v="80"/>
    <s v="GM"/>
    <x v="2"/>
    <n v="4.8090000000000002"/>
    <n v="3.85"/>
    <n v="823200"/>
    <n v="601710"/>
    <n v="728251"/>
    <n v="713450"/>
    <n v="0.18570407671469644"/>
    <n v="0.21032641343776712"/>
    <n v="0.26271681096681099"/>
    <n v="194.70000000000005"/>
    <n v="181.29300000000001"/>
    <n v="-6.8859784283513276E-2"/>
    <n v="0.83530537679442862"/>
    <n v="1"/>
    <n v="0.98367307692307682"/>
    <n v="12621"/>
    <n v="1048"/>
    <m/>
  </r>
  <r>
    <x v="81"/>
    <s v="GM"/>
    <x v="2"/>
    <n v="4.0339999999999998"/>
    <n v="3.15"/>
    <n v="628480.88849999977"/>
    <n v="577704.22799999989"/>
    <n v="561839"/>
    <n v="552440"/>
    <n v="-4.3732115458915928E-2"/>
    <n v="0.19343875667933672"/>
    <n v="0.24772442680776013"/>
    <n v="190.49999999999991"/>
    <n v="172.92800000000003"/>
    <n v="-9.2241469816272431E-2"/>
    <n v="0.80539822821707552"/>
    <n v="1"/>
    <n v="0.98135199999999978"/>
    <n v="28226.57"/>
    <n v="0"/>
    <m/>
  </r>
  <r>
    <x v="82"/>
    <s v="GM"/>
    <x v="2"/>
    <n v="1.6"/>
    <n v="1.32"/>
    <n v="345000"/>
    <n v="323550"/>
    <n v="0"/>
    <n v="0"/>
    <n v="-1"/>
    <n v="0"/>
    <n v="0"/>
    <n v="268.2"/>
    <n v="0"/>
    <n v="-1"/>
    <e v="#DIV/0!"/>
    <e v="#DIV/0!"/>
    <e v="#DIV/0!"/>
    <n v="0"/>
    <n v="0"/>
    <m/>
  </r>
  <r>
    <x v="83"/>
    <s v="GM"/>
    <x v="2"/>
    <n v="1.7"/>
    <n v="1.32"/>
    <n v="365010"/>
    <n v="343140"/>
    <n v="0"/>
    <n v="0"/>
    <n v="-1"/>
    <n v="0"/>
    <n v="0"/>
    <n v="268.2"/>
    <n v="0"/>
    <n v="-1"/>
    <e v="#DIV/0!"/>
    <e v="#DIV/0!"/>
    <e v="#DI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s v="GM"/>
    <s v="Tamilnadu"/>
    <n v="10"/>
    <n v="7.5"/>
    <n v="1441290"/>
    <n v="1191870"/>
    <n v="1300330.4999999995"/>
    <n v="1280640"/>
    <n v="7.4479599285156933E-2"/>
    <n v="0.18060145833333335"/>
    <n v="0.24080194444444442"/>
    <n v="175.20000000000007"/>
    <n v="188.93"/>
    <n v="7.8367579908675378E-2"/>
    <n v="0.68826046683956998"/>
    <n v="1"/>
    <n v="0.94625000000000015"/>
    <n v="114903"/>
    <n v="0"/>
    <m/>
    <m/>
    <m/>
    <m/>
    <s v="GHCL-1"/>
    <s v="Vivekanand"/>
  </r>
  <r>
    <x v="1"/>
    <s v="GM"/>
    <s v="Tamilnadu"/>
    <n v="10"/>
    <n v="7.5"/>
    <n v="1425870"/>
    <n v="1194240"/>
    <n v="1330504.2"/>
    <n v="1308400"/>
    <n v="9.5592175777063235E-2"/>
    <n v="0.18479225000000002"/>
    <n v="0.24638966666666662"/>
    <n v="175.20000000000007"/>
    <n v="188.66"/>
    <n v="7.6826484018264363E-2"/>
    <n v="0.70523916039436019"/>
    <n v="0.99959999999999993"/>
    <n v="0.97253999999999996"/>
    <n v="61636"/>
    <n v="1236"/>
    <m/>
    <m/>
    <m/>
    <m/>
    <s v="GHCL-2"/>
    <s v="Prince"/>
  </r>
  <r>
    <x v="2"/>
    <s v="GM"/>
    <s v="Tamilnadu"/>
    <n v="21.211400000000001"/>
    <n v="16"/>
    <n v="3138450"/>
    <n v="3104370"/>
    <n v="2791856"/>
    <n v="2728080"/>
    <n v="-0.1212129997390775"/>
    <n v="0.18280631065265746"/>
    <n v="0.21788986440271113"/>
    <n v="183.60000000000008"/>
    <n v="164.70700000000005"/>
    <n v="-0.10290305010893258"/>
    <n v="0.79911930682917731"/>
    <n v="0.99988333333333324"/>
    <n v="1"/>
    <n v="0"/>
    <n v="366"/>
    <m/>
    <m/>
    <m/>
    <m/>
    <s v="Pollax"/>
    <s v="Kiran"/>
  </r>
  <r>
    <x v="3"/>
    <s v="GM"/>
    <s v="Tamilnadu"/>
    <n v="9.9979999999999993"/>
    <n v="7.67"/>
    <n v="1463460"/>
    <n v="1219200"/>
    <n v="1342088.8999999999"/>
    <n v="1299150"/>
    <n v="6.5575787401574798E-2"/>
    <n v="0.18643852381587436"/>
    <n v="0.21882392343672277"/>
    <n v="179.39999999999998"/>
    <n v="176.87699999999998"/>
    <n v="-1.4063545150501653E-2"/>
    <n v="0.75892138122779951"/>
    <n v="0.99869999999999992"/>
    <n v="1"/>
    <n v="0"/>
    <n v="1458"/>
    <m/>
    <m/>
    <m/>
    <m/>
    <s v="GHCL-3"/>
    <s v="Majethiya"/>
  </r>
  <r>
    <x v="4"/>
    <s v="GM"/>
    <s v="Tamilnadu"/>
    <n v="15"/>
    <n v="12.095000000000001"/>
    <n v="2128380"/>
    <n v="2094870"/>
    <n v="1939607"/>
    <n v="1911150"/>
    <n v="-8.7699952741697576E-2"/>
    <n v="0.17959324074074071"/>
    <n v="0.20511928712507463"/>
    <n v="179.39999999999998"/>
    <n v="161.51599999999999"/>
    <n v="-9.9687848383500491E-2"/>
    <n v="0.80058404946465567"/>
    <n v="1"/>
    <n v="1"/>
    <n v="0"/>
    <n v="0"/>
    <m/>
    <m/>
    <m/>
    <m/>
    <s v="TMILLS"/>
    <s v="Centenary"/>
  </r>
  <r>
    <x v="5"/>
    <s v="GM"/>
    <s v="Tamilnadu"/>
    <n v="2.2050000000000001"/>
    <n v="1.76"/>
    <n v="338670"/>
    <n v="316890"/>
    <n v="286681.80000000005"/>
    <n v="282552"/>
    <n v="-0.10835936760390041"/>
    <n v="0.18057558578987148"/>
    <n v="0.20755098873514047"/>
    <n v="183.30000000000013"/>
    <n v="162.71199999999996"/>
    <n v="-0.11231860338243399"/>
    <n v="0.79904630124826403"/>
    <n v="1"/>
    <n v="1"/>
    <n v="0"/>
    <n v="0"/>
    <m/>
    <m/>
    <m/>
    <m/>
    <s v="VTM"/>
    <s v="Sainest"/>
  </r>
  <r>
    <x v="6"/>
    <s v="GM"/>
    <s v="Tamilnadu"/>
    <n v="12.0006"/>
    <n v="9"/>
    <n v="1816043.7278648845"/>
    <n v="1699495.7401783399"/>
    <n v="1870026.2999999996"/>
    <n v="1814400"/>
    <n v="6.761079601741303E-2"/>
    <n v="0.21642740779627681"/>
    <n v="0.25648879913411737"/>
    <n v="174.39999999999995"/>
    <n v="186.36000000000004"/>
    <n v="6.8577981651376699E-2"/>
    <n v="0.8361651299276629"/>
    <n v="1"/>
    <n v="0.99672666666666676"/>
    <n v="7796"/>
    <n v="0"/>
    <m/>
    <m/>
    <m/>
    <m/>
    <s v="JOTHI"/>
    <s v="Orito"/>
  </r>
  <r>
    <x v="7"/>
    <s v="RT"/>
    <s v="Tamilnadu"/>
    <n v="3.891"/>
    <n v="3.08"/>
    <n v="550276.99999999965"/>
    <n v="541160.00000000023"/>
    <n v="520564"/>
    <n v="493673"/>
    <n v="-8.7750388055289036E-2"/>
    <n v="0.18581484337074156"/>
    <n v="0.21431009402409745"/>
    <n v="179.49799999999999"/>
    <n v="178.18599999999998"/>
    <n v="-7.3092736409319983E-3"/>
    <n v="0.75082603137695425"/>
    <n v="1"/>
    <n v="0.9968866666666667"/>
    <n v="0"/>
    <n v="0"/>
    <m/>
    <m/>
    <m/>
    <m/>
    <s v="GHCL MANA"/>
    <s v="Universal"/>
  </r>
  <r>
    <x v="8"/>
    <s v="RT"/>
    <s v="Tamilnadu"/>
    <n v="1.2969999999999999"/>
    <n v="1.1000000000000001"/>
    <n v="181403.99999999994"/>
    <n v="180441.00000000006"/>
    <n v="163670"/>
    <n v="165448"/>
    <n v="-8.3090871808513878E-2"/>
    <n v="0.17526557011907823"/>
    <n v="0.19535532561544511"/>
    <n v="178.70000000000005"/>
    <n v="173.83799999999999"/>
    <n v="-2.7207610520425574E-2"/>
    <n v="0.72591269161941763"/>
    <n v="1"/>
    <n v="0.99847666666666668"/>
    <n v="0"/>
    <n v="0"/>
    <m/>
    <m/>
    <m/>
    <m/>
    <s v="GHCL Para"/>
    <s v="Aditya-Arka"/>
  </r>
  <r>
    <x v="9"/>
    <s v="RT"/>
    <s v="Tamilnadu"/>
    <n v="2.7949999999999999"/>
    <n v="2.2000000000000002"/>
    <n v="377310"/>
    <n v="373140"/>
    <n v="412256"/>
    <n v="412722"/>
    <n v="0.1060781476121563"/>
    <n v="0.20485788113695094"/>
    <n v="0.23931072464357345"/>
    <n v="180.29999999999995"/>
    <n v="184.53500000000003"/>
    <n v="2.3488630061009826E-2"/>
    <n v="0.79929376225975901"/>
    <n v="1"/>
    <n v="0.999"/>
    <n v="0"/>
    <n v="0"/>
    <m/>
    <m/>
    <m/>
    <m/>
    <s v="GHCL Para-2"/>
    <s v="GHCL-1"/>
  </r>
  <r>
    <x v="10"/>
    <s v="GM"/>
    <s v="Tamilnadu"/>
    <n v="1.4790000000000001"/>
    <n v="1.1000000000000001"/>
    <n v="202885.00000000006"/>
    <n v="191883.00000000009"/>
    <n v="223938.80000000002"/>
    <n v="220836"/>
    <n v="0.15088882287643982"/>
    <n v="0.21029486890541657"/>
    <n v="0.25239027752166704"/>
    <n v="171.6"/>
    <n v="191.67266666700002"/>
    <n v="0.1169735819755246"/>
    <n v="0.78995251772102759"/>
    <n v="1"/>
    <n v="0.98267666666666664"/>
    <n v="6082.7053599999999"/>
    <n v="0"/>
    <m/>
    <m/>
    <m/>
    <m/>
    <s v="SURIYA"/>
    <s v="GHCL-2"/>
  </r>
  <r>
    <x v="11"/>
    <s v="GM"/>
    <s v="Tamilnadu"/>
    <n v="2.6080000000000001"/>
    <n v="1.9"/>
    <n v="389850"/>
    <n v="365730"/>
    <n v="389716"/>
    <n v="383784"/>
    <n v="4.9364285128373389E-2"/>
    <n v="0.20754302999318336"/>
    <n v="0.2523686654647867"/>
    <n v="171.6"/>
    <n v="185.87724999900001"/>
    <n v="8.3200757569930187E-2"/>
    <n v="0.803922920077072"/>
    <n v="1"/>
    <n v="0.98510333333333333"/>
    <n v="10064.06424"/>
    <n v="0"/>
    <m/>
    <m/>
    <m/>
    <m/>
    <s v="PANTECH"/>
    <s v="Pollax"/>
  </r>
  <r>
    <x v="12"/>
    <s v="GM"/>
    <s v="Tamilnadu"/>
    <n v="1.75"/>
    <n v="1.375"/>
    <n v="262931"/>
    <n v="248361.00000000015"/>
    <n v="226939.50000000003"/>
    <n v="224816"/>
    <n v="-9.4801518756971237E-2"/>
    <n v="0.18011071428571426"/>
    <n v="0.21022887445887448"/>
    <n v="171.6"/>
    <n v="185.70183333300002"/>
    <n v="8.2178515926573603E-2"/>
    <n v="0.69832220801597045"/>
    <n v="0.86741666666666661"/>
    <n v="0.97979999999999989"/>
    <n v="7410.21"/>
    <n v="36258.953572000006"/>
    <m/>
    <m/>
    <m/>
    <m/>
    <s v="PARVATHI"/>
    <s v="GHCL-3"/>
  </r>
  <r>
    <x v="13"/>
    <s v="GM"/>
    <s v="Karnataka"/>
    <n v="7.0179999999999998"/>
    <n v="5.72"/>
    <n v="1050118.0000000002"/>
    <n v="1028275.0000000005"/>
    <n v="1163968"/>
    <n v="1033839"/>
    <n v="5.4110038656969509E-3"/>
    <n v="0.23035369367657779"/>
    <n v="0.25197309939277024"/>
    <n v="200.40000000000012"/>
    <n v="193.04"/>
    <n v="-3.6726546906188241E-2"/>
    <n v="0.85917250024417702"/>
    <n v="1"/>
    <n v="0.99848333333333328"/>
    <n v="1500"/>
    <n v="0"/>
    <m/>
    <m/>
    <m/>
    <m/>
    <s v="BIAL"/>
    <s v="TMILLS"/>
  </r>
  <r>
    <x v="14"/>
    <s v="GM"/>
    <s v="Gujarat"/>
    <n v="32.064999999999998"/>
    <n v="24.2"/>
    <n v="5855010"/>
    <n v="5677500"/>
    <n v="4939255"/>
    <n v="4792200"/>
    <n v="-0.15593130779392339"/>
    <n v="0.21394281580816743"/>
    <n v="0.25255290144151638"/>
    <n v="221.10000000000008"/>
    <n v="207.82000000000002"/>
    <n v="-6.0063319764812544E-2"/>
    <n v="0.7412127195740571"/>
    <n v="0.99973000000000001"/>
    <n v="1"/>
    <n v="629824.67983299994"/>
    <n v="3935.0390848000002"/>
    <m/>
    <m/>
    <m/>
    <m/>
    <s v="BRPL"/>
    <s v="VTM"/>
  </r>
  <r>
    <x v="15"/>
    <s v="GM"/>
    <s v="Gujarat"/>
    <n v="1.8049999999999999"/>
    <n v="1.5820000000000001"/>
    <n v="333716.00000000006"/>
    <n v="319656.39999999991"/>
    <n v="340823"/>
    <n v="340823"/>
    <n v="6.621672520869315E-2"/>
    <n v="0.26225223145583254"/>
    <n v="0.29921951819075715"/>
    <n v="275.40000000000015"/>
    <n v="237.96599999999998"/>
    <n v="-0.13592592592592645"/>
    <n v="0.79348144965330958"/>
    <n v="0.93122666666666665"/>
    <n v="0.9969433333333334"/>
    <n v="17927.32"/>
    <n v="0"/>
    <m/>
    <m/>
    <m/>
    <m/>
    <s v="Pidilite"/>
    <s v="JOTHI"/>
  </r>
  <r>
    <x v="16"/>
    <s v="GM"/>
    <s v="Gujarat"/>
    <n v="4.4000000000000004"/>
    <n v="3.96"/>
    <n v="777010"/>
    <n v="670209.00000000012"/>
    <n v="766733"/>
    <n v="752100"/>
    <n v="0.1221872580045924"/>
    <n v="0.24207856060606062"/>
    <n v="0.26225214085297416"/>
    <n v="225"/>
    <n v="229.72099999999998"/>
    <n v="2.0982222222222111E-2"/>
    <n v="0.75856147239477456"/>
    <n v="0.9973333333333334"/>
    <n v="0.97099999999999975"/>
    <n v="32173"/>
    <n v="2076.6"/>
    <m/>
    <m/>
    <m/>
    <m/>
    <s v="Greenbloom"/>
    <s v="SURIYA"/>
  </r>
  <r>
    <x v="17"/>
    <s v="GM"/>
    <s v="Gujarat"/>
    <n v="1.1240000000000001"/>
    <n v="0.88"/>
    <n v="193521.90000000005"/>
    <n v="167856.00000000003"/>
    <n v="177605"/>
    <n v="175740"/>
    <n v="4.6968830426079314E-2"/>
    <n v="0.21946050810597073"/>
    <n v="0.2548743832901974"/>
    <n v="216.89999999999992"/>
    <n v="206.01999999999995"/>
    <n v="-5.0161364684186124E-2"/>
    <n v="0.76697197280020857"/>
    <n v="0.99741999999999997"/>
    <n v="0.95275999999999994"/>
    <n v="12075"/>
    <n v="411"/>
    <m/>
    <m/>
    <m/>
    <m/>
    <s v="Isha"/>
    <s v="PANTECH"/>
  </r>
  <r>
    <x v="18"/>
    <s v="GM"/>
    <s v="Gujarat"/>
    <n v="1.8169999999999999"/>
    <n v="1.54"/>
    <n v="312660"/>
    <n v="271500"/>
    <n v="295577"/>
    <n v="290500"/>
    <n v="6.9981583793738492E-2"/>
    <n v="0.2259348437595548"/>
    <n v="0.24852601363505325"/>
    <n v="216.89999999999992"/>
    <n v="207.28000000000006"/>
    <n v="-4.4352236053480251E-2"/>
    <n v="0.78479876257660852"/>
    <n v="0.99634333333333336"/>
    <n v="0.9595699999999997"/>
    <n v="14819"/>
    <n v="936"/>
    <m/>
    <m/>
    <m/>
    <m/>
    <s v="Enviro"/>
    <s v="PARVATHI"/>
  </r>
  <r>
    <x v="19"/>
    <s v="GM"/>
    <s v="Gujarat"/>
    <n v="2.5249999999999999"/>
    <n v="1.98"/>
    <n v="475836.00000000023"/>
    <n v="415518.90000000008"/>
    <n v="413247"/>
    <n v="406590"/>
    <n v="-2.1488553228264901E-2"/>
    <n v="0.22730858085808581"/>
    <n v="0.26319525008056366"/>
    <n v="216.89999999999992"/>
    <n v="208.89000000000001"/>
    <n v="-3.692946058091244E-2"/>
    <n v="0.78348498356944696"/>
    <n v="0.99582999999999988"/>
    <n v="0.96854000000000018"/>
    <n v="17421"/>
    <n v="1352"/>
    <m/>
    <m/>
    <m/>
    <m/>
    <s v="Vimalachal"/>
    <s v="GHCL MANA"/>
  </r>
  <r>
    <x v="20"/>
    <s v="GM"/>
    <s v="Gujarat"/>
    <n v="18.09"/>
    <n v="14"/>
    <n v="2770680"/>
    <n v="2644740"/>
    <n v="5415420"/>
    <n v="2691000"/>
    <n v="4.5941756089445472E-2"/>
    <n v="0.21238283889195991"/>
    <n v="0.27442896825396823"/>
    <n v="199.20000000000016"/>
    <n v="197.49"/>
    <n v="-8.0367047400837291E-3"/>
    <n v="0.7754300957940149"/>
    <n v="1"/>
    <n v="0.94517333333333342"/>
    <n v="279144"/>
    <n v="0"/>
    <s v=" "/>
    <m/>
    <m/>
    <m/>
    <s v="Vasundhara"/>
    <s v="GHCL Para"/>
  </r>
  <r>
    <x v="21"/>
    <s v="GM"/>
    <s v="Maharashtra"/>
    <n v="21.5"/>
    <n v="15.4"/>
    <n v="2328207"/>
    <n v="2189481"/>
    <n v="2410514.9995599999"/>
    <n v="2409540"/>
    <n v="0.10050738051620453"/>
    <n v="0.15572"/>
    <n v="0.21740000000000001"/>
    <n v="198.60000000000008"/>
    <n v="142"/>
    <n v="-0.28499496475327318"/>
    <n v="0.78955617411071077"/>
    <n v="0.99809523809523815"/>
    <n v="0.99428571428571444"/>
    <n v="14060"/>
    <n v="4218"/>
    <s v=" "/>
    <m/>
    <m/>
    <m/>
    <s v="Pudumjee"/>
    <s v="GHCL Para-2"/>
  </r>
  <r>
    <x v="22"/>
    <s v="GM"/>
    <s v="Gujarat"/>
    <n v="3.3291999999999997"/>
    <n v="2.42"/>
    <n v="450892"/>
    <n v="395968"/>
    <n v="405353"/>
    <n v="399060"/>
    <n v="7.8087118150961697E-3"/>
    <n v="0.1691"/>
    <n v="0.23264333333333337"/>
    <n v="172.27"/>
    <n v="162.60325000000003"/>
    <n v="-5.6113949033493808E-2"/>
    <n v="0.7487973243423881"/>
    <n v="0.99139565217391301"/>
    <n v="0.9428260869565217"/>
    <n v="34334"/>
    <n v="3447"/>
    <s v=" "/>
    <m/>
    <m/>
    <m/>
    <s v="Venus Denim-01"/>
    <s v="BIAL"/>
  </r>
  <r>
    <x v="23"/>
    <s v="GM"/>
    <s v="Gujarat"/>
    <n v="1.8007"/>
    <n v="1.54"/>
    <n v="243800"/>
    <n v="214107"/>
    <n v="225776"/>
    <n v="222320"/>
    <n v="3.8359325010391999E-2"/>
    <n v="0.17412999999999995"/>
    <n v="0.20362000000000002"/>
    <n v="172.27"/>
    <n v="162.60325000000003"/>
    <n v="-5.6113949033493808E-2"/>
    <n v="0.77109375924420143"/>
    <n v="0.99139565217391301"/>
    <n v="0.96952173913043493"/>
    <n v="9620"/>
    <n v="1872"/>
    <s v=" "/>
    <m/>
    <m/>
    <m/>
    <s v="Venus Denim-02"/>
    <s v="BRPL"/>
  </r>
  <r>
    <x v="24"/>
    <s v="GM"/>
    <s v="Gujarat"/>
    <n v="5.1480800000000002"/>
    <n v="3.96"/>
    <n v="855370"/>
    <n v="760380"/>
    <n v="801525.10000000009"/>
    <n v="781250"/>
    <n v="2.7446802914332307E-2"/>
    <n v="0.21622999999999998"/>
    <n v="0.28112333333333334"/>
    <n v="210.67999999999995"/>
    <n v="198.83200000000002"/>
    <n v="-5.6236947028668743E-2"/>
    <n v="0.78304290498727924"/>
    <n v="0.99766521739130443"/>
    <n v="0.9576347826086955"/>
    <n v="42836"/>
    <n v="2630"/>
    <s v=" "/>
    <m/>
    <m/>
    <m/>
    <s v="Vishal Spintex"/>
    <s v="Pidilite"/>
  </r>
  <r>
    <x v="25"/>
    <s v="GM"/>
    <s v="Gujarat"/>
    <n v="65"/>
    <n v="50"/>
    <n v="7735659"/>
    <n v="6923207"/>
    <n v="7667930"/>
    <n v="7452900"/>
    <n v="7.6509773577476445E-2"/>
    <n v="0.16384333333333334"/>
    <n v="0.21299666666666672"/>
    <n v="173.42"/>
    <n v="155.05999999999997"/>
    <n v="-0.10587014185215093"/>
    <n v="0.76079036402782063"/>
    <n v="0.99980000000000002"/>
    <n v="0.99623478260869591"/>
    <n v="378885"/>
    <n v="2576"/>
    <s v=" "/>
    <m/>
    <m/>
    <m/>
    <s v="Madura textiles"/>
    <s v="Greenbloom"/>
  </r>
  <r>
    <x v="26"/>
    <s v="GM"/>
    <s v="Maharashtra"/>
    <n v="3.75"/>
    <n v="3"/>
    <n v="425720"/>
    <n v="397700"/>
    <n v="326224"/>
    <n v="320040"/>
    <n v="-0.19527281870756852"/>
    <n v="0.12081666666666664"/>
    <n v="0.15102666666666667"/>
    <n v="134.60000000000005"/>
    <n v="133.54"/>
    <n v="-7.8751857355130669E-3"/>
    <n v="0.65143827068044535"/>
    <n v="1"/>
    <n v="0.84373500000000023"/>
    <n v="61759"/>
    <n v="0"/>
    <s v=" "/>
    <m/>
    <m/>
    <m/>
    <s v="Alkyl Amines"/>
    <s v="Isha"/>
  </r>
  <r>
    <x v="27"/>
    <s v="GM"/>
    <s v="Karnataka"/>
    <n v="3.9283999999999999"/>
    <n v="2.86"/>
    <n v="623300"/>
    <n v="557680.99999999965"/>
    <n v="586166.6"/>
    <n v="580729.5"/>
    <n v="4.1329182812396989E-2"/>
    <n v="0.20723965934675129"/>
    <n v="0.25447058962855473"/>
    <n v="185.50000000000009"/>
    <n v="184.26399999999998"/>
    <n v="-6.6630727762808789E-3"/>
    <n v="0.80977594500098193"/>
    <n v="0.99513000000000007"/>
    <n v="0.99551333333333336"/>
    <n v="8409.1899999999987"/>
    <n v="1893.3"/>
    <m/>
    <m/>
    <m/>
    <m/>
    <s v="PGP5"/>
    <s v="Enviro"/>
  </r>
  <r>
    <x v="28"/>
    <s v="GM"/>
    <s v="Karnataka"/>
    <n v="3.7170000000000001"/>
    <n v="3.3"/>
    <n v="632445"/>
    <n v="570599.00000000012"/>
    <n v="587316"/>
    <n v="585140"/>
    <n v="2.548374602829637E-2"/>
    <n v="0.21945565420141688"/>
    <n v="0.23669206899503509"/>
    <n v="185.50000000000009"/>
    <n v="183.33"/>
    <n v="-1.1698113207547557E-2"/>
    <n v="0.86187787609785715"/>
    <n v="0.99502000000000002"/>
    <n v="0.99686333333333343"/>
    <n v="1183.6100000000001"/>
    <n v="1714.06"/>
    <m/>
    <m/>
    <m/>
    <m/>
    <s v="Rishi Bommalapura"/>
    <s v="Vimalachal"/>
  </r>
  <r>
    <x v="29"/>
    <s v="GM"/>
    <s v="Karnataka"/>
    <n v="4"/>
    <n v="3.2"/>
    <n v="573111.99999999988"/>
    <n v="548348"/>
    <n v="514946.29999999993"/>
    <n v="512980"/>
    <n v="-6.4499186647895126E-2"/>
    <n v="0.17880079861111112"/>
    <n v="0.20719787326388889"/>
    <n v="181.80000000000004"/>
    <n v="180.94"/>
    <n v="-4.730473047304961E-3"/>
    <n v="0.7114876478390626"/>
    <n v="1"/>
    <n v="0.94582333333333346"/>
    <n v="22937.629999999997"/>
    <n v="0"/>
    <m/>
    <m/>
    <m/>
    <m/>
    <s v="RISHI Terakanambi"/>
    <s v="Vasundhara"/>
  </r>
  <r>
    <x v="30"/>
    <s v="GM"/>
    <s v="Karnataka"/>
    <n v="6"/>
    <n v="4.9000000000000004"/>
    <n v="847911.66666666698"/>
    <n v="818450.566666667"/>
    <n v="869813.51000000013"/>
    <n v="850740"/>
    <n v="3.9451904181384265E-2"/>
    <n v="0.20134571990740735"/>
    <n v="0.22861159297052158"/>
    <n v="176.61000000000007"/>
    <n v="184.16000000000005"/>
    <n v="4.2749561180001019E-2"/>
    <n v="0.78719004307848239"/>
    <n v="1"/>
    <n v="0.99838620689655166"/>
    <n v="0"/>
    <n v="556.11"/>
    <m/>
    <m/>
    <m/>
    <m/>
    <s v="AAL GO-1"/>
    <s v="Pudumjee"/>
  </r>
  <r>
    <x v="31"/>
    <s v="GM"/>
    <s v="Karnataka"/>
    <n v="6"/>
    <n v="4.5"/>
    <n v="852172.73333333398"/>
    <n v="821080.86666666658"/>
    <n v="868917.89999999991"/>
    <n v="853740"/>
    <n v="3.977578172771138E-2"/>
    <n v="0.20113840277777778"/>
    <n v="0.24256151234567899"/>
    <n v="176.61000000000007"/>
    <n v="182.74"/>
    <n v="3.4709246362040293E-2"/>
    <n v="0.79249014993980516"/>
    <n v="1"/>
    <n v="0.99805862068965512"/>
    <n v="0"/>
    <n v="1065.8699999999999"/>
    <m/>
    <m/>
    <m/>
    <m/>
    <s v="AAL GO-2"/>
    <s v="Venus Denim-01"/>
  </r>
  <r>
    <x v="32"/>
    <s v="GM"/>
    <s v="Maharashtra"/>
    <n v="12.3"/>
    <n v="10.119999999999999"/>
    <n v="1556230"/>
    <n v="1517620"/>
    <n v="1525862"/>
    <n v="1495935"/>
    <n v="-1.4288820653391494E-2"/>
    <n v="0.17229697380307132"/>
    <n v="0.19850851435885897"/>
    <n v="171.59999999999991"/>
    <n v="156.68"/>
    <n v="-8.6946386946386428E-2"/>
    <n v="0.79176551658291661"/>
    <n v="1"/>
    <n v="1"/>
    <n v="68285"/>
    <n v="8421"/>
    <m/>
    <m/>
    <m/>
    <m/>
    <s v="ACG_Tuljapur"/>
    <s v="Venus Denim-02"/>
  </r>
  <r>
    <x v="33"/>
    <s v="GM"/>
    <s v="Maharashtra"/>
    <n v="20.998000000000001"/>
    <n v="14.85"/>
    <n v="2999178"/>
    <n v="2317536"/>
    <n v="2550625"/>
    <n v="2531100"/>
    <n v="9.2151319332256329E-2"/>
    <n v="0.16870819707697027"/>
    <n v="0.2165569716222239"/>
    <n v="173.41999999999993"/>
    <n v="174.86"/>
    <n v="8.3035405374240773E-3"/>
    <n v="0.69466946068522595"/>
    <n v="0.99996923076923083"/>
    <n v="0.95914615384615387"/>
    <n v="117502"/>
    <n v="0"/>
    <m/>
    <m/>
    <m/>
    <m/>
    <s v="Aarti_Akola"/>
    <s v="Vishal Spintex"/>
  </r>
  <r>
    <x v="34"/>
    <s v="GM"/>
    <s v="Maharashtra"/>
    <n v="8.39"/>
    <n v="6"/>
    <n v="1099956"/>
    <n v="989950"/>
    <n v="1086597"/>
    <n v="1075080"/>
    <n v="8.5994242133441076E-2"/>
    <n v="0.17987634088200236"/>
    <n v="0.22911699885224912"/>
    <n v="182"/>
    <n v="172.87400000000002"/>
    <n v="-5.014285714285701E-2"/>
    <n v="0.74916393115819446"/>
    <n v="0.9966576923076923"/>
    <n v="0.93826923076923074"/>
    <n v="66877.920000000013"/>
    <n v="8536"/>
    <m/>
    <m/>
    <m/>
    <m/>
    <s v="ACG_PZ4"/>
    <s v="Madura textiles"/>
  </r>
  <r>
    <x v="35"/>
    <s v="GM"/>
    <s v="Maharashtra"/>
    <n v="1.9"/>
    <n v="1.54"/>
    <n v="268034"/>
    <n v="268034"/>
    <n v="271446"/>
    <n v="266625"/>
    <n v="-5.2567957796398968E-3"/>
    <n v="0.19842543859649125"/>
    <n v="0.22999677223361428"/>
    <n v="174.19999999999996"/>
    <n v="173.01000000000005"/>
    <n v="-6.8312284730190171E-3"/>
    <n v="0.82576912195522589"/>
    <n v="1"/>
    <n v="1"/>
    <n v="0"/>
    <n v="0"/>
    <m/>
    <m/>
    <m/>
    <m/>
    <s v="ACG_PAM"/>
    <s v="Alkyl Amines"/>
  </r>
  <r>
    <x v="36"/>
    <s v="GM"/>
    <s v="Maharashtra"/>
    <n v="6"/>
    <n v="3.9"/>
    <n v="808132"/>
    <n v="727298"/>
    <n v="775711"/>
    <n v="773730"/>
    <n v="6.3841781498092942E-2"/>
    <n v="0.17956273148148144"/>
    <n v="0.24660576923076921"/>
    <n v="181.74000000000004"/>
    <n v="174.11399999999998"/>
    <n v="-4.196104324859723E-2"/>
    <n v="0.74253171293903242"/>
    <n v="0.99476153846153847"/>
    <n v="0.95885769230769224"/>
    <n v="30259"/>
    <n v="2002"/>
    <m/>
    <m/>
    <m/>
    <m/>
    <s v="ACG_PGP3"/>
    <s v="PGP5"/>
  </r>
  <r>
    <x v="37"/>
    <s v="GM"/>
    <s v="Gujarat"/>
    <n v="4.9000000000000004"/>
    <n v="3.96"/>
    <n v="800850"/>
    <n v="761580"/>
    <n v="676099"/>
    <n v="661550"/>
    <n v="-0.13134536096010924"/>
    <n v="0.19163803854875286"/>
    <n v="0.2167204571222428"/>
    <n v="208.29000000000011"/>
    <n v="199.76000000000002"/>
    <n v="-4.095251812377014E-2"/>
    <n v="0.69072580974720676"/>
    <n v="0.99066666666666658"/>
    <n v="0.99236111111111103"/>
    <n v="83124"/>
    <n v="11062"/>
    <m/>
    <m/>
    <m/>
    <m/>
    <s v="Asahi Songwon_ Balasinor"/>
    <s v="Rishi Bommalapura"/>
  </r>
  <r>
    <x v="38"/>
    <s v="GM"/>
    <s v="Maharashtra"/>
    <n v="5.9"/>
    <n v="3.96"/>
    <n v="805948"/>
    <n v="805948"/>
    <n v="794736"/>
    <n v="781695"/>
    <n v="-3.0092512172001172E-2"/>
    <n v="0.18708474576271189"/>
    <n v="0.25091814448629424"/>
    <n v="183.81999999999991"/>
    <n v="167.84"/>
    <n v="-8.6932869111086455E-2"/>
    <n v="0.80255610670372102"/>
    <n v="1"/>
    <n v="1"/>
    <n v="0"/>
    <n v="0"/>
    <m/>
    <m/>
    <m/>
    <m/>
    <s v="August Energy_Akola"/>
    <s v="RISHI Terakanambi"/>
  </r>
  <r>
    <x v="39"/>
    <s v="GM"/>
    <s v="Maharashtra"/>
    <n v="3.7"/>
    <n v="2.94"/>
    <n v="521768"/>
    <n v="496366"/>
    <n v="524008"/>
    <n v="510780"/>
    <n v="2.9039055857975768E-2"/>
    <n v="0.19669969969969966"/>
    <n v="0.23104179945251371"/>
    <n v="174.19999999999996"/>
    <n v="174.72999999999996"/>
    <n v="3.0424799081515573E-3"/>
    <n v="0.81052929539165464"/>
    <n v="1"/>
    <n v="1"/>
    <n v="0"/>
    <n v="0"/>
    <m/>
    <m/>
    <m/>
    <m/>
    <s v="Benzo_Chem"/>
    <s v="AAL GO-1"/>
  </r>
  <r>
    <x v="40"/>
    <s v="GM"/>
    <s v="Maharashtra"/>
    <n v="7"/>
    <n v="5.5"/>
    <n v="973700"/>
    <n v="884832"/>
    <n v="1017271"/>
    <n v="1000200"/>
    <n v="0.13038407290875556"/>
    <n v="0.20183948412698413"/>
    <n v="0.23969715007215006"/>
    <n v="174.19999999999996"/>
    <n v="178.63000000000005"/>
    <n v="2.5430539609644622E-2"/>
    <n v="0.81354995561455812"/>
    <n v="1"/>
    <n v="1"/>
    <n v="0"/>
    <n v="0"/>
    <m/>
    <m/>
    <m/>
    <m/>
    <s v="Blue Jet"/>
    <s v="AAL GO-2"/>
  </r>
  <r>
    <x v="41"/>
    <s v="GM"/>
    <s v="Maharashtra"/>
    <n v="3.3170000000000002"/>
    <n v="2.86"/>
    <n v="422734"/>
    <n v="382252"/>
    <n v="395039"/>
    <n v="387720"/>
    <n v="1.4304699517595722E-2"/>
    <n v="0.16541009278799451"/>
    <n v="0.18297745740257801"/>
    <n v="166.40000000000006"/>
    <n v="146.57000000000002"/>
    <n v="-0.11917067307692328"/>
    <n v="0.81254872625609631"/>
    <n v="1"/>
    <n v="0.94714615384615386"/>
    <n v="21811"/>
    <n v="0"/>
    <m/>
    <m/>
    <m/>
    <m/>
    <s v="EESL Narayan Doho"/>
    <s v="Ajay cotspin "/>
  </r>
  <r>
    <x v="42"/>
    <s v="GM"/>
    <s v="Maharashtra"/>
    <n v="2.831"/>
    <n v="2.42"/>
    <n v="412470"/>
    <n v="410040"/>
    <n v="383696"/>
    <n v="376400"/>
    <n v="-8.2040776509608823E-2"/>
    <n v="0.18824129675418971"/>
    <n v="0.20701488813182406"/>
    <n v="195.9"/>
    <n v="167.10499999999996"/>
    <n v="-0.14698825931597775"/>
    <n v="0.81106928974606762"/>
    <n v="1"/>
    <n v="0.97126666666666661"/>
    <n v="7469"/>
    <n v="0"/>
    <m/>
    <m/>
    <m/>
    <m/>
    <s v="EESL Limbala Dau"/>
    <s v="Unitech cotspin"/>
  </r>
  <r>
    <x v="43"/>
    <s v="GM"/>
    <s v="Maharashtra"/>
    <n v="3.125"/>
    <n v="2.6"/>
    <n v="400374"/>
    <n v="394004"/>
    <n v="385984"/>
    <n v="383880"/>
    <n v="-2.5695170607405001E-2"/>
    <n v="0.17154844444444442"/>
    <n v="0.19590247863247859"/>
    <n v="168.48"/>
    <n v="154.47800000000001"/>
    <n v="-8.3107787274453837E-2"/>
    <n v="0.79956291510765287"/>
    <n v="1"/>
    <n v="0.95861538461538442"/>
    <n v="12462"/>
    <n v="0"/>
    <m/>
    <m/>
    <m/>
    <m/>
    <s v="EESL Potra"/>
    <s v="Lincoln Pharma"/>
  </r>
  <r>
    <x v="44"/>
    <s v="GM"/>
    <s v="Gujarat"/>
    <n v="3"/>
    <n v="2.4"/>
    <n v="479190"/>
    <n v="466470"/>
    <n v="468054"/>
    <n v="462300"/>
    <n v="-8.9394816386905909E-3"/>
    <n v="0.21669166666666667"/>
    <n v="0.24857349537037032"/>
    <n v="200.09999999999988"/>
    <n v="192.21600000000004"/>
    <n v="-3.9400299850074205E-2"/>
    <n v="0.81168060931452102"/>
    <n v="0.97400666666666658"/>
    <n v="0.99298333333333322"/>
    <n v="5790"/>
    <n v="13016"/>
    <m/>
    <m/>
    <m/>
    <m/>
    <s v="IGCL, Bharuch"/>
    <s v="Kamdhenu Yarn"/>
  </r>
  <r>
    <x v="45"/>
    <s v="GM"/>
    <s v="Gujarat"/>
    <n v="1.7154200000000002"/>
    <n v="1.4"/>
    <n v="253526"/>
    <n v="225966"/>
    <n v="244862"/>
    <n v="241815"/>
    <n v="7.013887044953665E-2"/>
    <n v="0.19825238781820842"/>
    <n v="0.22860128990114503"/>
    <n v="205.20000000000007"/>
    <n v="182.35"/>
    <n v="-0.11135477582846039"/>
    <n v="0.78278979560795214"/>
    <n v="1"/>
    <n v="0.95427692307692302"/>
    <n v="9046"/>
    <n v="0"/>
    <m/>
    <m/>
    <m/>
    <m/>
    <s v="Narayan Spinning - 1"/>
    <s v="Kikani Exports"/>
  </r>
  <r>
    <x v="46"/>
    <s v="GM"/>
    <s v="Gujarat"/>
    <n v="2.4849999999999999"/>
    <n v="2"/>
    <n v="365040"/>
    <n v="327158"/>
    <n v="302194"/>
    <n v="297950"/>
    <n v="-8.9277963552778783E-2"/>
    <n v="0.16889894925106191"/>
    <n v="0.19677853090766817"/>
    <n v="177.84000000000006"/>
    <n v="182.35"/>
    <n v="2.5359874044084192E-2"/>
    <n v="0.66688918815884057"/>
    <n v="0.99758076923076922"/>
    <n v="0.73942692307692304"/>
    <n v="38867"/>
    <n v="0"/>
    <m/>
    <m/>
    <m/>
    <m/>
    <s v="Narayan Spinning - 2"/>
    <s v="Linde Engineering"/>
  </r>
  <r>
    <x v="47"/>
    <s v="GM"/>
    <s v="Gujarat"/>
    <n v="3"/>
    <n v="2.42"/>
    <n v="463620"/>
    <n v="446730"/>
    <n v="442960"/>
    <n v="432090"/>
    <n v="-3.277147270163186E-2"/>
    <n v="0.2050740740740741"/>
    <n v="0.23215243342516068"/>
    <n v="198.81000000000006"/>
    <n v="194.25000000000003"/>
    <n v="-2.2936472008450427E-2"/>
    <n v="0.76012012012011998"/>
    <n v="1"/>
    <n v="0.98802777777777773"/>
    <n v="51435"/>
    <n v="0"/>
    <m/>
    <m/>
    <m/>
    <m/>
    <s v="Rishi FIBC, Balasinor"/>
    <s v="Alembic Pharma Phase 1"/>
  </r>
  <r>
    <x v="48"/>
    <s v="GM"/>
    <s v="Gujarat"/>
    <n v="4.8"/>
    <n v="3.6"/>
    <n v="825900"/>
    <n v="680521"/>
    <n v="762845"/>
    <n v="751250"/>
    <n v="0.10393360381237317"/>
    <n v="0.2207306134259259"/>
    <n v="0.26305709876543204"/>
    <n v="215.09999999999985"/>
    <n v="191.50700000000006"/>
    <n v="-0.1096838679683859"/>
    <n v="0.82987066617234151"/>
    <n v="1"/>
    <n v="0.98199999999999998"/>
    <n v="17346"/>
    <n v="0"/>
    <m/>
    <m/>
    <m/>
    <m/>
    <s v="Saanika Industries, Bharuch"/>
    <s v="Alembic Pharma Phase 2"/>
  </r>
  <r>
    <x v="49"/>
    <s v="GM"/>
    <s v="Maharashtra"/>
    <n v="1.7"/>
    <n v="1.28"/>
    <n v="267644"/>
    <n v="228592"/>
    <n v="240384"/>
    <n v="242775"/>
    <n v="6.2045040946314835E-2"/>
    <n v="0.19639215686274511"/>
    <n v="0.24068761488970589"/>
    <n v="182.78"/>
    <n v="172.63"/>
    <n v="-5.5531239741766089E-2"/>
    <n v="0.81910648752346915"/>
    <n v="1"/>
    <n v="1"/>
    <n v="0"/>
    <n v="0"/>
    <m/>
    <m/>
    <m/>
    <m/>
    <s v="SS Flour Mills, Akola"/>
    <s v="Mark Alloys"/>
  </r>
  <r>
    <x v="50"/>
    <s v="GM"/>
    <s v="Gujarat"/>
    <n v="4.5999999999999996"/>
    <n v="3.96"/>
    <n v="959490"/>
    <n v="954870"/>
    <n v="845485"/>
    <n v="831400"/>
    <n v="-0.1293055599191513"/>
    <n v="0.25527928743961353"/>
    <n v="0.27676461169667699"/>
    <n v="248.4"/>
    <n v="227.46300000000005"/>
    <n v="-8.4287439613526388E-2"/>
    <n v="0.80804828458484101"/>
    <n v="0.99278999999999995"/>
    <n v="0.94545666666666672"/>
    <n v="49689"/>
    <n v="6323"/>
    <m/>
    <m/>
    <m/>
    <m/>
    <s v="Sumati Spintex"/>
    <s v="Ujjaval Alloys"/>
  </r>
  <r>
    <x v="51"/>
    <s v="GM"/>
    <s v="Gujarat"/>
    <n v="3.8"/>
    <n v="2.86"/>
    <n v="855510"/>
    <n v="707940"/>
    <n v="762672"/>
    <n v="747600"/>
    <n v="5.6021696753962201E-2"/>
    <n v="0.27875438596491225"/>
    <n v="0.33039080071974808"/>
    <n v="218.10000000000008"/>
    <n v="241.74300000000005"/>
    <n v="0.10840440165061882"/>
    <n v="0.83023358647297674"/>
    <n v="0.99395999999999995"/>
    <n v="0.99526000000000014"/>
    <n v="3730"/>
    <n v="7267"/>
    <m/>
    <m/>
    <m/>
    <m/>
    <s v="Tulsi Industries"/>
    <s v="Diamond stones"/>
  </r>
  <r>
    <x v="52"/>
    <s v="GM"/>
    <s v="Gujarat"/>
    <n v="2.1"/>
    <n v="1.76"/>
    <n v="497430"/>
    <n v="400110"/>
    <n v="429910"/>
    <n v="421590"/>
    <n v="5.3685236559946017E-2"/>
    <n v="0.28433201058201057"/>
    <n v="0.31518691378066388"/>
    <n v="218.10000000000008"/>
    <n v="245.434"/>
    <n v="0.12532783127005917"/>
    <n v="0.83411038250221081"/>
    <n v="1"/>
    <n v="0.9970566666666667"/>
    <n v="1272"/>
    <n v="0"/>
    <m/>
    <m/>
    <m/>
    <m/>
    <s v="Tulsi Udyog"/>
    <s v="Airona Tiles"/>
  </r>
  <r>
    <x v="53"/>
    <s v="GM"/>
    <s v="Gujarat"/>
    <n v="2.0528400000000002"/>
    <n v="1.6"/>
    <n v="337890"/>
    <n v="296460"/>
    <n v="330770"/>
    <n v="325440"/>
    <n v="9.7753491196114151E-2"/>
    <n v="0.22378888650736431"/>
    <n v="0.25980624956361276"/>
    <n v="199.1699999999999"/>
    <n v="194.78900000000002"/>
    <n v="-2.1996284581010637E-2"/>
    <n v="0.82719249180037013"/>
    <n v="0.99939333333333336"/>
    <n v="0.99277999999999988"/>
    <n v="3970"/>
    <n v="226"/>
    <m/>
    <m/>
    <m/>
    <m/>
    <s v="Val Organics"/>
    <s v="Airolam Ltd."/>
  </r>
  <r>
    <x v="54"/>
    <s v="GM"/>
    <s v="Maharashtra"/>
    <n v="8.75"/>
    <n v="6.3250000000000002"/>
    <n v="1293058"/>
    <n v="1293058"/>
    <n v="1308104"/>
    <n v="1290375"/>
    <n v="-2.0749262600749541E-3"/>
    <n v="0.20763555555555563"/>
    <n v="0.26285767614028482"/>
    <n v="210.9"/>
    <n v="175.34500000000003"/>
    <n v="-0.16858700806069216"/>
    <n v="0.85259117739313917"/>
    <n v="0.99995384615384608"/>
    <n v="1"/>
    <n v="0"/>
    <n v="0"/>
    <m/>
    <m/>
    <m/>
    <m/>
    <s v="ZEIT - 1, Akola"/>
    <s v="Advatech Cera"/>
  </r>
  <r>
    <x v="55"/>
    <s v="GM"/>
    <s v="Maharashtra"/>
    <n v="4"/>
    <n v="3.0249999999999999"/>
    <n v="601640"/>
    <n v="601640"/>
    <n v="605574"/>
    <n v="600240"/>
    <n v="-2.3269729406289476E-3"/>
    <n v="0.21026875"/>
    <n v="0.25749905303030296"/>
    <n v="182.78"/>
    <n v="174.40300000000005"/>
    <n v="-4.5831053725790306E-2"/>
    <n v="0.86806706306657544"/>
    <n v="1"/>
    <n v="1"/>
    <n v="0"/>
    <n v="0"/>
    <m/>
    <m/>
    <m/>
    <m/>
    <s v="ZEIT - 2, Akola"/>
    <s v="BPCL"/>
  </r>
  <r>
    <x v="56"/>
    <s v="GM"/>
    <s v="Gujarat"/>
    <n v="2.9"/>
    <n v="2.2000000000000002"/>
    <n v="467790"/>
    <n v="394770"/>
    <n v="402794"/>
    <n v="397280"/>
    <n v="6.3581325835296498E-3"/>
    <n v="0.1929090038314176"/>
    <n v="0.25428914141414138"/>
    <n v="205.20000000000007"/>
    <n v="180.56000000000003"/>
    <n v="-0.12007797270955183"/>
    <n v="0.76924281545536477"/>
    <n v="1"/>
    <n v="0.95355384615384609"/>
    <n v="24137"/>
    <n v="0"/>
    <m/>
    <m/>
    <m/>
    <m/>
    <s v="Kiran"/>
    <s v="GSECL_ Vitthalpar"/>
  </r>
  <r>
    <x v="57"/>
    <s v="GM"/>
    <s v="Gujarat"/>
    <n v="1"/>
    <n v="0.8"/>
    <n v="138930"/>
    <n v="120840"/>
    <n v="138578"/>
    <n v="138075"/>
    <n v="0.14262661370407151"/>
    <n v="0.19246944444444444"/>
    <n v="0.24058680555555551"/>
    <n v="205.49999999999989"/>
    <n v="180.56000000000003"/>
    <n v="-0.12136253041362467"/>
    <n v="0.7674900310146211"/>
    <n v="1"/>
    <n v="0.95355384615384609"/>
    <n v="24137"/>
    <n v="0"/>
    <m/>
    <m/>
    <m/>
    <m/>
    <s v="Majethiya"/>
    <s v="GSECL_Jambudiya"/>
  </r>
  <r>
    <x v="58"/>
    <s v="GM"/>
    <s v="Gujarat"/>
    <n v="1.343"/>
    <n v="1.125"/>
    <n v="247830"/>
    <n v="198690"/>
    <n v="192241"/>
    <n v="190185"/>
    <n v="-4.2805375207609846E-2"/>
    <n v="0.19880967154794407"/>
    <n v="0.23733456790123456"/>
    <n v="213.89999999999992"/>
    <n v="176.35000000000008"/>
    <n v="-0.17554932211313631"/>
    <n v="0.81169812029781496"/>
    <n v="1"/>
    <n v="0.94355"/>
    <n v="15812"/>
    <n v="0"/>
    <m/>
    <m/>
    <m/>
    <m/>
    <s v="Centenary"/>
    <s v="ACG_Tuljapur"/>
  </r>
  <r>
    <x v="59"/>
    <s v="GM"/>
    <s v="Gujarat"/>
    <n v="1.5"/>
    <n v="1.2"/>
    <n v="236850"/>
    <n v="213900"/>
    <n v="201296"/>
    <n v="200790"/>
    <n v="-6.1290322580645158E-2"/>
    <n v="0.18638518518518524"/>
    <n v="0.23298148148148146"/>
    <n v="205.49999999999989"/>
    <n v="176.35000000000008"/>
    <n v="-0.14184914841849061"/>
    <n v="0.76097155278329043"/>
    <n v="1"/>
    <n v="0.97015769230769233"/>
    <n v="8486"/>
    <n v="0"/>
    <m/>
    <m/>
    <m/>
    <m/>
    <s v="Sainest"/>
    <s v="Aarti_Akola"/>
  </r>
  <r>
    <x v="60"/>
    <s v="GM"/>
    <s v="Gujarat"/>
    <n v="3"/>
    <n v="2.4"/>
    <n v="478140"/>
    <n v="384660"/>
    <n v="403460"/>
    <n v="398400"/>
    <n v="3.5719856496646392E-2"/>
    <n v="0.18678703703703697"/>
    <n v="0.23348379629629629"/>
    <n v="195"/>
    <n v="176.35000000000008"/>
    <n v="-9.5641025641025237E-2"/>
    <n v="0.76261222946791385"/>
    <n v="0.99758076923076922"/>
    <n v="0.95925384615384601"/>
    <n v="23453"/>
    <n v="1209"/>
    <m/>
    <m/>
    <m/>
    <m/>
    <s v="Orito"/>
    <s v="ACG_PZ4"/>
  </r>
  <r>
    <x v="61"/>
    <s v="GM"/>
    <s v="Gujarat"/>
    <n v="1.5"/>
    <n v="1.2"/>
    <n v="261180"/>
    <n v="214950"/>
    <n v="211281"/>
    <n v="208300"/>
    <n v="-3.0937427308676435E-2"/>
    <n v="0.1956305555555555"/>
    <n v="0.2445381944444445"/>
    <n v="213.60000000000008"/>
    <n v="180.56000000000003"/>
    <n v="-0.15468164794007508"/>
    <n v="0.78009525919361966"/>
    <n v="0.99811538461538463"/>
    <n v="0.95496153846153831"/>
    <n v="13997"/>
    <n v="207"/>
    <m/>
    <m/>
    <m/>
    <m/>
    <s v="Universal"/>
    <s v="ACG_PAM"/>
  </r>
  <r>
    <x v="62"/>
    <s v="GM"/>
    <s v="Gujarat"/>
    <n v="1.788"/>
    <n v="1.5"/>
    <n v="268140"/>
    <n v="223260"/>
    <n v="249616"/>
    <n v="248355"/>
    <n v="0.11240257995162591"/>
    <e v="#VALUE!"/>
    <e v="#VALUE!"/>
    <n v="195.29999999999995"/>
    <n v="180.56000000000003"/>
    <n v="-7.5473630312339612E-2"/>
    <n v="0.77318489134970592"/>
    <n v="1"/>
    <n v="0.94943846153846145"/>
    <n v="18057"/>
    <n v="0"/>
    <m/>
    <m/>
    <m/>
    <m/>
    <s v="Aditya-Arka"/>
    <s v="ACG_PGP3"/>
  </r>
  <r>
    <x v="63"/>
    <s v="GM"/>
    <s v="Gujarat"/>
    <n v="3.9980000000000002"/>
    <n v="3.2"/>
    <n v="516010.7999999997"/>
    <n v="534658.80000000016"/>
    <n v="629046.11999999988"/>
    <n v="620000"/>
    <n v="0.17653748521486917"/>
    <n v="0.21852805569451397"/>
    <n v="0.27302348958333333"/>
    <n v="214.50000000000011"/>
    <n v="194.3955"/>
    <n v="-9.3727272727273214E-2"/>
    <n v="0.809381904931184"/>
    <n v="0.995"/>
    <n v="1"/>
    <n v="0"/>
    <n v="4414"/>
    <m/>
    <m/>
    <m/>
    <m/>
    <s v="Ajay cotspin "/>
    <s v="Asahi Songwon_ Balasinor"/>
  </r>
  <r>
    <x v="64"/>
    <s v="GM"/>
    <s v="Gujarat"/>
    <n v="2.0049999999999999"/>
    <n v="1.6"/>
    <n v="317310"/>
    <n v="268290"/>
    <n v="313254.64000000007"/>
    <n v="308340"/>
    <n v="0.16759715233515998"/>
    <n v="0.21699545580493212"/>
    <n v="0.27192243055555554"/>
    <n v="214.50000000000011"/>
    <n v="184.98299999999998"/>
    <n v="-0.13760839160839217"/>
    <n v="0.84460046695940261"/>
    <n v="1"/>
    <n v="1"/>
    <n v="0"/>
    <n v="0"/>
    <m/>
    <m/>
    <m/>
    <m/>
    <s v="Unitech cotspin"/>
    <s v="August Energy_Akola"/>
  </r>
  <r>
    <x v="65"/>
    <s v="GM"/>
    <s v="Gujarat"/>
    <n v="4.0039999999999996"/>
    <n v="3.3"/>
    <n v="658890"/>
    <n v="610650"/>
    <n v="694797.86"/>
    <n v="684320"/>
    <n v="0.13780047490379102"/>
    <n v="0.24100824869574874"/>
    <n v="0.29242334175084184"/>
    <n v="196.2"/>
    <n v="203.69607500000001"/>
    <n v="3.8206294597349741E-2"/>
    <n v="0.85403451361411908"/>
    <n v="0.99543999999999999"/>
    <n v="1"/>
    <n v="0"/>
    <n v="5395"/>
    <m/>
    <m/>
    <m/>
    <m/>
    <s v="Lincoln Pharma"/>
    <s v="Benzo_Chem"/>
  </r>
  <r>
    <x v="66"/>
    <s v="GM"/>
    <s v="Gujarat"/>
    <n v="2.48"/>
    <n v="1.9"/>
    <n v="459510"/>
    <n v="369000"/>
    <n v="436294"/>
    <n v="428190"/>
    <n v="0.18236856368563686"/>
    <n v="0.24434027777777781"/>
    <n v="0.31892836257309942"/>
    <n v="222.00000000000011"/>
    <n v="208.34000000000003"/>
    <n v="-6.1531531531531868E-2"/>
    <n v="0.8473821620060773"/>
    <n v="1"/>
    <n v="1"/>
    <n v="0"/>
    <n v="0"/>
    <m/>
    <m/>
    <m/>
    <m/>
    <s v="Kamdhenu Yarn"/>
    <s v="Blue Jet"/>
  </r>
  <r>
    <x v="67"/>
    <s v="GM"/>
    <s v="Gujarat"/>
    <n v="8.9960000000000004"/>
    <n v="7.67"/>
    <n v="1385610"/>
    <n v="1315110"/>
    <n v="1611289.7"/>
    <n v="1581774.4103999999"/>
    <n v="0.2252128719270631"/>
    <n v="0.24876638073711776"/>
    <n v="0.29177344994929749"/>
    <n v="194.70000000000005"/>
    <n v="218.64496666599999"/>
    <n v="0.1229839068618384"/>
    <n v="0.81964907212887905"/>
    <n v="1"/>
    <n v="0.99968666666666672"/>
    <n v="729"/>
    <n v="0"/>
    <m/>
    <m/>
    <m/>
    <m/>
    <s v="Kikani Exports"/>
    <s v="EESL Narayan Doho"/>
  </r>
  <r>
    <x v="68"/>
    <s v="GM"/>
    <s v="Gujarat"/>
    <n v="1.4950000000000001"/>
    <n v="1.2"/>
    <n v="252990"/>
    <n v="250260"/>
    <n v="238790.20000000004"/>
    <n v="237080"/>
    <n v="-4.5831535203388313E-2"/>
    <n v="0.22184150873281305"/>
    <n v="0.27637754629629624"/>
    <n v="203.10000000000005"/>
    <n v="190.41046600000001"/>
    <n v="-6.2479241752831288E-2"/>
    <n v="0.83909717896580627"/>
    <n v="1"/>
    <n v="0.99335333333333331"/>
    <n v="1987.65"/>
    <n v="0"/>
    <m/>
    <m/>
    <m/>
    <m/>
    <s v="Linde Engineering"/>
    <s v="EESL Limbala Dau"/>
  </r>
  <r>
    <x v="69"/>
    <s v="GM"/>
    <s v="Gujarat"/>
    <n v="11.994"/>
    <n v="9.6"/>
    <n v="1939380"/>
    <n v="1855770"/>
    <n v="2020332.7"/>
    <n v="1972740"/>
    <n v="8.8676236818140158E-2"/>
    <n v="0.23395177913030596"/>
    <n v="0.29229350405092597"/>
    <n v="195.29999999999995"/>
    <n v="207.64049"/>
    <n v="6.3187352790578841E-2"/>
    <n v="0.8114981847080831"/>
    <n v="0.99973000000000001"/>
    <n v="0.99900333333333335"/>
    <n v="0"/>
    <n v="1694"/>
    <m/>
    <m/>
    <m/>
    <m/>
    <s v="Alembic Pharma Phase 1"/>
    <s v="EESL Potra"/>
  </r>
  <r>
    <x v="70"/>
    <s v="GM"/>
    <s v="Gujarat"/>
    <n v="12.01"/>
    <n v="9.68"/>
    <n v="2274990"/>
    <n v="1955040"/>
    <n v="2068246.9"/>
    <n v="2022840"/>
    <n v="5.7905157950732415E-2"/>
    <n v="0.23918111064853367"/>
    <n v="0.29675259699265383"/>
    <n v="221.39999999999992"/>
    <n v="207.64999999999998"/>
    <n v="-6.2104787714543579E-2"/>
    <n v="0.82980211617101651"/>
    <n v="0.99545666666666677"/>
    <n v="0.99902999999999997"/>
    <n v="1283"/>
    <n v="8471"/>
    <m/>
    <m/>
    <m/>
    <m/>
    <s v="Alembic Pharma Phase 2"/>
    <s v="IGCL, Bharuch"/>
  </r>
  <r>
    <x v="71"/>
    <s v="GM"/>
    <s v="Gujarat"/>
    <n v="3.085"/>
    <n v="2.64"/>
    <n v="616920"/>
    <n v="552000"/>
    <n v="627664"/>
    <n v="615720"/>
    <n v="0.13707246376811594"/>
    <n v="0.28257878624167115"/>
    <n v="0.33021043771043768"/>
    <n v="271.29000000000013"/>
    <n v="260.66899999999998"/>
    <n v="-3.914998709867723E-2"/>
    <n v="0.78168007483645019"/>
    <n v="0.99955666666666665"/>
    <n v="0.96418333333333328"/>
    <n v="26217"/>
    <n v="253"/>
    <m/>
    <m/>
    <m/>
    <m/>
    <s v="Mark Alloys"/>
    <s v="Narayan Spinning - 1"/>
  </r>
  <r>
    <x v="72"/>
    <s v="GM"/>
    <s v="Gujarat"/>
    <n v="4.8049999999999997"/>
    <n v="3.96"/>
    <n v="1048590"/>
    <n v="900450"/>
    <n v="977105"/>
    <n v="955550"/>
    <n v="8.512965739352546E-2"/>
    <n v="0.28243294022430343"/>
    <n v="0.3426995650953984"/>
    <n v="271.29000000000013"/>
    <n v="261.36500000000007"/>
    <n v="-3.6584466806738408E-2"/>
    <n v="0.78080068956043547"/>
    <n v="0.99317666666666671"/>
    <n v="0.96656333333333344"/>
    <n v="43917"/>
    <n v="3572"/>
    <m/>
    <m/>
    <m/>
    <m/>
    <s v="Ujjaval Alloys"/>
    <s v="Narayan Spinning - 2"/>
  </r>
  <r>
    <x v="73"/>
    <s v="GM"/>
    <s v="Gujarat"/>
    <n v="1.353"/>
    <n v="1.1000000000000001"/>
    <n v="279780"/>
    <n v="241380"/>
    <n v="271591"/>
    <n v="268620"/>
    <n v="0.12515949954428701"/>
    <n v="0.27879506446579622"/>
    <n v="0.34291792929292936"/>
    <n v="271.29000000000013"/>
    <n v="259.62100000000004"/>
    <n v="-4.3013011906078702E-2"/>
    <n v="0.77442714683510006"/>
    <n v="1"/>
    <n v="0.9596800000000002"/>
    <n v="13400"/>
    <n v="0"/>
    <m/>
    <m/>
    <m/>
    <m/>
    <s v="Diamond stones"/>
    <s v="Rishi FIBC, Balasinor"/>
  </r>
  <r>
    <x v="74"/>
    <s v="GM"/>
    <s v="Gujarat"/>
    <n v="5.0511999999999997"/>
    <n v="3.96"/>
    <n v="867390"/>
    <n v="738840"/>
    <n v="828825"/>
    <n v="813350"/>
    <n v="0.12179226896215689"/>
    <n v="0.22789495512617464"/>
    <n v="0.29069168350168356"/>
    <n v="222.59999999999985"/>
    <n v="205.61499999999995"/>
    <n v="-7.6302785265049022E-2"/>
    <n v="0.79797929902866249"/>
    <n v="0.99873666666666661"/>
    <n v="0.97798000000000018"/>
    <n v="27078"/>
    <n v="634"/>
    <m/>
    <m/>
    <m/>
    <m/>
    <s v="Airona Tiles"/>
    <s v="Saanika Industries, Bharuch"/>
  </r>
  <r>
    <x v="75"/>
    <s v="GM"/>
    <s v="Gujarat"/>
    <n v="2.5255999999999998"/>
    <n v="1.76"/>
    <n v="420630"/>
    <n v="357450"/>
    <n v="409721"/>
    <n v="403340"/>
    <n v="0.14623303958595607"/>
    <n v="0.22531443300601836"/>
    <n v="0.32332759469696976"/>
    <n v="222.59999999999985"/>
    <n v="206.327"/>
    <n v="-7.3104222821203352E-2"/>
    <n v="0.78585467219477678"/>
    <n v="0.99896666666666667"/>
    <n v="0.9755299999999999"/>
    <n v="14562"/>
    <n v="142"/>
    <m/>
    <m/>
    <m/>
    <m/>
    <s v="Airolam Ltd."/>
    <s v="SS Flour Mills, Akola"/>
  </r>
  <r>
    <x v="76"/>
    <s v="GM"/>
    <s v="Gujarat"/>
    <n v="3.0339999999999998"/>
    <n v="2.2000000000000002"/>
    <n v="504990"/>
    <n v="429420"/>
    <n v="496803"/>
    <n v="485880"/>
    <n v="0.15691630571468493"/>
    <n v="0.22742561195341685"/>
    <n v="0.31363575757575757"/>
    <n v="222.59999999999985"/>
    <n v="206.59699999999998"/>
    <n v="-7.1891284815812598E-2"/>
    <n v="0.7923910217156529"/>
    <n v="1"/>
    <n v="0.98082000000000003"/>
    <n v="13713"/>
    <n v="0"/>
    <m/>
    <m/>
    <m/>
    <m/>
    <s v="Advatech Cera"/>
    <s v="Sumati Spintex"/>
  </r>
  <r>
    <x v="77"/>
    <s v="GM"/>
    <s v="MP"/>
    <n v="18"/>
    <n v="14"/>
    <n v="2275650"/>
    <n v="2139780"/>
    <n v="2760302.3000000003"/>
    <n v="2715600"/>
    <n v="0.28999350400508478"/>
    <n v="0.2129862885802469"/>
    <n v="0.27383951388888883"/>
    <n v="194.39999999999995"/>
    <n v="189.45499999999998"/>
    <n v="-2.5437242798353736E-2"/>
    <n v="0.80971880742074387"/>
    <n v="1"/>
    <n v="1"/>
    <n v="0"/>
    <n v="0"/>
    <m/>
    <m/>
    <m/>
    <m/>
    <s v="BPCL"/>
    <s v="Tulsi Industries"/>
  </r>
  <r>
    <x v="78"/>
    <s v="GM"/>
    <s v="Gujarat"/>
    <n v="19.204999999999998"/>
    <n v="15"/>
    <n v="2934300"/>
    <n v="2825310"/>
    <n v="3015184.9"/>
    <n v="2931750"/>
    <n v="6.7204979276610316E-2"/>
    <n v="6.5416664497092771"/>
    <n v="0.26038932051838348"/>
    <n v="200.99999999999991"/>
    <n v="200.40999999999997"/>
    <n v="-2.9353233830843126E-3"/>
    <n v="0.78394286645461897"/>
    <n v="1"/>
    <n v="0.93917666666666666"/>
    <n v="332105.73"/>
    <n v="0"/>
    <m/>
    <m/>
    <m/>
    <m/>
    <s v="GSECL_ Vitthalpar"/>
    <s v="Tulsi Udyog"/>
  </r>
  <r>
    <x v="79"/>
    <s v="GM"/>
    <s v="Gujarat"/>
    <n v="14.298"/>
    <n v="11"/>
    <n v="2255280"/>
    <n v="2088974.0999999994"/>
    <n v="2309314"/>
    <n v="2233710"/>
    <n v="0.1054775643221238"/>
    <n v="0.22432372048926813"/>
    <n v="0.29158005050505048"/>
    <n v="201.99999998999994"/>
    <n v="203.601"/>
    <n v="7.9257426241550587E-3"/>
    <n v="0.79359609605697112"/>
    <n v="1"/>
    <n v="0.94337000000000004"/>
    <n v="239922.21600000001"/>
    <n v="0"/>
    <m/>
    <m/>
    <m/>
    <m/>
    <s v="GSECL_Jambudiya"/>
    <s v="Val Organics"/>
  </r>
  <r>
    <x v="80"/>
    <s v="GM"/>
    <s v="Gujarat"/>
    <n v="4.8090000000000002"/>
    <n v="3.85"/>
    <n v="823200"/>
    <n v="601710"/>
    <n v="728251"/>
    <n v="713450"/>
    <n v="0.18570407671469644"/>
    <n v="0.21032641343776712"/>
    <n v="0.26271681096681099"/>
    <n v="194.70000000000005"/>
    <n v="181.29300000000001"/>
    <n v="-6.8859784283513276E-2"/>
    <n v="0.83530537679442862"/>
    <n v="1"/>
    <n v="0.98367307692307682"/>
    <n v="12621"/>
    <n v="1048"/>
    <m/>
    <m/>
    <m/>
    <m/>
    <s v="Prince"/>
    <s v="ZEIT - 1, Akola"/>
  </r>
  <r>
    <x v="81"/>
    <s v="GM"/>
    <s v="Gujarat"/>
    <n v="4.0339999999999998"/>
    <n v="3.15"/>
    <n v="628480.88849999977"/>
    <n v="577704.22799999989"/>
    <n v="561839"/>
    <n v="552440"/>
    <n v="-4.3732115458915928E-2"/>
    <n v="0.19343875667933672"/>
    <n v="0.24772442680776013"/>
    <n v="190.49999999999991"/>
    <n v="172.92800000000003"/>
    <n v="-9.2241469816272431E-2"/>
    <n v="0.80539822821707552"/>
    <n v="1"/>
    <n v="0.98135199999999978"/>
    <n v="28226.57"/>
    <n v="0"/>
    <m/>
    <m/>
    <m/>
    <m/>
    <s v="Vivekanand"/>
    <s v="ZEIT - 2, Akola"/>
  </r>
  <r>
    <x v="82"/>
    <s v="GM"/>
    <s v="Gujarat"/>
    <n v="1.6"/>
    <n v="1.32"/>
    <n v="345000"/>
    <n v="323550"/>
    <n v="0"/>
    <n v="0"/>
    <n v="-1"/>
    <n v="0"/>
    <n v="0"/>
    <n v="268.2"/>
    <n v="0"/>
    <n v="-1"/>
    <e v="#DIV/0!"/>
    <e v="#DIV/0!"/>
    <e v="#DIV/0!"/>
    <n v="0"/>
    <n v="0"/>
    <m/>
    <m/>
    <m/>
    <m/>
    <s v="Kamal"/>
    <m/>
  </r>
  <r>
    <x v="83"/>
    <s v="GM"/>
    <s v="Gujarat"/>
    <n v="1.7"/>
    <n v="1.32"/>
    <n v="365010"/>
    <n v="343140"/>
    <n v="0"/>
    <n v="0"/>
    <n v="-1"/>
    <n v="0"/>
    <n v="0"/>
    <n v="268.2"/>
    <n v="0"/>
    <n v="-1"/>
    <e v="#DIV/0!"/>
    <e v="#DIV/0!"/>
    <e v="#DIV/0!"/>
    <n v="0"/>
    <n v="0"/>
    <m/>
    <m/>
    <m/>
    <m/>
    <s v="MBR"/>
    <m/>
  </r>
  <r>
    <x v="84"/>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67C84-F05A-41AC-A794-DD365DD264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 firstHeaderRow="0" firstDataRow="1" firstDataCol="0"/>
  <pivotFields count="21">
    <pivotField showAll="0"/>
    <pivotField showAll="0"/>
    <pivotField showAll="0"/>
    <pivotField dataField="1" numFmtId="2" showAll="0"/>
    <pivotField dataField="1" numFmtId="2" showAll="0"/>
    <pivotField numFmtId="1" showAll="0"/>
    <pivotField numFmtId="1" showAll="0"/>
    <pivotField numFmtId="1" showAll="0"/>
    <pivotField numFmtId="1" showAll="0"/>
    <pivotField numFmtId="10" showAll="0"/>
    <pivotField showAll="0"/>
    <pivotField showAll="0"/>
    <pivotField numFmtId="1" showAll="0"/>
    <pivotField numFmtId="1" showAll="0"/>
    <pivotField numFmtId="166" showAll="0"/>
    <pivotField showAll="0"/>
    <pivotField showAll="0"/>
    <pivotField showAll="0"/>
    <pivotField numFmtId="1" showAll="0"/>
    <pivotField numFmtId="1" showAll="0"/>
    <pivotField showAll="0"/>
  </pivotFields>
  <rowItems count="1">
    <i/>
  </rowItems>
  <colFields count="1">
    <field x="-2"/>
  </colFields>
  <colItems count="2">
    <i>
      <x/>
    </i>
    <i i="1">
      <x v="1"/>
    </i>
  </colItems>
  <dataFields count="2">
    <dataField name="Sum of AC Capacity" fld="4" baseField="0" baseItem="1" numFmtId="2"/>
    <dataField name="Sum of DC Capacity_x000a_MWp" fld="3"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82AF34-E892-43A7-B2C2-E2436E3F55C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26">
    <pivotField showAll="0">
      <items count="86">
        <item x="33"/>
        <item x="35"/>
        <item x="36"/>
        <item x="34"/>
        <item x="32"/>
        <item x="62"/>
        <item x="76"/>
        <item x="75"/>
        <item x="74"/>
        <item x="63"/>
        <item x="69"/>
        <item x="70"/>
        <item x="26"/>
        <item x="37"/>
        <item x="38"/>
        <item x="30"/>
        <item x="31"/>
        <item x="13"/>
        <item x="39"/>
        <item x="14"/>
        <item x="40"/>
        <item x="77"/>
        <item x="58"/>
        <item x="73"/>
        <item x="42"/>
        <item x="41"/>
        <item x="43"/>
        <item x="18"/>
        <item x="7"/>
        <item x="8"/>
        <item x="9"/>
        <item x="0"/>
        <item x="1"/>
        <item x="2"/>
        <item x="16"/>
        <item x="78"/>
        <item x="79"/>
        <item x="20"/>
        <item x="44"/>
        <item x="17"/>
        <item x="6"/>
        <item x="82"/>
        <item x="66"/>
        <item x="67"/>
        <item x="56"/>
        <item x="65"/>
        <item x="68"/>
        <item x="25"/>
        <item x="57"/>
        <item x="71"/>
        <item x="83"/>
        <item x="45"/>
        <item x="46"/>
        <item x="60"/>
        <item x="11"/>
        <item x="12"/>
        <item x="15"/>
        <item x="4"/>
        <item x="80"/>
        <item x="27"/>
        <item x="21"/>
        <item x="47"/>
        <item x="28"/>
        <item x="29"/>
        <item x="48"/>
        <item x="59"/>
        <item x="49"/>
        <item x="50"/>
        <item x="10"/>
        <item x="3"/>
        <item x="51"/>
        <item x="52"/>
        <item x="72"/>
        <item x="64"/>
        <item x="61"/>
        <item x="53"/>
        <item x="22"/>
        <item x="23"/>
        <item x="19"/>
        <item x="24"/>
        <item x="81"/>
        <item x="5"/>
        <item x="54"/>
        <item x="55"/>
        <item x="84"/>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DC-CUF" fld="10" subtotal="count" baseField="0" baseItem="1"/>
    <dataField name="Count of AC-CUF" fld="11" subtotal="count" baseField="0"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8E5C-5C40-4106-8D5F-5F6E0FFFB111}">
  <dimension ref="A1:C17"/>
  <sheetViews>
    <sheetView workbookViewId="0">
      <selection activeCell="D1" sqref="D1"/>
    </sheetView>
  </sheetViews>
  <sheetFormatPr defaultColWidth="9.1796875" defaultRowHeight="14.5"/>
  <cols>
    <col min="1" max="1" width="35.81640625" customWidth="1"/>
    <col min="2" max="2" width="19.7265625" customWidth="1"/>
    <col min="3" max="3" width="24.81640625" customWidth="1"/>
    <col min="4" max="5" width="9.1796875" customWidth="1"/>
  </cols>
  <sheetData>
    <row r="1" spans="1:3">
      <c r="A1" s="270" t="s">
        <v>0</v>
      </c>
      <c r="B1" s="270" t="s">
        <v>1</v>
      </c>
      <c r="C1" s="269" t="str">
        <f>VLOOKUP(B1,Master!A2:B83,2,0)</f>
        <v>Vasundhara</v>
      </c>
    </row>
    <row r="2" spans="1:3">
      <c r="A2" s="270" t="s">
        <v>2</v>
      </c>
      <c r="B2" s="271">
        <v>46130</v>
      </c>
    </row>
    <row r="3" spans="1:3">
      <c r="A3" s="272" t="s">
        <v>3</v>
      </c>
      <c r="B3" s="235">
        <f ca="1">VLOOKUP($B$2,INDIRECT("'"&amp;$C$1&amp;"'!A4:P66"),2,FALSE)</f>
        <v>92356</v>
      </c>
    </row>
    <row r="4" spans="1:3">
      <c r="A4" s="272" t="s">
        <v>4</v>
      </c>
      <c r="B4" s="235">
        <f ca="1">VLOOKUP($B$2,INDIRECT("'"&amp;$C$1&amp;"'!A4:P66"),3,FALSE)</f>
        <v>88158</v>
      </c>
    </row>
    <row r="5" spans="1:3">
      <c r="A5" s="272" t="s">
        <v>5</v>
      </c>
      <c r="B5" s="235">
        <f ca="1">VLOOKUP($B$2,INDIRECT("'"&amp;$C$1&amp;"'!A4:P66"),4,FALSE)</f>
        <v>95194</v>
      </c>
    </row>
    <row r="6" spans="1:3">
      <c r="A6" s="272" t="s">
        <v>6</v>
      </c>
      <c r="B6" s="235">
        <f ca="1">VLOOKUP($B$2,INDIRECT("'"&amp;$C$1&amp;"'!A4:P66"),5,FALSE)</f>
        <v>92400</v>
      </c>
    </row>
    <row r="7" spans="1:3">
      <c r="A7" s="273" t="s">
        <v>7</v>
      </c>
      <c r="B7" s="274">
        <f ca="1">VLOOKUP($B$2,INDIRECT("'"&amp;$C$1&amp;"'!A4:P66"),6,FALSE)</f>
        <v>7.9811247986569564E-2</v>
      </c>
    </row>
    <row r="8" spans="1:3">
      <c r="A8" s="272" t="s">
        <v>8</v>
      </c>
      <c r="B8" s="274">
        <f ca="1">VLOOKUP($B$2,INDIRECT("'"&amp;$C$1&amp;"'!A4:P66"),7,FALSE)</f>
        <v>0.21926018057858854</v>
      </c>
    </row>
    <row r="9" spans="1:3">
      <c r="A9" s="272" t="s">
        <v>9</v>
      </c>
      <c r="B9" s="274">
        <f ca="1">VLOOKUP($B$2,INDIRECT("'"&amp;$C$1&amp;"'!A4:P66"),8,FALSE)</f>
        <v>0.2833154761904762</v>
      </c>
    </row>
    <row r="10" spans="1:3">
      <c r="A10" s="272" t="s">
        <v>10</v>
      </c>
      <c r="B10" s="235">
        <f ca="1">VLOOKUP($B$2,INDIRECT("'"&amp;$C$1&amp;"'!A4:P66"),9,FALSE)</f>
        <v>6.55</v>
      </c>
    </row>
    <row r="11" spans="1:3">
      <c r="A11" s="272" t="s">
        <v>11</v>
      </c>
      <c r="B11" s="235">
        <f ca="1">VLOOKUP($B$2,INDIRECT("'"&amp;$C$1&amp;"'!A4:P66"),10,FALSE)</f>
        <v>6.6</v>
      </c>
    </row>
    <row r="12" spans="1:3">
      <c r="A12" s="273" t="s">
        <v>12</v>
      </c>
      <c r="B12" s="274">
        <f ca="1">VLOOKUP($B$2,INDIRECT("'"&amp;$C$1&amp;"'!A4:P66"),11,FALSE)</f>
        <v>7.6335877862595148E-3</v>
      </c>
    </row>
    <row r="13" spans="1:3">
      <c r="A13" s="272" t="s">
        <v>13</v>
      </c>
      <c r="B13" s="274">
        <f ca="1">VLOOKUP($B$2,INDIRECT("'"&amp;$C$1&amp;"'!A4:P66"),12,FALSE)</f>
        <v>0.79730974755850381</v>
      </c>
    </row>
    <row r="14" spans="1:3">
      <c r="A14" s="272" t="s">
        <v>14</v>
      </c>
      <c r="B14" s="274">
        <f ca="1">VLOOKUP($B$2,INDIRECT("'"&amp;$C$1&amp;"'!A4:P66"),13,FALSE)</f>
        <v>1</v>
      </c>
    </row>
    <row r="15" spans="1:3">
      <c r="A15" s="272" t="s">
        <v>15</v>
      </c>
      <c r="B15" s="274">
        <f ca="1">VLOOKUP($B$2,INDIRECT("'"&amp;$C$1&amp;"'!A4:P66"),14,FALSE)</f>
        <v>0.96619999999999995</v>
      </c>
    </row>
    <row r="16" spans="1:3">
      <c r="A16" s="272" t="s">
        <v>16</v>
      </c>
      <c r="B16" s="235">
        <f ca="1">VLOOKUP($B$2,INDIRECT("'"&amp;$C$1&amp;"'!A4:P66"),15,FALSE)</f>
        <v>6084</v>
      </c>
    </row>
    <row r="17" spans="1:2">
      <c r="A17" s="272" t="s">
        <v>17</v>
      </c>
      <c r="B17" s="235" t="str">
        <f ca="1">VLOOKUP($B$2,INDIRECT("'"&amp;$C$1&amp;"'!A4:P66"),16,FALSE)</f>
        <v> </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D95F915-8F46-4CB1-9ACB-1BD692E8AB91}">
          <x14:formula1>
            <xm:f>Master!$A$2:$A$83</xm:f>
          </x14:formula1>
          <xm:sqref>B1</xm:sqref>
        </x14:dataValidation>
        <x14:dataValidation type="list" allowBlank="1" showInputMessage="1" showErrorMessage="1" xr:uid="{109DBE06-B3F7-4E5E-90D0-11D1DDC6BD67}">
          <x14:formula1>
            <xm:f>Master!$C$2:$C$62</xm:f>
          </x14:formula1>
          <xm:sqref>B2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3E9D-EB09-4A07-9030-2750221284CA}">
  <sheetPr filterMode="1"/>
  <dimension ref="A1:D100"/>
  <sheetViews>
    <sheetView topLeftCell="A44" workbookViewId="0">
      <selection activeCell="C26" sqref="C26:C62"/>
    </sheetView>
  </sheetViews>
  <sheetFormatPr defaultRowHeight="14.5"/>
  <cols>
    <col min="1" max="1" width="39.81640625" bestFit="1" customWidth="1"/>
    <col min="2" max="2" width="25.7265625" bestFit="1" customWidth="1"/>
    <col min="3" max="3" width="9.81640625" bestFit="1" customWidth="1"/>
    <col min="4" max="4" width="13.54296875" bestFit="1" customWidth="1"/>
  </cols>
  <sheetData>
    <row r="1" spans="1:4">
      <c r="A1" t="s">
        <v>0</v>
      </c>
      <c r="B1" t="s">
        <v>18</v>
      </c>
      <c r="C1" t="s">
        <v>2</v>
      </c>
      <c r="D1" t="s">
        <v>19</v>
      </c>
    </row>
    <row r="2" spans="1:4">
      <c r="A2" s="283" t="s">
        <v>20</v>
      </c>
      <c r="B2" s="223" t="s">
        <v>21</v>
      </c>
      <c r="C2" s="284">
        <v>46113</v>
      </c>
      <c r="D2" s="223" t="s">
        <v>22</v>
      </c>
    </row>
    <row r="3" spans="1:4">
      <c r="A3" s="283" t="s">
        <v>23</v>
      </c>
      <c r="B3" s="223" t="s">
        <v>24</v>
      </c>
      <c r="C3" s="284">
        <v>46114</v>
      </c>
      <c r="D3" s="223" t="s">
        <v>22</v>
      </c>
    </row>
    <row r="4" spans="1:4">
      <c r="A4" s="283" t="s">
        <v>25</v>
      </c>
      <c r="B4" s="223" t="s">
        <v>26</v>
      </c>
      <c r="C4" s="284">
        <v>46115</v>
      </c>
      <c r="D4" s="223" t="s">
        <v>22</v>
      </c>
    </row>
    <row r="5" spans="1:4">
      <c r="A5" s="283" t="s">
        <v>27</v>
      </c>
      <c r="B5" s="223" t="s">
        <v>28</v>
      </c>
      <c r="C5" s="284">
        <v>46116</v>
      </c>
      <c r="D5" s="223" t="s">
        <v>22</v>
      </c>
    </row>
    <row r="6" spans="1:4">
      <c r="A6" s="283" t="s">
        <v>29</v>
      </c>
      <c r="B6" s="223" t="s">
        <v>30</v>
      </c>
      <c r="C6" s="284">
        <v>46117</v>
      </c>
      <c r="D6" s="223" t="s">
        <v>22</v>
      </c>
    </row>
    <row r="7" spans="1:4">
      <c r="A7" s="283" t="s">
        <v>31</v>
      </c>
      <c r="B7" s="223" t="s">
        <v>32</v>
      </c>
      <c r="C7" s="284">
        <v>46118</v>
      </c>
      <c r="D7" s="223" t="s">
        <v>22</v>
      </c>
    </row>
    <row r="8" spans="1:4">
      <c r="A8" s="283" t="s">
        <v>33</v>
      </c>
      <c r="B8" s="223" t="s">
        <v>34</v>
      </c>
      <c r="C8" s="284">
        <v>46119</v>
      </c>
      <c r="D8" s="223" t="s">
        <v>22</v>
      </c>
    </row>
    <row r="9" spans="1:4">
      <c r="A9" s="283" t="s">
        <v>35</v>
      </c>
      <c r="B9" s="223" t="s">
        <v>36</v>
      </c>
      <c r="C9" s="284">
        <v>46120</v>
      </c>
      <c r="D9" s="223" t="s">
        <v>22</v>
      </c>
    </row>
    <row r="10" spans="1:4">
      <c r="A10" s="283" t="s">
        <v>37</v>
      </c>
      <c r="B10" s="223" t="s">
        <v>38</v>
      </c>
      <c r="C10" s="284">
        <v>46121</v>
      </c>
      <c r="D10" s="223" t="s">
        <v>22</v>
      </c>
    </row>
    <row r="11" spans="1:4">
      <c r="A11" s="283" t="s">
        <v>39</v>
      </c>
      <c r="B11" s="223" t="s">
        <v>40</v>
      </c>
      <c r="C11" s="284">
        <v>46122</v>
      </c>
      <c r="D11" s="223" t="s">
        <v>22</v>
      </c>
    </row>
    <row r="12" spans="1:4">
      <c r="A12" s="283" t="s">
        <v>41</v>
      </c>
      <c r="B12" s="223" t="s">
        <v>42</v>
      </c>
      <c r="C12" s="284">
        <v>46123</v>
      </c>
      <c r="D12" s="223" t="s">
        <v>22</v>
      </c>
    </row>
    <row r="13" spans="1:4">
      <c r="A13" s="283" t="s">
        <v>43</v>
      </c>
      <c r="B13" s="223" t="s">
        <v>44</v>
      </c>
      <c r="C13" s="284">
        <v>46124</v>
      </c>
      <c r="D13" s="223" t="s">
        <v>22</v>
      </c>
    </row>
    <row r="14" spans="1:4">
      <c r="A14" s="283" t="s">
        <v>45</v>
      </c>
      <c r="B14" s="223" t="s">
        <v>46</v>
      </c>
      <c r="C14" s="284">
        <v>46125</v>
      </c>
      <c r="D14" s="223" t="s">
        <v>22</v>
      </c>
    </row>
    <row r="15" spans="1:4">
      <c r="A15" s="283" t="s">
        <v>47</v>
      </c>
      <c r="B15" s="223" t="s">
        <v>48</v>
      </c>
      <c r="C15" s="284">
        <v>46126</v>
      </c>
      <c r="D15" s="223" t="s">
        <v>22</v>
      </c>
    </row>
    <row r="16" spans="1:4">
      <c r="A16" s="283" t="s">
        <v>49</v>
      </c>
      <c r="B16" s="223" t="s">
        <v>50</v>
      </c>
      <c r="C16" s="284">
        <v>46127</v>
      </c>
      <c r="D16" s="223" t="s">
        <v>22</v>
      </c>
    </row>
    <row r="17" spans="1:4">
      <c r="A17" s="283" t="s">
        <v>51</v>
      </c>
      <c r="B17" s="223" t="s">
        <v>52</v>
      </c>
      <c r="C17" s="284">
        <v>46128</v>
      </c>
      <c r="D17" s="223" t="s">
        <v>22</v>
      </c>
    </row>
    <row r="18" spans="1:4">
      <c r="A18" s="283" t="s">
        <v>53</v>
      </c>
      <c r="B18" s="223" t="s">
        <v>54</v>
      </c>
      <c r="C18" s="284">
        <v>46129</v>
      </c>
      <c r="D18" s="223" t="s">
        <v>22</v>
      </c>
    </row>
    <row r="19" spans="1:4">
      <c r="A19" s="283" t="s">
        <v>55</v>
      </c>
      <c r="B19" s="223" t="s">
        <v>56</v>
      </c>
      <c r="C19" s="284">
        <v>46130</v>
      </c>
      <c r="D19" s="223" t="s">
        <v>22</v>
      </c>
    </row>
    <row r="20" spans="1:4">
      <c r="A20" s="283" t="s">
        <v>57</v>
      </c>
      <c r="B20" s="223" t="s">
        <v>58</v>
      </c>
      <c r="C20" s="284">
        <v>46131</v>
      </c>
      <c r="D20" s="223" t="s">
        <v>22</v>
      </c>
    </row>
    <row r="21" spans="1:4">
      <c r="A21" s="283" t="s">
        <v>59</v>
      </c>
      <c r="B21" s="223" t="s">
        <v>60</v>
      </c>
      <c r="C21" s="284">
        <v>46132</v>
      </c>
      <c r="D21" s="223" t="s">
        <v>22</v>
      </c>
    </row>
    <row r="22" spans="1:4">
      <c r="A22" s="402" t="s">
        <v>1</v>
      </c>
      <c r="B22" s="223" t="s">
        <v>61</v>
      </c>
      <c r="C22" s="284">
        <v>46133</v>
      </c>
      <c r="D22" s="223" t="s">
        <v>62</v>
      </c>
    </row>
    <row r="23" spans="1:4">
      <c r="A23" s="402" t="s">
        <v>63</v>
      </c>
      <c r="B23" s="223" t="s">
        <v>63</v>
      </c>
      <c r="C23" s="284">
        <v>46134</v>
      </c>
      <c r="D23" s="223" t="s">
        <v>62</v>
      </c>
    </row>
    <row r="24" spans="1:4">
      <c r="A24" s="402" t="s">
        <v>64</v>
      </c>
      <c r="B24" s="223" t="s">
        <v>64</v>
      </c>
      <c r="C24" s="284">
        <v>46135</v>
      </c>
      <c r="D24" s="223" t="s">
        <v>62</v>
      </c>
    </row>
    <row r="25" spans="1:4">
      <c r="A25" s="402" t="s">
        <v>65</v>
      </c>
      <c r="B25" s="223" t="s">
        <v>65</v>
      </c>
      <c r="C25" s="284">
        <v>46136</v>
      </c>
      <c r="D25" s="223" t="s">
        <v>62</v>
      </c>
    </row>
    <row r="26" spans="1:4">
      <c r="A26" s="402" t="s">
        <v>66</v>
      </c>
      <c r="B26" s="223" t="s">
        <v>66</v>
      </c>
      <c r="C26" s="284">
        <f>C25+1</f>
        <v>46137</v>
      </c>
      <c r="D26" s="223" t="s">
        <v>62</v>
      </c>
    </row>
    <row r="27" spans="1:4">
      <c r="A27" s="402" t="s">
        <v>67</v>
      </c>
      <c r="B27" s="223" t="s">
        <v>68</v>
      </c>
      <c r="C27" s="284">
        <f t="shared" ref="C27:C62" si="0">C26+1</f>
        <v>46138</v>
      </c>
      <c r="D27" s="223" t="s">
        <v>62</v>
      </c>
    </row>
    <row r="28" spans="1:4">
      <c r="A28" s="402" t="s">
        <v>69</v>
      </c>
      <c r="B28" s="223" t="s">
        <v>69</v>
      </c>
      <c r="C28" s="284">
        <f t="shared" si="0"/>
        <v>46139</v>
      </c>
      <c r="D28" s="223" t="s">
        <v>62</v>
      </c>
    </row>
    <row r="29" spans="1:4">
      <c r="A29" s="402" t="s">
        <v>70</v>
      </c>
      <c r="B29" s="223" t="s">
        <v>71</v>
      </c>
      <c r="C29" s="284">
        <f t="shared" si="0"/>
        <v>46140</v>
      </c>
      <c r="D29" s="223" t="s">
        <v>22</v>
      </c>
    </row>
    <row r="30" spans="1:4">
      <c r="A30" s="402" t="s">
        <v>72</v>
      </c>
      <c r="B30" s="223" t="s">
        <v>73</v>
      </c>
      <c r="C30" s="284">
        <f t="shared" si="0"/>
        <v>46141</v>
      </c>
      <c r="D30" s="223" t="s">
        <v>22</v>
      </c>
    </row>
    <row r="31" spans="1:4">
      <c r="A31" s="402" t="s">
        <v>74</v>
      </c>
      <c r="B31" s="223" t="s">
        <v>75</v>
      </c>
      <c r="C31" s="284">
        <f t="shared" si="0"/>
        <v>46142</v>
      </c>
      <c r="D31" s="223" t="s">
        <v>22</v>
      </c>
    </row>
    <row r="32" spans="1:4">
      <c r="A32" s="402" t="s">
        <v>76</v>
      </c>
      <c r="B32" s="223" t="s">
        <v>77</v>
      </c>
      <c r="C32" s="284">
        <f t="shared" si="0"/>
        <v>46143</v>
      </c>
      <c r="D32" s="223" t="s">
        <v>22</v>
      </c>
    </row>
    <row r="33" spans="1:4">
      <c r="A33" s="402" t="s">
        <v>78</v>
      </c>
      <c r="B33" s="223" t="s">
        <v>79</v>
      </c>
      <c r="C33" s="284">
        <f t="shared" si="0"/>
        <v>46144</v>
      </c>
      <c r="D33" s="223" t="s">
        <v>22</v>
      </c>
    </row>
    <row r="34" spans="1:4">
      <c r="A34" s="402" t="s">
        <v>80</v>
      </c>
      <c r="B34" s="223" t="s">
        <v>80</v>
      </c>
      <c r="C34" s="284">
        <f t="shared" si="0"/>
        <v>46145</v>
      </c>
      <c r="D34" s="223" t="s">
        <v>81</v>
      </c>
    </row>
    <row r="35" spans="1:4">
      <c r="A35" s="402" t="s">
        <v>82</v>
      </c>
      <c r="B35" s="223" t="s">
        <v>82</v>
      </c>
      <c r="C35" s="284">
        <f t="shared" si="0"/>
        <v>46146</v>
      </c>
      <c r="D35" s="223" t="s">
        <v>81</v>
      </c>
    </row>
    <row r="36" spans="1:4">
      <c r="A36" s="402" t="s">
        <v>83</v>
      </c>
      <c r="B36" s="223" t="s">
        <v>83</v>
      </c>
      <c r="C36" s="284">
        <f t="shared" si="0"/>
        <v>46147</v>
      </c>
      <c r="D36" s="223" t="s">
        <v>81</v>
      </c>
    </row>
    <row r="37" spans="1:4">
      <c r="A37" s="402" t="s">
        <v>84</v>
      </c>
      <c r="B37" s="223" t="s">
        <v>84</v>
      </c>
      <c r="C37" s="284">
        <f t="shared" si="0"/>
        <v>46148</v>
      </c>
      <c r="D37" s="223" t="s">
        <v>81</v>
      </c>
    </row>
    <row r="38" spans="1:4">
      <c r="A38" s="402" t="s">
        <v>85</v>
      </c>
      <c r="B38" s="223" t="s">
        <v>85</v>
      </c>
      <c r="C38" s="284">
        <f t="shared" si="0"/>
        <v>46149</v>
      </c>
      <c r="D38" s="223" t="s">
        <v>81</v>
      </c>
    </row>
    <row r="39" spans="1:4">
      <c r="A39" s="223" t="s">
        <v>86</v>
      </c>
      <c r="B39" s="223" t="s">
        <v>86</v>
      </c>
      <c r="C39" s="284">
        <f t="shared" si="0"/>
        <v>46150</v>
      </c>
      <c r="D39" s="223" t="s">
        <v>81</v>
      </c>
    </row>
    <row r="40" spans="1:4">
      <c r="A40" s="223" t="s">
        <v>87</v>
      </c>
      <c r="B40" s="223" t="s">
        <v>87</v>
      </c>
      <c r="C40" s="284">
        <f t="shared" si="0"/>
        <v>46151</v>
      </c>
      <c r="D40" s="223" t="s">
        <v>81</v>
      </c>
    </row>
    <row r="41" spans="1:4">
      <c r="A41" s="223" t="s">
        <v>88</v>
      </c>
      <c r="B41" s="223" t="s">
        <v>88</v>
      </c>
      <c r="C41" s="284">
        <f t="shared" si="0"/>
        <v>46152</v>
      </c>
      <c r="D41" s="223" t="s">
        <v>81</v>
      </c>
    </row>
    <row r="42" spans="1:4">
      <c r="A42" s="223" t="s">
        <v>89</v>
      </c>
      <c r="B42" s="223" t="s">
        <v>89</v>
      </c>
      <c r="C42" s="284">
        <f t="shared" si="0"/>
        <v>46153</v>
      </c>
      <c r="D42" s="223" t="s">
        <v>81</v>
      </c>
    </row>
    <row r="43" spans="1:4">
      <c r="A43" s="223" t="s">
        <v>90</v>
      </c>
      <c r="B43" s="223" t="s">
        <v>90</v>
      </c>
      <c r="C43" s="284">
        <f t="shared" si="0"/>
        <v>46154</v>
      </c>
      <c r="D43" s="223" t="s">
        <v>81</v>
      </c>
    </row>
    <row r="44" spans="1:4">
      <c r="A44" s="223" t="s">
        <v>91</v>
      </c>
      <c r="B44" s="223" t="s">
        <v>91</v>
      </c>
      <c r="C44" s="284">
        <f t="shared" si="0"/>
        <v>46155</v>
      </c>
      <c r="D44" s="223" t="s">
        <v>81</v>
      </c>
    </row>
    <row r="45" spans="1:4">
      <c r="A45" s="223" t="s">
        <v>92</v>
      </c>
      <c r="B45" s="223" t="s">
        <v>92</v>
      </c>
      <c r="C45" s="284">
        <f t="shared" si="0"/>
        <v>46156</v>
      </c>
      <c r="D45" s="223" t="s">
        <v>81</v>
      </c>
    </row>
    <row r="46" spans="1:4">
      <c r="A46" s="223" t="s">
        <v>93</v>
      </c>
      <c r="B46" s="223" t="s">
        <v>93</v>
      </c>
      <c r="C46" s="284">
        <f t="shared" si="0"/>
        <v>46157</v>
      </c>
      <c r="D46" s="223" t="s">
        <v>81</v>
      </c>
    </row>
    <row r="47" spans="1:4">
      <c r="A47" s="223" t="s">
        <v>94</v>
      </c>
      <c r="B47" s="223" t="s">
        <v>94</v>
      </c>
      <c r="C47" s="284">
        <f t="shared" si="0"/>
        <v>46158</v>
      </c>
      <c r="D47" s="223" t="s">
        <v>81</v>
      </c>
    </row>
    <row r="48" spans="1:4">
      <c r="A48" s="223" t="s">
        <v>95</v>
      </c>
      <c r="B48" s="223" t="s">
        <v>95</v>
      </c>
      <c r="C48" s="284">
        <f t="shared" si="0"/>
        <v>46159</v>
      </c>
      <c r="D48" s="223" t="s">
        <v>81</v>
      </c>
    </row>
    <row r="49" spans="1:4">
      <c r="A49" s="223" t="s">
        <v>96</v>
      </c>
      <c r="B49" s="223" t="s">
        <v>96</v>
      </c>
      <c r="C49" s="284">
        <f t="shared" si="0"/>
        <v>46160</v>
      </c>
      <c r="D49" s="223" t="s">
        <v>81</v>
      </c>
    </row>
    <row r="50" spans="1:4">
      <c r="A50" s="223" t="s">
        <v>97</v>
      </c>
      <c r="B50" s="223" t="s">
        <v>97</v>
      </c>
      <c r="C50" s="284">
        <f t="shared" si="0"/>
        <v>46161</v>
      </c>
      <c r="D50" s="223" t="s">
        <v>81</v>
      </c>
    </row>
    <row r="51" spans="1:4">
      <c r="A51" s="223" t="s">
        <v>98</v>
      </c>
      <c r="B51" s="223" t="s">
        <v>98</v>
      </c>
      <c r="C51" s="284">
        <f t="shared" si="0"/>
        <v>46162</v>
      </c>
      <c r="D51" s="223" t="s">
        <v>81</v>
      </c>
    </row>
    <row r="52" spans="1:4">
      <c r="A52" s="223" t="s">
        <v>99</v>
      </c>
      <c r="B52" s="223" t="s">
        <v>99</v>
      </c>
      <c r="C52" s="284">
        <f t="shared" si="0"/>
        <v>46163</v>
      </c>
      <c r="D52" s="223" t="s">
        <v>81</v>
      </c>
    </row>
    <row r="53" spans="1:4">
      <c r="A53" s="223" t="s">
        <v>100</v>
      </c>
      <c r="B53" s="223" t="s">
        <v>100</v>
      </c>
      <c r="C53" s="284">
        <f t="shared" si="0"/>
        <v>46164</v>
      </c>
      <c r="D53" s="223" t="s">
        <v>81</v>
      </c>
    </row>
    <row r="54" spans="1:4">
      <c r="A54" s="223" t="s">
        <v>101</v>
      </c>
      <c r="B54" s="223" t="s">
        <v>101</v>
      </c>
      <c r="C54" s="284">
        <f t="shared" si="0"/>
        <v>46165</v>
      </c>
      <c r="D54" s="223" t="s">
        <v>81</v>
      </c>
    </row>
    <row r="55" spans="1:4">
      <c r="A55" s="223" t="s">
        <v>102</v>
      </c>
      <c r="B55" s="223" t="s">
        <v>102</v>
      </c>
      <c r="C55" s="284">
        <f t="shared" si="0"/>
        <v>46166</v>
      </c>
      <c r="D55" s="223" t="s">
        <v>81</v>
      </c>
    </row>
    <row r="56" spans="1:4">
      <c r="A56" s="223" t="s">
        <v>103</v>
      </c>
      <c r="B56" s="223" t="s">
        <v>103</v>
      </c>
      <c r="C56" s="284">
        <f t="shared" si="0"/>
        <v>46167</v>
      </c>
      <c r="D56" s="223" t="s">
        <v>81</v>
      </c>
    </row>
    <row r="57" spans="1:4">
      <c r="A57" s="223" t="s">
        <v>104</v>
      </c>
      <c r="B57" s="223" t="s">
        <v>104</v>
      </c>
      <c r="C57" s="284">
        <f t="shared" si="0"/>
        <v>46168</v>
      </c>
      <c r="D57" s="223" t="s">
        <v>81</v>
      </c>
    </row>
    <row r="58" spans="1:4">
      <c r="A58" s="285" t="s">
        <v>105</v>
      </c>
      <c r="B58" s="223" t="s">
        <v>105</v>
      </c>
      <c r="C58" s="284">
        <f t="shared" si="0"/>
        <v>46169</v>
      </c>
      <c r="D58" s="223" t="s">
        <v>106</v>
      </c>
    </row>
    <row r="59" spans="1:4">
      <c r="A59" s="285" t="s">
        <v>107</v>
      </c>
      <c r="B59" s="223" t="s">
        <v>107</v>
      </c>
      <c r="C59" s="284">
        <f t="shared" si="0"/>
        <v>46170</v>
      </c>
      <c r="D59" s="223" t="s">
        <v>106</v>
      </c>
    </row>
    <row r="60" spans="1:4">
      <c r="A60" s="285" t="s">
        <v>108</v>
      </c>
      <c r="B60" s="223" t="s">
        <v>108</v>
      </c>
      <c r="C60" s="284">
        <f t="shared" si="0"/>
        <v>46171</v>
      </c>
      <c r="D60" s="223" t="s">
        <v>106</v>
      </c>
    </row>
    <row r="61" spans="1:4">
      <c r="A61" s="285" t="s">
        <v>109</v>
      </c>
      <c r="B61" s="223" t="s">
        <v>109</v>
      </c>
      <c r="C61" s="284">
        <f t="shared" si="0"/>
        <v>46172</v>
      </c>
      <c r="D61" s="223" t="s">
        <v>106</v>
      </c>
    </row>
    <row r="62" spans="1:4">
      <c r="A62" s="285" t="s">
        <v>110</v>
      </c>
      <c r="B62" s="223" t="s">
        <v>110</v>
      </c>
      <c r="C62" s="284">
        <f t="shared" si="0"/>
        <v>46173</v>
      </c>
      <c r="D62" s="223" t="s">
        <v>106</v>
      </c>
    </row>
    <row r="63" spans="1:4">
      <c r="A63" s="285" t="s">
        <v>111</v>
      </c>
      <c r="B63" s="223" t="s">
        <v>111</v>
      </c>
      <c r="C63" s="223"/>
      <c r="D63" s="223" t="s">
        <v>106</v>
      </c>
    </row>
    <row r="64" spans="1:4">
      <c r="A64" s="285" t="s">
        <v>112</v>
      </c>
      <c r="B64" s="223" t="s">
        <v>112</v>
      </c>
      <c r="C64" s="223"/>
      <c r="D64" s="223" t="s">
        <v>106</v>
      </c>
    </row>
    <row r="65" spans="1:4">
      <c r="A65" s="285" t="s">
        <v>113</v>
      </c>
      <c r="B65" s="223" t="s">
        <v>113</v>
      </c>
      <c r="C65" s="223"/>
      <c r="D65" s="223" t="s">
        <v>114</v>
      </c>
    </row>
    <row r="66" spans="1:4">
      <c r="A66" s="285" t="s">
        <v>115</v>
      </c>
      <c r="B66" s="223" t="s">
        <v>115</v>
      </c>
      <c r="C66" s="223"/>
      <c r="D66" s="223" t="s">
        <v>114</v>
      </c>
    </row>
    <row r="67" spans="1:4">
      <c r="A67" s="285" t="s">
        <v>116</v>
      </c>
      <c r="B67" s="223" t="s">
        <v>116</v>
      </c>
      <c r="C67" s="223"/>
      <c r="D67" s="223" t="s">
        <v>114</v>
      </c>
    </row>
    <row r="68" spans="1:4">
      <c r="A68" s="285" t="s">
        <v>117</v>
      </c>
      <c r="B68" s="223" t="s">
        <v>117</v>
      </c>
      <c r="C68" s="223"/>
      <c r="D68" s="223" t="s">
        <v>114</v>
      </c>
    </row>
    <row r="69" spans="1:4">
      <c r="A69" s="285" t="s">
        <v>118</v>
      </c>
      <c r="B69" s="223" t="s">
        <v>118</v>
      </c>
      <c r="C69" s="223"/>
      <c r="D69" s="223" t="s">
        <v>114</v>
      </c>
    </row>
    <row r="70" spans="1:4">
      <c r="A70" s="285" t="s">
        <v>119</v>
      </c>
      <c r="B70" s="223" t="s">
        <v>119</v>
      </c>
      <c r="C70" s="223"/>
      <c r="D70" s="223" t="s">
        <v>114</v>
      </c>
    </row>
    <row r="71" spans="1:4">
      <c r="A71" s="285" t="s">
        <v>120</v>
      </c>
      <c r="B71" s="223" t="s">
        <v>120</v>
      </c>
      <c r="C71" s="223"/>
      <c r="D71" s="223" t="s">
        <v>114</v>
      </c>
    </row>
    <row r="72" spans="1:4">
      <c r="A72" s="285" t="s">
        <v>121</v>
      </c>
      <c r="B72" s="223" t="s">
        <v>121</v>
      </c>
      <c r="C72" s="223"/>
      <c r="D72" s="223" t="s">
        <v>114</v>
      </c>
    </row>
    <row r="73" spans="1:4">
      <c r="A73" s="285" t="s">
        <v>122</v>
      </c>
      <c r="B73" s="223" t="s">
        <v>122</v>
      </c>
      <c r="C73" s="223"/>
      <c r="D73" s="223" t="s">
        <v>114</v>
      </c>
    </row>
    <row r="74" spans="1:4">
      <c r="A74" s="285" t="s">
        <v>123</v>
      </c>
      <c r="B74" s="223" t="s">
        <v>123</v>
      </c>
      <c r="C74" s="223"/>
      <c r="D74" s="223" t="s">
        <v>114</v>
      </c>
    </row>
    <row r="75" spans="1:4">
      <c r="A75" s="285" t="s">
        <v>124</v>
      </c>
      <c r="B75" s="223" t="s">
        <v>124</v>
      </c>
      <c r="C75" s="223"/>
      <c r="D75" s="223" t="s">
        <v>114</v>
      </c>
    </row>
    <row r="76" spans="1:4">
      <c r="A76" s="285" t="s">
        <v>125</v>
      </c>
      <c r="B76" s="223" t="s">
        <v>125</v>
      </c>
      <c r="C76" s="223"/>
      <c r="D76" s="223" t="s">
        <v>114</v>
      </c>
    </row>
    <row r="77" spans="1:4">
      <c r="A77" s="285" t="s">
        <v>126</v>
      </c>
      <c r="B77" s="223" t="s">
        <v>126</v>
      </c>
      <c r="C77" s="223"/>
      <c r="D77" s="223" t="s">
        <v>114</v>
      </c>
    </row>
    <row r="78" spans="1:4">
      <c r="A78" s="285" t="s">
        <v>127</v>
      </c>
      <c r="B78" s="223" t="s">
        <v>127</v>
      </c>
      <c r="C78" s="223"/>
      <c r="D78" s="223" t="s">
        <v>114</v>
      </c>
    </row>
    <row r="79" spans="1:4">
      <c r="A79" s="285" t="s">
        <v>128</v>
      </c>
      <c r="B79" s="223" t="s">
        <v>128</v>
      </c>
      <c r="C79" s="223"/>
      <c r="D79" s="223" t="s">
        <v>114</v>
      </c>
    </row>
    <row r="80" spans="1:4">
      <c r="A80" s="285" t="s">
        <v>129</v>
      </c>
      <c r="B80" s="223" t="s">
        <v>129</v>
      </c>
      <c r="C80" s="223"/>
      <c r="D80" s="223" t="s">
        <v>114</v>
      </c>
    </row>
    <row r="81" spans="1:4">
      <c r="A81" s="285" t="s">
        <v>130</v>
      </c>
      <c r="B81" s="223" t="s">
        <v>130</v>
      </c>
      <c r="C81" s="223"/>
      <c r="D81" s="223" t="s">
        <v>114</v>
      </c>
    </row>
    <row r="82" spans="1:4">
      <c r="A82" s="285" t="s">
        <v>131</v>
      </c>
      <c r="B82" s="223" t="s">
        <v>131</v>
      </c>
      <c r="C82" s="223"/>
      <c r="D82" s="223" t="s">
        <v>106</v>
      </c>
    </row>
    <row r="83" spans="1:4">
      <c r="A83" s="285" t="s">
        <v>132</v>
      </c>
      <c r="B83" s="223" t="s">
        <v>132</v>
      </c>
      <c r="C83" s="223"/>
      <c r="D83" s="223" t="s">
        <v>106</v>
      </c>
    </row>
    <row r="84" spans="1:4">
      <c r="A84" s="223" t="s">
        <v>133</v>
      </c>
      <c r="B84" s="223"/>
      <c r="C84" s="223"/>
      <c r="D84" s="223" t="s">
        <v>22</v>
      </c>
    </row>
    <row r="85" spans="1:4">
      <c r="A85" s="223" t="s">
        <v>134</v>
      </c>
      <c r="B85" s="223"/>
      <c r="C85" s="223"/>
      <c r="D85" s="223" t="s">
        <v>22</v>
      </c>
    </row>
    <row r="86" spans="1:4">
      <c r="A86" s="223" t="s">
        <v>135</v>
      </c>
      <c r="B86" s="223"/>
      <c r="C86" s="223"/>
      <c r="D86" s="223" t="s">
        <v>22</v>
      </c>
    </row>
    <row r="87" spans="1:4">
      <c r="A87" s="223" t="s">
        <v>136</v>
      </c>
      <c r="B87" s="223"/>
      <c r="C87" s="223"/>
      <c r="D87" s="223" t="s">
        <v>22</v>
      </c>
    </row>
    <row r="88" spans="1:4">
      <c r="A88" s="223" t="s">
        <v>137</v>
      </c>
      <c r="B88" s="223"/>
      <c r="C88" s="223"/>
      <c r="D88" s="223" t="s">
        <v>22</v>
      </c>
    </row>
    <row r="89" spans="1:4">
      <c r="A89" s="223" t="s">
        <v>138</v>
      </c>
      <c r="B89" s="223"/>
      <c r="C89" s="223"/>
      <c r="D89" s="223" t="s">
        <v>22</v>
      </c>
    </row>
    <row r="90" spans="1:4">
      <c r="A90" s="223" t="s">
        <v>139</v>
      </c>
      <c r="B90" s="223"/>
      <c r="C90" s="223"/>
      <c r="D90" s="223" t="s">
        <v>62</v>
      </c>
    </row>
    <row r="91" spans="1:4">
      <c r="A91" s="223" t="s">
        <v>140</v>
      </c>
      <c r="B91" s="223"/>
      <c r="C91" s="223"/>
      <c r="D91" s="223" t="s">
        <v>62</v>
      </c>
    </row>
    <row r="92" spans="1:4">
      <c r="A92" s="223" t="s">
        <v>141</v>
      </c>
      <c r="B92" s="223"/>
      <c r="C92" s="223"/>
      <c r="D92" s="223" t="s">
        <v>62</v>
      </c>
    </row>
    <row r="93" spans="1:4">
      <c r="A93" s="223" t="s">
        <v>142</v>
      </c>
      <c r="B93" s="223"/>
      <c r="C93" s="223"/>
      <c r="D93" s="223" t="s">
        <v>62</v>
      </c>
    </row>
    <row r="94" spans="1:4">
      <c r="A94" s="223" t="s">
        <v>143</v>
      </c>
      <c r="B94" s="223"/>
      <c r="C94" s="223"/>
      <c r="D94" s="223" t="s">
        <v>62</v>
      </c>
    </row>
    <row r="95" spans="1:4">
      <c r="A95" s="223" t="s">
        <v>144</v>
      </c>
      <c r="B95" s="223"/>
      <c r="C95" s="223"/>
      <c r="D95" s="223" t="s">
        <v>62</v>
      </c>
    </row>
    <row r="96" spans="1:4">
      <c r="A96" s="223" t="s">
        <v>145</v>
      </c>
      <c r="B96" s="223"/>
      <c r="C96" s="223"/>
      <c r="D96" s="223" t="s">
        <v>62</v>
      </c>
    </row>
    <row r="97" spans="1:4">
      <c r="A97" s="223" t="s">
        <v>146</v>
      </c>
      <c r="B97" s="223"/>
      <c r="C97" s="223"/>
      <c r="D97" s="223" t="s">
        <v>62</v>
      </c>
    </row>
    <row r="98" spans="1:4">
      <c r="A98" s="223" t="s">
        <v>147</v>
      </c>
      <c r="B98" s="223"/>
      <c r="C98" s="223"/>
      <c r="D98" s="223" t="s">
        <v>62</v>
      </c>
    </row>
    <row r="99" spans="1:4">
      <c r="A99" s="223" t="s">
        <v>148</v>
      </c>
      <c r="B99" s="223"/>
      <c r="C99" s="223"/>
      <c r="D99" s="223" t="s">
        <v>62</v>
      </c>
    </row>
    <row r="100" spans="1:4">
      <c r="A100" s="223" t="s">
        <v>149</v>
      </c>
      <c r="B100" s="223"/>
      <c r="C100" s="223"/>
      <c r="D100" s="223" t="s">
        <v>62</v>
      </c>
    </row>
  </sheetData>
  <autoFilter ref="A1:D100" xr:uid="{BF343E9D-EB09-4A07-9030-2750221284CA}">
    <filterColumn colId="3">
      <filters>
        <filter val="Naresh Rajput"/>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EAA5F-2B3E-4285-82B7-C281360ED272}">
  <dimension ref="A1:Z85"/>
  <sheetViews>
    <sheetView workbookViewId="0">
      <pane xSplit="1" ySplit="1" topLeftCell="B2" activePane="bottomRight" state="frozen"/>
      <selection pane="topRight"/>
      <selection pane="bottomLeft"/>
      <selection pane="bottomRight" activeCell="A2" sqref="A2:XFD19"/>
    </sheetView>
  </sheetViews>
  <sheetFormatPr defaultRowHeight="14.5"/>
  <cols>
    <col min="1" max="1" width="39.81640625" bestFit="1" customWidth="1"/>
    <col min="3" max="3" width="10.7265625" customWidth="1"/>
    <col min="6" max="9" width="12.54296875" bestFit="1" customWidth="1"/>
    <col min="10" max="10" width="11" customWidth="1"/>
    <col min="19" max="19" width="11.453125" bestFit="1" customWidth="1"/>
    <col min="20" max="20" width="12.26953125" customWidth="1"/>
    <col min="23" max="24" width="9.1796875" customWidth="1"/>
    <col min="25" max="25" width="14.26953125" customWidth="1"/>
    <col min="26" max="27" width="9.1796875" customWidth="1"/>
  </cols>
  <sheetData>
    <row r="1" spans="1:26" ht="52">
      <c r="A1" s="192" t="s">
        <v>0</v>
      </c>
      <c r="B1" s="192" t="s">
        <v>150</v>
      </c>
      <c r="C1" s="192" t="s">
        <v>151</v>
      </c>
      <c r="D1" s="109" t="s">
        <v>152</v>
      </c>
      <c r="E1" s="109" t="s">
        <v>153</v>
      </c>
      <c r="F1" s="12" t="s">
        <v>3</v>
      </c>
      <c r="G1" s="12" t="s">
        <v>4</v>
      </c>
      <c r="H1" s="12" t="s">
        <v>5</v>
      </c>
      <c r="I1" s="12" t="s">
        <v>6</v>
      </c>
      <c r="J1" s="193" t="s">
        <v>154</v>
      </c>
      <c r="K1" s="12" t="s">
        <v>8</v>
      </c>
      <c r="L1" s="12" t="s">
        <v>9</v>
      </c>
      <c r="M1" s="12" t="s">
        <v>10</v>
      </c>
      <c r="N1" s="12" t="s">
        <v>11</v>
      </c>
      <c r="O1" s="193" t="s">
        <v>155</v>
      </c>
      <c r="P1" s="12" t="s">
        <v>13</v>
      </c>
      <c r="Q1" s="12" t="s">
        <v>14</v>
      </c>
      <c r="R1" s="12" t="s">
        <v>15</v>
      </c>
      <c r="S1" s="12" t="s">
        <v>16</v>
      </c>
      <c r="T1" s="12" t="s">
        <v>17</v>
      </c>
      <c r="U1" s="194" t="s">
        <v>156</v>
      </c>
      <c r="Z1" t="s">
        <v>157</v>
      </c>
    </row>
    <row r="2" spans="1:26">
      <c r="A2" s="129" t="s">
        <v>20</v>
      </c>
      <c r="B2" s="129" t="s">
        <v>158</v>
      </c>
      <c r="C2" s="129" t="s">
        <v>159</v>
      </c>
      <c r="D2" s="130" cm="1">
        <f t="array" aca="1" ref="D2" ca="1">INDIRECT("'" &amp;Y2 &amp; "'!D2")/1000</f>
        <v>10</v>
      </c>
      <c r="E2" s="130" cm="1">
        <f t="array" aca="1" ref="E2" ca="1">INDIRECT("'" &amp; Y2 &amp; "'!h2")/1000</f>
        <v>7.5</v>
      </c>
      <c r="F2" s="131" cm="1">
        <f t="array" aca="1" ref="F2:T2" ca="1">INDIRECT("'"&amp;$Y2&amp;"'!b66:p66")</f>
        <v>274104</v>
      </c>
      <c r="G2" s="212">
        <f ca="1"/>
        <v>226668</v>
      </c>
      <c r="H2" s="212">
        <f ca="1"/>
        <v>222741.2</v>
      </c>
      <c r="I2" s="131">
        <f ca="1"/>
        <v>219960</v>
      </c>
      <c r="J2" s="132">
        <f ca="1"/>
        <v>-2.9593943565037854E-2</v>
      </c>
      <c r="K2" s="132">
        <f ca="1"/>
        <v>2.9938333333333334E-2</v>
      </c>
      <c r="L2" s="132">
        <f ca="1"/>
        <v>3.9917777777777774E-2</v>
      </c>
      <c r="M2" s="131">
        <f ca="1"/>
        <v>33.24</v>
      </c>
      <c r="N2" s="131">
        <f ca="1"/>
        <v>31.69</v>
      </c>
      <c r="O2" s="133">
        <f ca="1"/>
        <v>-4.6630565583634195E-2</v>
      </c>
      <c r="P2" s="133">
        <f ca="1"/>
        <v>0.70287535500157783</v>
      </c>
      <c r="Q2" s="133">
        <f ca="1"/>
        <v>1</v>
      </c>
      <c r="R2" s="133">
        <f ca="1"/>
        <v>0.94651666666666667</v>
      </c>
      <c r="S2" s="131">
        <f ca="1"/>
        <v>19727</v>
      </c>
      <c r="T2" s="131">
        <f ca="1"/>
        <v>0</v>
      </c>
      <c r="U2" s="128"/>
      <c r="Y2" t="s">
        <v>21</v>
      </c>
      <c r="Z2" t="s">
        <v>132</v>
      </c>
    </row>
    <row r="3" spans="1:26">
      <c r="A3" s="129" t="s">
        <v>23</v>
      </c>
      <c r="B3" s="129" t="s">
        <v>158</v>
      </c>
      <c r="C3" s="129" t="s">
        <v>159</v>
      </c>
      <c r="D3" s="130" cm="1">
        <f t="array" aca="1" ref="D3" ca="1">INDIRECT("'" &amp;Y3 &amp; "'!D2")/1000</f>
        <v>10</v>
      </c>
      <c r="E3" s="130" cm="1">
        <f t="array" aca="1" ref="E3" ca="1">INDIRECT("'" &amp; Y3 &amp; "'!h2")/1000</f>
        <v>7.5</v>
      </c>
      <c r="F3" s="212" cm="1">
        <f t="array" aca="1" ref="F3:T3" ca="1">INDIRECT("'"&amp;$Y3&amp;"'!b66:p66")</f>
        <v>270738</v>
      </c>
      <c r="G3" s="131">
        <f ca="1"/>
        <v>226758</v>
      </c>
      <c r="H3" s="131">
        <f ca="1"/>
        <v>189020.80000000002</v>
      </c>
      <c r="I3" s="131">
        <f ca="1"/>
        <v>186400</v>
      </c>
      <c r="J3" s="132">
        <f ca="1"/>
        <v>-0.1779782852203671</v>
      </c>
      <c r="K3" s="132">
        <f ca="1"/>
        <v>2.5406021505376346E-2</v>
      </c>
      <c r="L3" s="132">
        <f ca="1"/>
        <v>3.3874695340501797E-2</v>
      </c>
      <c r="M3" s="131">
        <f ca="1"/>
        <v>27.7</v>
      </c>
      <c r="N3" s="131">
        <f ca="1"/>
        <v>25.32</v>
      </c>
      <c r="O3" s="133">
        <f ca="1"/>
        <v>-8.5920577617328492E-2</v>
      </c>
      <c r="P3" s="133">
        <f ca="1"/>
        <v>0.74652764612954192</v>
      </c>
      <c r="Q3" s="133">
        <f ca="1"/>
        <v>1</v>
      </c>
      <c r="R3" s="133">
        <f ca="1"/>
        <v>0.97598333333333331</v>
      </c>
      <c r="S3" s="131">
        <f ca="1"/>
        <v>6820</v>
      </c>
      <c r="T3" s="131">
        <f ca="1"/>
        <v>0</v>
      </c>
      <c r="U3" s="128"/>
      <c r="Y3" t="s">
        <v>24</v>
      </c>
      <c r="Z3" t="s">
        <v>131</v>
      </c>
    </row>
    <row r="4" spans="1:26">
      <c r="A4" s="129" t="s">
        <v>25</v>
      </c>
      <c r="B4" s="129" t="s">
        <v>158</v>
      </c>
      <c r="C4" s="129" t="s">
        <v>159</v>
      </c>
      <c r="D4" s="130" cm="1">
        <f t="array" aca="1" ref="D4" ca="1">INDIRECT("'" &amp;Y4 &amp; "'!D2")/1000</f>
        <v>21.211400000000001</v>
      </c>
      <c r="E4" s="130" cm="1">
        <f t="array" aca="1" ref="E4" ca="1">INDIRECT("'" &amp; Y4 &amp; "'!h2")/1000</f>
        <v>16</v>
      </c>
      <c r="F4" s="212" cm="1">
        <f t="array" aca="1" ref="F4:T4" ca="1">INDIRECT("'"&amp;$Y4&amp;"'!b66:p66")</f>
        <v>387788</v>
      </c>
      <c r="G4" s="131">
        <f ca="1"/>
        <v>383576</v>
      </c>
      <c r="H4" s="131">
        <f ca="1"/>
        <v>330477</v>
      </c>
      <c r="I4" s="131">
        <f ca="1"/>
        <v>323640</v>
      </c>
      <c r="J4" s="132">
        <f ca="1"/>
        <v>-0.15625586585187812</v>
      </c>
      <c r="K4" s="132">
        <f ca="1"/>
        <v>2.0941074899772396E-2</v>
      </c>
      <c r="L4" s="132">
        <f ca="1"/>
        <v>2.7761844758064515E-2</v>
      </c>
      <c r="M4" s="131">
        <f ca="1"/>
        <v>22.6</v>
      </c>
      <c r="N4" s="131">
        <f ca="1"/>
        <v>19.373000000000001</v>
      </c>
      <c r="O4" s="133">
        <f ca="1"/>
        <v>-0.14278761061946904</v>
      </c>
      <c r="P4" s="133">
        <f ca="1"/>
        <v>0.80422029243951176</v>
      </c>
      <c r="Q4" s="133">
        <f ca="1"/>
        <v>1</v>
      </c>
      <c r="R4" s="133">
        <f ca="1"/>
        <v>1</v>
      </c>
      <c r="S4" s="131">
        <f ca="1"/>
        <v>0</v>
      </c>
      <c r="T4" s="131">
        <f ca="1"/>
        <v>0</v>
      </c>
      <c r="U4" s="128"/>
      <c r="Y4" t="s">
        <v>26</v>
      </c>
      <c r="Z4" t="s">
        <v>105</v>
      </c>
    </row>
    <row r="5" spans="1:26">
      <c r="A5" s="129" t="s">
        <v>27</v>
      </c>
      <c r="B5" s="129" t="s">
        <v>158</v>
      </c>
      <c r="C5" s="129" t="s">
        <v>159</v>
      </c>
      <c r="D5" s="130" cm="1">
        <f t="array" aca="1" ref="D5" ca="1">INDIRECT("'" &amp;Y5 &amp; "'!D2")/1000</f>
        <v>9.9979999999999993</v>
      </c>
      <c r="E5" s="130" cm="1">
        <f t="array" aca="1" ref="E5" ca="1">INDIRECT("'" &amp; Y5 &amp; "'!h2")/1000</f>
        <v>7.67</v>
      </c>
      <c r="F5" s="212" cm="1">
        <f t="array" aca="1" ref="F5:T5" ca="1">INDIRECT("'"&amp;$Y5&amp;"'!b66:p66")</f>
        <v>181240</v>
      </c>
      <c r="G5" s="131">
        <f ca="1"/>
        <v>150780</v>
      </c>
      <c r="H5" s="131">
        <f ca="1"/>
        <v>164361</v>
      </c>
      <c r="I5" s="131">
        <f ca="1"/>
        <v>159390</v>
      </c>
      <c r="J5" s="132">
        <f ca="1"/>
        <v>5.7103064066852366E-2</v>
      </c>
      <c r="K5" s="132">
        <f ca="1"/>
        <v>2.2095951448354186E-2</v>
      </c>
      <c r="L5" s="132">
        <f ca="1"/>
        <v>2.8802519241283592E-2</v>
      </c>
      <c r="M5" s="131">
        <f ca="1"/>
        <v>22.08</v>
      </c>
      <c r="N5" s="131">
        <f ca="1"/>
        <v>20.692</v>
      </c>
      <c r="O5" s="133">
        <f ca="1"/>
        <v>-6.2862318840579634E-2</v>
      </c>
      <c r="P5" s="133">
        <f ca="1"/>
        <v>0.79448037297387952</v>
      </c>
      <c r="Q5" s="133">
        <f ca="1"/>
        <v>1</v>
      </c>
      <c r="R5" s="133">
        <f ca="1"/>
        <v>1</v>
      </c>
      <c r="S5" s="131">
        <f ca="1"/>
        <v>0</v>
      </c>
      <c r="T5" s="131">
        <f ca="1"/>
        <v>0</v>
      </c>
      <c r="U5" s="128"/>
      <c r="Y5" t="s">
        <v>28</v>
      </c>
      <c r="Z5" t="s">
        <v>107</v>
      </c>
    </row>
    <row r="6" spans="1:26">
      <c r="A6" s="129" t="s">
        <v>29</v>
      </c>
      <c r="B6" s="129" t="s">
        <v>158</v>
      </c>
      <c r="C6" s="129" t="s">
        <v>159</v>
      </c>
      <c r="D6" s="130" cm="1">
        <f t="array" aca="1" ref="D6" ca="1">INDIRECT("'" &amp;Y6 &amp; "'!D2")/1000</f>
        <v>15</v>
      </c>
      <c r="E6" s="130" cm="1">
        <f t="array" aca="1" ref="E6" ca="1">INDIRECT("'" &amp; Y6 &amp; "'!h2")/1000</f>
        <v>12.095000000000001</v>
      </c>
      <c r="F6" s="212" cm="1">
        <f t="array" aca="1" ref="F6:T6" ca="1">INDIRECT("'"&amp;$Y6&amp;"'!b66:p66")</f>
        <v>263184</v>
      </c>
      <c r="G6" s="131">
        <f ca="1"/>
        <v>259044</v>
      </c>
      <c r="H6" s="131">
        <f ca="1"/>
        <v>234637</v>
      </c>
      <c r="I6" s="131">
        <f ca="1"/>
        <v>231450</v>
      </c>
      <c r="J6" s="132">
        <f ca="1"/>
        <v>-0.10652244406355676</v>
      </c>
      <c r="K6" s="132">
        <f ca="1"/>
        <v>2.1024820788530466E-2</v>
      </c>
      <c r="L6" s="132">
        <f ca="1"/>
        <v>2.6074602052745515E-2</v>
      </c>
      <c r="M6" s="131">
        <f ca="1"/>
        <v>22.08</v>
      </c>
      <c r="N6" s="131">
        <f ca="1"/>
        <v>19.559000000000001</v>
      </c>
      <c r="O6" s="133">
        <f ca="1"/>
        <v>-0.11417572463768104</v>
      </c>
      <c r="P6" s="133">
        <f ca="1"/>
        <v>0.79975799717095286</v>
      </c>
      <c r="Q6" s="133">
        <f ca="1"/>
        <v>1</v>
      </c>
      <c r="R6" s="133">
        <f ca="1"/>
        <v>1</v>
      </c>
      <c r="S6" s="131">
        <f ca="1"/>
        <v>0</v>
      </c>
      <c r="T6" s="131">
        <f ca="1"/>
        <v>0</v>
      </c>
      <c r="U6" s="128"/>
      <c r="Y6" t="s">
        <v>30</v>
      </c>
      <c r="Z6" t="s">
        <v>108</v>
      </c>
    </row>
    <row r="7" spans="1:26">
      <c r="A7" s="129" t="s">
        <v>31</v>
      </c>
      <c r="B7" s="129" t="s">
        <v>158</v>
      </c>
      <c r="C7" s="129" t="s">
        <v>159</v>
      </c>
      <c r="D7" s="130" cm="1">
        <f t="array" aca="1" ref="D7" ca="1">INDIRECT("'" &amp;Y7 &amp; "'!D2")/1000</f>
        <v>2.2050000000000001</v>
      </c>
      <c r="E7" s="130" cm="1">
        <f t="array" aca="1" ref="E7" ca="1">INDIRECT("'" &amp; Y7 &amp; "'!h2")/1000</f>
        <v>1.76</v>
      </c>
      <c r="F7" s="212" cm="1">
        <f t="array" aca="1" ref="F7:T7" ca="1">INDIRECT("'"&amp;$Y7&amp;"'!b66:p66")</f>
        <v>42180</v>
      </c>
      <c r="G7" s="131">
        <f ca="1"/>
        <v>39468</v>
      </c>
      <c r="H7" s="131">
        <f ca="1"/>
        <v>35545</v>
      </c>
      <c r="I7" s="131">
        <f ca="1"/>
        <v>35088</v>
      </c>
      <c r="J7" s="132">
        <f ca="1"/>
        <v>-0.11097598054119794</v>
      </c>
      <c r="K7" s="132">
        <f ca="1"/>
        <v>2.1666910491795283E-2</v>
      </c>
      <c r="L7" s="132">
        <f ca="1"/>
        <v>2.7145191837732157E-2</v>
      </c>
      <c r="M7" s="131">
        <f ca="1"/>
        <v>22.76</v>
      </c>
      <c r="N7" s="131">
        <f ca="1"/>
        <v>19.745000000000001</v>
      </c>
      <c r="O7" s="133">
        <f ca="1"/>
        <v>-0.13246924428822499</v>
      </c>
      <c r="P7" s="133">
        <f ca="1"/>
        <v>0.816418404957999</v>
      </c>
      <c r="Q7" s="133">
        <f ca="1"/>
        <v>1</v>
      </c>
      <c r="R7" s="133">
        <f ca="1"/>
        <v>1</v>
      </c>
      <c r="S7" s="131">
        <f ca="1"/>
        <v>0</v>
      </c>
      <c r="T7" s="131">
        <f ca="1"/>
        <v>0</v>
      </c>
      <c r="U7" s="128"/>
      <c r="Y7" t="s">
        <v>32</v>
      </c>
      <c r="Z7" t="s">
        <v>109</v>
      </c>
    </row>
    <row r="8" spans="1:26">
      <c r="A8" s="129" t="s">
        <v>33</v>
      </c>
      <c r="B8" s="129" t="s">
        <v>158</v>
      </c>
      <c r="C8" s="129" t="s">
        <v>159</v>
      </c>
      <c r="D8" s="130" cm="1">
        <f t="array" aca="1" ref="D8" ca="1">INDIRECT("'" &amp;Y8 &amp; "'!D2")/1000</f>
        <v>12.0006</v>
      </c>
      <c r="E8" s="130" cm="1">
        <f t="array" aca="1" ref="E8" ca="1">INDIRECT("'" &amp; Y8 &amp; "'!h2")/1000</f>
        <v>9</v>
      </c>
      <c r="F8" s="212" cm="1">
        <f t="array" aca="1" ref="F8:T8" ca="1">INDIRECT("'"&amp;$Y8&amp;"'!b66:p66")</f>
        <v>224882.17636022513</v>
      </c>
      <c r="G8" s="131">
        <f ca="1"/>
        <v>208456</v>
      </c>
      <c r="H8" s="131">
        <f ca="1"/>
        <v>231707.7</v>
      </c>
      <c r="I8" s="131">
        <f ca="1"/>
        <v>225180</v>
      </c>
      <c r="J8" s="132">
        <f ca="1"/>
        <v>8.0227961776106235E-2</v>
      </c>
      <c r="K8" s="132">
        <f ca="1"/>
        <v>2.595162580580648E-2</v>
      </c>
      <c r="L8" s="132">
        <f ca="1"/>
        <v>3.4603897849462363E-2</v>
      </c>
      <c r="M8" s="131">
        <f ca="1"/>
        <v>21.32</v>
      </c>
      <c r="N8" s="131">
        <f ca="1"/>
        <v>23</v>
      </c>
      <c r="O8" s="133">
        <f ca="1"/>
        <v>7.8799249530956836E-2</v>
      </c>
      <c r="P8" s="133">
        <f ca="1"/>
        <v>0.83947867824000111</v>
      </c>
      <c r="Q8" s="133">
        <f ca="1"/>
        <v>1</v>
      </c>
      <c r="R8" s="133">
        <f ca="1"/>
        <v>1</v>
      </c>
      <c r="S8" s="131">
        <f ca="1"/>
        <v>0</v>
      </c>
      <c r="T8" s="131">
        <f ca="1"/>
        <v>0</v>
      </c>
      <c r="U8" s="128"/>
      <c r="Y8" t="s">
        <v>34</v>
      </c>
      <c r="Z8" t="s">
        <v>110</v>
      </c>
    </row>
    <row r="9" spans="1:26">
      <c r="A9" s="129" t="s">
        <v>35</v>
      </c>
      <c r="B9" s="129" t="s">
        <v>160</v>
      </c>
      <c r="C9" s="129" t="s">
        <v>159</v>
      </c>
      <c r="D9" s="130" cm="1">
        <f t="array" aca="1" ref="D9" ca="1">INDIRECT("'" &amp;Y9 &amp; "'!D2")/1000</f>
        <v>3.891</v>
      </c>
      <c r="E9" s="130" cm="1">
        <f t="array" aca="1" ref="E9" ca="1">INDIRECT("'" &amp; Y9 &amp; "'!h2")/1000</f>
        <v>3.08</v>
      </c>
      <c r="F9" s="212" cm="1">
        <f t="array" aca="1" ref="F9:T9" ca="1">INDIRECT("'"&amp;$Y9&amp;"'!b66:p66")</f>
        <v>87075</v>
      </c>
      <c r="G9" s="131">
        <f ca="1"/>
        <v>69445</v>
      </c>
      <c r="H9" s="131">
        <f ca="1"/>
        <v>80925</v>
      </c>
      <c r="I9" s="131">
        <f ca="1"/>
        <v>82332</v>
      </c>
      <c r="J9" s="132">
        <f ca="1"/>
        <v>0.18557131542947655</v>
      </c>
      <c r="K9" s="132">
        <f ca="1"/>
        <v>2.7954294857446053E-2</v>
      </c>
      <c r="L9" s="132">
        <f ca="1"/>
        <v>3.5314987431922913E-2</v>
      </c>
      <c r="M9" s="131">
        <f ca="1"/>
        <v>28.700000000000003</v>
      </c>
      <c r="N9" s="131">
        <f ca="1"/>
        <v>26.363999999999997</v>
      </c>
      <c r="O9" s="133">
        <f ca="1"/>
        <v>-8.1393728222996703E-2</v>
      </c>
      <c r="P9" s="133">
        <f ca="1"/>
        <v>0.78887859861704834</v>
      </c>
      <c r="Q9" s="133">
        <f ca="1"/>
        <v>1</v>
      </c>
      <c r="R9" s="133">
        <f ca="1"/>
        <v>0.99970000000000003</v>
      </c>
      <c r="S9" s="131">
        <f ca="1"/>
        <v>0</v>
      </c>
      <c r="T9" s="131">
        <f ca="1"/>
        <v>0</v>
      </c>
      <c r="U9" s="128"/>
      <c r="Y9" t="s">
        <v>36</v>
      </c>
      <c r="Z9" t="s">
        <v>111</v>
      </c>
    </row>
    <row r="10" spans="1:26">
      <c r="A10" s="129" t="s">
        <v>37</v>
      </c>
      <c r="B10" s="129" t="s">
        <v>160</v>
      </c>
      <c r="C10" s="129" t="s">
        <v>159</v>
      </c>
      <c r="D10" s="130" cm="1">
        <f t="array" aca="1" ref="D10" ca="1">INDIRECT("'" &amp;Y10 &amp; "'!D2")/1000</f>
        <v>1.2969999999999999</v>
      </c>
      <c r="E10" s="130" cm="1">
        <f t="array" aca="1" ref="E10" ca="1">INDIRECT("'" &amp; Y10 &amp; "'!h2")/1000</f>
        <v>1.1000000000000001</v>
      </c>
      <c r="F10" s="212" cm="1">
        <f t="array" aca="1" ref="F10:T10" ca="1">INDIRECT("'"&amp;$Y10&amp;"'!b66:p66")</f>
        <v>28375</v>
      </c>
      <c r="G10" s="131">
        <f ca="1"/>
        <v>28255</v>
      </c>
      <c r="H10" s="131">
        <f ca="1"/>
        <v>20878</v>
      </c>
      <c r="I10" s="131">
        <f ca="1"/>
        <v>21100</v>
      </c>
      <c r="J10" s="132">
        <f ca="1"/>
        <v>-0.25322951689966378</v>
      </c>
      <c r="K10" s="132">
        <f ca="1"/>
        <v>2.1635950622196799E-2</v>
      </c>
      <c r="L10" s="132">
        <f ca="1"/>
        <v>2.5510752688172041E-2</v>
      </c>
      <c r="M10" s="131">
        <f ca="1"/>
        <v>27.725000000000001</v>
      </c>
      <c r="N10" s="131">
        <f ca="1"/>
        <v>25.088000000000001</v>
      </c>
      <c r="O10" s="133">
        <f ca="1"/>
        <v>-9.511271415689812E-2</v>
      </c>
      <c r="P10" s="133">
        <f ca="1"/>
        <v>0.64162736220162697</v>
      </c>
      <c r="Q10" s="133">
        <f ca="1"/>
        <v>1</v>
      </c>
      <c r="R10" s="133">
        <f ca="1"/>
        <v>1</v>
      </c>
      <c r="S10" s="131">
        <f ca="1"/>
        <v>0</v>
      </c>
      <c r="T10" s="131">
        <f ca="1"/>
        <v>0</v>
      </c>
      <c r="U10" s="128"/>
      <c r="Y10" t="s">
        <v>38</v>
      </c>
      <c r="Z10" t="s">
        <v>112</v>
      </c>
    </row>
    <row r="11" spans="1:26">
      <c r="A11" s="129" t="s">
        <v>39</v>
      </c>
      <c r="B11" s="129" t="s">
        <v>160</v>
      </c>
      <c r="C11" s="129" t="s">
        <v>159</v>
      </c>
      <c r="D11" s="130" cm="1">
        <f t="array" aca="1" ref="D11" ca="1">INDIRECT("'" &amp;Y11 &amp; "'!D2")/1000</f>
        <v>2.7949999999999999</v>
      </c>
      <c r="E11" s="130" cm="1">
        <f t="array" aca="1" ref="E11" ca="1">INDIRECT("'" &amp; Y11 &amp; "'!h2")/1000</f>
        <v>2.2000000000000002</v>
      </c>
      <c r="F11" s="212" cm="1">
        <f t="array" aca="1" ref="F11:T11" ca="1">INDIRECT("'"&amp;$Y11&amp;"'!b66:p66")</f>
        <v>64420</v>
      </c>
      <c r="G11" s="131">
        <f ca="1"/>
        <v>63710</v>
      </c>
      <c r="H11" s="131">
        <f ca="1"/>
        <v>53502</v>
      </c>
      <c r="I11" s="131">
        <f ca="1"/>
        <v>53617</v>
      </c>
      <c r="J11" s="132">
        <f ca="1"/>
        <v>-0.15842097002040495</v>
      </c>
      <c r="K11" s="132">
        <f ca="1"/>
        <v>2.5728547521495757E-2</v>
      </c>
      <c r="L11" s="132">
        <f ca="1"/>
        <v>3.2686950146627564E-2</v>
      </c>
      <c r="M11" s="131">
        <f ca="1"/>
        <v>28.5</v>
      </c>
      <c r="N11" s="131">
        <f ca="1"/>
        <v>27.556000000000001</v>
      </c>
      <c r="O11" s="133">
        <f ca="1"/>
        <v>-3.3122807017543825E-2</v>
      </c>
      <c r="P11" s="133">
        <f ca="1"/>
        <v>0.69465957889362906</v>
      </c>
      <c r="Q11" s="133">
        <f ca="1"/>
        <v>1</v>
      </c>
      <c r="R11" s="133">
        <f ca="1"/>
        <v>1</v>
      </c>
      <c r="S11" s="131">
        <f ca="1"/>
        <v>0</v>
      </c>
      <c r="T11" s="131">
        <f ca="1"/>
        <v>0</v>
      </c>
      <c r="U11" s="128"/>
      <c r="Y11" t="s">
        <v>40</v>
      </c>
      <c r="Z11" t="s">
        <v>21</v>
      </c>
    </row>
    <row r="12" spans="1:26">
      <c r="A12" s="129" t="s">
        <v>41</v>
      </c>
      <c r="B12" s="129" t="s">
        <v>158</v>
      </c>
      <c r="C12" s="129" t="s">
        <v>159</v>
      </c>
      <c r="D12" s="130" cm="1">
        <f t="array" aca="1" ref="D12" ca="1">INDIRECT("'" &amp;Y12 &amp; "'!D2")/1000</f>
        <v>1.4790000000000001</v>
      </c>
      <c r="E12" s="130" cm="1">
        <f t="array" aca="1" ref="E12" ca="1">INDIRECT("'" &amp; Y12 &amp; "'!h2")/1000</f>
        <v>1.1000000000000001</v>
      </c>
      <c r="F12" s="212" cm="1">
        <f t="array" aca="1" ref="F12:T12" ca="1">INDIRECT("'"&amp;$Y12&amp;"'!b66:p66")</f>
        <v>36822</v>
      </c>
      <c r="G12" s="131">
        <f ca="1"/>
        <v>34824</v>
      </c>
      <c r="H12" s="131">
        <f ca="1"/>
        <v>42096</v>
      </c>
      <c r="I12" s="131">
        <f ca="1"/>
        <v>41628</v>
      </c>
      <c r="J12" s="132">
        <f ca="1"/>
        <v>0.19538249483115094</v>
      </c>
      <c r="K12" s="132">
        <f ca="1"/>
        <v>3.8256014307836587E-2</v>
      </c>
      <c r="L12" s="132">
        <f ca="1"/>
        <v>5.1436950146627573E-2</v>
      </c>
      <c r="M12" s="131">
        <f ca="1"/>
        <v>32.160000000000004</v>
      </c>
      <c r="N12" s="131">
        <f ca="1"/>
        <v>34.491999999999997</v>
      </c>
      <c r="O12" s="133">
        <f ca="1"/>
        <v>7.2512437810945074E-2</v>
      </c>
      <c r="P12" s="133">
        <f ca="1"/>
        <v>0.82519061362143187</v>
      </c>
      <c r="Q12" s="133">
        <f ca="1"/>
        <v>1</v>
      </c>
      <c r="R12" s="133">
        <f ca="1"/>
        <v>0.99494999999999989</v>
      </c>
      <c r="S12" s="131">
        <f ca="1"/>
        <v>77.62</v>
      </c>
      <c r="T12" s="131">
        <f ca="1"/>
        <v>0</v>
      </c>
      <c r="U12" s="128"/>
      <c r="Y12" t="s">
        <v>42</v>
      </c>
      <c r="Z12" t="s">
        <v>24</v>
      </c>
    </row>
    <row r="13" spans="1:26">
      <c r="A13" s="129" t="s">
        <v>43</v>
      </c>
      <c r="B13" s="129" t="s">
        <v>158</v>
      </c>
      <c r="C13" s="129" t="s">
        <v>159</v>
      </c>
      <c r="D13" s="130" cm="1">
        <f t="array" aca="1" ref="D13" ca="1">INDIRECT("'" &amp;Y13 &amp; "'!D2")/1000</f>
        <v>2.6080000000000001</v>
      </c>
      <c r="E13" s="130" cm="1">
        <f t="array" aca="1" ref="E13" ca="1">INDIRECT("'" &amp; Y13 &amp; "'!h2")/1000</f>
        <v>1.9</v>
      </c>
      <c r="F13" s="212" cm="1">
        <f t="array" aca="1" ref="F13:T13" ca="1">INDIRECT("'"&amp;$Y13&amp;"'!b66:p66")</f>
        <v>71664</v>
      </c>
      <c r="G13" s="131">
        <f ca="1"/>
        <v>67224</v>
      </c>
      <c r="H13" s="131">
        <f ca="1"/>
        <v>73193</v>
      </c>
      <c r="I13" s="131">
        <f ca="1"/>
        <v>72408</v>
      </c>
      <c r="J13" s="132">
        <f ca="1"/>
        <v>7.7115315958586214E-2</v>
      </c>
      <c r="K13" s="132">
        <f ca="1"/>
        <v>3.7721506200936734E-2</v>
      </c>
      <c r="L13" s="132">
        <f ca="1"/>
        <v>5.1777730616864748E-2</v>
      </c>
      <c r="M13" s="131">
        <f ca="1"/>
        <v>32.160000000000004</v>
      </c>
      <c r="N13" s="131">
        <f ca="1"/>
        <v>32.812999999999995</v>
      </c>
      <c r="O13" s="133">
        <f ca="1"/>
        <v>2.0304726368158939E-2</v>
      </c>
      <c r="P13" s="133">
        <f ca="1"/>
        <v>0.85529517610388983</v>
      </c>
      <c r="Q13" s="133">
        <f ca="1"/>
        <v>1</v>
      </c>
      <c r="R13" s="133">
        <f ca="1"/>
        <v>0.99494999999999989</v>
      </c>
      <c r="S13" s="131">
        <f ca="1"/>
        <v>136.87</v>
      </c>
      <c r="T13" s="131">
        <f ca="1"/>
        <v>0</v>
      </c>
      <c r="U13" s="128"/>
      <c r="Y13" t="s">
        <v>44</v>
      </c>
      <c r="Z13" t="s">
        <v>26</v>
      </c>
    </row>
    <row r="14" spans="1:26">
      <c r="A14" s="129" t="s">
        <v>45</v>
      </c>
      <c r="B14" s="129" t="s">
        <v>158</v>
      </c>
      <c r="C14" s="129" t="s">
        <v>159</v>
      </c>
      <c r="D14" s="130" cm="1">
        <f t="array" aca="1" ref="D14" ca="1">INDIRECT("'" &amp;Y14 &amp; "'!D2")/1000</f>
        <v>1.75</v>
      </c>
      <c r="E14" s="130" cm="1">
        <f t="array" aca="1" ref="E14" ca="1">INDIRECT("'" &amp; Y14 &amp; "'!h2")/1000</f>
        <v>1.375</v>
      </c>
      <c r="F14" s="212" cm="1">
        <f t="array" aca="1" ref="F14:T14" ca="1">INDIRECT("'"&amp;$Y14&amp;"'!b66:p66")</f>
        <v>48258</v>
      </c>
      <c r="G14" s="131">
        <f ca="1"/>
        <v>45582</v>
      </c>
      <c r="H14" s="131">
        <f ca="1"/>
        <v>48741</v>
      </c>
      <c r="I14" s="131">
        <f ca="1"/>
        <v>48512</v>
      </c>
      <c r="J14" s="132">
        <f ca="1"/>
        <v>6.4279759554209989E-2</v>
      </c>
      <c r="K14" s="132">
        <f ca="1"/>
        <v>3.7435483870967741E-2</v>
      </c>
      <c r="L14" s="132">
        <f ca="1"/>
        <v>4.7645161290322584E-2</v>
      </c>
      <c r="M14" s="131">
        <f ca="1"/>
        <v>32.160000000000004</v>
      </c>
      <c r="N14" s="131">
        <f ca="1"/>
        <v>32.812999999999995</v>
      </c>
      <c r="O14" s="133">
        <f ca="1"/>
        <v>2.0304726368158939E-2</v>
      </c>
      <c r="P14" s="133">
        <f ca="1"/>
        <v>0.8488099228964131</v>
      </c>
      <c r="Q14" s="133">
        <f ca="1"/>
        <v>1</v>
      </c>
      <c r="R14" s="133">
        <f ca="1"/>
        <v>0.99494999999999989</v>
      </c>
      <c r="S14" s="131">
        <f ca="1"/>
        <v>91.84</v>
      </c>
      <c r="T14" s="131">
        <f ca="1"/>
        <v>0</v>
      </c>
      <c r="U14" s="128"/>
      <c r="Y14" t="s">
        <v>46</v>
      </c>
      <c r="Z14" t="s">
        <v>28</v>
      </c>
    </row>
    <row r="15" spans="1:26">
      <c r="A15" s="129" t="s">
        <v>47</v>
      </c>
      <c r="B15" s="129" t="s">
        <v>158</v>
      </c>
      <c r="C15" s="129" t="s">
        <v>161</v>
      </c>
      <c r="D15" s="130" cm="1">
        <f t="array" aca="1" ref="D15" ca="1">INDIRECT("'" &amp;Y15 &amp; "'!D2")/1000</f>
        <v>7.0179999999999998</v>
      </c>
      <c r="E15" s="130" cm="1">
        <f t="array" aca="1" ref="E15" ca="1">INDIRECT("'" &amp; Y15 &amp; "'!h2")/1000</f>
        <v>5.72</v>
      </c>
      <c r="F15" s="212" cm="1">
        <f t="array" aca="1" ref="F15:T15" ca="1">INDIRECT("'"&amp;$Y15&amp;"'!b66:p66")</f>
        <v>158440</v>
      </c>
      <c r="G15" s="131">
        <f ca="1"/>
        <v>155140</v>
      </c>
      <c r="H15" s="131">
        <f ca="1"/>
        <v>160237</v>
      </c>
      <c r="I15" s="131">
        <f ca="1"/>
        <v>140420</v>
      </c>
      <c r="J15" s="132">
        <f ca="1"/>
        <v>-9.4882042026556659E-2</v>
      </c>
      <c r="K15" s="132">
        <f ca="1"/>
        <v>3.0688559679104728E-2</v>
      </c>
      <c r="L15" s="132">
        <f ca="1"/>
        <v>3.7652502067824646E-2</v>
      </c>
      <c r="M15" s="131">
        <f ca="1"/>
        <v>29.8</v>
      </c>
      <c r="N15" s="131">
        <f ca="1"/>
        <v>27.04</v>
      </c>
      <c r="O15" s="133">
        <f ca="1"/>
        <v>-9.2617449664429585E-2</v>
      </c>
      <c r="P15" s="133">
        <f ca="1"/>
        <v>0.84438936395169817</v>
      </c>
      <c r="Q15" s="133">
        <f ca="1"/>
        <v>1</v>
      </c>
      <c r="R15" s="133" t="e">
        <f ca="1"/>
        <v>#DIV/0!</v>
      </c>
      <c r="S15" s="131">
        <f ca="1"/>
        <v>0</v>
      </c>
      <c r="T15" s="131">
        <f ca="1"/>
        <v>0</v>
      </c>
      <c r="U15" s="128"/>
      <c r="Y15" t="s">
        <v>48</v>
      </c>
      <c r="Z15" t="s">
        <v>30</v>
      </c>
    </row>
    <row r="16" spans="1:26">
      <c r="A16" s="129" t="s">
        <v>49</v>
      </c>
      <c r="B16" s="129" t="s">
        <v>158</v>
      </c>
      <c r="C16" s="129" t="s">
        <v>162</v>
      </c>
      <c r="D16" s="130" cm="1">
        <f t="array" aca="1" ref="D16" ca="1">INDIRECT("'" &amp;Y16 &amp; "'!D2")/1000</f>
        <v>32.064999999999998</v>
      </c>
      <c r="E16" s="130" cm="1">
        <f t="array" aca="1" ref="E16" ca="1">INDIRECT("'" &amp; Y16 &amp; "'!h2")/1000</f>
        <v>24.2</v>
      </c>
      <c r="F16" s="212" cm="1">
        <f t="array" aca="1" ref="F16:T16" ca="1">INDIRECT("'"&amp;$Y16&amp;"'!b66:p66")</f>
        <v>1133226</v>
      </c>
      <c r="G16" s="131">
        <f ca="1"/>
        <v>1077024</v>
      </c>
      <c r="H16" s="131">
        <f ca="1"/>
        <v>987153</v>
      </c>
      <c r="I16" s="131">
        <f ca="1"/>
        <v>956100</v>
      </c>
      <c r="J16" s="132">
        <f ca="1"/>
        <v>-0.1122760495587842</v>
      </c>
      <c r="K16" s="132">
        <f ca="1"/>
        <v>5.3447911793752266E-2</v>
      </c>
      <c r="L16" s="132">
        <f ca="1"/>
        <v>7.0818483126721746E-2</v>
      </c>
      <c r="M16" s="131">
        <f ca="1"/>
        <v>42</v>
      </c>
      <c r="N16" s="131">
        <f ca="1"/>
        <v>41.34</v>
      </c>
      <c r="O16" s="133">
        <f ca="1"/>
        <v>-1.5714285714285632E-2</v>
      </c>
      <c r="P16" s="133">
        <f ca="1"/>
        <v>0.74470239944850769</v>
      </c>
      <c r="Q16" s="133">
        <f ca="1"/>
        <v>0.99718333333333342</v>
      </c>
      <c r="R16" s="133">
        <f ca="1"/>
        <v>1</v>
      </c>
      <c r="S16" s="131">
        <f ca="1"/>
        <v>107988</v>
      </c>
      <c r="T16" s="131">
        <f ca="1"/>
        <v>4039</v>
      </c>
      <c r="U16" s="128"/>
      <c r="Y16" t="s">
        <v>50</v>
      </c>
      <c r="Z16" t="s">
        <v>32</v>
      </c>
    </row>
    <row r="17" spans="1:26">
      <c r="A17" s="129" t="s">
        <v>51</v>
      </c>
      <c r="B17" s="129" t="s">
        <v>158</v>
      </c>
      <c r="C17" s="129" t="s">
        <v>162</v>
      </c>
      <c r="D17" s="130" cm="1">
        <f t="array" aca="1" ref="D17" ca="1">INDIRECT("'" &amp;Y17 &amp; "'!D2")/1000</f>
        <v>1.8049999999999999</v>
      </c>
      <c r="E17" s="130" cm="1">
        <f t="array" aca="1" ref="E17" ca="1">INDIRECT("'" &amp; Y17 &amp; "'!h2")/1000</f>
        <v>1.5820000000000001</v>
      </c>
      <c r="F17" s="212" cm="1">
        <f t="array" aca="1" ref="F17:T17" ca="1">INDIRECT("'"&amp;$Y17&amp;"'!b66:p66")</f>
        <v>62916</v>
      </c>
      <c r="G17" s="131">
        <f ca="1"/>
        <v>60264</v>
      </c>
      <c r="H17" s="131">
        <f ca="1"/>
        <v>76419</v>
      </c>
      <c r="I17" s="131">
        <f ca="1"/>
        <v>76419</v>
      </c>
      <c r="J17" s="132">
        <f ca="1"/>
        <v>0.2680704898446834</v>
      </c>
      <c r="K17" s="132">
        <f ca="1"/>
        <v>5.6905102314359753E-2</v>
      </c>
      <c r="L17" s="132">
        <f ca="1"/>
        <v>6.4926491578646869E-2</v>
      </c>
      <c r="M17" s="131">
        <f ca="1"/>
        <v>51.11999999999999</v>
      </c>
      <c r="N17" s="131">
        <f ca="1"/>
        <v>50.01700000000001</v>
      </c>
      <c r="O17" s="133">
        <f ca="1"/>
        <v>-2.1576682316118551E-2</v>
      </c>
      <c r="P17" s="133">
        <f ca="1"/>
        <v>0.84646012599483478</v>
      </c>
      <c r="Q17" s="133">
        <f ca="1"/>
        <v>1</v>
      </c>
      <c r="R17" s="133">
        <f ca="1"/>
        <v>1</v>
      </c>
      <c r="S17" s="131">
        <f ca="1"/>
        <v>0</v>
      </c>
      <c r="T17" s="131">
        <f ca="1"/>
        <v>0</v>
      </c>
      <c r="U17" s="128"/>
      <c r="Y17" t="s">
        <v>52</v>
      </c>
      <c r="Z17" t="s">
        <v>34</v>
      </c>
    </row>
    <row r="18" spans="1:26">
      <c r="A18" s="129" t="s">
        <v>53</v>
      </c>
      <c r="B18" s="129" t="s">
        <v>158</v>
      </c>
      <c r="C18" s="129" t="s">
        <v>162</v>
      </c>
      <c r="D18" s="130" cm="1">
        <f t="array" aca="1" ref="D18" ca="1">INDIRECT("'" &amp;Y18 &amp; "'!D2")/1000</f>
        <v>4.4000000000000004</v>
      </c>
      <c r="E18" s="130" cm="1">
        <f t="array" aca="1" ref="E18" ca="1">INDIRECT("'" &amp; Y18 &amp; "'!h2")/1000</f>
        <v>3.96</v>
      </c>
      <c r="F18" s="212" cm="1">
        <f t="array" aca="1" ref="F18:T18" ca="1">INDIRECT("'"&amp;$Y18&amp;"'!b66:p66")</f>
        <v>122870</v>
      </c>
      <c r="G18" s="131">
        <f ca="1"/>
        <v>105980</v>
      </c>
      <c r="H18" s="131">
        <f ca="1"/>
        <v>128258</v>
      </c>
      <c r="I18" s="131">
        <f ca="1"/>
        <v>126000</v>
      </c>
      <c r="J18" s="132">
        <f ca="1"/>
        <v>0.18890356671070013</v>
      </c>
      <c r="K18" s="132">
        <f ca="1"/>
        <v>3.9179496578690125E-2</v>
      </c>
      <c r="L18" s="132">
        <f ca="1"/>
        <v>4.353277397632236E-2</v>
      </c>
      <c r="M18" s="131">
        <f ca="1"/>
        <v>35.4</v>
      </c>
      <c r="N18" s="131">
        <f ca="1"/>
        <v>35.838000000000001</v>
      </c>
      <c r="O18" s="133">
        <f ca="1"/>
        <v>1.2372881355932272E-2</v>
      </c>
      <c r="P18" s="133">
        <f ca="1"/>
        <v>0.81336975987905158</v>
      </c>
      <c r="Q18" s="133">
        <f ca="1"/>
        <v>1</v>
      </c>
      <c r="R18" s="133">
        <f ca="1"/>
        <v>0.998</v>
      </c>
      <c r="S18" s="131">
        <f ca="1"/>
        <v>179</v>
      </c>
      <c r="T18" s="131">
        <f ca="1"/>
        <v>0</v>
      </c>
      <c r="U18" s="128"/>
      <c r="Y18" t="s">
        <v>54</v>
      </c>
      <c r="Z18" t="s">
        <v>42</v>
      </c>
    </row>
    <row r="19" spans="1:26">
      <c r="A19" s="129" t="s">
        <v>55</v>
      </c>
      <c r="B19" s="129" t="s">
        <v>158</v>
      </c>
      <c r="C19" s="129" t="s">
        <v>162</v>
      </c>
      <c r="D19" s="130" cm="1">
        <f t="array" aca="1" ref="D19" ca="1">INDIRECT("'" &amp;Y19 &amp; "'!D2")/1000</f>
        <v>1.1240000000000001</v>
      </c>
      <c r="E19" s="130" cm="1">
        <f t="array" aca="1" ref="E19" ca="1">INDIRECT("'" &amp; Y19 &amp; "'!h2")/1000</f>
        <v>0.88</v>
      </c>
      <c r="F19" s="212" cm="1">
        <f t="array" aca="1" ref="F19:T19" ca="1">INDIRECT("'"&amp;$Y19&amp;"'!b66:p66")</f>
        <v>18276</v>
      </c>
      <c r="G19" s="131">
        <f ca="1"/>
        <v>15852</v>
      </c>
      <c r="H19" s="131">
        <f ca="1"/>
        <v>0</v>
      </c>
      <c r="I19" s="131">
        <f ca="1"/>
        <v>0</v>
      </c>
      <c r="J19" s="132">
        <f ca="1"/>
        <v>-1</v>
      </c>
      <c r="K19" s="132">
        <f ca="1"/>
        <v>0</v>
      </c>
      <c r="L19" s="132">
        <f ca="1"/>
        <v>0</v>
      </c>
      <c r="M19" s="131">
        <f ca="1"/>
        <v>20.759999999999998</v>
      </c>
      <c r="N19" s="131">
        <f ca="1"/>
        <v>0</v>
      </c>
      <c r="O19" s="133">
        <f ca="1"/>
        <v>-1</v>
      </c>
      <c r="P19" s="133" t="e">
        <f ca="1"/>
        <v>#DIV/0!</v>
      </c>
      <c r="Q19" s="133" t="e">
        <f ca="1"/>
        <v>#DIV/0!</v>
      </c>
      <c r="R19" s="133" t="e">
        <f ca="1"/>
        <v>#DIV/0!</v>
      </c>
      <c r="S19" s="131">
        <f ca="1"/>
        <v>0</v>
      </c>
      <c r="T19" s="131">
        <f ca="1"/>
        <v>0</v>
      </c>
      <c r="U19" s="128"/>
      <c r="Y19" t="s">
        <v>56</v>
      </c>
      <c r="Z19" t="s">
        <v>44</v>
      </c>
    </row>
    <row r="20" spans="1:26">
      <c r="A20" s="129" t="s">
        <v>57</v>
      </c>
      <c r="B20" s="129" t="s">
        <v>158</v>
      </c>
      <c r="C20" s="129" t="s">
        <v>162</v>
      </c>
      <c r="D20" s="130" cm="1">
        <f t="array" aca="1" ref="D20" ca="1">INDIRECT("'" &amp;Y20 &amp; "'!D2")/1000</f>
        <v>1.8169999999999999</v>
      </c>
      <c r="E20" s="130" cm="1">
        <f t="array" aca="1" ref="E20" ca="1">INDIRECT("'" &amp; Y20 &amp; "'!h2")/1000</f>
        <v>1.54</v>
      </c>
      <c r="F20" s="212" cm="1">
        <f t="array" aca="1" ref="F20:T20" ca="1">INDIRECT("'"&amp;$Y20&amp;"'!b66:p66")</f>
        <v>30258</v>
      </c>
      <c r="G20" s="131">
        <f ca="1"/>
        <v>26274</v>
      </c>
      <c r="H20" s="131">
        <f ca="1"/>
        <v>0</v>
      </c>
      <c r="I20" s="131">
        <f ca="1"/>
        <v>0</v>
      </c>
      <c r="J20" s="132">
        <f ca="1"/>
        <v>-1</v>
      </c>
      <c r="K20" s="132">
        <f ca="1"/>
        <v>0</v>
      </c>
      <c r="L20" s="132">
        <f ca="1"/>
        <v>0</v>
      </c>
      <c r="M20" s="131">
        <f ca="1"/>
        <v>21.39</v>
      </c>
      <c r="N20" s="131">
        <f ca="1"/>
        <v>0</v>
      </c>
      <c r="O20" s="133">
        <f ca="1"/>
        <v>-1</v>
      </c>
      <c r="P20" s="133" t="e">
        <f ca="1"/>
        <v>#DIV/0!</v>
      </c>
      <c r="Q20" s="133" t="e">
        <f ca="1"/>
        <v>#DIV/0!</v>
      </c>
      <c r="R20" s="133" t="e">
        <f ca="1"/>
        <v>#DIV/0!</v>
      </c>
      <c r="S20" s="131">
        <f ca="1"/>
        <v>0</v>
      </c>
      <c r="T20" s="131">
        <f ca="1"/>
        <v>0</v>
      </c>
      <c r="U20" s="128"/>
      <c r="Y20" t="s">
        <v>58</v>
      </c>
      <c r="Z20" t="s">
        <v>46</v>
      </c>
    </row>
    <row r="21" spans="1:26">
      <c r="A21" s="134" t="s">
        <v>59</v>
      </c>
      <c r="B21" s="134" t="s">
        <v>158</v>
      </c>
      <c r="C21" s="134" t="s">
        <v>162</v>
      </c>
      <c r="D21" s="130" cm="1">
        <f t="array" aca="1" ref="D21" ca="1">INDIRECT("'" &amp;Y21 &amp; "'!D2")/1000</f>
        <v>2.5249999999999999</v>
      </c>
      <c r="E21" s="130" cm="1">
        <f t="array" aca="1" ref="E21" ca="1">INDIRECT("'" &amp; Y21 &amp; "'!h2")/1000</f>
        <v>1.98</v>
      </c>
      <c r="F21" s="212" cm="1">
        <f t="array" aca="1" ref="F21:T21" ca="1">INDIRECT("'"&amp;$Y21&amp;"'!b66:p66")</f>
        <v>44952</v>
      </c>
      <c r="G21" s="131">
        <f ca="1"/>
        <v>39252</v>
      </c>
      <c r="H21" s="131">
        <f ca="1"/>
        <v>0</v>
      </c>
      <c r="I21" s="131">
        <f ca="1"/>
        <v>0</v>
      </c>
      <c r="J21" s="132">
        <f ca="1"/>
        <v>-1</v>
      </c>
      <c r="K21" s="132">
        <f ca="1"/>
        <v>0</v>
      </c>
      <c r="L21" s="132">
        <f ca="1"/>
        <v>0</v>
      </c>
      <c r="M21" s="131">
        <f ca="1"/>
        <v>20.759999999999998</v>
      </c>
      <c r="N21" s="131">
        <f ca="1"/>
        <v>0</v>
      </c>
      <c r="O21" s="133">
        <f ca="1"/>
        <v>-1</v>
      </c>
      <c r="P21" s="133" t="e">
        <f ca="1"/>
        <v>#DIV/0!</v>
      </c>
      <c r="Q21" s="133" t="e">
        <f ca="1"/>
        <v>#DIV/0!</v>
      </c>
      <c r="R21" s="133" t="e">
        <f ca="1"/>
        <v>#DIV/0!</v>
      </c>
      <c r="S21" s="131">
        <f ca="1"/>
        <v>0</v>
      </c>
      <c r="T21" s="131">
        <f ca="1"/>
        <v>0</v>
      </c>
      <c r="U21" s="128"/>
      <c r="Y21" t="s">
        <v>60</v>
      </c>
      <c r="Z21" t="s">
        <v>36</v>
      </c>
    </row>
    <row r="22" spans="1:26">
      <c r="A22" s="403" t="s">
        <v>1</v>
      </c>
      <c r="B22" s="129" t="s">
        <v>158</v>
      </c>
      <c r="C22" s="129" t="s">
        <v>162</v>
      </c>
      <c r="D22" s="130" cm="1">
        <f t="array" aca="1" ref="D22" ca="1">INDIRECT("'" &amp;Y22 &amp; "'!D2")/1000</f>
        <v>18.09</v>
      </c>
      <c r="E22" s="130" cm="1">
        <f t="array" aca="1" ref="E22" ca="1">INDIRECT("'" &amp; Y22 &amp; "'!h2")/1000</f>
        <v>14</v>
      </c>
      <c r="F22" s="212">
        <f>Vasundhara!B66</f>
        <v>0</v>
      </c>
      <c r="G22" s="212">
        <f>Vasundhara!C66</f>
        <v>0</v>
      </c>
      <c r="H22" s="212">
        <f>Vasundhara!D66</f>
        <v>0</v>
      </c>
      <c r="I22" s="212">
        <f>Vasundhara!E66</f>
        <v>0</v>
      </c>
      <c r="J22" s="213" t="e">
        <f>Vasundhara!F66</f>
        <v>#DIV/0!</v>
      </c>
      <c r="K22" s="213">
        <f>Vasundhara!G66</f>
        <v>0</v>
      </c>
      <c r="L22" s="213">
        <f>Vasundhara!H66</f>
        <v>0</v>
      </c>
      <c r="M22" s="131">
        <f>Vasundhara!I66</f>
        <v>0</v>
      </c>
      <c r="N22" s="131">
        <f>Vasundhara!J66</f>
        <v>0</v>
      </c>
      <c r="O22" s="214" t="e">
        <f>Vasundhara!K66</f>
        <v>#DIV/0!</v>
      </c>
      <c r="P22" s="214" t="e">
        <f>Vasundhara!L66</f>
        <v>#DIV/0!</v>
      </c>
      <c r="Q22" s="214" t="e">
        <f>Vasundhara!M66</f>
        <v>#DIV/0!</v>
      </c>
      <c r="R22" s="214" t="e">
        <f>Vasundhara!N66</f>
        <v>#DIV/0!</v>
      </c>
      <c r="S22" s="131">
        <f>Vasundhara!O66</f>
        <v>0</v>
      </c>
      <c r="T22" s="131">
        <f>Vasundhara!P66</f>
        <v>0</v>
      </c>
      <c r="U22" s="128" t="str">
        <f>Vasundhara!Q34</f>
        <v> </v>
      </c>
      <c r="Y22" t="s">
        <v>61</v>
      </c>
      <c r="Z22" t="s">
        <v>38</v>
      </c>
    </row>
    <row r="23" spans="1:26">
      <c r="A23" s="403" t="s">
        <v>63</v>
      </c>
      <c r="B23" s="129" t="s">
        <v>158</v>
      </c>
      <c r="C23" s="129" t="s">
        <v>163</v>
      </c>
      <c r="D23" s="130" cm="1">
        <f t="array" aca="1" ref="D23" ca="1">INDIRECT("'" &amp;Y23 &amp; "'!D2")/1000</f>
        <v>21.5</v>
      </c>
      <c r="E23" s="130" cm="1">
        <f t="array" aca="1" ref="E23" ca="1">INDIRECT("'" &amp; Y23 &amp; "'!h2")/1000</f>
        <v>15.4</v>
      </c>
      <c r="F23" s="212">
        <f>Pudumjee!P66</f>
        <v>0</v>
      </c>
      <c r="G23" s="131">
        <f>Pudumjee!Q66</f>
        <v>0</v>
      </c>
      <c r="H23" s="131">
        <f>Pudumjee!R66</f>
        <v>0</v>
      </c>
      <c r="I23" s="131">
        <f>Pudumjee!S66</f>
        <v>0</v>
      </c>
      <c r="J23" s="213">
        <f>Pudumjee!T66</f>
        <v>0</v>
      </c>
      <c r="K23" s="213">
        <f>Pudumjee!U66</f>
        <v>0</v>
      </c>
      <c r="L23" s="213">
        <f>Pudumjee!V66</f>
        <v>0</v>
      </c>
      <c r="M23" s="131">
        <f>Pudumjee!W66</f>
        <v>0</v>
      </c>
      <c r="N23" s="131">
        <f>Pudumjee!X66</f>
        <v>0</v>
      </c>
      <c r="O23" s="214">
        <f>Pudumjee!Y66</f>
        <v>0</v>
      </c>
      <c r="P23" s="214">
        <f>Pudumjee!Z66</f>
        <v>0</v>
      </c>
      <c r="Q23" s="214">
        <f>Pudumjee!AA66</f>
        <v>0</v>
      </c>
      <c r="R23" s="214">
        <f>Pudumjee!AB66</f>
        <v>0</v>
      </c>
      <c r="S23" s="131">
        <f>Pudumjee!AC66</f>
        <v>0</v>
      </c>
      <c r="T23" s="131">
        <f>Pudumjee!AD66</f>
        <v>0</v>
      </c>
      <c r="U23" s="128" t="str">
        <f>Pudumjee!Q34</f>
        <v> </v>
      </c>
      <c r="Y23" t="s">
        <v>63</v>
      </c>
      <c r="Z23" t="s">
        <v>40</v>
      </c>
    </row>
    <row r="24" spans="1:26">
      <c r="A24" s="403" t="s">
        <v>64</v>
      </c>
      <c r="B24" s="129" t="s">
        <v>158</v>
      </c>
      <c r="C24" s="129" t="s">
        <v>162</v>
      </c>
      <c r="D24" s="130" cm="1">
        <f t="array" aca="1" ref="D24" ca="1">INDIRECT("'" &amp;Y24 &amp; "'!D2")/1000</f>
        <v>3.3291999999999997</v>
      </c>
      <c r="E24" s="130" cm="1">
        <f t="array" aca="1" ref="E24" ca="1">INDIRECT("'" &amp; Y24 &amp; "'!h2")/1000</f>
        <v>2.42</v>
      </c>
      <c r="F24" s="131" cm="1">
        <f t="array" aca="1" ref="F24:T24" ca="1">INDIRECT("'"&amp;$Y24&amp;"'!b66:p66")</f>
        <v>0</v>
      </c>
      <c r="G24" s="131">
        <f ca="1"/>
        <v>0</v>
      </c>
      <c r="H24" s="131">
        <f ca="1"/>
        <v>0</v>
      </c>
      <c r="I24" s="131">
        <f ca="1"/>
        <v>0</v>
      </c>
      <c r="J24" s="132" t="e">
        <f ca="1"/>
        <v>#DIV/0!</v>
      </c>
      <c r="K24" s="132">
        <f ca="1"/>
        <v>0</v>
      </c>
      <c r="L24" s="132">
        <f ca="1"/>
        <v>0</v>
      </c>
      <c r="M24" s="131">
        <f ca="1"/>
        <v>0</v>
      </c>
      <c r="N24" s="131">
        <f ca="1"/>
        <v>0</v>
      </c>
      <c r="O24" s="133" t="e">
        <f ca="1"/>
        <v>#DIV/0!</v>
      </c>
      <c r="P24" s="133" t="e">
        <f ca="1"/>
        <v>#DIV/0!</v>
      </c>
      <c r="Q24" s="133" t="e">
        <f ca="1"/>
        <v>#DIV/0!</v>
      </c>
      <c r="R24" s="133" t="e">
        <f ca="1"/>
        <v>#DIV/0!</v>
      </c>
      <c r="S24" s="131">
        <f ca="1"/>
        <v>0</v>
      </c>
      <c r="T24" s="131">
        <f ca="1"/>
        <v>0</v>
      </c>
      <c r="U24" s="128"/>
      <c r="Y24" t="s">
        <v>64</v>
      </c>
      <c r="Z24" t="s">
        <v>48</v>
      </c>
    </row>
    <row r="25" spans="1:26">
      <c r="A25" s="403" t="s">
        <v>65</v>
      </c>
      <c r="B25" s="129" t="s">
        <v>158</v>
      </c>
      <c r="C25" s="129" t="s">
        <v>162</v>
      </c>
      <c r="D25" s="130" cm="1">
        <f t="array" aca="1" ref="D25" ca="1">INDIRECT("'" &amp;Y25 &amp; "'!D2")/1000</f>
        <v>1.8007</v>
      </c>
      <c r="E25" s="130" cm="1">
        <f t="array" aca="1" ref="E25" ca="1">INDIRECT("'" &amp; Y25 &amp; "'!h2")/1000</f>
        <v>1.54</v>
      </c>
      <c r="F25" s="131" cm="1">
        <f t="array" aca="1" ref="F25:T25" ca="1">INDIRECT("'"&amp;$Y25&amp;"'!b66:p66")</f>
        <v>0</v>
      </c>
      <c r="G25" s="131">
        <f ca="1"/>
        <v>0</v>
      </c>
      <c r="H25" s="131">
        <f ca="1"/>
        <v>0</v>
      </c>
      <c r="I25" s="131">
        <f ca="1"/>
        <v>0</v>
      </c>
      <c r="J25" s="132" t="e">
        <f ca="1"/>
        <v>#DIV/0!</v>
      </c>
      <c r="K25" s="132">
        <f ca="1"/>
        <v>0</v>
      </c>
      <c r="L25" s="132">
        <f ca="1"/>
        <v>0</v>
      </c>
      <c r="M25" s="131">
        <f ca="1"/>
        <v>0</v>
      </c>
      <c r="N25" s="131">
        <f ca="1"/>
        <v>0</v>
      </c>
      <c r="O25" s="133" t="e">
        <f ca="1"/>
        <v>#DIV/0!</v>
      </c>
      <c r="P25" s="133" t="e">
        <f ca="1"/>
        <v>#DIV/0!</v>
      </c>
      <c r="Q25" s="133" t="e">
        <f ca="1"/>
        <v>#DIV/0!</v>
      </c>
      <c r="R25" s="133" t="e">
        <f ca="1"/>
        <v>#DIV/0!</v>
      </c>
      <c r="S25" s="131">
        <f ca="1"/>
        <v>0</v>
      </c>
      <c r="T25" s="131">
        <f ca="1"/>
        <v>0</v>
      </c>
      <c r="U25" s="128"/>
      <c r="Y25" t="s">
        <v>65</v>
      </c>
      <c r="Z25" t="s">
        <v>50</v>
      </c>
    </row>
    <row r="26" spans="1:26">
      <c r="A26" s="403" t="s">
        <v>66</v>
      </c>
      <c r="B26" s="129" t="s">
        <v>158</v>
      </c>
      <c r="C26" s="129" t="s">
        <v>162</v>
      </c>
      <c r="D26" s="130" cm="1">
        <f t="array" aca="1" ref="D26" ca="1">INDIRECT("'" &amp;Y26 &amp; "'!D2")/1000</f>
        <v>5.1480800000000002</v>
      </c>
      <c r="E26" s="130" cm="1">
        <f t="array" aca="1" ref="E26" ca="1">INDIRECT("'" &amp; Y26 &amp; "'!h2")/1000</f>
        <v>3.96</v>
      </c>
      <c r="F26" s="131" cm="1">
        <f t="array" aca="1" ref="F26:T26" ca="1">INDIRECT("'"&amp;$Y26&amp;"'!b66:p66")</f>
        <v>0</v>
      </c>
      <c r="G26" s="131">
        <f ca="1"/>
        <v>0</v>
      </c>
      <c r="H26" s="131">
        <f ca="1"/>
        <v>0</v>
      </c>
      <c r="I26" s="131">
        <f ca="1"/>
        <v>0</v>
      </c>
      <c r="J26" s="132" t="e">
        <f ca="1"/>
        <v>#DIV/0!</v>
      </c>
      <c r="K26" s="132">
        <f ca="1"/>
        <v>0</v>
      </c>
      <c r="L26" s="132">
        <f ca="1"/>
        <v>0</v>
      </c>
      <c r="M26" s="131">
        <f ca="1"/>
        <v>0</v>
      </c>
      <c r="N26" s="131">
        <f ca="1"/>
        <v>0</v>
      </c>
      <c r="O26" s="133" t="e">
        <f ca="1"/>
        <v>#DIV/0!</v>
      </c>
      <c r="P26" s="133" t="e">
        <f ca="1"/>
        <v>#DIV/0!</v>
      </c>
      <c r="Q26" s="133" t="e">
        <f ca="1"/>
        <v>#DIV/0!</v>
      </c>
      <c r="R26" s="133" t="e">
        <f ca="1"/>
        <v>#DIV/0!</v>
      </c>
      <c r="S26" s="131">
        <f ca="1"/>
        <v>0</v>
      </c>
      <c r="T26" s="131">
        <f ca="1"/>
        <v>0</v>
      </c>
      <c r="U26" s="128"/>
      <c r="Y26" t="s">
        <v>66</v>
      </c>
      <c r="Z26" t="s">
        <v>52</v>
      </c>
    </row>
    <row r="27" spans="1:26">
      <c r="A27" s="403" t="s">
        <v>67</v>
      </c>
      <c r="B27" s="129" t="s">
        <v>158</v>
      </c>
      <c r="C27" s="129" t="s">
        <v>162</v>
      </c>
      <c r="D27" s="130" cm="1">
        <f t="array" aca="1" ref="D27" ca="1">INDIRECT("'" &amp;Y27 &amp; "'!D2")/1000</f>
        <v>65</v>
      </c>
      <c r="E27" s="130" cm="1">
        <f t="array" aca="1" ref="E27" ca="1">INDIRECT("'" &amp; Y27 &amp; "'!h2")/1000</f>
        <v>50</v>
      </c>
      <c r="F27" s="131" cm="1">
        <f t="array" aca="1" ref="F27:T27" ca="1">INDIRECT("'"&amp;$Y27&amp;"'!b66:p66")</f>
        <v>0</v>
      </c>
      <c r="G27" s="131">
        <f ca="1"/>
        <v>0</v>
      </c>
      <c r="H27" s="131">
        <f ca="1"/>
        <v>0</v>
      </c>
      <c r="I27" s="131">
        <f ca="1"/>
        <v>0</v>
      </c>
      <c r="J27" s="132" t="e">
        <f ca="1"/>
        <v>#DIV/0!</v>
      </c>
      <c r="K27" s="132">
        <f ca="1"/>
        <v>0</v>
      </c>
      <c r="L27" s="132">
        <f ca="1"/>
        <v>0</v>
      </c>
      <c r="M27" s="131">
        <f ca="1"/>
        <v>0</v>
      </c>
      <c r="N27" s="131">
        <f ca="1"/>
        <v>0</v>
      </c>
      <c r="O27" s="133" t="e">
        <f ca="1"/>
        <v>#DIV/0!</v>
      </c>
      <c r="P27" s="133" t="e">
        <f ca="1"/>
        <v>#DIV/0!</v>
      </c>
      <c r="Q27" s="133" t="e">
        <f ca="1"/>
        <v>#DIV/0!</v>
      </c>
      <c r="R27" s="133" t="e">
        <f ca="1"/>
        <v>#DIV/0!</v>
      </c>
      <c r="S27" s="131">
        <f ca="1"/>
        <v>0</v>
      </c>
      <c r="T27" s="131">
        <f ca="1"/>
        <v>0</v>
      </c>
      <c r="U27" s="128"/>
      <c r="Y27" t="s">
        <v>68</v>
      </c>
      <c r="Z27" t="s">
        <v>54</v>
      </c>
    </row>
    <row r="28" spans="1:26">
      <c r="A28" s="403" t="s">
        <v>69</v>
      </c>
      <c r="B28" s="129" t="s">
        <v>158</v>
      </c>
      <c r="C28" s="129" t="s">
        <v>163</v>
      </c>
      <c r="D28" s="130" cm="1">
        <f t="array" aca="1" ref="D28" ca="1">INDIRECT("'" &amp;Y28 &amp; "'!D2")/1000</f>
        <v>3.75</v>
      </c>
      <c r="E28" s="130" cm="1">
        <f t="array" aca="1" ref="E28" ca="1">INDIRECT("'" &amp; Y28 &amp; "'!h2")/1000</f>
        <v>3</v>
      </c>
      <c r="F28" s="131" cm="1">
        <f t="array" aca="1" ref="F28:T28" ca="1">INDIRECT("'"&amp;$Y28&amp;"'!b66:p66")</f>
        <v>0</v>
      </c>
      <c r="G28" s="131">
        <f ca="1"/>
        <v>0</v>
      </c>
      <c r="H28" s="131">
        <f ca="1"/>
        <v>0</v>
      </c>
      <c r="I28" s="131">
        <f ca="1"/>
        <v>0</v>
      </c>
      <c r="J28" s="132" t="e">
        <f ca="1"/>
        <v>#DIV/0!</v>
      </c>
      <c r="K28" s="132">
        <f ca="1"/>
        <v>0</v>
      </c>
      <c r="L28" s="132">
        <f ca="1"/>
        <v>0</v>
      </c>
      <c r="M28" s="131">
        <f ca="1"/>
        <v>0</v>
      </c>
      <c r="N28" s="131">
        <f ca="1"/>
        <v>0</v>
      </c>
      <c r="O28" s="133" t="e">
        <f ca="1"/>
        <v>#DIV/0!</v>
      </c>
      <c r="P28" s="133" t="e">
        <f ca="1"/>
        <v>#DIV/0!</v>
      </c>
      <c r="Q28" s="133" t="e">
        <f ca="1"/>
        <v>#DIV/0!</v>
      </c>
      <c r="R28" s="133" t="e">
        <f ca="1"/>
        <v>#DIV/0!</v>
      </c>
      <c r="S28" s="131">
        <f ca="1"/>
        <v>0</v>
      </c>
      <c r="T28" s="131">
        <f ca="1"/>
        <v>0</v>
      </c>
      <c r="U28" s="128"/>
      <c r="Y28" t="s">
        <v>69</v>
      </c>
      <c r="Z28" t="s">
        <v>56</v>
      </c>
    </row>
    <row r="29" spans="1:26">
      <c r="A29" s="403" t="s">
        <v>70</v>
      </c>
      <c r="B29" s="129" t="s">
        <v>158</v>
      </c>
      <c r="C29" s="129" t="s">
        <v>161</v>
      </c>
      <c r="D29" s="130" cm="1">
        <f t="array" aca="1" ref="D29" ca="1">INDIRECT("'" &amp;Y29 &amp; "'!D2")/1000</f>
        <v>3.9283999999999999</v>
      </c>
      <c r="E29" s="130" cm="1">
        <f t="array" aca="1" ref="E29" ca="1">INDIRECT("'" &amp; Y29 &amp; "'!h2")/1000</f>
        <v>2.86</v>
      </c>
      <c r="F29" s="131" cm="1">
        <f t="array" aca="1" ref="F29:T29" ca="1">INDIRECT("'"&amp;$Y29&amp;"'!b66:p66")</f>
        <v>56991</v>
      </c>
      <c r="G29" s="131">
        <f ca="1"/>
        <v>50991</v>
      </c>
      <c r="H29" s="131">
        <f ca="1"/>
        <v>0</v>
      </c>
      <c r="I29" s="131">
        <f ca="1"/>
        <v>0</v>
      </c>
      <c r="J29" s="132">
        <f ca="1"/>
        <v>-1</v>
      </c>
      <c r="K29" s="132">
        <f ca="1"/>
        <v>0</v>
      </c>
      <c r="L29" s="132">
        <f ca="1"/>
        <v>0</v>
      </c>
      <c r="M29" s="131">
        <f ca="1"/>
        <v>16.649999999999999</v>
      </c>
      <c r="N29" s="131">
        <f ca="1"/>
        <v>0</v>
      </c>
      <c r="O29" s="133">
        <f ca="1"/>
        <v>-1</v>
      </c>
      <c r="P29" s="133" t="e">
        <f ca="1"/>
        <v>#DIV/0!</v>
      </c>
      <c r="Q29" s="133" t="e">
        <f ca="1"/>
        <v>#DIV/0!</v>
      </c>
      <c r="R29" s="133" t="e">
        <f ca="1"/>
        <v>#DIV/0!</v>
      </c>
      <c r="S29" s="131">
        <f ca="1"/>
        <v>0</v>
      </c>
      <c r="T29" s="131">
        <f ca="1"/>
        <v>0</v>
      </c>
      <c r="U29" s="128"/>
      <c r="Y29" t="s">
        <v>71</v>
      </c>
      <c r="Z29" t="s">
        <v>58</v>
      </c>
    </row>
    <row r="30" spans="1:26">
      <c r="A30" s="403" t="s">
        <v>72</v>
      </c>
      <c r="B30" s="129" t="s">
        <v>158</v>
      </c>
      <c r="C30" s="129" t="s">
        <v>161</v>
      </c>
      <c r="D30" s="130" cm="1">
        <f t="array" aca="1" ref="D30" ca="1">INDIRECT("'" &amp;Y30 &amp; "'!D2")/1000</f>
        <v>3.7170000000000001</v>
      </c>
      <c r="E30" s="130" cm="1">
        <f t="array" aca="1" ref="E30" ca="1">INDIRECT("'" &amp; Y30 &amp; "'!h2")/1000</f>
        <v>3.3</v>
      </c>
      <c r="F30" s="131" cm="1">
        <f t="array" aca="1" ref="F30:T30" ca="1">INDIRECT("'"&amp;$Y30&amp;"'!b66:p66")</f>
        <v>57777</v>
      </c>
      <c r="G30" s="131">
        <f ca="1"/>
        <v>52128</v>
      </c>
      <c r="H30" s="131">
        <f ca="1"/>
        <v>0</v>
      </c>
      <c r="I30" s="131">
        <f ca="1"/>
        <v>0</v>
      </c>
      <c r="J30" s="132">
        <f ca="1"/>
        <v>-1</v>
      </c>
      <c r="K30" s="132">
        <f ca="1"/>
        <v>0</v>
      </c>
      <c r="L30" s="132">
        <f ca="1"/>
        <v>0</v>
      </c>
      <c r="M30" s="131">
        <f ca="1"/>
        <v>16.649999999999999</v>
      </c>
      <c r="N30" s="131">
        <f ca="1"/>
        <v>0</v>
      </c>
      <c r="O30" s="133">
        <f ca="1"/>
        <v>-1</v>
      </c>
      <c r="P30" s="133" t="e">
        <f ca="1"/>
        <v>#DIV/0!</v>
      </c>
      <c r="Q30" s="133" t="e">
        <f ca="1"/>
        <v>#DIV/0!</v>
      </c>
      <c r="R30" s="133" t="e">
        <f ca="1"/>
        <v>#DIV/0!</v>
      </c>
      <c r="S30" s="131">
        <f ca="1"/>
        <v>0</v>
      </c>
      <c r="T30" s="131">
        <f ca="1"/>
        <v>0</v>
      </c>
      <c r="U30" s="128"/>
      <c r="Y30" t="s">
        <v>73</v>
      </c>
      <c r="Z30" t="s">
        <v>60</v>
      </c>
    </row>
    <row r="31" spans="1:26">
      <c r="A31" s="403" t="s">
        <v>74</v>
      </c>
      <c r="B31" s="129" t="s">
        <v>158</v>
      </c>
      <c r="C31" s="129" t="s">
        <v>161</v>
      </c>
      <c r="D31" s="130" cm="1">
        <f t="array" aca="1" ref="D31" ca="1">INDIRECT("'" &amp;Y31 &amp; "'!D2")/1000</f>
        <v>4</v>
      </c>
      <c r="E31" s="130" cm="1">
        <f t="array" aca="1" ref="E31" ca="1">INDIRECT("'" &amp; Y31 &amp; "'!h2")/1000</f>
        <v>3.2</v>
      </c>
      <c r="F31" s="131" cm="1">
        <f t="array" aca="1" ref="F31:T31" ca="1">INDIRECT("'"&amp;$Y31&amp;"'!b66:p66")</f>
        <v>54429</v>
      </c>
      <c r="G31" s="131">
        <f ca="1"/>
        <v>52077</v>
      </c>
      <c r="H31" s="131">
        <f ca="1"/>
        <v>0</v>
      </c>
      <c r="I31" s="131">
        <f ca="1"/>
        <v>0</v>
      </c>
      <c r="J31" s="132">
        <f ca="1"/>
        <v>-1</v>
      </c>
      <c r="K31" s="132">
        <f ca="1"/>
        <v>0</v>
      </c>
      <c r="L31" s="132">
        <f ca="1"/>
        <v>0</v>
      </c>
      <c r="M31" s="131">
        <f ca="1"/>
        <v>16.919999999999998</v>
      </c>
      <c r="N31" s="131">
        <f ca="1"/>
        <v>0</v>
      </c>
      <c r="O31" s="133">
        <f ca="1"/>
        <v>-1</v>
      </c>
      <c r="P31" s="133" t="e">
        <f ca="1"/>
        <v>#DIV/0!</v>
      </c>
      <c r="Q31" s="133" t="e">
        <f ca="1"/>
        <v>#DIV/0!</v>
      </c>
      <c r="R31" s="133" t="e">
        <f ca="1"/>
        <v>#DIV/0!</v>
      </c>
      <c r="S31" s="131">
        <f ca="1"/>
        <v>0</v>
      </c>
      <c r="T31" s="131">
        <f ca="1"/>
        <v>0</v>
      </c>
      <c r="U31" s="128"/>
      <c r="Y31" t="s">
        <v>75</v>
      </c>
      <c r="Z31" t="s">
        <v>61</v>
      </c>
    </row>
    <row r="32" spans="1:26">
      <c r="A32" s="403" t="s">
        <v>76</v>
      </c>
      <c r="B32" s="129" t="s">
        <v>158</v>
      </c>
      <c r="C32" s="129" t="s">
        <v>161</v>
      </c>
      <c r="D32" s="130" cm="1">
        <f t="array" aca="1" ref="D32" ca="1">INDIRECT("'" &amp;Y32 &amp; "'!D2")/1000</f>
        <v>6</v>
      </c>
      <c r="E32" s="130" cm="1">
        <f t="array" aca="1" ref="E32" ca="1">INDIRECT("'" &amp; Y32 &amp; "'!h2")/1000</f>
        <v>4.9000000000000004</v>
      </c>
      <c r="F32" s="131" cm="1">
        <f t="array" aca="1" ref="F32:T32" ca="1">INDIRECT("'"&amp;$Y32&amp;"'!b66:p66")</f>
        <v>81768</v>
      </c>
      <c r="G32" s="131">
        <f ca="1"/>
        <v>78927</v>
      </c>
      <c r="H32" s="131">
        <f ca="1"/>
        <v>0</v>
      </c>
      <c r="I32" s="131">
        <f ca="1"/>
        <v>0</v>
      </c>
      <c r="J32" s="132">
        <f ca="1"/>
        <v>-1</v>
      </c>
      <c r="K32" s="132">
        <f ca="1"/>
        <v>0</v>
      </c>
      <c r="L32" s="132">
        <f ca="1"/>
        <v>0</v>
      </c>
      <c r="M32" s="131">
        <f ca="1"/>
        <v>16.950000000000003</v>
      </c>
      <c r="N32" s="131">
        <f ca="1"/>
        <v>0</v>
      </c>
      <c r="O32" s="133">
        <f ca="1"/>
        <v>-1</v>
      </c>
      <c r="P32" s="133" t="e">
        <f ca="1"/>
        <v>#DIV/0!</v>
      </c>
      <c r="Q32" s="133" t="e">
        <f ca="1"/>
        <v>#DIV/0!</v>
      </c>
      <c r="R32" s="133" t="e">
        <f ca="1"/>
        <v>#DIV/0!</v>
      </c>
      <c r="S32" s="131">
        <f ca="1"/>
        <v>0</v>
      </c>
      <c r="T32" s="131">
        <f ca="1"/>
        <v>0</v>
      </c>
      <c r="U32" s="128"/>
      <c r="Y32" t="s">
        <v>77</v>
      </c>
      <c r="Z32" t="s">
        <v>63</v>
      </c>
    </row>
    <row r="33" spans="1:26">
      <c r="A33" s="403" t="s">
        <v>78</v>
      </c>
      <c r="B33" s="129" t="s">
        <v>158</v>
      </c>
      <c r="C33" s="129" t="s">
        <v>161</v>
      </c>
      <c r="D33" s="130" cm="1">
        <f t="array" aca="1" ref="D33" ca="1">INDIRECT("'" &amp;Y33 &amp; "'!D2")/1000</f>
        <v>6</v>
      </c>
      <c r="E33" s="130" cm="1">
        <f t="array" aca="1" ref="E33" ca="1">INDIRECT("'" &amp; Y33 &amp; "'!h2")/1000</f>
        <v>4.5</v>
      </c>
      <c r="F33" s="131" cm="1">
        <f t="array" aca="1" ref="F33:T33" ca="1">INDIRECT("'"&amp;$Y33&amp;"'!b66:p66")</f>
        <v>82179</v>
      </c>
      <c r="G33" s="131">
        <f ca="1"/>
        <v>79059</v>
      </c>
      <c r="H33" s="131">
        <f ca="1"/>
        <v>0</v>
      </c>
      <c r="I33" s="131">
        <f ca="1"/>
        <v>0</v>
      </c>
      <c r="J33" s="132">
        <f ca="1"/>
        <v>-1</v>
      </c>
      <c r="K33" s="132">
        <f ca="1"/>
        <v>0</v>
      </c>
      <c r="L33" s="132">
        <f ca="1"/>
        <v>0</v>
      </c>
      <c r="M33" s="131">
        <f ca="1"/>
        <v>16.950000000000003</v>
      </c>
      <c r="N33" s="131">
        <f ca="1"/>
        <v>0</v>
      </c>
      <c r="O33" s="133">
        <f ca="1"/>
        <v>-1</v>
      </c>
      <c r="P33" s="133" t="e">
        <f ca="1"/>
        <v>#DIV/0!</v>
      </c>
      <c r="Q33" s="133" t="e">
        <f ca="1"/>
        <v>#DIV/0!</v>
      </c>
      <c r="R33" s="133" t="e">
        <f ca="1"/>
        <v>#DIV/0!</v>
      </c>
      <c r="S33" s="131">
        <f ca="1"/>
        <v>0</v>
      </c>
      <c r="T33" s="131">
        <f ca="1"/>
        <v>0</v>
      </c>
      <c r="U33" s="128"/>
      <c r="Y33" t="s">
        <v>79</v>
      </c>
      <c r="Z33" t="s">
        <v>64</v>
      </c>
    </row>
    <row r="34" spans="1:26">
      <c r="A34" s="403" t="s">
        <v>80</v>
      </c>
      <c r="B34" s="129" t="s">
        <v>158</v>
      </c>
      <c r="C34" s="129" t="s">
        <v>163</v>
      </c>
      <c r="D34" s="216" cm="1">
        <f t="array" aca="1" ref="D34" ca="1">INDIRECT("'" &amp;Y34 &amp; "'!D2")/1000</f>
        <v>12.3</v>
      </c>
      <c r="E34" s="216" cm="1">
        <f t="array" aca="1" ref="E34" ca="1">INDIRECT("'" &amp; Y34 &amp; "'!h2")/1000</f>
        <v>10.119999999999999</v>
      </c>
      <c r="F34" s="131" cm="1">
        <f t="array" aca="1" ref="F34:T34" ca="1">INDIRECT("'"&amp;$Y34&amp;"'!b66:p66")</f>
        <v>0</v>
      </c>
      <c r="G34" s="131">
        <f ca="1"/>
        <v>0</v>
      </c>
      <c r="H34" s="131">
        <f ca="1"/>
        <v>0</v>
      </c>
      <c r="I34" s="131">
        <f ca="1"/>
        <v>0</v>
      </c>
      <c r="J34" s="132" t="e">
        <f ca="1"/>
        <v>#DIV/0!</v>
      </c>
      <c r="K34" s="132">
        <f ca="1"/>
        <v>0</v>
      </c>
      <c r="L34" s="132">
        <f ca="1"/>
        <v>0</v>
      </c>
      <c r="M34" s="131">
        <f ca="1"/>
        <v>0</v>
      </c>
      <c r="N34" s="131">
        <f ca="1"/>
        <v>0</v>
      </c>
      <c r="O34" s="133" t="e">
        <f ca="1"/>
        <v>#DIV/0!</v>
      </c>
      <c r="P34" s="133" t="e">
        <f ca="1"/>
        <v>#DIV/0!</v>
      </c>
      <c r="Q34" s="133" t="e">
        <f ca="1"/>
        <v>#DIV/0!</v>
      </c>
      <c r="R34" s="133" t="e">
        <f ca="1"/>
        <v>#DIV/0!</v>
      </c>
      <c r="S34" s="131">
        <f ca="1"/>
        <v>0</v>
      </c>
      <c r="T34" s="131">
        <f ca="1"/>
        <v>0</v>
      </c>
      <c r="U34" s="128"/>
      <c r="Y34" t="s">
        <v>80</v>
      </c>
      <c r="Z34" t="s">
        <v>65</v>
      </c>
    </row>
    <row r="35" spans="1:26">
      <c r="A35" s="403" t="s">
        <v>82</v>
      </c>
      <c r="B35" s="129" t="s">
        <v>158</v>
      </c>
      <c r="C35" s="129" t="s">
        <v>163</v>
      </c>
      <c r="D35" s="130" cm="1">
        <f t="array" aca="1" ref="D35" ca="1">INDIRECT("'" &amp;Y35 &amp; "'!D2")/1000</f>
        <v>20.998000000000001</v>
      </c>
      <c r="E35" s="216" cm="1">
        <f t="array" aca="1" ref="E35" ca="1">INDIRECT("'" &amp; Y35 &amp; "'!h2")/1000</f>
        <v>14.85</v>
      </c>
      <c r="F35" s="131" cm="1">
        <f t="array" aca="1" ref="F35:T35" ca="1">INDIRECT("'"&amp;$Y35&amp;"'!b66:p66")</f>
        <v>0</v>
      </c>
      <c r="G35" s="131">
        <f ca="1"/>
        <v>0</v>
      </c>
      <c r="H35" s="131">
        <f ca="1"/>
        <v>0</v>
      </c>
      <c r="I35" s="131">
        <f ca="1"/>
        <v>0</v>
      </c>
      <c r="J35" s="132" t="e">
        <f ca="1"/>
        <v>#DIV/0!</v>
      </c>
      <c r="K35" s="132">
        <f ca="1"/>
        <v>0</v>
      </c>
      <c r="L35" s="132">
        <f ca="1"/>
        <v>0</v>
      </c>
      <c r="M35" s="131">
        <f ca="1"/>
        <v>0</v>
      </c>
      <c r="N35" s="131">
        <f ca="1"/>
        <v>0</v>
      </c>
      <c r="O35" s="133" t="e">
        <f ca="1"/>
        <v>#DIV/0!</v>
      </c>
      <c r="P35" s="133" t="e">
        <f ca="1"/>
        <v>#DIV/0!</v>
      </c>
      <c r="Q35" s="133" t="e">
        <f ca="1"/>
        <v>#DIV/0!</v>
      </c>
      <c r="R35" s="133" t="e">
        <f ca="1"/>
        <v>#DIV/0!</v>
      </c>
      <c r="S35" s="131">
        <f ca="1"/>
        <v>0</v>
      </c>
      <c r="T35" s="131">
        <f ca="1"/>
        <v>0</v>
      </c>
      <c r="U35" s="128"/>
      <c r="Y35" t="s">
        <v>82</v>
      </c>
      <c r="Z35" t="s">
        <v>66</v>
      </c>
    </row>
    <row r="36" spans="1:26">
      <c r="A36" s="403" t="s">
        <v>83</v>
      </c>
      <c r="B36" s="129" t="s">
        <v>158</v>
      </c>
      <c r="C36" s="129" t="s">
        <v>163</v>
      </c>
      <c r="D36" s="130" cm="1">
        <f t="array" aca="1" ref="D36" ca="1">INDIRECT("'" &amp;Y36 &amp; "'!D2")/1000</f>
        <v>8.39</v>
      </c>
      <c r="E36" s="216" cm="1">
        <f t="array" aca="1" ref="E36" ca="1">INDIRECT("'" &amp; Y36 &amp; "'!h2")/1000</f>
        <v>6</v>
      </c>
      <c r="F36" s="131" cm="1">
        <f t="array" aca="1" ref="F36:T36" ca="1">INDIRECT("'"&amp;$Y36&amp;"'!b66:p66")</f>
        <v>0</v>
      </c>
      <c r="G36" s="131">
        <f ca="1"/>
        <v>0</v>
      </c>
      <c r="H36" s="131">
        <f ca="1"/>
        <v>0</v>
      </c>
      <c r="I36" s="131">
        <f ca="1"/>
        <v>0</v>
      </c>
      <c r="J36" s="132" t="e">
        <f ca="1"/>
        <v>#DIV/0!</v>
      </c>
      <c r="K36" s="132">
        <f ca="1"/>
        <v>0</v>
      </c>
      <c r="L36" s="132">
        <f ca="1"/>
        <v>0</v>
      </c>
      <c r="M36" s="131">
        <f ca="1"/>
        <v>0</v>
      </c>
      <c r="N36" s="131">
        <f ca="1"/>
        <v>0</v>
      </c>
      <c r="O36" s="133" t="e">
        <f ca="1"/>
        <v>#DIV/0!</v>
      </c>
      <c r="P36" s="133" t="e">
        <f ca="1"/>
        <v>#DIV/0!</v>
      </c>
      <c r="Q36" s="133" t="e">
        <f ca="1"/>
        <v>#DIV/0!</v>
      </c>
      <c r="R36" s="133" t="e">
        <f ca="1"/>
        <v>#DIV/0!</v>
      </c>
      <c r="S36" s="131">
        <f ca="1"/>
        <v>0</v>
      </c>
      <c r="T36" s="131">
        <f ca="1"/>
        <v>0</v>
      </c>
      <c r="U36" s="128"/>
      <c r="Y36" t="s">
        <v>83</v>
      </c>
      <c r="Z36" t="s">
        <v>68</v>
      </c>
    </row>
    <row r="37" spans="1:26">
      <c r="A37" s="403" t="s">
        <v>84</v>
      </c>
      <c r="B37" s="129" t="s">
        <v>158</v>
      </c>
      <c r="C37" s="129" t="s">
        <v>163</v>
      </c>
      <c r="D37" s="130" cm="1">
        <f t="array" aca="1" ref="D37" ca="1">INDIRECT("'" &amp;Y37 &amp; "'!D2")/1000</f>
        <v>1.9</v>
      </c>
      <c r="E37" s="216" cm="1">
        <f t="array" aca="1" ref="E37" ca="1">INDIRECT("'" &amp; Y37 &amp; "'!h2")/1000</f>
        <v>1.54</v>
      </c>
      <c r="F37" s="131" cm="1">
        <f t="array" aca="1" ref="F37:T37" ca="1">INDIRECT("'"&amp;$Y37&amp;"'!b66:p66")</f>
        <v>0</v>
      </c>
      <c r="G37" s="131">
        <f ca="1"/>
        <v>0</v>
      </c>
      <c r="H37" s="131">
        <f ca="1"/>
        <v>0</v>
      </c>
      <c r="I37" s="131">
        <f ca="1"/>
        <v>0</v>
      </c>
      <c r="J37" s="132" t="e">
        <f ca="1"/>
        <v>#DIV/0!</v>
      </c>
      <c r="K37" s="132">
        <f ca="1"/>
        <v>0</v>
      </c>
      <c r="L37" s="132">
        <f ca="1"/>
        <v>0</v>
      </c>
      <c r="M37" s="131">
        <f ca="1"/>
        <v>0</v>
      </c>
      <c r="N37" s="131">
        <f ca="1"/>
        <v>0</v>
      </c>
      <c r="O37" s="133" t="e">
        <f ca="1"/>
        <v>#DIV/0!</v>
      </c>
      <c r="P37" s="133" t="e">
        <f ca="1"/>
        <v>#DIV/0!</v>
      </c>
      <c r="Q37" s="133" t="e">
        <f ca="1"/>
        <v>#DIV/0!</v>
      </c>
      <c r="R37" s="133" t="e">
        <f ca="1"/>
        <v>#DIV/0!</v>
      </c>
      <c r="S37" s="131">
        <f ca="1"/>
        <v>0</v>
      </c>
      <c r="T37" s="131">
        <f ca="1"/>
        <v>0</v>
      </c>
      <c r="U37" s="128"/>
      <c r="Y37" t="s">
        <v>84</v>
      </c>
      <c r="Z37" t="s">
        <v>69</v>
      </c>
    </row>
    <row r="38" spans="1:26">
      <c r="A38" s="403" t="s">
        <v>85</v>
      </c>
      <c r="B38" s="129" t="s">
        <v>158</v>
      </c>
      <c r="C38" s="129" t="s">
        <v>163</v>
      </c>
      <c r="D38" s="130" cm="1">
        <f t="array" aca="1" ref="D38" ca="1">INDIRECT("'" &amp;Y38 &amp; "'!D2")/1000</f>
        <v>6</v>
      </c>
      <c r="E38" s="216" cm="1">
        <f t="array" aca="1" ref="E38" ca="1">INDIRECT("'" &amp; Y38 &amp; "'!h2")/1000</f>
        <v>3.9</v>
      </c>
      <c r="F38" s="131" cm="1">
        <f t="array" aca="1" ref="F38:T38" ca="1">INDIRECT("'"&amp;$Y38&amp;"'!b66:p66")</f>
        <v>0</v>
      </c>
      <c r="G38" s="212">
        <f ca="1"/>
        <v>0</v>
      </c>
      <c r="H38" s="212">
        <f ca="1"/>
        <v>0</v>
      </c>
      <c r="I38" s="212">
        <f ca="1"/>
        <v>0</v>
      </c>
      <c r="J38" s="213" t="e">
        <f ca="1"/>
        <v>#DIV/0!</v>
      </c>
      <c r="K38" s="213">
        <f ca="1"/>
        <v>0</v>
      </c>
      <c r="L38" s="213">
        <f ca="1"/>
        <v>0</v>
      </c>
      <c r="M38" s="212">
        <f ca="1"/>
        <v>0</v>
      </c>
      <c r="N38" s="212">
        <f ca="1"/>
        <v>0</v>
      </c>
      <c r="O38" s="214" t="e">
        <f ca="1"/>
        <v>#DIV/0!</v>
      </c>
      <c r="P38" s="214" t="e">
        <f ca="1"/>
        <v>#DIV/0!</v>
      </c>
      <c r="Q38" s="214" t="e">
        <f ca="1"/>
        <v>#DIV/0!</v>
      </c>
      <c r="R38" s="214" t="e">
        <f ca="1"/>
        <v>#DIV/0!</v>
      </c>
      <c r="S38" s="212">
        <f ca="1"/>
        <v>0</v>
      </c>
      <c r="T38" s="212">
        <f ca="1"/>
        <v>0</v>
      </c>
      <c r="U38" s="128"/>
      <c r="Y38" t="s">
        <v>85</v>
      </c>
      <c r="Z38" t="s">
        <v>71</v>
      </c>
    </row>
    <row r="39" spans="1:26">
      <c r="A39" s="215" t="s">
        <v>86</v>
      </c>
      <c r="B39" s="215" t="s">
        <v>158</v>
      </c>
      <c r="C39" s="222" t="s">
        <v>162</v>
      </c>
      <c r="D39" s="130" cm="1">
        <f t="array" aca="1" ref="D39" ca="1">INDIRECT("'" &amp;Y39 &amp; "'!D2")/1000</f>
        <v>4.9000000000000004</v>
      </c>
      <c r="E39" s="216" cm="1">
        <f t="array" aca="1" ref="E39" ca="1">INDIRECT("'" &amp; Y39 &amp; "'!h2")/1000</f>
        <v>3.96</v>
      </c>
      <c r="F39" s="131" cm="1">
        <f t="array" aca="1" ref="F39:T39" ca="1">INDIRECT("'"&amp;$Y39&amp;"'!b66:p66")</f>
        <v>823995.5</v>
      </c>
      <c r="G39" s="212">
        <f ca="1"/>
        <v>783578.00999999978</v>
      </c>
      <c r="H39" s="212">
        <f ca="1"/>
        <v>110521</v>
      </c>
      <c r="I39" s="212">
        <f ca="1"/>
        <v>107900</v>
      </c>
      <c r="J39" s="213">
        <f ca="1"/>
        <v>-0.86229833070481388</v>
      </c>
      <c r="K39" s="213">
        <f ca="1"/>
        <v>3.031627166995831E-2</v>
      </c>
      <c r="L39" s="213">
        <f ca="1"/>
        <v>3.7512558379493868E-2</v>
      </c>
      <c r="M39" s="212">
        <f ca="1"/>
        <v>215.60190000000009</v>
      </c>
      <c r="N39" s="212">
        <f ca="1"/>
        <v>32.94</v>
      </c>
      <c r="O39" s="214">
        <f ca="1"/>
        <v>-0.84721841505107331</v>
      </c>
      <c r="P39" s="214">
        <f ca="1"/>
        <v>0.68473910511381242</v>
      </c>
      <c r="Q39" s="214">
        <f ca="1"/>
        <v>1</v>
      </c>
      <c r="R39" s="214">
        <f ca="1"/>
        <v>1</v>
      </c>
      <c r="S39" s="212">
        <f ca="1"/>
        <v>14611</v>
      </c>
      <c r="T39" s="212">
        <f ca="1"/>
        <v>0</v>
      </c>
      <c r="U39" s="128"/>
      <c r="Y39" t="s">
        <v>86</v>
      </c>
      <c r="Z39" t="s">
        <v>73</v>
      </c>
    </row>
    <row r="40" spans="1:26">
      <c r="A40" s="215" t="s">
        <v>87</v>
      </c>
      <c r="B40" s="215" t="s">
        <v>158</v>
      </c>
      <c r="C40" s="220" t="s">
        <v>163</v>
      </c>
      <c r="D40" s="130" cm="1">
        <f t="array" aca="1" ref="D40" ca="1">INDIRECT("'" &amp;Y40 &amp; "'!D2")/1000</f>
        <v>5.9</v>
      </c>
      <c r="E40" s="216" cm="1">
        <f t="array" aca="1" ref="E40" ca="1">INDIRECT("'" &amp; Y40 &amp; "'!h2")/1000</f>
        <v>3.96</v>
      </c>
      <c r="F40" s="131" cm="1">
        <f t="array" aca="1" ref="F40:T40" ca="1">INDIRECT("'"&amp;$Y40&amp;"'!b66:p66")</f>
        <v>0</v>
      </c>
      <c r="G40" s="212">
        <f ca="1"/>
        <v>0</v>
      </c>
      <c r="H40" s="212">
        <f ca="1"/>
        <v>0</v>
      </c>
      <c r="I40" s="212">
        <f ca="1"/>
        <v>0</v>
      </c>
      <c r="J40" s="213" t="e">
        <f ca="1"/>
        <v>#DIV/0!</v>
      </c>
      <c r="K40" s="213">
        <f ca="1"/>
        <v>0</v>
      </c>
      <c r="L40" s="213">
        <f ca="1"/>
        <v>0</v>
      </c>
      <c r="M40" s="212">
        <f ca="1"/>
        <v>0</v>
      </c>
      <c r="N40" s="212">
        <f ca="1"/>
        <v>0</v>
      </c>
      <c r="O40" s="214" t="e">
        <f ca="1"/>
        <v>#DIV/0!</v>
      </c>
      <c r="P40" s="214" t="e">
        <f ca="1"/>
        <v>#DIV/0!</v>
      </c>
      <c r="Q40" s="214" t="e">
        <f ca="1"/>
        <v>#DIV/0!</v>
      </c>
      <c r="R40" s="214" t="e">
        <f ca="1"/>
        <v>#DIV/0!</v>
      </c>
      <c r="S40" s="212">
        <f ca="1"/>
        <v>0</v>
      </c>
      <c r="T40" s="212">
        <f ca="1"/>
        <v>0</v>
      </c>
      <c r="U40" s="128"/>
      <c r="Y40" t="s">
        <v>87</v>
      </c>
      <c r="Z40" t="s">
        <v>75</v>
      </c>
    </row>
    <row r="41" spans="1:26">
      <c r="A41" s="215" t="s">
        <v>88</v>
      </c>
      <c r="B41" s="215" t="s">
        <v>158</v>
      </c>
      <c r="C41" s="220" t="s">
        <v>163</v>
      </c>
      <c r="D41" s="130" cm="1">
        <f t="array" aca="1" ref="D41" ca="1">INDIRECT("'" &amp;Y41 &amp; "'!D2")/1000</f>
        <v>3.7</v>
      </c>
      <c r="E41" s="216" cm="1">
        <f t="array" aca="1" ref="E41" ca="1">INDIRECT("'" &amp; Y41 &amp; "'!h2")/1000</f>
        <v>2.94</v>
      </c>
      <c r="F41" s="131" cm="1">
        <f t="array" aca="1" ref="F41:T41" ca="1">INDIRECT("'"&amp;$Y41&amp;"'!b66:p66")</f>
        <v>0</v>
      </c>
      <c r="G41" s="212">
        <f ca="1"/>
        <v>0</v>
      </c>
      <c r="H41" s="212">
        <f ca="1"/>
        <v>0</v>
      </c>
      <c r="I41" s="212">
        <f ca="1"/>
        <v>0</v>
      </c>
      <c r="J41" s="213" t="e">
        <f ca="1"/>
        <v>#DIV/0!</v>
      </c>
      <c r="K41" s="213">
        <f ca="1"/>
        <v>0</v>
      </c>
      <c r="L41" s="213">
        <f ca="1"/>
        <v>0</v>
      </c>
      <c r="M41" s="212">
        <f ca="1"/>
        <v>0</v>
      </c>
      <c r="N41" s="212">
        <f ca="1"/>
        <v>0</v>
      </c>
      <c r="O41" s="214" t="e">
        <f ca="1"/>
        <v>#DIV/0!</v>
      </c>
      <c r="P41" s="214" t="e">
        <f ca="1"/>
        <v>#DIV/0!</v>
      </c>
      <c r="Q41" s="214" t="e">
        <f ca="1"/>
        <v>#DIV/0!</v>
      </c>
      <c r="R41" s="214" t="e">
        <f ca="1"/>
        <v>#DIV/0!</v>
      </c>
      <c r="S41" s="212">
        <f ca="1"/>
        <v>0</v>
      </c>
      <c r="T41" s="212">
        <f ca="1"/>
        <v>0</v>
      </c>
      <c r="U41" s="128"/>
      <c r="Y41" t="s">
        <v>88</v>
      </c>
      <c r="Z41" t="s">
        <v>77</v>
      </c>
    </row>
    <row r="42" spans="1:26">
      <c r="A42" s="215" t="s">
        <v>89</v>
      </c>
      <c r="B42" s="215" t="s">
        <v>158</v>
      </c>
      <c r="C42" s="220" t="s">
        <v>163</v>
      </c>
      <c r="D42" s="130" cm="1">
        <f t="array" aca="1" ref="D42" ca="1">INDIRECT("'" &amp;Y42 &amp; "'!D2")/1000</f>
        <v>7</v>
      </c>
      <c r="E42" s="216" cm="1">
        <f t="array" aca="1" ref="E42" ca="1">INDIRECT("'" &amp; Y42 &amp; "'!h2")/1000</f>
        <v>5.5</v>
      </c>
      <c r="F42" s="131" cm="1">
        <f t="array" aca="1" ref="F42:T42" ca="1">INDIRECT("'"&amp;$Y42&amp;"'!b66:p66")</f>
        <v>0</v>
      </c>
      <c r="G42" s="227">
        <f ca="1"/>
        <v>0</v>
      </c>
      <c r="H42" s="227">
        <f ca="1"/>
        <v>0</v>
      </c>
      <c r="I42" s="227">
        <f ca="1"/>
        <v>0</v>
      </c>
      <c r="J42" s="228" t="e">
        <f ca="1"/>
        <v>#DIV/0!</v>
      </c>
      <c r="K42" s="228">
        <f ca="1"/>
        <v>0</v>
      </c>
      <c r="L42" s="228">
        <f ca="1"/>
        <v>0</v>
      </c>
      <c r="M42" s="227">
        <f ca="1"/>
        <v>0</v>
      </c>
      <c r="N42" s="227">
        <f ca="1"/>
        <v>0</v>
      </c>
      <c r="O42" s="229" t="e">
        <f ca="1"/>
        <v>#DIV/0!</v>
      </c>
      <c r="P42" s="229" t="e">
        <f ca="1"/>
        <v>#DIV/0!</v>
      </c>
      <c r="Q42" s="229" t="e">
        <f ca="1"/>
        <v>#DIV/0!</v>
      </c>
      <c r="R42" s="229" t="e">
        <f ca="1"/>
        <v>#DIV/0!</v>
      </c>
      <c r="S42" s="227">
        <f ca="1"/>
        <v>0</v>
      </c>
      <c r="T42" s="227">
        <f ca="1"/>
        <v>0</v>
      </c>
      <c r="U42" s="230"/>
      <c r="Y42" t="s">
        <v>89</v>
      </c>
      <c r="Z42" t="s">
        <v>79</v>
      </c>
    </row>
    <row r="43" spans="1:26">
      <c r="A43" s="215" t="s">
        <v>90</v>
      </c>
      <c r="B43" s="215" t="s">
        <v>158</v>
      </c>
      <c r="C43" s="224" t="s">
        <v>163</v>
      </c>
      <c r="D43" s="130" cm="1">
        <f t="array" aca="1" ref="D43" ca="1">INDIRECT("'" &amp;Y43 &amp; "'!D2")/1000</f>
        <v>3.3170000000000002</v>
      </c>
      <c r="E43" s="216" cm="1">
        <f t="array" aca="1" ref="E43" ca="1">INDIRECT("'" &amp; Y43 &amp; "'!h2")/1000</f>
        <v>2.86</v>
      </c>
      <c r="F43" s="131" cm="1">
        <f t="array" aca="1" ref="F43:T43" ca="1">INDIRECT("'"&amp;$Y43&amp;"'!b66:p66")</f>
        <v>0</v>
      </c>
      <c r="G43" s="227">
        <f ca="1"/>
        <v>0</v>
      </c>
      <c r="H43" s="227">
        <f ca="1"/>
        <v>0</v>
      </c>
      <c r="I43" s="227">
        <f ca="1"/>
        <v>0</v>
      </c>
      <c r="J43" s="228" t="e">
        <f ca="1"/>
        <v>#DIV/0!</v>
      </c>
      <c r="K43" s="228">
        <f ca="1"/>
        <v>0</v>
      </c>
      <c r="L43" s="228">
        <f ca="1"/>
        <v>0</v>
      </c>
      <c r="M43" s="227">
        <f ca="1"/>
        <v>0</v>
      </c>
      <c r="N43" s="227">
        <f ca="1"/>
        <v>0</v>
      </c>
      <c r="O43" s="229" t="e">
        <f ca="1"/>
        <v>#DIV/0!</v>
      </c>
      <c r="P43" s="229" t="e">
        <f ca="1"/>
        <v>#DIV/0!</v>
      </c>
      <c r="Q43" s="229" t="e">
        <f ca="1"/>
        <v>#DIV/0!</v>
      </c>
      <c r="R43" s="229" t="e">
        <f ca="1"/>
        <v>#DIV/0!</v>
      </c>
      <c r="S43" s="227">
        <f ca="1"/>
        <v>0</v>
      </c>
      <c r="T43" s="227">
        <f ca="1"/>
        <v>0</v>
      </c>
      <c r="U43" s="230"/>
      <c r="Y43" t="s">
        <v>90</v>
      </c>
      <c r="Z43" t="s">
        <v>113</v>
      </c>
    </row>
    <row r="44" spans="1:26">
      <c r="A44" s="215" t="s">
        <v>91</v>
      </c>
      <c r="B44" s="215" t="s">
        <v>158</v>
      </c>
      <c r="C44" s="224" t="s">
        <v>163</v>
      </c>
      <c r="D44" s="130" cm="1">
        <f t="array" aca="1" ref="D44" ca="1">INDIRECT("'" &amp;Y44 &amp; "'!D2")/1000</f>
        <v>2.831</v>
      </c>
      <c r="E44" s="216" cm="1">
        <f t="array" aca="1" ref="E44" ca="1">INDIRECT("'" &amp; Y44 &amp; "'!h2")/1000</f>
        <v>2.42</v>
      </c>
      <c r="F44" s="131" cm="1">
        <f t="array" aca="1" ref="F44:T44" ca="1">INDIRECT("'"&amp;$Y44&amp;"'!b66:p66")</f>
        <v>407371</v>
      </c>
      <c r="G44" s="227">
        <f ca="1"/>
        <v>404953</v>
      </c>
      <c r="H44" s="227">
        <f ca="1"/>
        <v>78725</v>
      </c>
      <c r="I44" s="227">
        <f ca="1"/>
        <v>77160</v>
      </c>
      <c r="J44" s="228">
        <f ca="1"/>
        <v>-0.80945936935891327</v>
      </c>
      <c r="K44" s="228">
        <f ca="1"/>
        <v>3.7376606161430861E-2</v>
      </c>
      <c r="L44" s="228">
        <f ca="1"/>
        <v>4.3724451257442454E-2</v>
      </c>
      <c r="M44" s="227">
        <f ca="1"/>
        <v>186.6</v>
      </c>
      <c r="N44" s="227">
        <f ca="1"/>
        <v>34.582000000000001</v>
      </c>
      <c r="O44" s="229">
        <f ca="1"/>
        <v>-0.81467309753483386</v>
      </c>
      <c r="P44" s="229">
        <f ca="1"/>
        <v>0.80412338743000855</v>
      </c>
      <c r="Q44" s="229">
        <f ca="1"/>
        <v>1</v>
      </c>
      <c r="R44" s="229">
        <f ca="1"/>
        <v>0.98333333333333339</v>
      </c>
      <c r="S44" s="227">
        <f ca="1"/>
        <v>494</v>
      </c>
      <c r="T44" s="227">
        <f ca="1"/>
        <v>0</v>
      </c>
      <c r="U44" s="230"/>
      <c r="Y44" t="s">
        <v>91</v>
      </c>
      <c r="Z44" t="s">
        <v>115</v>
      </c>
    </row>
    <row r="45" spans="1:26">
      <c r="A45" s="215" t="s">
        <v>92</v>
      </c>
      <c r="B45" s="215" t="s">
        <v>158</v>
      </c>
      <c r="C45" s="224" t="s">
        <v>163</v>
      </c>
      <c r="D45" s="130" cm="1">
        <f t="array" aca="1" ref="D45" ca="1">INDIRECT("'" &amp;Y45 &amp; "'!D2")/1000</f>
        <v>3.125</v>
      </c>
      <c r="E45" s="216" cm="1">
        <f t="array" aca="1" ref="E45" ca="1">INDIRECT("'" &amp; Y45 &amp; "'!h2")/1000</f>
        <v>2.6</v>
      </c>
      <c r="F45" s="131" cm="1">
        <f t="array" aca="1" ref="F45:T45" ca="1">INDIRECT("'"&amp;$Y45&amp;"'!b66:p66")</f>
        <v>0</v>
      </c>
      <c r="G45" s="227">
        <f ca="1"/>
        <v>0</v>
      </c>
      <c r="H45" s="227">
        <f ca="1"/>
        <v>0</v>
      </c>
      <c r="I45" s="227">
        <f ca="1"/>
        <v>0</v>
      </c>
      <c r="J45" s="228" t="e">
        <f ca="1"/>
        <v>#DIV/0!</v>
      </c>
      <c r="K45" s="228">
        <f ca="1"/>
        <v>0</v>
      </c>
      <c r="L45" s="228">
        <f ca="1"/>
        <v>0</v>
      </c>
      <c r="M45" s="227">
        <f ca="1"/>
        <v>0</v>
      </c>
      <c r="N45" s="227">
        <f ca="1"/>
        <v>0</v>
      </c>
      <c r="O45" s="229" t="e">
        <f ca="1"/>
        <v>#DIV/0!</v>
      </c>
      <c r="P45" s="229" t="e">
        <f ca="1"/>
        <v>#DIV/0!</v>
      </c>
      <c r="Q45" s="229" t="e">
        <f ca="1"/>
        <v>#DIV/0!</v>
      </c>
      <c r="R45" s="229" t="e">
        <f ca="1"/>
        <v>#DIV/0!</v>
      </c>
      <c r="S45" s="227">
        <f ca="1"/>
        <v>0</v>
      </c>
      <c r="T45" s="227">
        <f ca="1"/>
        <v>0</v>
      </c>
      <c r="U45" s="230"/>
      <c r="Y45" t="s">
        <v>92</v>
      </c>
      <c r="Z45" t="s">
        <v>116</v>
      </c>
    </row>
    <row r="46" spans="1:26">
      <c r="A46" s="215" t="s">
        <v>93</v>
      </c>
      <c r="B46" s="215" t="s">
        <v>158</v>
      </c>
      <c r="C46" s="225" t="s">
        <v>162</v>
      </c>
      <c r="D46" s="216" cm="1">
        <f t="array" aca="1" ref="D46" ca="1">INDIRECT("'" &amp;Y46 &amp; "'!D2")/1000</f>
        <v>3</v>
      </c>
      <c r="E46" s="216" cm="1">
        <f t="array" aca="1" ref="E46" ca="1">INDIRECT("'" &amp; Y46 &amp; "'!h2")/1000</f>
        <v>2.4</v>
      </c>
      <c r="F46" s="131" cm="1">
        <f t="array" aca="1" ref="F46:T46" ca="1">INDIRECT("'"&amp;$Y46&amp;"'!b66:p66")</f>
        <v>47130</v>
      </c>
      <c r="G46" s="227">
        <f ca="1"/>
        <v>45879</v>
      </c>
      <c r="H46" s="227">
        <f ca="1"/>
        <v>48759</v>
      </c>
      <c r="I46" s="227">
        <f ca="1"/>
        <v>48180</v>
      </c>
      <c r="J46" s="228">
        <f ca="1"/>
        <v>5.0153665075524753E-2</v>
      </c>
      <c r="K46" s="228">
        <f ca="1"/>
        <v>2.1845430107526886E-2</v>
      </c>
      <c r="L46" s="228">
        <f ca="1"/>
        <v>2.7306787634408601E-2</v>
      </c>
      <c r="M46" s="227">
        <f ca="1"/>
        <v>19.830000000000002</v>
      </c>
      <c r="N46" s="227">
        <f ca="1"/>
        <v>19.835999999999999</v>
      </c>
      <c r="O46" s="229">
        <f ca="1"/>
        <v>3.0257186081677633E-4</v>
      </c>
      <c r="P46" s="229">
        <f ca="1"/>
        <v>0.81936882435975</v>
      </c>
      <c r="Q46" s="229">
        <f ca="1"/>
        <v>1</v>
      </c>
      <c r="R46" s="229">
        <f ca="1"/>
        <v>1</v>
      </c>
      <c r="S46" s="227">
        <f ca="1"/>
        <v>0</v>
      </c>
      <c r="T46" s="227">
        <f ca="1"/>
        <v>0</v>
      </c>
      <c r="U46" s="230"/>
      <c r="Y46" t="s">
        <v>93</v>
      </c>
      <c r="Z46" t="s">
        <v>117</v>
      </c>
    </row>
    <row r="47" spans="1:26">
      <c r="A47" s="215" t="s">
        <v>94</v>
      </c>
      <c r="B47" s="215" t="s">
        <v>158</v>
      </c>
      <c r="C47" s="225" t="s">
        <v>162</v>
      </c>
      <c r="D47" s="130" cm="1">
        <f t="array" aca="1" ref="D47" ca="1">INDIRECT("'" &amp;Y47 &amp; "'!D2")/1000</f>
        <v>1.7154200000000002</v>
      </c>
      <c r="E47" s="216" cm="1">
        <f t="array" aca="1" ref="E47" ca="1">INDIRECT("'" &amp; Y47 &amp; "'!h2")/1000</f>
        <v>1.4</v>
      </c>
      <c r="F47" s="131" cm="1">
        <f t="array" aca="1" ref="F47:T47" ca="1">INDIRECT("'"&amp;$Y47&amp;"'!b66:p66")</f>
        <v>0</v>
      </c>
      <c r="G47" s="227">
        <f ca="1"/>
        <v>0</v>
      </c>
      <c r="H47" s="227">
        <f ca="1"/>
        <v>0</v>
      </c>
      <c r="I47" s="227">
        <f ca="1"/>
        <v>0</v>
      </c>
      <c r="J47" s="228" t="e">
        <f ca="1"/>
        <v>#DIV/0!</v>
      </c>
      <c r="K47" s="228">
        <f ca="1"/>
        <v>0</v>
      </c>
      <c r="L47" s="228">
        <f ca="1"/>
        <v>0</v>
      </c>
      <c r="M47" s="227">
        <f ca="1"/>
        <v>0</v>
      </c>
      <c r="N47" s="227">
        <f ca="1"/>
        <v>0</v>
      </c>
      <c r="O47" s="229" t="e">
        <f ca="1"/>
        <v>#DIV/0!</v>
      </c>
      <c r="P47" s="229" t="e">
        <f ca="1"/>
        <v>#DIV/0!</v>
      </c>
      <c r="Q47" s="229" t="e">
        <f ca="1"/>
        <v>#DIV/0!</v>
      </c>
      <c r="R47" s="229" t="e">
        <f ca="1"/>
        <v>#DIV/0!</v>
      </c>
      <c r="S47" s="227">
        <f ca="1"/>
        <v>0</v>
      </c>
      <c r="T47" s="227">
        <f ca="1"/>
        <v>0</v>
      </c>
      <c r="U47" s="230"/>
      <c r="Y47" t="s">
        <v>94</v>
      </c>
      <c r="Z47" t="s">
        <v>118</v>
      </c>
    </row>
    <row r="48" spans="1:26">
      <c r="A48" s="215" t="s">
        <v>95</v>
      </c>
      <c r="B48" s="215" t="s">
        <v>158</v>
      </c>
      <c r="C48" s="225" t="s">
        <v>162</v>
      </c>
      <c r="D48" s="216" cm="1">
        <f t="array" aca="1" ref="D48" ca="1">INDIRECT("'" &amp;Y48 &amp; "'!D2")/1000</f>
        <v>2.4849999999999999</v>
      </c>
      <c r="E48" s="216" cm="1">
        <f t="array" aca="1" ref="E48" ca="1">INDIRECT("'" &amp; Y48 &amp; "'!h2")/1000</f>
        <v>2</v>
      </c>
      <c r="F48" s="131" cm="1">
        <f t="array" aca="1" ref="F48:T48" ca="1">INDIRECT("'"&amp;$Y48&amp;"'!b66:p66")</f>
        <v>0</v>
      </c>
      <c r="G48" s="227">
        <f ca="1"/>
        <v>0</v>
      </c>
      <c r="H48" s="227">
        <f ca="1"/>
        <v>0</v>
      </c>
      <c r="I48" s="227">
        <f ca="1"/>
        <v>0</v>
      </c>
      <c r="J48" s="228" t="e">
        <f ca="1"/>
        <v>#DIV/0!</v>
      </c>
      <c r="K48" s="228">
        <f ca="1"/>
        <v>0</v>
      </c>
      <c r="L48" s="228">
        <f ca="1"/>
        <v>0</v>
      </c>
      <c r="M48" s="227">
        <f ca="1"/>
        <v>0</v>
      </c>
      <c r="N48" s="227">
        <f ca="1"/>
        <v>0</v>
      </c>
      <c r="O48" s="229" t="e">
        <f ca="1"/>
        <v>#DIV/0!</v>
      </c>
      <c r="P48" s="229" t="e">
        <f ca="1"/>
        <v>#DIV/0!</v>
      </c>
      <c r="Q48" s="229" t="e">
        <f ca="1"/>
        <v>#DIV/0!</v>
      </c>
      <c r="R48" s="229" t="e">
        <f ca="1"/>
        <v>#DIV/0!</v>
      </c>
      <c r="S48" s="227">
        <f ca="1"/>
        <v>0</v>
      </c>
      <c r="T48" s="227">
        <f ca="1"/>
        <v>0</v>
      </c>
      <c r="U48" s="230"/>
      <c r="Y48" t="s">
        <v>95</v>
      </c>
      <c r="Z48" t="s">
        <v>119</v>
      </c>
    </row>
    <row r="49" spans="1:26">
      <c r="A49" s="215" t="s">
        <v>96</v>
      </c>
      <c r="B49" s="215" t="s">
        <v>158</v>
      </c>
      <c r="C49" s="225" t="s">
        <v>162</v>
      </c>
      <c r="D49" s="216" cm="1">
        <f t="array" aca="1" ref="D49" ca="1">INDIRECT("'" &amp;Y49 &amp; "'!D2")/1000</f>
        <v>3</v>
      </c>
      <c r="E49" s="216" cm="1">
        <f t="array" aca="1" ref="E49" ca="1">INDIRECT("'" &amp; Y49 &amp; "'!h2")/1000</f>
        <v>2.42</v>
      </c>
      <c r="F49" s="131" cm="1">
        <f t="array" aca="1" ref="F49:T49" ca="1">INDIRECT("'"&amp;$Y49&amp;"'!b66:p66")</f>
        <v>475292</v>
      </c>
      <c r="G49" s="227">
        <f ca="1"/>
        <v>457994</v>
      </c>
      <c r="H49" s="227">
        <f ca="1"/>
        <v>71703</v>
      </c>
      <c r="I49" s="227">
        <f ca="1"/>
        <v>69960</v>
      </c>
      <c r="J49" s="228">
        <f ca="1"/>
        <v>-0.84724690716472273</v>
      </c>
      <c r="K49" s="228">
        <f ca="1"/>
        <v>3.2125000000000001E-2</v>
      </c>
      <c r="L49" s="228">
        <f ca="1"/>
        <v>3.9824380165289261E-2</v>
      </c>
      <c r="M49" s="227">
        <f ca="1"/>
        <v>206.49100000000001</v>
      </c>
      <c r="N49" s="227">
        <f ca="1"/>
        <v>32</v>
      </c>
      <c r="O49" s="229">
        <f ca="1"/>
        <v>-0.84502956545321584</v>
      </c>
      <c r="P49" s="229">
        <f ca="1"/>
        <v>0.74690624999999999</v>
      </c>
      <c r="Q49" s="229">
        <f ca="1"/>
        <v>1</v>
      </c>
      <c r="R49" s="229">
        <f ca="1"/>
        <v>1</v>
      </c>
      <c r="S49" s="227">
        <f ca="1"/>
        <v>8505</v>
      </c>
      <c r="T49" s="227">
        <f ca="1"/>
        <v>0</v>
      </c>
      <c r="U49" s="230"/>
      <c r="Y49" t="s">
        <v>96</v>
      </c>
      <c r="Z49" t="s">
        <v>120</v>
      </c>
    </row>
    <row r="50" spans="1:26">
      <c r="A50" s="215" t="s">
        <v>97</v>
      </c>
      <c r="B50" s="215" t="s">
        <v>158</v>
      </c>
      <c r="C50" s="225" t="s">
        <v>162</v>
      </c>
      <c r="D50" s="216" cm="1">
        <f t="array" aca="1" ref="D50" ca="1">INDIRECT("'" &amp;Y50 &amp; "'!D2")/1000</f>
        <v>4.8</v>
      </c>
      <c r="E50" s="216" cm="1">
        <f t="array" aca="1" ref="E50" ca="1">INDIRECT("'" &amp; Y50 &amp; "'!h2")/1000</f>
        <v>3.6</v>
      </c>
      <c r="F50" s="131" cm="1">
        <f t="array" aca="1" ref="F50:T50" ca="1">INDIRECT("'"&amp;$Y50&amp;"'!b66:p66")</f>
        <v>79377</v>
      </c>
      <c r="G50" s="227">
        <f ca="1"/>
        <v>65406</v>
      </c>
      <c r="H50" s="227">
        <f ca="1"/>
        <v>78386</v>
      </c>
      <c r="I50" s="227">
        <f ca="1"/>
        <v>77250</v>
      </c>
      <c r="J50" s="228">
        <f ca="1"/>
        <v>0.18108430419227595</v>
      </c>
      <c r="K50" s="228">
        <f ca="1"/>
        <v>2.1949484767025091E-2</v>
      </c>
      <c r="L50" s="228">
        <f ca="1"/>
        <v>2.926597968936679E-2</v>
      </c>
      <c r="M50" s="227">
        <f ca="1"/>
        <v>20.64</v>
      </c>
      <c r="N50" s="227">
        <f ca="1"/>
        <v>19.350000000000001</v>
      </c>
      <c r="O50" s="229">
        <f ca="1"/>
        <v>-6.2499999999999958E-2</v>
      </c>
      <c r="P50" s="229">
        <f ca="1"/>
        <v>0.84394918173987943</v>
      </c>
      <c r="Q50" s="229">
        <f ca="1"/>
        <v>1</v>
      </c>
      <c r="R50" s="229">
        <f ca="1"/>
        <v>1</v>
      </c>
      <c r="S50" s="227">
        <f ca="1"/>
        <v>0</v>
      </c>
      <c r="T50" s="227">
        <f ca="1"/>
        <v>0</v>
      </c>
      <c r="U50" s="230"/>
      <c r="Y50" t="s">
        <v>97</v>
      </c>
      <c r="Z50" t="s">
        <v>121</v>
      </c>
    </row>
    <row r="51" spans="1:26">
      <c r="A51" s="215" t="s">
        <v>98</v>
      </c>
      <c r="B51" s="215" t="s">
        <v>158</v>
      </c>
      <c r="C51" s="224" t="s">
        <v>163</v>
      </c>
      <c r="D51" s="216" cm="1">
        <f t="array" aca="1" ref="D51" ca="1">INDIRECT("'" &amp;Y51 &amp; "'!D2")/1000</f>
        <v>1.7</v>
      </c>
      <c r="E51" s="216" cm="1">
        <f t="array" aca="1" ref="E51" ca="1">INDIRECT("'" &amp; Y51 &amp; "'!h2")/1000</f>
        <v>1.28</v>
      </c>
      <c r="F51" s="131" cm="1">
        <f t="array" aca="1" ref="F51:T51" ca="1">INDIRECT("'"&amp;$Y51&amp;"'!b66:p66")</f>
        <v>0</v>
      </c>
      <c r="G51" s="227">
        <f ca="1"/>
        <v>0</v>
      </c>
      <c r="H51" s="227">
        <f ca="1"/>
        <v>0</v>
      </c>
      <c r="I51" s="227">
        <f ca="1"/>
        <v>0</v>
      </c>
      <c r="J51" s="228" t="e">
        <f ca="1"/>
        <v>#DIV/0!</v>
      </c>
      <c r="K51" s="228">
        <f ca="1"/>
        <v>0</v>
      </c>
      <c r="L51" s="228">
        <f ca="1"/>
        <v>0</v>
      </c>
      <c r="M51" s="227">
        <f ca="1"/>
        <v>0</v>
      </c>
      <c r="N51" s="227">
        <f ca="1"/>
        <v>0</v>
      </c>
      <c r="O51" s="229" t="e">
        <f ca="1"/>
        <v>#DIV/0!</v>
      </c>
      <c r="P51" s="229" t="e">
        <f ca="1"/>
        <v>#DIV/0!</v>
      </c>
      <c r="Q51" s="229" t="e">
        <f ca="1"/>
        <v>#DIV/0!</v>
      </c>
      <c r="R51" s="229" t="e">
        <f ca="1"/>
        <v>#DIV/0!</v>
      </c>
      <c r="S51" s="227">
        <f ca="1"/>
        <v>0</v>
      </c>
      <c r="T51" s="227">
        <f ca="1"/>
        <v>0</v>
      </c>
      <c r="U51" s="230"/>
      <c r="Y51" t="s">
        <v>98</v>
      </c>
      <c r="Z51" t="s">
        <v>122</v>
      </c>
    </row>
    <row r="52" spans="1:26">
      <c r="A52" s="215" t="s">
        <v>99</v>
      </c>
      <c r="B52" s="215" t="s">
        <v>158</v>
      </c>
      <c r="C52" s="225" t="s">
        <v>162</v>
      </c>
      <c r="D52" s="216" cm="1">
        <f t="array" aca="1" ref="D52" ca="1">INDIRECT("'" &amp;Y52 &amp; "'!D2")/1000</f>
        <v>4.5999999999999996</v>
      </c>
      <c r="E52" s="216" cm="1">
        <f t="array" aca="1" ref="E52" ca="1">INDIRECT("'" &amp; Y52 &amp; "'!h2")/1000</f>
        <v>3.96</v>
      </c>
      <c r="F52" s="131" cm="1">
        <f t="array" aca="1" ref="F52:T52" ca="1">INDIRECT("'"&amp;$Y52&amp;"'!b66:p66")</f>
        <v>976252</v>
      </c>
      <c r="G52" s="227">
        <f ca="1"/>
        <v>971540</v>
      </c>
      <c r="H52" s="227">
        <f ca="1"/>
        <v>144897</v>
      </c>
      <c r="I52" s="227">
        <f ca="1"/>
        <v>142350</v>
      </c>
      <c r="J52" s="228">
        <f ca="1"/>
        <v>-0.8534800419951829</v>
      </c>
      <c r="K52" s="228">
        <f ca="1"/>
        <v>4.2337833099579246E-2</v>
      </c>
      <c r="L52" s="228">
        <f ca="1"/>
        <v>4.9180311176278919E-2</v>
      </c>
      <c r="M52" s="227">
        <f ca="1"/>
        <v>251.72000000000008</v>
      </c>
      <c r="N52" s="227">
        <f ca="1"/>
        <v>39.573</v>
      </c>
      <c r="O52" s="229">
        <f ca="1"/>
        <v>-0.84278960750039733</v>
      </c>
      <c r="P52" s="229">
        <f ca="1"/>
        <v>0.79598079059174076</v>
      </c>
      <c r="Q52" s="229">
        <f ca="1"/>
        <v>0.98518000000000006</v>
      </c>
      <c r="R52" s="229">
        <f ca="1"/>
        <v>0.84198000000000006</v>
      </c>
      <c r="S52" s="227">
        <f ca="1"/>
        <v>26435</v>
      </c>
      <c r="T52" s="227">
        <f ca="1"/>
        <v>1424</v>
      </c>
      <c r="U52" s="230"/>
      <c r="Y52" t="s">
        <v>99</v>
      </c>
      <c r="Z52" t="s">
        <v>123</v>
      </c>
    </row>
    <row r="53" spans="1:26">
      <c r="A53" s="215" t="s">
        <v>100</v>
      </c>
      <c r="B53" s="215" t="s">
        <v>158</v>
      </c>
      <c r="C53" s="225" t="s">
        <v>162</v>
      </c>
      <c r="D53" s="216" cm="1">
        <f t="array" aca="1" ref="D53" ca="1">INDIRECT("'" &amp;Y53 &amp; "'!D2")/1000</f>
        <v>3.8</v>
      </c>
      <c r="E53" s="216" cm="1">
        <f t="array" aca="1" ref="E53" ca="1">INDIRECT("'" &amp; Y53 &amp; "'!h2")/1000</f>
        <v>2.86</v>
      </c>
      <c r="F53" s="131" cm="1">
        <f t="array" aca="1" ref="F53:T53" ca="1">INDIRECT("'"&amp;$Y53&amp;"'!b66:p66")</f>
        <v>590121.00000000023</v>
      </c>
      <c r="G53" s="227">
        <f ca="1"/>
        <v>736579.99999999977</v>
      </c>
      <c r="H53" s="227">
        <f ca="1"/>
        <v>105520</v>
      </c>
      <c r="I53" s="227">
        <f ca="1"/>
        <v>201960</v>
      </c>
      <c r="J53" s="228">
        <f ca="1"/>
        <v>-0.72581389665752527</v>
      </c>
      <c r="K53" s="228">
        <f ca="1"/>
        <v>3.7323146576117711E-2</v>
      </c>
      <c r="L53" s="228">
        <f ca="1"/>
        <v>4.959019475148508E-2</v>
      </c>
      <c r="M53" s="227">
        <f ca="1"/>
        <v>222.99999999999989</v>
      </c>
      <c r="N53" s="227">
        <f ca="1"/>
        <v>33.048000000000002</v>
      </c>
      <c r="O53" s="229">
        <f ca="1"/>
        <v>-0.85180269058295954</v>
      </c>
      <c r="P53" s="229">
        <f ca="1"/>
        <v>0.84024512989081268</v>
      </c>
      <c r="Q53" s="229">
        <f ca="1"/>
        <v>0.99600000000000011</v>
      </c>
      <c r="R53" s="229">
        <f ca="1"/>
        <v>0.8706799999999999</v>
      </c>
      <c r="S53" s="227">
        <f ca="1"/>
        <v>20241</v>
      </c>
      <c r="T53" s="227">
        <f ca="1"/>
        <v>1062</v>
      </c>
      <c r="U53" s="230"/>
      <c r="Y53" t="s">
        <v>100</v>
      </c>
      <c r="Z53" t="s">
        <v>124</v>
      </c>
    </row>
    <row r="54" spans="1:26">
      <c r="A54" s="215" t="s">
        <v>101</v>
      </c>
      <c r="B54" s="215" t="s">
        <v>158</v>
      </c>
      <c r="C54" s="225" t="s">
        <v>162</v>
      </c>
      <c r="D54" s="216" cm="1">
        <f t="array" aca="1" ref="D54" ca="1">INDIRECT("'" &amp;Y54 &amp; "'!D2")/1000</f>
        <v>2.1</v>
      </c>
      <c r="E54" s="216" cm="1">
        <f t="array" aca="1" ref="E54" ca="1">INDIRECT("'" &amp; Y54 &amp; "'!h2")/1000</f>
        <v>1.76</v>
      </c>
      <c r="F54" s="131" cm="1">
        <f t="array" aca="1" ref="F54:T54" ca="1">INDIRECT("'"&amp;$Y54&amp;"'!b66:p66")</f>
        <v>509144</v>
      </c>
      <c r="G54" s="227">
        <f ca="1"/>
        <v>409523.00000000006</v>
      </c>
      <c r="H54" s="227">
        <f ca="1"/>
        <v>69900</v>
      </c>
      <c r="I54" s="227">
        <f ca="1"/>
        <v>68060</v>
      </c>
      <c r="J54" s="228">
        <f ca="1"/>
        <v>-0.83380664822244421</v>
      </c>
      <c r="K54" s="228">
        <f ca="1"/>
        <v>4.473886328725038E-2</v>
      </c>
      <c r="L54" s="228">
        <f ca="1"/>
        <v>5.3381598240469209E-2</v>
      </c>
      <c r="M54" s="227">
        <f ca="1"/>
        <v>222.99999999999989</v>
      </c>
      <c r="N54" s="227">
        <f ca="1"/>
        <v>39.320999999999998</v>
      </c>
      <c r="O54" s="229">
        <f ca="1"/>
        <v>-0.82367264573991028</v>
      </c>
      <c r="P54" s="229">
        <f ca="1"/>
        <v>0.84651240522149207</v>
      </c>
      <c r="Q54" s="229">
        <f ca="1"/>
        <v>1</v>
      </c>
      <c r="R54" s="229">
        <f ca="1"/>
        <v>0.99199999999999999</v>
      </c>
      <c r="S54" s="227">
        <f ca="1"/>
        <v>519</v>
      </c>
      <c r="T54" s="227">
        <f ca="1"/>
        <v>0</v>
      </c>
      <c r="U54" s="230"/>
      <c r="Y54" t="s">
        <v>101</v>
      </c>
      <c r="Z54" t="s">
        <v>125</v>
      </c>
    </row>
    <row r="55" spans="1:26">
      <c r="A55" s="215" t="s">
        <v>102</v>
      </c>
      <c r="B55" s="215" t="s">
        <v>158</v>
      </c>
      <c r="C55" s="225" t="s">
        <v>162</v>
      </c>
      <c r="D55" s="216" cm="1">
        <f t="array" aca="1" ref="D55" ca="1">INDIRECT("'" &amp;Y55 &amp; "'!D2")/1000</f>
        <v>2.0528400000000002</v>
      </c>
      <c r="E55" s="216" cm="1">
        <f t="array" aca="1" ref="E55" ca="1">INDIRECT("'" &amp; Y55 &amp; "'!h2")/1000</f>
        <v>1.6</v>
      </c>
      <c r="F55" s="131" cm="1">
        <f t="array" aca="1" ref="F55:T55" ca="1">INDIRECT("'"&amp;$Y55&amp;"'!b66:p66")</f>
        <v>33663</v>
      </c>
      <c r="G55" s="227">
        <f ca="1"/>
        <v>29535</v>
      </c>
      <c r="H55" s="227">
        <f ca="1"/>
        <v>34203</v>
      </c>
      <c r="I55" s="227">
        <f ca="1"/>
        <v>33640</v>
      </c>
      <c r="J55" s="228">
        <f ca="1"/>
        <v>0.13898764178093787</v>
      </c>
      <c r="K55" s="228">
        <f ca="1"/>
        <v>2.2394231500530184E-2</v>
      </c>
      <c r="L55" s="228">
        <f ca="1"/>
        <v>2.8732358870967738E-2</v>
      </c>
      <c r="M55" s="227">
        <f ca="1"/>
        <v>19.98</v>
      </c>
      <c r="N55" s="227">
        <f ca="1"/>
        <v>19.427</v>
      </c>
      <c r="O55" s="229">
        <f ca="1"/>
        <v>-2.7677677677677717E-2</v>
      </c>
      <c r="P55" s="229">
        <f ca="1"/>
        <v>0.85763670337131093</v>
      </c>
      <c r="Q55" s="229">
        <f ca="1"/>
        <v>1</v>
      </c>
      <c r="R55" s="229">
        <f ca="1"/>
        <v>1</v>
      </c>
      <c r="S55" s="227">
        <f ca="1"/>
        <v>0</v>
      </c>
      <c r="T55" s="227">
        <f ca="1"/>
        <v>0</v>
      </c>
      <c r="U55" s="230"/>
      <c r="Y55" t="s">
        <v>102</v>
      </c>
      <c r="Z55" t="s">
        <v>126</v>
      </c>
    </row>
    <row r="56" spans="1:26">
      <c r="A56" s="215" t="s">
        <v>103</v>
      </c>
      <c r="B56" s="215" t="s">
        <v>158</v>
      </c>
      <c r="C56" s="224" t="s">
        <v>163</v>
      </c>
      <c r="D56" s="216" cm="1">
        <f t="array" aca="1" ref="D56" ca="1">INDIRECT("'" &amp;Y56 &amp; "'!D2")/1000</f>
        <v>8.75</v>
      </c>
      <c r="E56" s="216" cm="1">
        <f t="array" aca="1" ref="E56" ca="1">INDIRECT("'" &amp; Y56 &amp; "'!h2")/1000</f>
        <v>6.3250000000000002</v>
      </c>
      <c r="F56" s="131" cm="1">
        <f t="array" aca="1" ref="F56:T56" ca="1">INDIRECT("'"&amp;$Y56&amp;"'!b66:p66")</f>
        <v>0</v>
      </c>
      <c r="G56" s="227">
        <f ca="1"/>
        <v>0</v>
      </c>
      <c r="H56" s="227">
        <f ca="1"/>
        <v>0</v>
      </c>
      <c r="I56" s="227">
        <f ca="1"/>
        <v>0</v>
      </c>
      <c r="J56" s="228" t="e">
        <f ca="1"/>
        <v>#DIV/0!</v>
      </c>
      <c r="K56" s="228">
        <f ca="1"/>
        <v>0</v>
      </c>
      <c r="L56" s="228">
        <f ca="1"/>
        <v>0</v>
      </c>
      <c r="M56" s="227">
        <f ca="1"/>
        <v>0</v>
      </c>
      <c r="N56" s="227">
        <f ca="1"/>
        <v>0</v>
      </c>
      <c r="O56" s="229" t="e">
        <f ca="1"/>
        <v>#DIV/0!</v>
      </c>
      <c r="P56" s="229" t="e">
        <f ca="1"/>
        <v>#DIV/0!</v>
      </c>
      <c r="Q56" s="229" t="e">
        <f ca="1"/>
        <v>#DIV/0!</v>
      </c>
      <c r="R56" s="229" t="e">
        <f ca="1"/>
        <v>#DIV/0!</v>
      </c>
      <c r="S56" s="227">
        <f ca="1"/>
        <v>0</v>
      </c>
      <c r="T56" s="227">
        <f ca="1"/>
        <v>0</v>
      </c>
      <c r="U56" s="230"/>
      <c r="Y56" t="s">
        <v>103</v>
      </c>
      <c r="Z56" t="s">
        <v>127</v>
      </c>
    </row>
    <row r="57" spans="1:26">
      <c r="A57" s="234" t="s">
        <v>104</v>
      </c>
      <c r="B57" s="215" t="s">
        <v>158</v>
      </c>
      <c r="C57" s="238" t="s">
        <v>163</v>
      </c>
      <c r="D57" s="216" cm="1">
        <f t="array" aca="1" ref="D57" ca="1">INDIRECT("'" &amp;Y57 &amp; "'!D2")/1000</f>
        <v>4</v>
      </c>
      <c r="E57" s="216" cm="1">
        <f t="array" aca="1" ref="E57" ca="1">INDIRECT("'" &amp; Y57 &amp; "'!h2")/1000</f>
        <v>3.0249999999999999</v>
      </c>
      <c r="F57" s="131" cm="1">
        <f t="array" aca="1" ref="F57:T57" ca="1">INDIRECT("'"&amp;$Y57&amp;"'!b66:p66")</f>
        <v>0</v>
      </c>
      <c r="G57" s="212">
        <f ca="1"/>
        <v>0</v>
      </c>
      <c r="H57" s="212">
        <f ca="1"/>
        <v>0</v>
      </c>
      <c r="I57" s="212">
        <f ca="1"/>
        <v>0</v>
      </c>
      <c r="J57" s="213" t="e">
        <f ca="1"/>
        <v>#DIV/0!</v>
      </c>
      <c r="K57" s="213">
        <f ca="1"/>
        <v>0</v>
      </c>
      <c r="L57" s="213">
        <f ca="1"/>
        <v>0</v>
      </c>
      <c r="M57" s="212">
        <f ca="1"/>
        <v>0</v>
      </c>
      <c r="N57" s="212">
        <f ca="1"/>
        <v>0</v>
      </c>
      <c r="O57" s="214" t="e">
        <f ca="1"/>
        <v>#DIV/0!</v>
      </c>
      <c r="P57" s="214" t="e">
        <f ca="1"/>
        <v>#DIV/0!</v>
      </c>
      <c r="Q57" s="214" t="e">
        <f ca="1"/>
        <v>#DIV/0!</v>
      </c>
      <c r="R57" s="214" t="e">
        <f ca="1"/>
        <v>#DIV/0!</v>
      </c>
      <c r="S57" s="212">
        <f ca="1"/>
        <v>0</v>
      </c>
      <c r="T57" s="212">
        <f ca="1"/>
        <v>0</v>
      </c>
      <c r="U57" s="128"/>
      <c r="Y57" t="s">
        <v>104</v>
      </c>
      <c r="Z57" t="s">
        <v>128</v>
      </c>
    </row>
    <row r="58" spans="1:26">
      <c r="A58" s="235" t="s">
        <v>105</v>
      </c>
      <c r="B58" s="236" t="s">
        <v>158</v>
      </c>
      <c r="C58" s="235" t="s">
        <v>162</v>
      </c>
      <c r="D58" s="239" cm="1">
        <f t="array" aca="1" ref="D58" ca="1">INDIRECT("'" &amp;A58 &amp; "'!D2")/1000</f>
        <v>2.9</v>
      </c>
      <c r="E58" s="216" cm="1">
        <f t="array" aca="1" ref="E58" ca="1">INDIRECT("'" &amp; A58 &amp; "'!h2")/1000</f>
        <v>2.2000000000000002</v>
      </c>
      <c r="F58" s="131" cm="1">
        <f t="array" aca="1" ref="F58:T58" ca="1">INDIRECT("'"&amp;$Y58&amp;"'!b66:p66")</f>
        <v>0</v>
      </c>
      <c r="G58" s="212">
        <f ca="1"/>
        <v>0</v>
      </c>
      <c r="H58" s="212">
        <f ca="1"/>
        <v>0</v>
      </c>
      <c r="I58" s="212">
        <f ca="1"/>
        <v>0</v>
      </c>
      <c r="J58" s="213" t="e">
        <f ca="1"/>
        <v>#DIV/0!</v>
      </c>
      <c r="K58" s="213">
        <f ca="1"/>
        <v>0</v>
      </c>
      <c r="L58" s="213">
        <f ca="1"/>
        <v>0</v>
      </c>
      <c r="M58" s="212">
        <f ca="1"/>
        <v>0</v>
      </c>
      <c r="N58" s="212">
        <f ca="1"/>
        <v>0</v>
      </c>
      <c r="O58" s="214" t="e">
        <f ca="1"/>
        <v>#DIV/0!</v>
      </c>
      <c r="P58" s="214" t="e">
        <f ca="1"/>
        <v>#DIV/0!</v>
      </c>
      <c r="Q58" s="214" t="e">
        <f ca="1"/>
        <v>#DIV/0!</v>
      </c>
      <c r="R58" s="214" t="e">
        <f ca="1"/>
        <v>#DIV/0!</v>
      </c>
      <c r="S58" s="212">
        <f ca="1"/>
        <v>0</v>
      </c>
      <c r="T58" s="212">
        <f ca="1"/>
        <v>0</v>
      </c>
      <c r="U58" s="223"/>
      <c r="Y58" t="s">
        <v>105</v>
      </c>
      <c r="Z58" t="s">
        <v>129</v>
      </c>
    </row>
    <row r="59" spans="1:26">
      <c r="A59" s="235" t="s">
        <v>107</v>
      </c>
      <c r="B59" s="236" t="s">
        <v>158</v>
      </c>
      <c r="C59" s="235" t="s">
        <v>162</v>
      </c>
      <c r="D59" s="239" cm="1">
        <f t="array" aca="1" ref="D59" ca="1">INDIRECT("'" &amp;A59 &amp; "'!D2")/1000</f>
        <v>1</v>
      </c>
      <c r="E59" s="216" cm="1">
        <f t="array" aca="1" ref="E59" ca="1">INDIRECT("'" &amp; A59 &amp; "'!h2")/1000</f>
        <v>0.8</v>
      </c>
      <c r="F59" s="131" cm="1">
        <f t="array" aca="1" ref="F59" ca="1">INDIRECT("'"&amp;$Y59&amp;"'!b66:p66")</f>
        <v>0</v>
      </c>
      <c r="G59" s="212"/>
      <c r="H59" s="212"/>
      <c r="I59" s="212"/>
      <c r="J59" s="213"/>
      <c r="K59" s="213"/>
      <c r="L59" s="213"/>
      <c r="M59" s="212"/>
      <c r="N59" s="212"/>
      <c r="O59" s="214"/>
      <c r="P59" s="214"/>
      <c r="Q59" s="214"/>
      <c r="R59" s="214"/>
      <c r="S59" s="212"/>
      <c r="T59" s="212"/>
      <c r="U59" s="223"/>
      <c r="Y59" t="s">
        <v>107</v>
      </c>
      <c r="Z59" t="s">
        <v>130</v>
      </c>
    </row>
    <row r="60" spans="1:26">
      <c r="A60" s="235" t="s">
        <v>108</v>
      </c>
      <c r="B60" s="236" t="s">
        <v>158</v>
      </c>
      <c r="C60" s="235" t="s">
        <v>162</v>
      </c>
      <c r="D60" s="239" cm="1">
        <f t="array" aca="1" ref="D60" ca="1">INDIRECT("'" &amp;A60 &amp; "'!D2")/1000</f>
        <v>1.343</v>
      </c>
      <c r="E60" s="216" cm="1">
        <f t="array" aca="1" ref="E60" ca="1">INDIRECT("'" &amp; A60 &amp; "'!h2")/1000</f>
        <v>1.125</v>
      </c>
      <c r="F60" s="131" cm="1">
        <f t="array" aca="1" ref="F60:T60" ca="1">INDIRECT("'"&amp;$Y60&amp;"'!b66:p66")</f>
        <v>0</v>
      </c>
      <c r="G60" s="212">
        <f ca="1"/>
        <v>0</v>
      </c>
      <c r="H60" s="212">
        <f ca="1"/>
        <v>0</v>
      </c>
      <c r="I60" s="212">
        <f ca="1"/>
        <v>0</v>
      </c>
      <c r="J60" s="213" t="e">
        <f ca="1"/>
        <v>#DIV/0!</v>
      </c>
      <c r="K60" s="213">
        <f ca="1"/>
        <v>0</v>
      </c>
      <c r="L60" s="213">
        <f ca="1"/>
        <v>0</v>
      </c>
      <c r="M60" s="212">
        <f ca="1"/>
        <v>0</v>
      </c>
      <c r="N60" s="212">
        <f ca="1"/>
        <v>0</v>
      </c>
      <c r="O60" s="214" t="e">
        <f ca="1"/>
        <v>#DIV/0!</v>
      </c>
      <c r="P60" s="214" t="e">
        <f ca="1"/>
        <v>#DIV/0!</v>
      </c>
      <c r="Q60" s="214" t="e">
        <f ca="1"/>
        <v>#DIV/0!</v>
      </c>
      <c r="R60" s="214" t="e">
        <f ca="1"/>
        <v>#DIV/0!</v>
      </c>
      <c r="S60" s="212">
        <f ca="1"/>
        <v>0</v>
      </c>
      <c r="T60" s="212">
        <f ca="1"/>
        <v>0</v>
      </c>
      <c r="U60" s="223"/>
      <c r="Y60" t="s">
        <v>108</v>
      </c>
      <c r="Z60" t="s">
        <v>80</v>
      </c>
    </row>
    <row r="61" spans="1:26">
      <c r="A61" s="235" t="s">
        <v>109</v>
      </c>
      <c r="B61" s="236" t="s">
        <v>158</v>
      </c>
      <c r="C61" s="235" t="s">
        <v>162</v>
      </c>
      <c r="D61" s="239" cm="1">
        <f t="array" aca="1" ref="D61" ca="1">INDIRECT("'" &amp;A61 &amp; "'!D2")/1000</f>
        <v>1.5</v>
      </c>
      <c r="E61" s="216" cm="1">
        <f t="array" aca="1" ref="E61" ca="1">INDIRECT("'" &amp; A61 &amp; "'!h2")/1000</f>
        <v>1.2</v>
      </c>
      <c r="F61" s="131" cm="1">
        <f t="array" aca="1" ref="F61:T61" ca="1">INDIRECT("'"&amp;$Y61&amp;"'!b66:p66")</f>
        <v>0</v>
      </c>
      <c r="G61" s="212">
        <f ca="1"/>
        <v>0</v>
      </c>
      <c r="H61" s="212">
        <f ca="1"/>
        <v>0</v>
      </c>
      <c r="I61" s="212">
        <f ca="1"/>
        <v>0</v>
      </c>
      <c r="J61" s="213" t="e">
        <f ca="1"/>
        <v>#DIV/0!</v>
      </c>
      <c r="K61" s="213">
        <f ca="1"/>
        <v>0</v>
      </c>
      <c r="L61" s="213">
        <f ca="1"/>
        <v>0</v>
      </c>
      <c r="M61" s="212">
        <f ca="1"/>
        <v>0</v>
      </c>
      <c r="N61" s="212">
        <f ca="1"/>
        <v>0</v>
      </c>
      <c r="O61" s="214" t="e">
        <f ca="1"/>
        <v>#DIV/0!</v>
      </c>
      <c r="P61" s="214" t="e">
        <f ca="1"/>
        <v>#DIV/0!</v>
      </c>
      <c r="Q61" s="214" t="e">
        <f ca="1"/>
        <v>#DIV/0!</v>
      </c>
      <c r="R61" s="214" t="e">
        <f ca="1"/>
        <v>#DIV/0!</v>
      </c>
      <c r="S61" s="212">
        <f ca="1"/>
        <v>0</v>
      </c>
      <c r="T61" s="212">
        <f ca="1"/>
        <v>0</v>
      </c>
      <c r="U61" s="223"/>
      <c r="Y61" t="s">
        <v>109</v>
      </c>
      <c r="Z61" t="s">
        <v>82</v>
      </c>
    </row>
    <row r="62" spans="1:26">
      <c r="A62" s="235" t="s">
        <v>110</v>
      </c>
      <c r="B62" s="236" t="s">
        <v>158</v>
      </c>
      <c r="C62" s="235" t="s">
        <v>162</v>
      </c>
      <c r="D62" s="239" cm="1">
        <f t="array" aca="1" ref="D62" ca="1">INDIRECT("'" &amp;A62 &amp; "'!D2")/1000</f>
        <v>3</v>
      </c>
      <c r="E62" s="216" cm="1">
        <f t="array" aca="1" ref="E62" ca="1">INDIRECT("'" &amp; A62 &amp; "'!h2")/1000</f>
        <v>2.4</v>
      </c>
      <c r="F62" s="131" cm="1">
        <f t="array" aca="1" ref="F62:T62" ca="1">INDIRECT("'"&amp;$Y62&amp;"'!b66:p66")</f>
        <v>0</v>
      </c>
      <c r="G62" s="212">
        <f ca="1"/>
        <v>0</v>
      </c>
      <c r="H62" s="212">
        <f ca="1"/>
        <v>0</v>
      </c>
      <c r="I62" s="212">
        <f ca="1"/>
        <v>0</v>
      </c>
      <c r="J62" s="213" t="e">
        <f ca="1"/>
        <v>#DIV/0!</v>
      </c>
      <c r="K62" s="213">
        <f ca="1"/>
        <v>0</v>
      </c>
      <c r="L62" s="213">
        <f ca="1"/>
        <v>0</v>
      </c>
      <c r="M62" s="212">
        <f ca="1"/>
        <v>0</v>
      </c>
      <c r="N62" s="212">
        <f ca="1"/>
        <v>0</v>
      </c>
      <c r="O62" s="214" t="e">
        <f ca="1"/>
        <v>#DIV/0!</v>
      </c>
      <c r="P62" s="214" t="e">
        <f ca="1"/>
        <v>#DIV/0!</v>
      </c>
      <c r="Q62" s="214" t="e">
        <f ca="1"/>
        <v>#DIV/0!</v>
      </c>
      <c r="R62" s="214" t="e">
        <f ca="1"/>
        <v>#DIV/0!</v>
      </c>
      <c r="S62" s="212">
        <f ca="1"/>
        <v>0</v>
      </c>
      <c r="T62" s="212">
        <f ca="1"/>
        <v>0</v>
      </c>
      <c r="U62" s="223"/>
      <c r="Y62" t="s">
        <v>110</v>
      </c>
      <c r="Z62" t="s">
        <v>83</v>
      </c>
    </row>
    <row r="63" spans="1:26">
      <c r="A63" s="235" t="s">
        <v>111</v>
      </c>
      <c r="B63" s="236" t="s">
        <v>158</v>
      </c>
      <c r="C63" s="235" t="s">
        <v>162</v>
      </c>
      <c r="D63" s="239" cm="1">
        <f t="array" aca="1" ref="D63" ca="1">INDIRECT("'" &amp;A63 &amp; "'!D2")/1000</f>
        <v>1.5</v>
      </c>
      <c r="E63" s="216" cm="1">
        <f t="array" aca="1" ref="E63" ca="1">INDIRECT("'" &amp; A63 &amp; "'!h2")/1000</f>
        <v>1.2</v>
      </c>
      <c r="F63" s="131" cm="1">
        <f t="array" aca="1" ref="F63:T63" ca="1">INDIRECT("'"&amp;$Y63&amp;"'!b66:p66")</f>
        <v>0</v>
      </c>
      <c r="G63" s="212">
        <f ca="1"/>
        <v>0</v>
      </c>
      <c r="H63" s="212">
        <f ca="1"/>
        <v>0</v>
      </c>
      <c r="I63" s="212">
        <f ca="1"/>
        <v>0</v>
      </c>
      <c r="J63" s="213" t="e">
        <f ca="1"/>
        <v>#DIV/0!</v>
      </c>
      <c r="K63" s="213">
        <f ca="1"/>
        <v>0</v>
      </c>
      <c r="L63" s="213">
        <f ca="1"/>
        <v>0</v>
      </c>
      <c r="M63" s="212">
        <f ca="1"/>
        <v>0</v>
      </c>
      <c r="N63" s="212">
        <f ca="1"/>
        <v>0</v>
      </c>
      <c r="O63" s="214" t="e">
        <f ca="1"/>
        <v>#DIV/0!</v>
      </c>
      <c r="P63" s="214" t="e">
        <f ca="1"/>
        <v>#DIV/0!</v>
      </c>
      <c r="Q63" s="214" t="e">
        <f ca="1"/>
        <v>#DIV/0!</v>
      </c>
      <c r="R63" s="214" t="e">
        <f ca="1"/>
        <v>#DIV/0!</v>
      </c>
      <c r="S63" s="212">
        <f ca="1"/>
        <v>0</v>
      </c>
      <c r="T63" s="212">
        <f ca="1"/>
        <v>0</v>
      </c>
      <c r="U63" s="223"/>
      <c r="Y63" t="s">
        <v>111</v>
      </c>
      <c r="Z63" t="s">
        <v>84</v>
      </c>
    </row>
    <row r="64" spans="1:26">
      <c r="A64" s="240" t="s">
        <v>112</v>
      </c>
      <c r="B64" s="241" t="s">
        <v>158</v>
      </c>
      <c r="C64" s="240" t="s">
        <v>162</v>
      </c>
      <c r="D64" s="242" cm="1">
        <f t="array" aca="1" ref="D64" ca="1">INDIRECT("'" &amp;A64 &amp; "'!D2")/1000</f>
        <v>1.788</v>
      </c>
      <c r="E64" s="226" cm="1">
        <f t="array" aca="1" ref="E64" ca="1">INDIRECT("'" &amp; A64 &amp; "'!h2")/1000</f>
        <v>1.5</v>
      </c>
      <c r="F64" s="131" cm="1">
        <f t="array" aca="1" ref="F64:T64" ca="1">INDIRECT("'"&amp;$Y64&amp;"'!b66:p66")</f>
        <v>0</v>
      </c>
      <c r="G64" s="212">
        <f ca="1"/>
        <v>0</v>
      </c>
      <c r="H64" s="212">
        <f ca="1"/>
        <v>0</v>
      </c>
      <c r="I64" s="212">
        <f ca="1"/>
        <v>0</v>
      </c>
      <c r="J64" s="213" t="e">
        <f ca="1"/>
        <v>#DIV/0!</v>
      </c>
      <c r="K64" s="213">
        <f ca="1"/>
        <v>0</v>
      </c>
      <c r="L64" s="213">
        <f ca="1"/>
        <v>0</v>
      </c>
      <c r="M64" s="212">
        <f ca="1"/>
        <v>0</v>
      </c>
      <c r="N64" s="212">
        <f ca="1"/>
        <v>0</v>
      </c>
      <c r="O64" s="214" t="e">
        <f ca="1"/>
        <v>#DIV/0!</v>
      </c>
      <c r="P64" s="214" t="e">
        <f ca="1"/>
        <v>#DIV/0!</v>
      </c>
      <c r="Q64" s="214" t="e">
        <f ca="1"/>
        <v>#DIV/0!</v>
      </c>
      <c r="R64" s="214" t="e">
        <f ca="1"/>
        <v>#DIV/0!</v>
      </c>
      <c r="S64" s="212">
        <f ca="1"/>
        <v>0</v>
      </c>
      <c r="T64" s="212">
        <f ca="1"/>
        <v>0</v>
      </c>
      <c r="U64" s="223"/>
      <c r="Y64" t="s">
        <v>112</v>
      </c>
      <c r="Z64" t="s">
        <v>85</v>
      </c>
    </row>
    <row r="65" spans="1:26">
      <c r="A65" s="240" t="s">
        <v>113</v>
      </c>
      <c r="B65" s="241" t="s">
        <v>158</v>
      </c>
      <c r="C65" s="240" t="s">
        <v>162</v>
      </c>
      <c r="D65" s="237" cm="1">
        <f t="array" aca="1" ref="D65" ca="1">INDIRECT("'" &amp;A65 &amp; "'!D2")/1000</f>
        <v>3.9980000000000002</v>
      </c>
      <c r="E65" s="130" cm="1">
        <f t="array" aca="1" ref="E65" ca="1">INDIRECT("'" &amp; A65 &amp; "'!h2")/1000</f>
        <v>3.2</v>
      </c>
      <c r="F65" s="131" cm="1">
        <f t="array" aca="1" ref="F65:T65" ca="1">INDIRECT("'"&amp;$Y65&amp;"'!b66:p66")</f>
        <v>121477.79000000001</v>
      </c>
      <c r="G65" s="131">
        <f ca="1"/>
        <v>125810.79000000001</v>
      </c>
      <c r="H65" s="131">
        <f ca="1"/>
        <v>92835</v>
      </c>
      <c r="I65" s="131">
        <f ca="1"/>
        <v>91920</v>
      </c>
      <c r="J65" s="132">
        <f ca="1"/>
        <v>-0.26937904133659762</v>
      </c>
      <c r="K65" s="132">
        <f ca="1"/>
        <v>3.1210161532379096E-2</v>
      </c>
      <c r="L65" s="132">
        <f ca="1"/>
        <v>3.899319556451613E-2</v>
      </c>
      <c r="M65" s="131">
        <f ca="1"/>
        <v>50.75</v>
      </c>
      <c r="N65" s="131">
        <f ca="1"/>
        <v>30.928000000000001</v>
      </c>
      <c r="O65" s="133">
        <f ca="1"/>
        <v>-0.39058128078817733</v>
      </c>
      <c r="P65" s="133">
        <f ca="1"/>
        <v>0.75078764162215617</v>
      </c>
      <c r="Q65" s="133" t="e">
        <f ca="1"/>
        <v>#DIV/0!</v>
      </c>
      <c r="R65" s="133" t="e">
        <f ca="1"/>
        <v>#DIV/0!</v>
      </c>
      <c r="S65" s="131">
        <f ca="1"/>
        <v>0</v>
      </c>
      <c r="T65" s="131">
        <f ca="1"/>
        <v>0</v>
      </c>
      <c r="U65" s="223"/>
      <c r="Y65" t="s">
        <v>113</v>
      </c>
      <c r="Z65" t="s">
        <v>86</v>
      </c>
    </row>
    <row r="66" spans="1:26">
      <c r="A66" s="235" t="s">
        <v>115</v>
      </c>
      <c r="B66" s="235" t="s">
        <v>158</v>
      </c>
      <c r="C66" s="235" t="s">
        <v>162</v>
      </c>
      <c r="D66" s="239" cm="1">
        <f t="array" aca="1" ref="D66" ca="1">INDIRECT("'" &amp;A66 &amp; "'!D2")/1000</f>
        <v>2.0049999999999999</v>
      </c>
      <c r="E66" s="216" cm="1">
        <f t="array" aca="1" ref="E66" ca="1">INDIRECT("'" &amp; A66 &amp; "'!h2")/1000</f>
        <v>1.6</v>
      </c>
      <c r="F66" s="131" cm="1">
        <f t="array" aca="1" ref="F66:T66" ca="1">INDIRECT("'"&amp;$Y66&amp;"'!b66:p66")</f>
        <v>74395.789999999994</v>
      </c>
      <c r="G66" s="212">
        <f ca="1"/>
        <v>63105.21</v>
      </c>
      <c r="H66" s="212">
        <f ca="1"/>
        <v>41320</v>
      </c>
      <c r="I66" s="212">
        <f ca="1"/>
        <v>40840</v>
      </c>
      <c r="J66" s="213">
        <f ca="1"/>
        <v>-0.35282681097170898</v>
      </c>
      <c r="K66" s="213">
        <f ca="1"/>
        <v>2.7699568283592095E-2</v>
      </c>
      <c r="L66" s="213">
        <f ca="1"/>
        <v>3.4711021505376347E-2</v>
      </c>
      <c r="M66" s="212">
        <f ca="1"/>
        <v>50.680000000000007</v>
      </c>
      <c r="N66" s="212">
        <f ca="1"/>
        <v>25.557000000000002</v>
      </c>
      <c r="O66" s="214">
        <f ca="1"/>
        <v>-0.4957182320441989</v>
      </c>
      <c r="P66" s="214">
        <f ca="1"/>
        <v>0.80637315815598531</v>
      </c>
      <c r="Q66" s="214">
        <f ca="1"/>
        <v>1</v>
      </c>
      <c r="R66" s="214">
        <f ca="1"/>
        <v>1</v>
      </c>
      <c r="S66" s="212">
        <f ca="1"/>
        <v>0</v>
      </c>
      <c r="T66" s="212">
        <f ca="1"/>
        <v>0</v>
      </c>
      <c r="U66" s="223"/>
      <c r="Y66" t="s">
        <v>115</v>
      </c>
      <c r="Z66" t="s">
        <v>87</v>
      </c>
    </row>
    <row r="67" spans="1:26">
      <c r="A67" s="235" t="s">
        <v>116</v>
      </c>
      <c r="B67" s="235" t="s">
        <v>158</v>
      </c>
      <c r="C67" s="235" t="s">
        <v>162</v>
      </c>
      <c r="D67" s="239" cm="1">
        <f t="array" aca="1" ref="D67" ca="1">INDIRECT("'" &amp;A67 &amp; "'!D2")/1000</f>
        <v>4.0039999999999996</v>
      </c>
      <c r="E67" s="216" cm="1">
        <f t="array" aca="1" ref="E67" ca="1">INDIRECT("'" &amp; A67 &amp; "'!h2")/1000</f>
        <v>3.3</v>
      </c>
      <c r="F67" s="131" cm="1">
        <f t="array" aca="1" ref="F67:T67" ca="1">INDIRECT("'"&amp;$Y67&amp;"'!b66:p66")</f>
        <v>150163.02000000002</v>
      </c>
      <c r="G67" s="212">
        <f ca="1"/>
        <v>139024.54999999999</v>
      </c>
      <c r="H67" s="212">
        <f ca="1"/>
        <v>102141</v>
      </c>
      <c r="I67" s="212">
        <f ca="1"/>
        <v>100520</v>
      </c>
      <c r="J67" s="213">
        <f ca="1"/>
        <v>-0.27696223436795869</v>
      </c>
      <c r="K67" s="213">
        <f ca="1"/>
        <v>3.4287285295349808E-2</v>
      </c>
      <c r="L67" s="213">
        <f ca="1"/>
        <v>4.1601906158357772E-2</v>
      </c>
      <c r="M67" s="212">
        <f ca="1"/>
        <v>44.589999999999996</v>
      </c>
      <c r="N67" s="212">
        <f ca="1"/>
        <v>30.928000000000001</v>
      </c>
      <c r="O67" s="214">
        <f ca="1"/>
        <v>-0.30639156761605735</v>
      </c>
      <c r="P67" s="214">
        <f ca="1"/>
        <v>0.82481053607540933</v>
      </c>
      <c r="Q67" s="214">
        <f ca="1"/>
        <v>1</v>
      </c>
      <c r="R67" s="214">
        <f ca="1"/>
        <v>1</v>
      </c>
      <c r="S67" s="212">
        <f ca="1"/>
        <v>0</v>
      </c>
      <c r="T67" s="212">
        <f ca="1"/>
        <v>0</v>
      </c>
      <c r="U67" s="223"/>
      <c r="Y67" t="s">
        <v>116</v>
      </c>
      <c r="Z67" t="s">
        <v>88</v>
      </c>
    </row>
    <row r="68" spans="1:26">
      <c r="A68" s="235" t="s">
        <v>117</v>
      </c>
      <c r="B68" s="235" t="s">
        <v>158</v>
      </c>
      <c r="C68" s="235" t="s">
        <v>162</v>
      </c>
      <c r="D68" s="239" cm="1">
        <f t="array" aca="1" ref="D68" ca="1">INDIRECT("'" &amp;A68 &amp; "'!D2")/1000</f>
        <v>2.48</v>
      </c>
      <c r="E68" s="216" cm="1">
        <f t="array" aca="1" ref="E68" ca="1">INDIRECT("'" &amp; A68 &amp; "'!h2")/1000</f>
        <v>1.9</v>
      </c>
      <c r="F68" s="131" cm="1">
        <f t="array" aca="1" ref="F68:T68" ca="1">INDIRECT("'"&amp;$Y68&amp;"'!b66:p66")</f>
        <v>97638.799999999988</v>
      </c>
      <c r="G68" s="212">
        <f ca="1"/>
        <v>78403.850000000006</v>
      </c>
      <c r="H68" s="212">
        <f ca="1"/>
        <v>65376</v>
      </c>
      <c r="I68" s="212">
        <f ca="1"/>
        <v>64440</v>
      </c>
      <c r="J68" s="213">
        <f ca="1"/>
        <v>-0.17810158557264733</v>
      </c>
      <c r="K68" s="213">
        <f ca="1"/>
        <v>3.5431841831425601E-2</v>
      </c>
      <c r="L68" s="213">
        <f ca="1"/>
        <v>4.6247877758913418E-2</v>
      </c>
      <c r="M68" s="212">
        <f ca="1"/>
        <v>48.930000000000007</v>
      </c>
      <c r="N68" s="212">
        <f ca="1"/>
        <v>32.334999999999994</v>
      </c>
      <c r="O68" s="214">
        <f ca="1"/>
        <v>-0.33915798078888232</v>
      </c>
      <c r="P68" s="214">
        <f ca="1"/>
        <v>0.81525561535737279</v>
      </c>
      <c r="Q68" s="214">
        <f ca="1"/>
        <v>1</v>
      </c>
      <c r="R68" s="214">
        <f ca="1"/>
        <v>1</v>
      </c>
      <c r="S68" s="212">
        <f ca="1"/>
        <v>0</v>
      </c>
      <c r="T68" s="212">
        <f ca="1"/>
        <v>0</v>
      </c>
      <c r="U68" s="223"/>
      <c r="Y68" t="s">
        <v>117</v>
      </c>
      <c r="Z68" t="s">
        <v>89</v>
      </c>
    </row>
    <row r="69" spans="1:26">
      <c r="A69" s="235" t="s">
        <v>118</v>
      </c>
      <c r="B69" s="235" t="s">
        <v>158</v>
      </c>
      <c r="C69" s="235" t="s">
        <v>162</v>
      </c>
      <c r="D69" s="239" cm="1">
        <f t="array" aca="1" ref="D69" ca="1">INDIRECT("'" &amp;A69 &amp; "'!D2")/1000</f>
        <v>8.9960000000000004</v>
      </c>
      <c r="E69" s="216" cm="1">
        <f t="array" aca="1" ref="E69" ca="1">INDIRECT("'" &amp; A69 &amp; "'!h2")/1000</f>
        <v>7.67</v>
      </c>
      <c r="F69" s="131" cm="1">
        <f t="array" aca="1" ref="F69:T69" ca="1">INDIRECT("'"&amp;$Y69&amp;"'!b66:p66")</f>
        <v>325211.57739000005</v>
      </c>
      <c r="G69" s="212">
        <f ca="1"/>
        <v>308606.18565000006</v>
      </c>
      <c r="H69" s="212">
        <f ca="1"/>
        <v>209584</v>
      </c>
      <c r="I69" s="212">
        <f ca="1"/>
        <v>205891</v>
      </c>
      <c r="J69" s="213">
        <f ca="1"/>
        <v>-0.3328357966437282</v>
      </c>
      <c r="K69" s="213">
        <f ca="1"/>
        <v>3.131379776913993E-2</v>
      </c>
      <c r="L69" s="213">
        <f ca="1"/>
        <v>3.672736958685565E-2</v>
      </c>
      <c r="M69" s="212">
        <f ca="1"/>
        <v>45.92</v>
      </c>
      <c r="N69" s="212">
        <f ca="1"/>
        <v>34.94</v>
      </c>
      <c r="O69" s="214">
        <f ca="1"/>
        <v>-0.23911149825783981</v>
      </c>
      <c r="P69" s="214">
        <f ca="1"/>
        <v>0.66678493246251025</v>
      </c>
      <c r="Q69" s="214">
        <f ca="1"/>
        <v>1</v>
      </c>
      <c r="R69" s="214">
        <f ca="1"/>
        <v>0.87563999999999997</v>
      </c>
      <c r="S69" s="212">
        <f ca="1"/>
        <v>38678</v>
      </c>
      <c r="T69" s="212">
        <f ca="1"/>
        <v>0</v>
      </c>
      <c r="U69" s="223"/>
      <c r="Y69" t="s">
        <v>118</v>
      </c>
      <c r="Z69" t="s">
        <v>90</v>
      </c>
    </row>
    <row r="70" spans="1:26">
      <c r="A70" s="235" t="s">
        <v>119</v>
      </c>
      <c r="B70" s="235" t="s">
        <v>158</v>
      </c>
      <c r="C70" s="235" t="s">
        <v>162</v>
      </c>
      <c r="D70" s="239" cm="1">
        <f t="array" aca="1" ref="D70" ca="1">INDIRECT("'" &amp;A70 &amp; "'!D2")/1000</f>
        <v>1.4950000000000001</v>
      </c>
      <c r="E70" s="216" cm="1">
        <f t="array" aca="1" ref="E70" ca="1">INDIRECT("'" &amp; A70 &amp; "'!h2")/1000</f>
        <v>1.2</v>
      </c>
      <c r="F70" s="131" cm="1">
        <f t="array" aca="1" ref="F70:T70" ca="1">INDIRECT("'"&amp;$Y70&amp;"'!b66:p66")</f>
        <v>49710</v>
      </c>
      <c r="G70" s="212">
        <f ca="1"/>
        <v>49170</v>
      </c>
      <c r="H70" s="212">
        <f ca="1"/>
        <v>38816</v>
      </c>
      <c r="I70" s="212">
        <f ca="1"/>
        <v>38580</v>
      </c>
      <c r="J70" s="213">
        <f ca="1"/>
        <v>-0.2153752287980476</v>
      </c>
      <c r="K70" s="213">
        <f ca="1"/>
        <v>3.4897687632610495E-2</v>
      </c>
      <c r="L70" s="213">
        <f ca="1"/>
        <v>4.3476702508960574E-2</v>
      </c>
      <c r="M70" s="212">
        <f ca="1"/>
        <v>40.08</v>
      </c>
      <c r="N70" s="212">
        <f ca="1"/>
        <v>31.18</v>
      </c>
      <c r="O70" s="214">
        <f ca="1"/>
        <v>-0.22205588822355288</v>
      </c>
      <c r="P70" s="214">
        <f ca="1"/>
        <v>0.83270941624958972</v>
      </c>
      <c r="Q70" s="214">
        <f ca="1"/>
        <v>0.97799999999999998</v>
      </c>
      <c r="R70" s="214">
        <f ca="1"/>
        <v>1</v>
      </c>
      <c r="S70" s="212">
        <f ca="1"/>
        <v>0</v>
      </c>
      <c r="T70" s="212">
        <f ca="1"/>
        <v>708</v>
      </c>
      <c r="U70" s="223"/>
      <c r="Y70" t="s">
        <v>119</v>
      </c>
      <c r="Z70" t="s">
        <v>91</v>
      </c>
    </row>
    <row r="71" spans="1:26">
      <c r="A71" s="235" t="s">
        <v>120</v>
      </c>
      <c r="B71" s="235" t="s">
        <v>158</v>
      </c>
      <c r="C71" s="235" t="s">
        <v>162</v>
      </c>
      <c r="D71" s="239" cm="1">
        <f t="array" aca="1" ref="D71" ca="1">INDIRECT("'" &amp;A71 &amp; "'!D2")/1000</f>
        <v>11.994</v>
      </c>
      <c r="E71" s="216" cm="1">
        <f t="array" aca="1" ref="E71" ca="1">INDIRECT("'" &amp; A71 &amp; "'!h2")/1000</f>
        <v>9.6</v>
      </c>
      <c r="F71" s="131" cm="1">
        <f t="array" aca="1" ref="F71:T71" ca="1">INDIRECT("'"&amp;$Y71&amp;"'!b66:p66")</f>
        <v>0</v>
      </c>
      <c r="G71" s="212">
        <f ca="1"/>
        <v>0</v>
      </c>
      <c r="H71" s="212">
        <f ca="1"/>
        <v>0</v>
      </c>
      <c r="I71" s="212">
        <f ca="1"/>
        <v>0</v>
      </c>
      <c r="J71" s="213" t="e">
        <f ca="1"/>
        <v>#DIV/0!</v>
      </c>
      <c r="K71" s="213">
        <f ca="1"/>
        <v>0</v>
      </c>
      <c r="L71" s="213">
        <f ca="1"/>
        <v>0</v>
      </c>
      <c r="M71" s="212">
        <f ca="1"/>
        <v>0</v>
      </c>
      <c r="N71" s="212">
        <f ca="1"/>
        <v>0</v>
      </c>
      <c r="O71" s="214" t="e">
        <f ca="1"/>
        <v>#DIV/0!</v>
      </c>
      <c r="P71" s="214" t="e">
        <f ca="1"/>
        <v>#DIV/0!</v>
      </c>
      <c r="Q71" s="214" t="e">
        <f ca="1"/>
        <v>#DIV/0!</v>
      </c>
      <c r="R71" s="214" t="e">
        <f ca="1"/>
        <v>#DIV/0!</v>
      </c>
      <c r="S71" s="212">
        <f ca="1"/>
        <v>0</v>
      </c>
      <c r="T71" s="212">
        <f ca="1"/>
        <v>0</v>
      </c>
      <c r="U71" s="223"/>
      <c r="Y71" t="s">
        <v>120</v>
      </c>
      <c r="Z71" t="s">
        <v>92</v>
      </c>
    </row>
    <row r="72" spans="1:26">
      <c r="A72" s="235" t="s">
        <v>121</v>
      </c>
      <c r="B72" s="235" t="s">
        <v>158</v>
      </c>
      <c r="C72" s="235" t="s">
        <v>162</v>
      </c>
      <c r="D72" s="239" cm="1">
        <f t="array" aca="1" ref="D72" ca="1">INDIRECT("'" &amp;A72 &amp; "'!D2")/1000</f>
        <v>12.01</v>
      </c>
      <c r="E72" s="216" cm="1">
        <f t="array" aca="1" ref="E72" ca="1">INDIRECT("'" &amp; A72 &amp; "'!h2")/1000</f>
        <v>9.68</v>
      </c>
      <c r="F72" s="131" cm="1">
        <f t="array" aca="1" ref="F72:T72" ca="1">INDIRECT("'"&amp;$Y72&amp;"'!b66:p66")</f>
        <v>0</v>
      </c>
      <c r="G72" s="212">
        <f ca="1"/>
        <v>0</v>
      </c>
      <c r="H72" s="212">
        <f ca="1"/>
        <v>0</v>
      </c>
      <c r="I72" s="212">
        <f ca="1"/>
        <v>0</v>
      </c>
      <c r="J72" s="213" t="e">
        <f ca="1"/>
        <v>#DIV/0!</v>
      </c>
      <c r="K72" s="213">
        <f ca="1"/>
        <v>0</v>
      </c>
      <c r="L72" s="213">
        <f ca="1"/>
        <v>0</v>
      </c>
      <c r="M72" s="212">
        <f ca="1"/>
        <v>0</v>
      </c>
      <c r="N72" s="212">
        <f ca="1"/>
        <v>0</v>
      </c>
      <c r="O72" s="214" t="e">
        <f ca="1"/>
        <v>#DIV/0!</v>
      </c>
      <c r="P72" s="214" t="e">
        <f ca="1"/>
        <v>#DIV/0!</v>
      </c>
      <c r="Q72" s="214" t="e">
        <f ca="1"/>
        <v>#DIV/0!</v>
      </c>
      <c r="R72" s="214" t="e">
        <f ca="1"/>
        <v>#DIV/0!</v>
      </c>
      <c r="S72" s="212">
        <f ca="1"/>
        <v>0</v>
      </c>
      <c r="T72" s="212">
        <f ca="1"/>
        <v>0</v>
      </c>
      <c r="U72" s="223"/>
      <c r="Y72" t="s">
        <v>121</v>
      </c>
      <c r="Z72" t="s">
        <v>93</v>
      </c>
    </row>
    <row r="73" spans="1:26">
      <c r="A73" s="235" t="s">
        <v>122</v>
      </c>
      <c r="B73" s="235" t="s">
        <v>158</v>
      </c>
      <c r="C73" s="235" t="s">
        <v>162</v>
      </c>
      <c r="D73" s="239" cm="1">
        <f t="array" aca="1" ref="D73" ca="1">INDIRECT("'" &amp;A73 &amp; "'!D2")/1000</f>
        <v>3.085</v>
      </c>
      <c r="E73" s="216" cm="1">
        <f t="array" aca="1" ref="E73" ca="1">INDIRECT("'" &amp; A73 &amp; "'!h2")/1000</f>
        <v>2.64</v>
      </c>
      <c r="F73" s="131" cm="1">
        <f t="array" aca="1" ref="F73:T73" ca="1">INDIRECT("'"&amp;$Y73&amp;"'!b66:p66")</f>
        <v>106850</v>
      </c>
      <c r="G73" s="212">
        <f ca="1"/>
        <v>95610</v>
      </c>
      <c r="H73" s="212">
        <f ca="1"/>
        <v>98538</v>
      </c>
      <c r="I73" s="212">
        <f ca="1"/>
        <v>96600</v>
      </c>
      <c r="J73" s="213">
        <f ca="1"/>
        <v>1.0354565422026984E-2</v>
      </c>
      <c r="K73" s="213">
        <f ca="1"/>
        <v>4.2931458148167505E-2</v>
      </c>
      <c r="L73" s="213">
        <f ca="1"/>
        <v>5.0168010752688182E-2</v>
      </c>
      <c r="M73" s="212">
        <f ca="1"/>
        <v>44.695</v>
      </c>
      <c r="N73" s="212">
        <f ca="1"/>
        <v>40.582000000000001</v>
      </c>
      <c r="O73" s="214">
        <f ca="1"/>
        <v>-9.2023716299362332E-2</v>
      </c>
      <c r="P73" s="214">
        <f ca="1"/>
        <v>0.78707320640275558</v>
      </c>
      <c r="Q73" s="214">
        <f ca="1"/>
        <v>1</v>
      </c>
      <c r="R73" s="214">
        <f ca="1"/>
        <v>0.98216000000000003</v>
      </c>
      <c r="S73" s="212">
        <f ca="1"/>
        <v>2598</v>
      </c>
      <c r="T73" s="212">
        <f ca="1"/>
        <v>0</v>
      </c>
      <c r="U73" s="223"/>
      <c r="Y73" t="s">
        <v>122</v>
      </c>
      <c r="Z73" t="s">
        <v>94</v>
      </c>
    </row>
    <row r="74" spans="1:26">
      <c r="A74" s="235" t="s">
        <v>123</v>
      </c>
      <c r="B74" s="235" t="s">
        <v>158</v>
      </c>
      <c r="C74" s="235" t="s">
        <v>162</v>
      </c>
      <c r="D74" s="239" cm="1">
        <f t="array" aca="1" ref="D74" ca="1">INDIRECT("'" &amp;A74 &amp; "'!D2")/1000</f>
        <v>4.8049999999999997</v>
      </c>
      <c r="E74" s="216" cm="1">
        <f t="array" aca="1" ref="E74" ca="1">INDIRECT("'" &amp; A74 &amp; "'!h2")/1000</f>
        <v>3.96</v>
      </c>
      <c r="F74" s="131" cm="1">
        <f t="array" aca="1" ref="F74:T74" ca="1">INDIRECT("'"&amp;$Y74&amp;"'!b66:p66")</f>
        <v>172450</v>
      </c>
      <c r="G74" s="212">
        <f ca="1"/>
        <v>148085</v>
      </c>
      <c r="H74" s="212">
        <f ca="1"/>
        <v>154522</v>
      </c>
      <c r="I74" s="212">
        <f ca="1"/>
        <v>151100</v>
      </c>
      <c r="J74" s="213">
        <f ca="1"/>
        <v>2.0359928419488808E-2</v>
      </c>
      <c r="K74" s="213">
        <f ca="1"/>
        <v>4.3223904311145436E-2</v>
      </c>
      <c r="L74" s="213">
        <f ca="1"/>
        <v>5.2447186922993376E-2</v>
      </c>
      <c r="M74" s="212">
        <f ca="1"/>
        <v>44.695</v>
      </c>
      <c r="N74" s="212">
        <f ca="1"/>
        <v>41.029000000000003</v>
      </c>
      <c r="O74" s="214">
        <f ca="1"/>
        <v>-8.2022597605996131E-2</v>
      </c>
      <c r="P74" s="214">
        <f ca="1"/>
        <v>0.78380133094865068</v>
      </c>
      <c r="Q74" s="214">
        <f ca="1"/>
        <v>0.99139999999999995</v>
      </c>
      <c r="R74" s="214">
        <f ca="1"/>
        <v>0.98509999999999986</v>
      </c>
      <c r="S74" s="212">
        <f ca="1"/>
        <v>3434</v>
      </c>
      <c r="T74" s="212">
        <f ca="1"/>
        <v>1302</v>
      </c>
      <c r="U74" s="223"/>
      <c r="Y74" t="s">
        <v>123</v>
      </c>
      <c r="Z74" t="s">
        <v>95</v>
      </c>
    </row>
    <row r="75" spans="1:26">
      <c r="A75" s="235" t="s">
        <v>124</v>
      </c>
      <c r="B75" s="235" t="s">
        <v>158</v>
      </c>
      <c r="C75" s="235" t="s">
        <v>162</v>
      </c>
      <c r="D75" s="239" cm="1">
        <f t="array" aca="1" ref="D75" ca="1">INDIRECT("'" &amp;A75 &amp; "'!D2")/1000</f>
        <v>1.353</v>
      </c>
      <c r="E75" s="216" cm="1">
        <f t="array" aca="1" ref="E75" ca="1">INDIRECT("'" &amp; A75 &amp; "'!h2")/1000</f>
        <v>1.1000000000000001</v>
      </c>
      <c r="F75" s="131" cm="1">
        <f t="array" aca="1" ref="F75:T75" ca="1">INDIRECT("'"&amp;$Y75&amp;"'!b66:p66")</f>
        <v>48590</v>
      </c>
      <c r="G75" s="212">
        <f ca="1"/>
        <v>41915</v>
      </c>
      <c r="H75" s="212">
        <f ca="1"/>
        <v>43344</v>
      </c>
      <c r="I75" s="212">
        <f ca="1"/>
        <v>42795</v>
      </c>
      <c r="J75" s="213">
        <f ca="1"/>
        <v>2.099487057139449E-2</v>
      </c>
      <c r="K75" s="213">
        <f ca="1"/>
        <v>4.3058436449467136E-2</v>
      </c>
      <c r="L75" s="213">
        <f ca="1"/>
        <v>5.2961876832844569E-2</v>
      </c>
      <c r="M75" s="212">
        <f ca="1"/>
        <v>44.695</v>
      </c>
      <c r="N75" s="212">
        <f ca="1"/>
        <v>40.322999999999993</v>
      </c>
      <c r="O75" s="214">
        <f ca="1"/>
        <v>-9.7818547936010899E-2</v>
      </c>
      <c r="P75" s="214">
        <f ca="1"/>
        <v>0.7944715601121829</v>
      </c>
      <c r="Q75" s="214">
        <f ca="1"/>
        <v>1</v>
      </c>
      <c r="R75" s="214">
        <f ca="1"/>
        <v>0.97896000000000005</v>
      </c>
      <c r="S75" s="212">
        <f ca="1"/>
        <v>1409</v>
      </c>
      <c r="T75" s="212">
        <f ca="1"/>
        <v>0</v>
      </c>
      <c r="U75" s="223"/>
      <c r="Y75" t="s">
        <v>124</v>
      </c>
      <c r="Z75" t="s">
        <v>96</v>
      </c>
    </row>
    <row r="76" spans="1:26">
      <c r="A76" s="235" t="s">
        <v>125</v>
      </c>
      <c r="B76" s="235" t="s">
        <v>158</v>
      </c>
      <c r="C76" s="235" t="s">
        <v>162</v>
      </c>
      <c r="D76" s="239" cm="1">
        <f t="array" aca="1" ref="D76" ca="1">INDIRECT("'" &amp;A76 &amp; "'!D2")/1000</f>
        <v>5.0511999999999997</v>
      </c>
      <c r="E76" s="216" cm="1">
        <f t="array" aca="1" ref="E76" ca="1">INDIRECT("'" &amp; A76 &amp; "'!h2")/1000</f>
        <v>3.96</v>
      </c>
      <c r="F76" s="131" cm="1">
        <f t="array" aca="1" ref="F76:T76" ca="1">INDIRECT("'"&amp;$Y76&amp;"'!b66:p66")</f>
        <v>838581</v>
      </c>
      <c r="G76" s="212">
        <f ca="1"/>
        <v>714302</v>
      </c>
      <c r="H76" s="212">
        <f ca="1"/>
        <v>104678</v>
      </c>
      <c r="I76" s="212">
        <f ca="1"/>
        <v>103100</v>
      </c>
      <c r="J76" s="213">
        <f ca="1"/>
        <v>-0.85566329087696802</v>
      </c>
      <c r="K76" s="213">
        <f ca="1"/>
        <v>2.7854022125265245E-2</v>
      </c>
      <c r="L76" s="213">
        <f ca="1"/>
        <v>3.5529352666449444E-2</v>
      </c>
      <c r="M76" s="212">
        <f ca="1"/>
        <v>216.07</v>
      </c>
      <c r="N76" s="212">
        <f ca="1"/>
        <v>26.900000000000002</v>
      </c>
      <c r="O76" s="214">
        <f ca="1"/>
        <v>-0.87550330911278751</v>
      </c>
      <c r="P76" s="214">
        <f ca="1"/>
        <v>0.7703863368474847</v>
      </c>
      <c r="Q76" s="214">
        <f ca="1"/>
        <v>1</v>
      </c>
      <c r="R76" s="214">
        <f ca="1"/>
        <v>0.98170000000000002</v>
      </c>
      <c r="S76" s="212">
        <f ca="1"/>
        <v>3098</v>
      </c>
      <c r="T76" s="212">
        <f ca="1"/>
        <v>0</v>
      </c>
      <c r="U76" s="223"/>
      <c r="Y76" t="s">
        <v>125</v>
      </c>
      <c r="Z76" t="s">
        <v>97</v>
      </c>
    </row>
    <row r="77" spans="1:26">
      <c r="A77" s="235" t="s">
        <v>126</v>
      </c>
      <c r="B77" s="235" t="s">
        <v>158</v>
      </c>
      <c r="C77" s="235" t="s">
        <v>162</v>
      </c>
      <c r="D77" s="239" cm="1">
        <f t="array" aca="1" ref="D77" ca="1">INDIRECT("'" &amp;A77 &amp; "'!D2")/1000</f>
        <v>2.5255999999999998</v>
      </c>
      <c r="E77" s="216" cm="1">
        <f t="array" aca="1" ref="E77" ca="1">INDIRECT("'" &amp; A77 &amp; "'!h2")/1000</f>
        <v>1.76</v>
      </c>
      <c r="F77" s="131" cm="1">
        <f t="array" aca="1" ref="F77:T77" ca="1">INDIRECT("'"&amp;$Y77&amp;"'!b66:p66")</f>
        <v>420825</v>
      </c>
      <c r="G77" s="212">
        <f ca="1"/>
        <v>357616</v>
      </c>
      <c r="H77" s="212">
        <f ca="1"/>
        <v>51359</v>
      </c>
      <c r="I77" s="212">
        <f ca="1"/>
        <v>50740</v>
      </c>
      <c r="J77" s="213">
        <f ca="1"/>
        <v>-0.85811596796563916</v>
      </c>
      <c r="K77" s="213" t="e">
        <f ca="1"/>
        <v>#VALUE!</v>
      </c>
      <c r="L77" s="213" t="e">
        <f ca="1"/>
        <v>#VALUE!</v>
      </c>
      <c r="M77" s="212">
        <f ca="1"/>
        <v>216.07</v>
      </c>
      <c r="N77" s="212">
        <f ca="1"/>
        <v>26.42</v>
      </c>
      <c r="O77" s="214">
        <f ca="1"/>
        <v>-0.87772481140371172</v>
      </c>
      <c r="P77" s="214">
        <f ca="1"/>
        <v>0.76969590664869558</v>
      </c>
      <c r="Q77" s="214">
        <f ca="1"/>
        <v>1</v>
      </c>
      <c r="R77" s="214">
        <f ca="1"/>
        <v>0.98085</v>
      </c>
      <c r="S77" s="212">
        <f ca="1"/>
        <v>1565</v>
      </c>
      <c r="T77" s="212">
        <f ca="1"/>
        <v>0</v>
      </c>
      <c r="U77" s="223"/>
      <c r="Y77" t="s">
        <v>126</v>
      </c>
      <c r="Z77" t="s">
        <v>98</v>
      </c>
    </row>
    <row r="78" spans="1:26">
      <c r="A78" s="235" t="s">
        <v>127</v>
      </c>
      <c r="B78" s="235" t="s">
        <v>158</v>
      </c>
      <c r="C78" s="235" t="s">
        <v>162</v>
      </c>
      <c r="D78" s="239" cm="1">
        <f t="array" aca="1" ref="D78" ca="1">INDIRECT("'" &amp;A78 &amp; "'!D2")/1000</f>
        <v>3.0339999999999998</v>
      </c>
      <c r="E78" s="216" cm="1">
        <f t="array" aca="1" ref="E78" ca="1">INDIRECT("'" &amp; A78 &amp; "'!h2")/1000</f>
        <v>2.2000000000000002</v>
      </c>
      <c r="F78" s="131" cm="1">
        <f t="array" aca="1" ref="F78:T78" ca="1">INDIRECT("'"&amp;$Y78&amp;"'!b66:p66")</f>
        <v>521823</v>
      </c>
      <c r="G78" s="212">
        <f ca="1"/>
        <v>443734</v>
      </c>
      <c r="H78" s="212">
        <f ca="1"/>
        <v>61804</v>
      </c>
      <c r="I78" s="212">
        <f ca="1"/>
        <v>60720</v>
      </c>
      <c r="J78" s="213">
        <f ca="1"/>
        <v>-0.86316126327935205</v>
      </c>
      <c r="K78" s="213">
        <f ca="1"/>
        <v>2.7379661329307279E-2</v>
      </c>
      <c r="L78" s="213">
        <f ca="1"/>
        <v>3.7759042033235581E-2</v>
      </c>
      <c r="M78" s="212">
        <f ca="1"/>
        <v>216.07</v>
      </c>
      <c r="N78" s="212">
        <f ca="1"/>
        <v>26.42</v>
      </c>
      <c r="O78" s="214">
        <f ca="1"/>
        <v>-0.87772481140371172</v>
      </c>
      <c r="P78" s="214">
        <f ca="1"/>
        <v>0.77102452797140852</v>
      </c>
      <c r="Q78" s="214">
        <f ca="1"/>
        <v>1</v>
      </c>
      <c r="R78" s="214">
        <f ca="1"/>
        <v>0.98215000000000008</v>
      </c>
      <c r="S78" s="212">
        <f ca="1"/>
        <v>1744</v>
      </c>
      <c r="T78" s="212">
        <f ca="1"/>
        <v>0</v>
      </c>
      <c r="U78" s="223"/>
      <c r="Y78" t="s">
        <v>127</v>
      </c>
      <c r="Z78" t="s">
        <v>99</v>
      </c>
    </row>
    <row r="79" spans="1:26">
      <c r="A79" s="235" t="s">
        <v>128</v>
      </c>
      <c r="B79" s="235" t="s">
        <v>158</v>
      </c>
      <c r="C79" s="235" t="s">
        <v>164</v>
      </c>
      <c r="D79" s="239" cm="1">
        <f t="array" aca="1" ref="D79" ca="1">INDIRECT("'" &amp;A79 &amp; "'!D2")/1000</f>
        <v>18</v>
      </c>
      <c r="E79" s="216" cm="1">
        <f t="array" aca="1" ref="E79" ca="1">INDIRECT("'" &amp; A79 &amp; "'!h2")/1000</f>
        <v>14</v>
      </c>
      <c r="F79" s="131" cm="1">
        <f t="array" aca="1" ref="F79:T79" ca="1">INDIRECT("'"&amp;$Y79&amp;"'!b66:p66")</f>
        <v>2541645.9800000009</v>
      </c>
      <c r="G79" s="212">
        <f ca="1"/>
        <v>2388887.8999999985</v>
      </c>
      <c r="H79" s="212">
        <f ca="1"/>
        <v>332425.40000000002</v>
      </c>
      <c r="I79" s="212">
        <f ca="1"/>
        <v>327000</v>
      </c>
      <c r="J79" s="213">
        <f ca="1"/>
        <v>-0.86311622240625008</v>
      </c>
      <c r="K79" s="213">
        <f ca="1"/>
        <v>2.4822685185185184E-2</v>
      </c>
      <c r="L79" s="213">
        <f ca="1"/>
        <v>3.1914880952380958E-2</v>
      </c>
      <c r="M79" s="212">
        <f ca="1"/>
        <v>206.76999999999987</v>
      </c>
      <c r="N79" s="212">
        <f ca="1"/>
        <v>22.645</v>
      </c>
      <c r="O79" s="214">
        <f ca="1"/>
        <v>-0.89048217826570575</v>
      </c>
      <c r="P79" s="214">
        <f ca="1"/>
        <v>0.81554770491401096</v>
      </c>
      <c r="Q79" s="214">
        <f ca="1"/>
        <v>1</v>
      </c>
      <c r="R79" s="214">
        <f ca="1"/>
        <v>1</v>
      </c>
      <c r="S79" s="212">
        <f ca="1"/>
        <v>0</v>
      </c>
      <c r="T79" s="212">
        <f ca="1"/>
        <v>0</v>
      </c>
      <c r="U79" s="223"/>
      <c r="Y79" t="s">
        <v>128</v>
      </c>
      <c r="Z79" t="s">
        <v>100</v>
      </c>
    </row>
    <row r="80" spans="1:26">
      <c r="A80" s="235" t="s">
        <v>129</v>
      </c>
      <c r="B80" s="235" t="s">
        <v>158</v>
      </c>
      <c r="C80" s="235" t="s">
        <v>162</v>
      </c>
      <c r="D80" s="239" cm="1">
        <f t="array" aca="1" ref="D80" ca="1">INDIRECT("'" &amp;A80 &amp; "'!D2")/1000</f>
        <v>19.204999999999998</v>
      </c>
      <c r="E80" s="216" cm="1">
        <f t="array" aca="1" ref="E80" ca="1">INDIRECT("'" &amp; A80 &amp; "'!h2")/1000</f>
        <v>15</v>
      </c>
      <c r="F80" s="131" cm="1">
        <f t="array" aca="1" ref="F80:T80" ca="1">INDIRECT("'"&amp;$Y80&amp;"'!b66:p66")</f>
        <v>3020578</v>
      </c>
      <c r="G80" s="212">
        <f ca="1"/>
        <v>284016</v>
      </c>
      <c r="H80" s="212">
        <f ca="1"/>
        <v>311824</v>
      </c>
      <c r="I80" s="212">
        <f ca="1"/>
        <v>302850</v>
      </c>
      <c r="J80" s="213">
        <f ca="1"/>
        <v>6.6313165455467296E-2</v>
      </c>
      <c r="K80" s="213">
        <f ca="1"/>
        <v>2.1823393885440898E-2</v>
      </c>
      <c r="L80" s="213">
        <f ca="1"/>
        <v>2.7941218637992829E-2</v>
      </c>
      <c r="M80" s="212">
        <f ca="1"/>
        <v>20.009999999999998</v>
      </c>
      <c r="N80" s="212">
        <f ca="1"/>
        <v>20.350000000000001</v>
      </c>
      <c r="O80" s="214">
        <f ca="1"/>
        <v>1.6991504247876234E-2</v>
      </c>
      <c r="P80" s="214">
        <f ca="1"/>
        <v>0.79786757006231102</v>
      </c>
      <c r="Q80" s="214">
        <f ca="1"/>
        <v>1</v>
      </c>
      <c r="R80" s="214">
        <f ca="1"/>
        <v>0.91506666666666669</v>
      </c>
      <c r="S80" s="212">
        <f ca="1"/>
        <v>57073.8</v>
      </c>
      <c r="T80" s="212">
        <f ca="1"/>
        <v>0</v>
      </c>
      <c r="U80" s="223"/>
      <c r="Y80" t="s">
        <v>129</v>
      </c>
      <c r="Z80" t="s">
        <v>101</v>
      </c>
    </row>
    <row r="81" spans="1:26">
      <c r="A81" s="240" t="s">
        <v>130</v>
      </c>
      <c r="B81" s="235" t="s">
        <v>158</v>
      </c>
      <c r="C81" s="235" t="s">
        <v>162</v>
      </c>
      <c r="D81" s="239" cm="1">
        <f t="array" aca="1" ref="D81" ca="1">INDIRECT("'" &amp;A81 &amp; "'!D2")/1000</f>
        <v>14.298</v>
      </c>
      <c r="E81" s="216" cm="1">
        <f t="array" aca="1" ref="E81" ca="1">INDIRECT("'" &amp; A81 &amp; "'!h2")/1000</f>
        <v>11</v>
      </c>
      <c r="F81" s="131" cm="1">
        <f t="array" aca="1" ref="F81:T81" ca="1">INDIRECT("'"&amp;$Y81&amp;"'!b66:p66")</f>
        <v>2219383</v>
      </c>
      <c r="G81" s="212">
        <f ca="1"/>
        <v>200749.6451612901</v>
      </c>
      <c r="H81" s="212">
        <f ca="1"/>
        <v>236121.8</v>
      </c>
      <c r="I81" s="212">
        <f ca="1"/>
        <v>228510</v>
      </c>
      <c r="J81" s="213">
        <f ca="1"/>
        <v>0.13828345657301733</v>
      </c>
      <c r="K81" s="213">
        <f ca="1"/>
        <v>2.2196671615099188E-2</v>
      </c>
      <c r="L81" s="213">
        <f ca="1"/>
        <v>2.8851637341153469E-2</v>
      </c>
      <c r="M81" s="212">
        <f ca="1"/>
        <v>0</v>
      </c>
      <c r="N81" s="212">
        <f ca="1"/>
        <v>21.04</v>
      </c>
      <c r="O81" s="214" t="e">
        <f ca="1"/>
        <v>#DIV/0!</v>
      </c>
      <c r="P81" s="214">
        <f ca="1"/>
        <v>0.78490131566700549</v>
      </c>
      <c r="Q81" s="214">
        <f ca="1"/>
        <v>1</v>
      </c>
      <c r="R81" s="214">
        <f ca="1"/>
        <v>0.9143</v>
      </c>
      <c r="S81" s="212">
        <f ca="1"/>
        <v>38838.18</v>
      </c>
      <c r="T81" s="212">
        <f ca="1"/>
        <v>0</v>
      </c>
      <c r="U81" s="223"/>
      <c r="Y81" t="s">
        <v>130</v>
      </c>
      <c r="Z81" t="s">
        <v>102</v>
      </c>
    </row>
    <row r="82" spans="1:26">
      <c r="A82" s="240" t="s">
        <v>131</v>
      </c>
      <c r="B82" s="243" t="s">
        <v>158</v>
      </c>
      <c r="C82" s="235" t="s">
        <v>162</v>
      </c>
      <c r="D82" s="239" cm="1">
        <f t="array" aca="1" ref="D82" ca="1">INDIRECT("'" &amp;A82 &amp; "'!D2")/1000</f>
        <v>4.8090000000000002</v>
      </c>
      <c r="E82" s="216" cm="1">
        <f t="array" aca="1" ref="E82" ca="1">INDIRECT("'" &amp; A82 &amp; "'!h2")/1000</f>
        <v>3.85</v>
      </c>
      <c r="F82" s="131" cm="1">
        <f t="array" aca="1" ref="F82:T82" ca="1">INDIRECT("'"&amp;$Y82&amp;"'!b66:p66")</f>
        <v>0</v>
      </c>
      <c r="G82" s="212">
        <f ca="1"/>
        <v>0</v>
      </c>
      <c r="H82" s="212">
        <f ca="1"/>
        <v>0</v>
      </c>
      <c r="I82" s="212">
        <f ca="1"/>
        <v>0</v>
      </c>
      <c r="J82" s="213" t="e">
        <f ca="1"/>
        <v>#DIV/0!</v>
      </c>
      <c r="K82" s="213">
        <f ca="1"/>
        <v>0</v>
      </c>
      <c r="L82" s="213">
        <f ca="1"/>
        <v>0</v>
      </c>
      <c r="M82" s="212">
        <f ca="1"/>
        <v>0</v>
      </c>
      <c r="N82" s="212">
        <f ca="1"/>
        <v>0</v>
      </c>
      <c r="O82" s="214" t="e">
        <f ca="1"/>
        <v>#DIV/0!</v>
      </c>
      <c r="P82" s="214" t="e">
        <f ca="1"/>
        <v>#DIV/0!</v>
      </c>
      <c r="Q82" s="214" t="e">
        <f ca="1"/>
        <v>#DIV/0!</v>
      </c>
      <c r="R82" s="214" t="e">
        <f ca="1"/>
        <v>#DIV/0!</v>
      </c>
      <c r="S82" s="212">
        <f ca="1"/>
        <v>0</v>
      </c>
      <c r="T82" s="212">
        <f ca="1"/>
        <v>0</v>
      </c>
      <c r="U82" s="223"/>
      <c r="Y82" t="s">
        <v>131</v>
      </c>
      <c r="Z82" t="s">
        <v>103</v>
      </c>
    </row>
    <row r="83" spans="1:26">
      <c r="A83" s="235" t="s">
        <v>132</v>
      </c>
      <c r="B83" s="243" t="s">
        <v>158</v>
      </c>
      <c r="C83" s="235" t="s">
        <v>162</v>
      </c>
      <c r="D83" s="239" cm="1">
        <f t="array" aca="1" ref="D83" ca="1">INDIRECT("'" &amp;A83 &amp; "'!D2")/1000</f>
        <v>4.0339999999999998</v>
      </c>
      <c r="E83" s="216" cm="1">
        <f t="array" aca="1" ref="E83" ca="1">INDIRECT("'" &amp; A83 &amp; "'!h2")/1000</f>
        <v>3.15</v>
      </c>
      <c r="F83" s="131" cm="1">
        <f t="array" aca="1" ref="F83:T83" ca="1">INDIRECT("'"&amp;$Y83&amp;"'!b66:p66")</f>
        <v>0</v>
      </c>
      <c r="G83" s="212">
        <f ca="1"/>
        <v>0</v>
      </c>
      <c r="H83" s="212">
        <f ca="1"/>
        <v>0</v>
      </c>
      <c r="I83" s="212">
        <f ca="1"/>
        <v>0</v>
      </c>
      <c r="J83" s="213" t="e">
        <f ca="1"/>
        <v>#DIV/0!</v>
      </c>
      <c r="K83" s="213">
        <f ca="1"/>
        <v>0</v>
      </c>
      <c r="L83" s="213">
        <f ca="1"/>
        <v>0</v>
      </c>
      <c r="M83" s="212">
        <f ca="1"/>
        <v>0</v>
      </c>
      <c r="N83" s="212">
        <f ca="1"/>
        <v>0</v>
      </c>
      <c r="O83" s="214" t="e">
        <f ca="1"/>
        <v>#DIV/0!</v>
      </c>
      <c r="P83" s="214" t="e">
        <f ca="1"/>
        <v>#DIV/0!</v>
      </c>
      <c r="Q83" s="214" t="e">
        <f ca="1"/>
        <v>#DIV/0!</v>
      </c>
      <c r="R83" s="214" t="e">
        <f ca="1"/>
        <v>#DIV/0!</v>
      </c>
      <c r="S83" s="212">
        <f ca="1"/>
        <v>0</v>
      </c>
      <c r="T83" s="212">
        <f ca="1"/>
        <v>0</v>
      </c>
      <c r="U83" s="223"/>
      <c r="Y83" t="s">
        <v>132</v>
      </c>
      <c r="Z83" t="s">
        <v>104</v>
      </c>
    </row>
    <row r="84" spans="1:26">
      <c r="A84" s="235" t="s">
        <v>133</v>
      </c>
      <c r="B84" s="243" t="s">
        <v>158</v>
      </c>
      <c r="C84" s="235" t="s">
        <v>162</v>
      </c>
      <c r="D84" s="216" cm="1">
        <f t="array" aca="1" ref="D84" ca="1">INDIRECT("'" &amp;Y84 &amp; "'!D2")/1000</f>
        <v>1.6</v>
      </c>
      <c r="E84" s="216" cm="1">
        <f t="array" aca="1" ref="E84" ca="1">INDIRECT("'" &amp; Y84 &amp; "'!h2")/1000</f>
        <v>1.32</v>
      </c>
      <c r="F84" s="212" cm="1">
        <f t="array" aca="1" ref="F84:T84" ca="1">INDIRECT("'"&amp;$Y84&amp;"'!b66:p66")</f>
        <v>32943</v>
      </c>
      <c r="G84" s="212">
        <f ca="1"/>
        <v>30894</v>
      </c>
      <c r="H84" s="212">
        <f ca="1"/>
        <v>0</v>
      </c>
      <c r="I84" s="212">
        <f ca="1"/>
        <v>0</v>
      </c>
      <c r="J84" s="213">
        <f ca="1"/>
        <v>-1</v>
      </c>
      <c r="K84" s="213">
        <f ca="1"/>
        <v>0</v>
      </c>
      <c r="L84" s="213">
        <f ca="1"/>
        <v>0</v>
      </c>
      <c r="M84" s="212">
        <f ca="1"/>
        <v>26.549999999999997</v>
      </c>
      <c r="N84" s="212">
        <f ca="1"/>
        <v>0</v>
      </c>
      <c r="O84" s="214">
        <f ca="1"/>
        <v>-1</v>
      </c>
      <c r="P84" s="214" t="e">
        <f ca="1"/>
        <v>#DIV/0!</v>
      </c>
      <c r="Q84" s="214" t="e">
        <f ca="1"/>
        <v>#DIV/0!</v>
      </c>
      <c r="R84" s="214" t="e">
        <f ca="1"/>
        <v>#DIV/0!</v>
      </c>
      <c r="S84" s="212">
        <f ca="1"/>
        <v>0</v>
      </c>
      <c r="T84" s="212">
        <f ca="1"/>
        <v>0</v>
      </c>
      <c r="U84" s="223"/>
      <c r="Y84" t="s">
        <v>165</v>
      </c>
    </row>
    <row r="85" spans="1:26">
      <c r="A85" s="235" t="s">
        <v>134</v>
      </c>
      <c r="B85" s="243" t="s">
        <v>158</v>
      </c>
      <c r="C85" s="235" t="s">
        <v>162</v>
      </c>
      <c r="D85" s="216" cm="1">
        <f t="array" aca="1" ref="D85" ca="1">INDIRECT("'" &amp;Y85 &amp; "'!D2")/1000</f>
        <v>1.7</v>
      </c>
      <c r="E85" s="216" cm="1">
        <f t="array" aca="1" ref="E85" ca="1">INDIRECT("'" &amp; Y85 &amp; "'!h2")/1000</f>
        <v>1.32</v>
      </c>
      <c r="F85" s="212" cm="1">
        <f t="array" aca="1" ref="F85:T85" ca="1">INDIRECT("'"&amp;$Y85&amp;"'!b66:p66")</f>
        <v>34878</v>
      </c>
      <c r="G85" s="212">
        <f ca="1"/>
        <v>32790</v>
      </c>
      <c r="H85" s="212">
        <f ca="1"/>
        <v>0</v>
      </c>
      <c r="I85" s="212">
        <f ca="1"/>
        <v>0</v>
      </c>
      <c r="J85" s="213">
        <f ca="1"/>
        <v>-1</v>
      </c>
      <c r="K85" s="213">
        <f ca="1"/>
        <v>0</v>
      </c>
      <c r="L85" s="213">
        <f ca="1"/>
        <v>0</v>
      </c>
      <c r="M85" s="212">
        <f ca="1"/>
        <v>26.549999999999997</v>
      </c>
      <c r="N85" s="212">
        <f ca="1"/>
        <v>0</v>
      </c>
      <c r="O85" s="214">
        <f ca="1"/>
        <v>-1</v>
      </c>
      <c r="P85" s="214" t="e">
        <f ca="1"/>
        <v>#DIV/0!</v>
      </c>
      <c r="Q85" s="214" t="e">
        <f ca="1"/>
        <v>#DIV/0!</v>
      </c>
      <c r="R85" s="214" t="e">
        <f ca="1"/>
        <v>#DIV/0!</v>
      </c>
      <c r="S85" s="212">
        <f ca="1"/>
        <v>0</v>
      </c>
      <c r="T85" s="212">
        <f ca="1"/>
        <v>0</v>
      </c>
      <c r="U85" s="223"/>
      <c r="Y85" t="s">
        <v>166</v>
      </c>
    </row>
  </sheetData>
  <conditionalFormatting sqref="J2:J85">
    <cfRule type="cellIs" dxfId="4" priority="1" operator="greaterThan">
      <formula>0</formula>
    </cfRule>
    <cfRule type="cellIs" dxfId="3" priority="2" operator="lessThan">
      <formula>0</formula>
    </cfRule>
  </conditionalFormatting>
  <conditionalFormatting sqref="L21:L23">
    <cfRule type="cellIs" dxfId="2" priority="4"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AE11B-88E6-470C-A3AB-33703014E3D0}">
  <dimension ref="A3:B4"/>
  <sheetViews>
    <sheetView workbookViewId="0">
      <selection activeCell="I15" sqref="I15"/>
    </sheetView>
  </sheetViews>
  <sheetFormatPr defaultRowHeight="14.5"/>
  <cols>
    <col min="1" max="1" width="17.1796875" bestFit="1" customWidth="1"/>
    <col min="2" max="2" width="22.81640625" bestFit="1" customWidth="1"/>
  </cols>
  <sheetData>
    <row r="3" spans="1:2">
      <c r="A3" t="s">
        <v>167</v>
      </c>
      <c r="B3" t="s">
        <v>168</v>
      </c>
    </row>
    <row r="4" spans="1:2">
      <c r="A4" s="401">
        <v>428.33699999999988</v>
      </c>
      <c r="B4" s="401">
        <v>553.12944000000005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70C-C2A6-4B80-8066-359CC5BEC9F5}">
  <dimension ref="A1:S1"/>
  <sheetViews>
    <sheetView showGridLines="0" workbookViewId="0">
      <selection activeCell="L6" sqref="L6"/>
    </sheetView>
  </sheetViews>
  <sheetFormatPr defaultRowHeight="14.5"/>
  <sheetData>
    <row r="1" spans="1:19" ht="20.149999999999999" customHeight="1">
      <c r="A1" s="404"/>
      <c r="B1" s="404"/>
      <c r="C1" s="404"/>
      <c r="D1" s="404"/>
      <c r="E1" s="404"/>
      <c r="F1" s="404"/>
      <c r="G1" s="404"/>
      <c r="H1" s="404"/>
      <c r="I1" s="404"/>
      <c r="J1" s="404"/>
      <c r="K1" s="404"/>
      <c r="L1" s="404"/>
      <c r="M1" s="404"/>
      <c r="N1" s="404"/>
      <c r="O1" s="404"/>
      <c r="P1" s="404"/>
      <c r="Q1" s="404"/>
      <c r="R1" s="404"/>
      <c r="S1" s="404"/>
    </row>
  </sheetData>
  <mergeCells count="1">
    <mergeCell ref="A1:S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3B19-F4A1-4E1C-9FEA-3C0134C8C0F8}">
  <dimension ref="A3:B4"/>
  <sheetViews>
    <sheetView workbookViewId="0">
      <selection activeCell="A3" sqref="A3"/>
    </sheetView>
  </sheetViews>
  <sheetFormatPr defaultRowHeight="14.5"/>
  <cols>
    <col min="1" max="2" width="14.81640625" bestFit="1" customWidth="1"/>
  </cols>
  <sheetData>
    <row r="3" spans="1:2">
      <c r="A3" t="s">
        <v>169</v>
      </c>
      <c r="B3" t="s">
        <v>170</v>
      </c>
    </row>
    <row r="4" spans="1:2">
      <c r="A4">
        <v>84</v>
      </c>
      <c r="B4">
        <v>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C923-7637-418B-8E06-191B2916D9A4}">
  <dimension ref="A1:V85"/>
  <sheetViews>
    <sheetView tabSelected="1" workbookViewId="0">
      <pane xSplit="1" ySplit="1" topLeftCell="B69" activePane="bottomRight" state="frozen"/>
      <selection pane="topRight"/>
      <selection pane="bottomLeft"/>
      <selection pane="bottomRight" activeCell="B2" sqref="B2:B85"/>
    </sheetView>
  </sheetViews>
  <sheetFormatPr defaultRowHeight="14.5"/>
  <cols>
    <col min="1" max="1" width="39.81640625" bestFit="1" customWidth="1"/>
    <col min="2" max="2" width="22.90625" customWidth="1"/>
    <col min="4" max="4" width="10.7265625" customWidth="1"/>
    <col min="7" max="10" width="12.54296875" bestFit="1" customWidth="1"/>
    <col min="11" max="11" width="11" customWidth="1"/>
    <col min="20" max="20" width="11.453125" bestFit="1" customWidth="1"/>
    <col min="21" max="21" width="12.26953125" customWidth="1"/>
    <col min="25" max="26" width="9.1796875" customWidth="1"/>
  </cols>
  <sheetData>
    <row r="1" spans="1:22" ht="52">
      <c r="A1" s="192" t="s">
        <v>0</v>
      </c>
      <c r="B1" s="192" t="s">
        <v>681</v>
      </c>
      <c r="C1" s="192" t="s">
        <v>150</v>
      </c>
      <c r="D1" s="192" t="s">
        <v>151</v>
      </c>
      <c r="E1" s="109" t="s">
        <v>152</v>
      </c>
      <c r="F1" s="109" t="s">
        <v>153</v>
      </c>
      <c r="G1" s="12" t="s">
        <v>3</v>
      </c>
      <c r="H1" s="12" t="s">
        <v>4</v>
      </c>
      <c r="I1" s="12" t="s">
        <v>5</v>
      </c>
      <c r="J1" s="12" t="s">
        <v>6</v>
      </c>
      <c r="K1" s="193" t="s">
        <v>154</v>
      </c>
      <c r="L1" s="12" t="s">
        <v>8</v>
      </c>
      <c r="M1" s="12" t="s">
        <v>9</v>
      </c>
      <c r="N1" s="12" t="s">
        <v>10</v>
      </c>
      <c r="O1" s="12" t="s">
        <v>11</v>
      </c>
      <c r="P1" s="193" t="s">
        <v>155</v>
      </c>
      <c r="Q1" s="12" t="s">
        <v>13</v>
      </c>
      <c r="R1" s="12" t="s">
        <v>14</v>
      </c>
      <c r="S1" s="12" t="s">
        <v>15</v>
      </c>
      <c r="T1" s="12" t="s">
        <v>16</v>
      </c>
      <c r="U1" s="12" t="s">
        <v>17</v>
      </c>
      <c r="V1" s="194" t="s">
        <v>156</v>
      </c>
    </row>
    <row r="2" spans="1:22">
      <c r="A2" s="129" t="s">
        <v>20</v>
      </c>
      <c r="B2" s="129">
        <v>46138</v>
      </c>
      <c r="C2" s="129" t="s">
        <v>158</v>
      </c>
      <c r="D2" s="129" t="s">
        <v>159</v>
      </c>
      <c r="E2" s="130">
        <v>10</v>
      </c>
      <c r="F2" s="130">
        <v>7.5</v>
      </c>
      <c r="G2" s="131">
        <v>1441290</v>
      </c>
      <c r="H2" s="212">
        <v>1191870</v>
      </c>
      <c r="I2" s="212">
        <v>1300331</v>
      </c>
      <c r="J2" s="131">
        <v>1280640</v>
      </c>
      <c r="K2" s="132">
        <v>7.4499999999999997E-2</v>
      </c>
      <c r="L2" s="132">
        <v>0.18060000000000001</v>
      </c>
      <c r="M2" s="132">
        <v>0.24079999999999999</v>
      </c>
      <c r="N2" s="131">
        <v>175</v>
      </c>
      <c r="O2" s="131">
        <v>189</v>
      </c>
      <c r="P2" s="133">
        <v>7.8E-2</v>
      </c>
      <c r="Q2" s="133">
        <v>0.68799999999999994</v>
      </c>
      <c r="R2" s="133">
        <v>1</v>
      </c>
      <c r="S2" s="133">
        <v>0.94599999999999995</v>
      </c>
      <c r="T2" s="131">
        <v>114903</v>
      </c>
      <c r="U2" s="131">
        <v>0</v>
      </c>
      <c r="V2" s="128"/>
    </row>
    <row r="3" spans="1:22">
      <c r="A3" s="129" t="s">
        <v>23</v>
      </c>
      <c r="B3" s="129">
        <v>46138</v>
      </c>
      <c r="C3" s="129" t="s">
        <v>158</v>
      </c>
      <c r="D3" s="129" t="s">
        <v>159</v>
      </c>
      <c r="E3" s="130">
        <v>10</v>
      </c>
      <c r="F3" s="130">
        <v>7.5</v>
      </c>
      <c r="G3" s="212">
        <v>1425870</v>
      </c>
      <c r="H3" s="131">
        <v>1194240</v>
      </c>
      <c r="I3" s="131">
        <v>1330504</v>
      </c>
      <c r="J3" s="131">
        <v>1308400</v>
      </c>
      <c r="K3" s="132">
        <v>9.5600000000000004E-2</v>
      </c>
      <c r="L3" s="132">
        <v>0.18479999999999999</v>
      </c>
      <c r="M3" s="132">
        <v>0.24640000000000001</v>
      </c>
      <c r="N3" s="131">
        <v>175</v>
      </c>
      <c r="O3" s="131">
        <v>189</v>
      </c>
      <c r="P3" s="133">
        <v>7.6999999999999999E-2</v>
      </c>
      <c r="Q3" s="133">
        <v>0.70499999999999996</v>
      </c>
      <c r="R3" s="133">
        <v>1</v>
      </c>
      <c r="S3" s="133">
        <v>0.97299999999999998</v>
      </c>
      <c r="T3" s="131">
        <v>61636</v>
      </c>
      <c r="U3" s="131">
        <v>1236</v>
      </c>
      <c r="V3" s="128"/>
    </row>
    <row r="4" spans="1:22">
      <c r="A4" s="129" t="s">
        <v>25</v>
      </c>
      <c r="B4" s="129">
        <v>46138</v>
      </c>
      <c r="C4" s="129" t="s">
        <v>158</v>
      </c>
      <c r="D4" s="129" t="s">
        <v>159</v>
      </c>
      <c r="E4" s="130">
        <v>21.21</v>
      </c>
      <c r="F4" s="130">
        <v>16</v>
      </c>
      <c r="G4" s="212">
        <v>3138450</v>
      </c>
      <c r="H4" s="131">
        <v>3104370</v>
      </c>
      <c r="I4" s="131">
        <v>2791856</v>
      </c>
      <c r="J4" s="131">
        <v>2728080</v>
      </c>
      <c r="K4" s="132">
        <v>-0.1212</v>
      </c>
      <c r="L4" s="132">
        <v>0.18279999999999999</v>
      </c>
      <c r="M4" s="132">
        <v>0.21790000000000001</v>
      </c>
      <c r="N4" s="131">
        <v>184</v>
      </c>
      <c r="O4" s="131">
        <v>165</v>
      </c>
      <c r="P4" s="133">
        <v>-0.10299999999999999</v>
      </c>
      <c r="Q4" s="133">
        <v>0.79900000000000004</v>
      </c>
      <c r="R4" s="133">
        <v>1</v>
      </c>
      <c r="S4" s="133">
        <v>1</v>
      </c>
      <c r="T4" s="131">
        <v>0</v>
      </c>
      <c r="U4" s="131">
        <v>366</v>
      </c>
      <c r="V4" s="128"/>
    </row>
    <row r="5" spans="1:22">
      <c r="A5" s="129" t="s">
        <v>27</v>
      </c>
      <c r="B5" s="129">
        <v>46138</v>
      </c>
      <c r="C5" s="129" t="s">
        <v>158</v>
      </c>
      <c r="D5" s="129" t="s">
        <v>159</v>
      </c>
      <c r="E5" s="130">
        <v>10</v>
      </c>
      <c r="F5" s="130">
        <v>7.67</v>
      </c>
      <c r="G5" s="212">
        <v>1463460</v>
      </c>
      <c r="H5" s="131">
        <v>1219200</v>
      </c>
      <c r="I5" s="131">
        <v>1342089</v>
      </c>
      <c r="J5" s="131">
        <v>1299150</v>
      </c>
      <c r="K5" s="132">
        <v>6.5600000000000006E-2</v>
      </c>
      <c r="L5" s="132">
        <v>0.18640000000000001</v>
      </c>
      <c r="M5" s="132">
        <v>0.21879999999999999</v>
      </c>
      <c r="N5" s="131">
        <v>179</v>
      </c>
      <c r="O5" s="131">
        <v>177</v>
      </c>
      <c r="P5" s="133">
        <v>-1.4E-2</v>
      </c>
      <c r="Q5" s="133">
        <v>0.75900000000000001</v>
      </c>
      <c r="R5" s="133">
        <v>0.999</v>
      </c>
      <c r="S5" s="133">
        <v>1</v>
      </c>
      <c r="T5" s="131">
        <v>0</v>
      </c>
      <c r="U5" s="131">
        <v>1458</v>
      </c>
      <c r="V5" s="128"/>
    </row>
    <row r="6" spans="1:22">
      <c r="A6" s="129" t="s">
        <v>29</v>
      </c>
      <c r="B6" s="129">
        <v>46138</v>
      </c>
      <c r="C6" s="129" t="s">
        <v>158</v>
      </c>
      <c r="D6" s="129" t="s">
        <v>159</v>
      </c>
      <c r="E6" s="130">
        <v>15</v>
      </c>
      <c r="F6" s="130">
        <v>12.1</v>
      </c>
      <c r="G6" s="212">
        <v>2128380</v>
      </c>
      <c r="H6" s="131">
        <v>2094870</v>
      </c>
      <c r="I6" s="131">
        <v>1939607</v>
      </c>
      <c r="J6" s="131">
        <v>1911150</v>
      </c>
      <c r="K6" s="132">
        <v>-8.77E-2</v>
      </c>
      <c r="L6" s="132">
        <v>0.17960000000000001</v>
      </c>
      <c r="M6" s="132">
        <v>0.2051</v>
      </c>
      <c r="N6" s="131">
        <v>179</v>
      </c>
      <c r="O6" s="131">
        <v>162</v>
      </c>
      <c r="P6" s="133">
        <v>-0.1</v>
      </c>
      <c r="Q6" s="133">
        <v>0.80100000000000005</v>
      </c>
      <c r="R6" s="133">
        <v>1</v>
      </c>
      <c r="S6" s="133">
        <v>1</v>
      </c>
      <c r="T6" s="131">
        <v>0</v>
      </c>
      <c r="U6" s="131">
        <v>0</v>
      </c>
      <c r="V6" s="128"/>
    </row>
    <row r="7" spans="1:22">
      <c r="A7" s="129" t="s">
        <v>31</v>
      </c>
      <c r="B7" s="129">
        <v>46138</v>
      </c>
      <c r="C7" s="129" t="s">
        <v>158</v>
      </c>
      <c r="D7" s="129" t="s">
        <v>159</v>
      </c>
      <c r="E7" s="130">
        <v>2.21</v>
      </c>
      <c r="F7" s="130">
        <v>1.76</v>
      </c>
      <c r="G7" s="212">
        <v>338670</v>
      </c>
      <c r="H7" s="131">
        <v>316890</v>
      </c>
      <c r="I7" s="131">
        <v>286682</v>
      </c>
      <c r="J7" s="131">
        <v>282552</v>
      </c>
      <c r="K7" s="132">
        <v>-0.1084</v>
      </c>
      <c r="L7" s="132">
        <v>0.18060000000000001</v>
      </c>
      <c r="M7" s="132">
        <v>0.20760000000000001</v>
      </c>
      <c r="N7" s="131">
        <v>183</v>
      </c>
      <c r="O7" s="131">
        <v>163</v>
      </c>
      <c r="P7" s="133">
        <v>-0.112</v>
      </c>
      <c r="Q7" s="133">
        <v>0.79900000000000004</v>
      </c>
      <c r="R7" s="133">
        <v>1</v>
      </c>
      <c r="S7" s="133">
        <v>1</v>
      </c>
      <c r="T7" s="131">
        <v>0</v>
      </c>
      <c r="U7" s="131">
        <v>0</v>
      </c>
      <c r="V7" s="128"/>
    </row>
    <row r="8" spans="1:22">
      <c r="A8" s="129" t="s">
        <v>33</v>
      </c>
      <c r="B8" s="129">
        <v>46138</v>
      </c>
      <c r="C8" s="129" t="s">
        <v>158</v>
      </c>
      <c r="D8" s="129" t="s">
        <v>159</v>
      </c>
      <c r="E8" s="130">
        <v>12</v>
      </c>
      <c r="F8" s="130">
        <v>9</v>
      </c>
      <c r="G8" s="212">
        <v>1816044</v>
      </c>
      <c r="H8" s="131">
        <v>1699496</v>
      </c>
      <c r="I8" s="131">
        <v>1870026</v>
      </c>
      <c r="J8" s="131">
        <v>1814400</v>
      </c>
      <c r="K8" s="132">
        <v>6.7599999999999993E-2</v>
      </c>
      <c r="L8" s="132">
        <v>0.21640000000000001</v>
      </c>
      <c r="M8" s="132">
        <v>0.25650000000000001</v>
      </c>
      <c r="N8" s="131">
        <v>174</v>
      </c>
      <c r="O8" s="131">
        <v>186</v>
      </c>
      <c r="P8" s="133">
        <v>6.9000000000000006E-2</v>
      </c>
      <c r="Q8" s="133">
        <v>0.83599999999999997</v>
      </c>
      <c r="R8" s="133">
        <v>1</v>
      </c>
      <c r="S8" s="133">
        <v>0.997</v>
      </c>
      <c r="T8" s="131">
        <v>7796</v>
      </c>
      <c r="U8" s="131">
        <v>0</v>
      </c>
      <c r="V8" s="128"/>
    </row>
    <row r="9" spans="1:22">
      <c r="A9" s="129" t="s">
        <v>35</v>
      </c>
      <c r="B9" s="129">
        <v>46138</v>
      </c>
      <c r="C9" s="129" t="s">
        <v>160</v>
      </c>
      <c r="D9" s="129" t="s">
        <v>159</v>
      </c>
      <c r="E9" s="130">
        <v>3.89</v>
      </c>
      <c r="F9" s="130">
        <v>3.08</v>
      </c>
      <c r="G9" s="212">
        <v>550277</v>
      </c>
      <c r="H9" s="131">
        <v>541160</v>
      </c>
      <c r="I9" s="131">
        <v>520564</v>
      </c>
      <c r="J9" s="131">
        <v>493673</v>
      </c>
      <c r="K9" s="132">
        <v>-8.7800000000000003E-2</v>
      </c>
      <c r="L9" s="132">
        <v>0.18579999999999999</v>
      </c>
      <c r="M9" s="132">
        <v>0.21429999999999999</v>
      </c>
      <c r="N9" s="131">
        <v>179</v>
      </c>
      <c r="O9" s="131">
        <v>178</v>
      </c>
      <c r="P9" s="133">
        <v>-7.0000000000000001E-3</v>
      </c>
      <c r="Q9" s="133">
        <v>0.751</v>
      </c>
      <c r="R9" s="133">
        <v>1</v>
      </c>
      <c r="S9" s="133">
        <v>0.997</v>
      </c>
      <c r="T9" s="131">
        <v>0</v>
      </c>
      <c r="U9" s="131">
        <v>0</v>
      </c>
      <c r="V9" s="128"/>
    </row>
    <row r="10" spans="1:22">
      <c r="A10" s="129" t="s">
        <v>37</v>
      </c>
      <c r="B10" s="129">
        <v>46138</v>
      </c>
      <c r="C10" s="129" t="s">
        <v>160</v>
      </c>
      <c r="D10" s="129" t="s">
        <v>159</v>
      </c>
      <c r="E10" s="130">
        <v>1.3</v>
      </c>
      <c r="F10" s="130">
        <v>1.1000000000000001</v>
      </c>
      <c r="G10" s="212">
        <v>181404</v>
      </c>
      <c r="H10" s="131">
        <v>180441</v>
      </c>
      <c r="I10" s="131">
        <v>163670</v>
      </c>
      <c r="J10" s="131">
        <v>165448</v>
      </c>
      <c r="K10" s="132">
        <v>-8.3099999999999993E-2</v>
      </c>
      <c r="L10" s="132">
        <v>0.17530000000000001</v>
      </c>
      <c r="M10" s="132">
        <v>0.19539999999999999</v>
      </c>
      <c r="N10" s="131">
        <v>179</v>
      </c>
      <c r="O10" s="131">
        <v>174</v>
      </c>
      <c r="P10" s="133">
        <v>-2.7E-2</v>
      </c>
      <c r="Q10" s="133">
        <v>0.72599999999999998</v>
      </c>
      <c r="R10" s="133">
        <v>1</v>
      </c>
      <c r="S10" s="133">
        <v>0.998</v>
      </c>
      <c r="T10" s="131">
        <v>0</v>
      </c>
      <c r="U10" s="131">
        <v>0</v>
      </c>
      <c r="V10" s="128"/>
    </row>
    <row r="11" spans="1:22">
      <c r="A11" s="129" t="s">
        <v>39</v>
      </c>
      <c r="B11" s="129">
        <v>46138</v>
      </c>
      <c r="C11" s="129" t="s">
        <v>160</v>
      </c>
      <c r="D11" s="129" t="s">
        <v>159</v>
      </c>
      <c r="E11" s="130">
        <v>2.8</v>
      </c>
      <c r="F11" s="130">
        <v>2.2000000000000002</v>
      </c>
      <c r="G11" s="212">
        <v>377310</v>
      </c>
      <c r="H11" s="131">
        <v>373140</v>
      </c>
      <c r="I11" s="131">
        <v>412256</v>
      </c>
      <c r="J11" s="131">
        <v>412722</v>
      </c>
      <c r="K11" s="132">
        <v>0.1061</v>
      </c>
      <c r="L11" s="132">
        <v>0.2049</v>
      </c>
      <c r="M11" s="132">
        <v>0.23930000000000001</v>
      </c>
      <c r="N11" s="131">
        <v>180</v>
      </c>
      <c r="O11" s="131">
        <v>185</v>
      </c>
      <c r="P11" s="133">
        <v>2.3E-2</v>
      </c>
      <c r="Q11" s="133">
        <v>0.79900000000000004</v>
      </c>
      <c r="R11" s="133">
        <v>1</v>
      </c>
      <c r="S11" s="133">
        <v>0.999</v>
      </c>
      <c r="T11" s="131">
        <v>0</v>
      </c>
      <c r="U11" s="131">
        <v>0</v>
      </c>
      <c r="V11" s="128"/>
    </row>
    <row r="12" spans="1:22">
      <c r="A12" s="129" t="s">
        <v>41</v>
      </c>
      <c r="B12" s="129">
        <v>46138</v>
      </c>
      <c r="C12" s="129" t="s">
        <v>158</v>
      </c>
      <c r="D12" s="129" t="s">
        <v>159</v>
      </c>
      <c r="E12" s="130">
        <v>1.48</v>
      </c>
      <c r="F12" s="130">
        <v>1.1000000000000001</v>
      </c>
      <c r="G12" s="212">
        <v>202885</v>
      </c>
      <c r="H12" s="131">
        <v>191883</v>
      </c>
      <c r="I12" s="131">
        <v>223939</v>
      </c>
      <c r="J12" s="131">
        <v>220836</v>
      </c>
      <c r="K12" s="132">
        <v>0.15090000000000001</v>
      </c>
      <c r="L12" s="132">
        <v>0.21029999999999999</v>
      </c>
      <c r="M12" s="132">
        <v>0.25240000000000001</v>
      </c>
      <c r="N12" s="131">
        <v>172</v>
      </c>
      <c r="O12" s="131">
        <v>192</v>
      </c>
      <c r="P12" s="133">
        <v>0.11700000000000001</v>
      </c>
      <c r="Q12" s="133">
        <v>0.79</v>
      </c>
      <c r="R12" s="133">
        <v>1</v>
      </c>
      <c r="S12" s="133">
        <v>0.98299999999999998</v>
      </c>
      <c r="T12" s="131">
        <v>6083</v>
      </c>
      <c r="U12" s="131">
        <v>0</v>
      </c>
      <c r="V12" s="128"/>
    </row>
    <row r="13" spans="1:22">
      <c r="A13" s="129" t="s">
        <v>43</v>
      </c>
      <c r="B13" s="129">
        <v>46138</v>
      </c>
      <c r="C13" s="129" t="s">
        <v>158</v>
      </c>
      <c r="D13" s="129" t="s">
        <v>159</v>
      </c>
      <c r="E13" s="130">
        <v>2.61</v>
      </c>
      <c r="F13" s="130">
        <v>1.9</v>
      </c>
      <c r="G13" s="212">
        <v>389850</v>
      </c>
      <c r="H13" s="131">
        <v>365730</v>
      </c>
      <c r="I13" s="131">
        <v>389716</v>
      </c>
      <c r="J13" s="131">
        <v>383784</v>
      </c>
      <c r="K13" s="132">
        <v>4.9399999999999999E-2</v>
      </c>
      <c r="L13" s="132">
        <v>0.20749999999999999</v>
      </c>
      <c r="M13" s="132">
        <v>0.25240000000000001</v>
      </c>
      <c r="N13" s="131">
        <v>172</v>
      </c>
      <c r="O13" s="131">
        <v>186</v>
      </c>
      <c r="P13" s="133">
        <v>8.3000000000000004E-2</v>
      </c>
      <c r="Q13" s="133">
        <v>0.80400000000000005</v>
      </c>
      <c r="R13" s="133">
        <v>1</v>
      </c>
      <c r="S13" s="133">
        <v>0.98499999999999999</v>
      </c>
      <c r="T13" s="131">
        <v>10064</v>
      </c>
      <c r="U13" s="131">
        <v>0</v>
      </c>
      <c r="V13" s="128"/>
    </row>
    <row r="14" spans="1:22">
      <c r="A14" s="129" t="s">
        <v>45</v>
      </c>
      <c r="B14" s="129">
        <v>46138</v>
      </c>
      <c r="C14" s="129" t="s">
        <v>158</v>
      </c>
      <c r="D14" s="129" t="s">
        <v>159</v>
      </c>
      <c r="E14" s="130">
        <v>1.75</v>
      </c>
      <c r="F14" s="130">
        <v>1.38</v>
      </c>
      <c r="G14" s="212">
        <v>262931</v>
      </c>
      <c r="H14" s="131">
        <v>248361</v>
      </c>
      <c r="I14" s="131">
        <v>226940</v>
      </c>
      <c r="J14" s="131">
        <v>224816</v>
      </c>
      <c r="K14" s="132">
        <v>-9.4799999999999995E-2</v>
      </c>
      <c r="L14" s="132">
        <v>0.18010000000000001</v>
      </c>
      <c r="M14" s="132">
        <v>0.2102</v>
      </c>
      <c r="N14" s="131">
        <v>172</v>
      </c>
      <c r="O14" s="131">
        <v>186</v>
      </c>
      <c r="P14" s="133">
        <v>8.2000000000000003E-2</v>
      </c>
      <c r="Q14" s="133">
        <v>0.69799999999999995</v>
      </c>
      <c r="R14" s="133">
        <v>0.86699999999999999</v>
      </c>
      <c r="S14" s="133">
        <v>0.98</v>
      </c>
      <c r="T14" s="131">
        <v>7410</v>
      </c>
      <c r="U14" s="131">
        <v>36259</v>
      </c>
      <c r="V14" s="128"/>
    </row>
    <row r="15" spans="1:22">
      <c r="A15" s="129" t="s">
        <v>47</v>
      </c>
      <c r="B15" s="129">
        <v>46138</v>
      </c>
      <c r="C15" s="129" t="s">
        <v>158</v>
      </c>
      <c r="D15" s="129" t="s">
        <v>161</v>
      </c>
      <c r="E15" s="130">
        <v>7.02</v>
      </c>
      <c r="F15" s="130">
        <v>5.72</v>
      </c>
      <c r="G15" s="212">
        <v>1050118</v>
      </c>
      <c r="H15" s="131">
        <v>1028275</v>
      </c>
      <c r="I15" s="131">
        <v>1163968</v>
      </c>
      <c r="J15" s="131">
        <v>1033839</v>
      </c>
      <c r="K15" s="132">
        <v>5.4000000000000003E-3</v>
      </c>
      <c r="L15" s="132">
        <v>0.23039999999999999</v>
      </c>
      <c r="M15" s="132">
        <v>0.252</v>
      </c>
      <c r="N15" s="131">
        <v>200</v>
      </c>
      <c r="O15" s="131">
        <v>193</v>
      </c>
      <c r="P15" s="133">
        <v>-3.6999999999999998E-2</v>
      </c>
      <c r="Q15" s="133">
        <v>0.85899999999999999</v>
      </c>
      <c r="R15" s="133">
        <v>1</v>
      </c>
      <c r="S15" s="133">
        <v>0.998</v>
      </c>
      <c r="T15" s="131">
        <v>1500</v>
      </c>
      <c r="U15" s="131">
        <v>0</v>
      </c>
      <c r="V15" s="128"/>
    </row>
    <row r="16" spans="1:22">
      <c r="A16" s="129" t="s">
        <v>49</v>
      </c>
      <c r="B16" s="129">
        <v>46138</v>
      </c>
      <c r="C16" s="129" t="s">
        <v>158</v>
      </c>
      <c r="D16" s="129" t="s">
        <v>162</v>
      </c>
      <c r="E16" s="130">
        <v>32.07</v>
      </c>
      <c r="F16" s="130">
        <v>24.2</v>
      </c>
      <c r="G16" s="212">
        <v>5855010</v>
      </c>
      <c r="H16" s="131">
        <v>5677500</v>
      </c>
      <c r="I16" s="131">
        <v>4939255</v>
      </c>
      <c r="J16" s="131">
        <v>4792200</v>
      </c>
      <c r="K16" s="132">
        <v>-0.15590000000000001</v>
      </c>
      <c r="L16" s="132">
        <v>0.21390000000000001</v>
      </c>
      <c r="M16" s="132">
        <v>0.25259999999999999</v>
      </c>
      <c r="N16" s="131">
        <v>221</v>
      </c>
      <c r="O16" s="131">
        <v>208</v>
      </c>
      <c r="P16" s="133">
        <v>-0.06</v>
      </c>
      <c r="Q16" s="133">
        <v>0.74099999999999999</v>
      </c>
      <c r="R16" s="133">
        <v>1</v>
      </c>
      <c r="S16" s="133">
        <v>1</v>
      </c>
      <c r="T16" s="131">
        <v>629825</v>
      </c>
      <c r="U16" s="131">
        <v>3935</v>
      </c>
      <c r="V16" s="128"/>
    </row>
    <row r="17" spans="1:22">
      <c r="A17" s="129" t="s">
        <v>51</v>
      </c>
      <c r="B17" s="129">
        <v>46138</v>
      </c>
      <c r="C17" s="129" t="s">
        <v>158</v>
      </c>
      <c r="D17" s="129" t="s">
        <v>162</v>
      </c>
      <c r="E17" s="130">
        <v>1.81</v>
      </c>
      <c r="F17" s="130">
        <v>1.58</v>
      </c>
      <c r="G17" s="212">
        <v>333716</v>
      </c>
      <c r="H17" s="131">
        <v>319656</v>
      </c>
      <c r="I17" s="131">
        <v>340823</v>
      </c>
      <c r="J17" s="131">
        <v>340823</v>
      </c>
      <c r="K17" s="132">
        <v>6.6199999999999995E-2</v>
      </c>
      <c r="L17" s="132">
        <v>0.26229999999999998</v>
      </c>
      <c r="M17" s="132">
        <v>0.29920000000000002</v>
      </c>
      <c r="N17" s="131">
        <v>275</v>
      </c>
      <c r="O17" s="131">
        <v>238</v>
      </c>
      <c r="P17" s="133">
        <v>-0.13600000000000001</v>
      </c>
      <c r="Q17" s="133">
        <v>0.79300000000000004</v>
      </c>
      <c r="R17" s="133">
        <v>0.93100000000000005</v>
      </c>
      <c r="S17" s="133">
        <v>0.997</v>
      </c>
      <c r="T17" s="131">
        <v>17927</v>
      </c>
      <c r="U17" s="131">
        <v>0</v>
      </c>
      <c r="V17" s="128"/>
    </row>
    <row r="18" spans="1:22">
      <c r="A18" s="129" t="s">
        <v>53</v>
      </c>
      <c r="B18" s="129">
        <v>46138</v>
      </c>
      <c r="C18" s="129" t="s">
        <v>158</v>
      </c>
      <c r="D18" s="129" t="s">
        <v>162</v>
      </c>
      <c r="E18" s="130">
        <v>4.4000000000000004</v>
      </c>
      <c r="F18" s="130">
        <v>3.96</v>
      </c>
      <c r="G18" s="212">
        <v>777010</v>
      </c>
      <c r="H18" s="131">
        <v>670209</v>
      </c>
      <c r="I18" s="131">
        <v>766733</v>
      </c>
      <c r="J18" s="131">
        <v>752100</v>
      </c>
      <c r="K18" s="132">
        <v>0.1222</v>
      </c>
      <c r="L18" s="132">
        <v>0.24210000000000001</v>
      </c>
      <c r="M18" s="132">
        <v>0.26229999999999998</v>
      </c>
      <c r="N18" s="131">
        <v>225</v>
      </c>
      <c r="O18" s="131">
        <v>230</v>
      </c>
      <c r="P18" s="133">
        <v>2.1000000000000001E-2</v>
      </c>
      <c r="Q18" s="133">
        <v>0.75900000000000001</v>
      </c>
      <c r="R18" s="133">
        <v>0.997</v>
      </c>
      <c r="S18" s="133">
        <v>0.97099999999999997</v>
      </c>
      <c r="T18" s="131">
        <v>32173</v>
      </c>
      <c r="U18" s="131">
        <v>2077</v>
      </c>
      <c r="V18" s="128"/>
    </row>
    <row r="19" spans="1:22">
      <c r="A19" s="129" t="s">
        <v>55</v>
      </c>
      <c r="B19" s="129">
        <v>46138</v>
      </c>
      <c r="C19" s="129" t="s">
        <v>158</v>
      </c>
      <c r="D19" s="129" t="s">
        <v>162</v>
      </c>
      <c r="E19" s="130">
        <v>1.1200000000000001</v>
      </c>
      <c r="F19" s="130">
        <v>0.88</v>
      </c>
      <c r="G19" s="212">
        <v>193522</v>
      </c>
      <c r="H19" s="131">
        <v>167856</v>
      </c>
      <c r="I19" s="131">
        <v>177605</v>
      </c>
      <c r="J19" s="131">
        <v>175740</v>
      </c>
      <c r="K19" s="132">
        <v>4.7E-2</v>
      </c>
      <c r="L19" s="132">
        <v>0.2195</v>
      </c>
      <c r="M19" s="132">
        <v>0.25490000000000002</v>
      </c>
      <c r="N19" s="131">
        <v>217</v>
      </c>
      <c r="O19" s="131">
        <v>206</v>
      </c>
      <c r="P19" s="133">
        <v>-0.05</v>
      </c>
      <c r="Q19" s="133">
        <v>0.76700000000000002</v>
      </c>
      <c r="R19" s="133">
        <v>0.997</v>
      </c>
      <c r="S19" s="133">
        <v>0.95299999999999996</v>
      </c>
      <c r="T19" s="131">
        <v>12075</v>
      </c>
      <c r="U19" s="131">
        <v>411</v>
      </c>
      <c r="V19" s="128"/>
    </row>
    <row r="20" spans="1:22">
      <c r="A20" s="129" t="s">
        <v>57</v>
      </c>
      <c r="B20" s="129">
        <v>46138</v>
      </c>
      <c r="C20" s="129" t="s">
        <v>158</v>
      </c>
      <c r="D20" s="129" t="s">
        <v>162</v>
      </c>
      <c r="E20" s="130">
        <v>1.82</v>
      </c>
      <c r="F20" s="130">
        <v>1.54</v>
      </c>
      <c r="G20" s="212">
        <v>312660</v>
      </c>
      <c r="H20" s="131">
        <v>271500</v>
      </c>
      <c r="I20" s="131">
        <v>295577</v>
      </c>
      <c r="J20" s="131">
        <v>290500</v>
      </c>
      <c r="K20" s="132">
        <v>7.0000000000000007E-2</v>
      </c>
      <c r="L20" s="132">
        <v>0.22589999999999999</v>
      </c>
      <c r="M20" s="132">
        <v>0.2485</v>
      </c>
      <c r="N20" s="131">
        <v>217</v>
      </c>
      <c r="O20" s="131">
        <v>207</v>
      </c>
      <c r="P20" s="133">
        <v>-4.3999999999999997E-2</v>
      </c>
      <c r="Q20" s="133">
        <v>0.78500000000000003</v>
      </c>
      <c r="R20" s="133">
        <v>0.996</v>
      </c>
      <c r="S20" s="133">
        <v>0.96</v>
      </c>
      <c r="T20" s="131">
        <v>14819</v>
      </c>
      <c r="U20" s="131">
        <v>936</v>
      </c>
      <c r="V20" s="128"/>
    </row>
    <row r="21" spans="1:22">
      <c r="A21" s="134" t="s">
        <v>59</v>
      </c>
      <c r="B21" s="129">
        <v>46138</v>
      </c>
      <c r="C21" s="134" t="s">
        <v>158</v>
      </c>
      <c r="D21" s="134" t="s">
        <v>162</v>
      </c>
      <c r="E21" s="130">
        <v>2.5299999999999998</v>
      </c>
      <c r="F21" s="130">
        <v>1.98</v>
      </c>
      <c r="G21" s="212">
        <v>475836</v>
      </c>
      <c r="H21" s="131">
        <v>415519</v>
      </c>
      <c r="I21" s="131">
        <v>413247</v>
      </c>
      <c r="J21" s="131">
        <v>406590</v>
      </c>
      <c r="K21" s="132">
        <v>-2.1499999999999998E-2</v>
      </c>
      <c r="L21" s="132">
        <v>0.2273</v>
      </c>
      <c r="M21" s="132">
        <v>0.26319999999999999</v>
      </c>
      <c r="N21" s="131">
        <v>217</v>
      </c>
      <c r="O21" s="131">
        <v>209</v>
      </c>
      <c r="P21" s="133">
        <v>-3.6999999999999998E-2</v>
      </c>
      <c r="Q21" s="133">
        <v>0.78300000000000003</v>
      </c>
      <c r="R21" s="133">
        <v>0.996</v>
      </c>
      <c r="S21" s="133">
        <v>0.96899999999999997</v>
      </c>
      <c r="T21" s="131">
        <v>17421</v>
      </c>
      <c r="U21" s="131">
        <v>1352</v>
      </c>
      <c r="V21" s="128"/>
    </row>
    <row r="22" spans="1:22">
      <c r="A22" s="403" t="s">
        <v>1</v>
      </c>
      <c r="B22" s="129">
        <v>46138</v>
      </c>
      <c r="C22" s="129" t="s">
        <v>158</v>
      </c>
      <c r="D22" s="129" t="s">
        <v>162</v>
      </c>
      <c r="E22" s="130">
        <v>18.09</v>
      </c>
      <c r="F22" s="130">
        <v>14</v>
      </c>
      <c r="G22" s="131">
        <v>2770680</v>
      </c>
      <c r="H22" s="131">
        <v>2644740</v>
      </c>
      <c r="I22" s="131">
        <v>5415420</v>
      </c>
      <c r="J22" s="131">
        <v>2691000</v>
      </c>
      <c r="K22" s="132">
        <v>4.5900000000000003E-2</v>
      </c>
      <c r="L22" s="132">
        <v>0.21240000000000001</v>
      </c>
      <c r="M22" s="132">
        <v>0.27439999999999998</v>
      </c>
      <c r="N22" s="131">
        <v>199</v>
      </c>
      <c r="O22" s="131">
        <v>197</v>
      </c>
      <c r="P22" s="133">
        <v>-8.0000000000000002E-3</v>
      </c>
      <c r="Q22" s="133">
        <v>0.77500000000000002</v>
      </c>
      <c r="R22" s="133">
        <v>1</v>
      </c>
      <c r="S22" s="133">
        <v>0.94499999999999995</v>
      </c>
      <c r="T22" s="131">
        <v>279144</v>
      </c>
      <c r="U22" s="131">
        <v>0</v>
      </c>
      <c r="V22" s="128" t="str">
        <f>Vasundhara!Q34</f>
        <v> </v>
      </c>
    </row>
    <row r="23" spans="1:22">
      <c r="A23" s="403" t="s">
        <v>63</v>
      </c>
      <c r="B23" s="129">
        <v>46138</v>
      </c>
      <c r="C23" s="129" t="s">
        <v>158</v>
      </c>
      <c r="D23" s="129" t="s">
        <v>163</v>
      </c>
      <c r="E23" s="130">
        <v>21.5</v>
      </c>
      <c r="F23" s="130">
        <v>15.4</v>
      </c>
      <c r="G23" s="131">
        <v>2328207</v>
      </c>
      <c r="H23" s="131">
        <v>2189481</v>
      </c>
      <c r="I23" s="131">
        <v>2410515</v>
      </c>
      <c r="J23" s="131">
        <v>2409540</v>
      </c>
      <c r="K23" s="132">
        <v>0.10050000000000001</v>
      </c>
      <c r="L23" s="132">
        <v>0.15570000000000001</v>
      </c>
      <c r="M23" s="132">
        <v>0.21740000000000001</v>
      </c>
      <c r="N23" s="131">
        <v>199</v>
      </c>
      <c r="O23" s="131">
        <v>142</v>
      </c>
      <c r="P23" s="133">
        <v>-0.28499999999999998</v>
      </c>
      <c r="Q23" s="133">
        <v>0.79</v>
      </c>
      <c r="R23" s="133">
        <v>0.998</v>
      </c>
      <c r="S23" s="133">
        <v>0.99399999999999999</v>
      </c>
      <c r="T23" s="131">
        <v>14060</v>
      </c>
      <c r="U23" s="131">
        <v>4218</v>
      </c>
      <c r="V23" s="128" t="str">
        <f>Pudumjee!Q34</f>
        <v> </v>
      </c>
    </row>
    <row r="24" spans="1:22">
      <c r="A24" s="403" t="s">
        <v>64</v>
      </c>
      <c r="B24" s="129">
        <v>46138</v>
      </c>
      <c r="C24" s="129" t="s">
        <v>158</v>
      </c>
      <c r="D24" s="129" t="s">
        <v>162</v>
      </c>
      <c r="E24" s="130">
        <v>3.33</v>
      </c>
      <c r="F24" s="130">
        <v>2.42</v>
      </c>
      <c r="G24" s="131">
        <v>450892</v>
      </c>
      <c r="H24" s="131">
        <v>395968</v>
      </c>
      <c r="I24" s="131">
        <v>405353</v>
      </c>
      <c r="J24" s="131">
        <v>399060</v>
      </c>
      <c r="K24" s="132">
        <v>7.7999999999999996E-3</v>
      </c>
      <c r="L24" s="132">
        <v>0.1691</v>
      </c>
      <c r="M24" s="132">
        <v>0.2326</v>
      </c>
      <c r="N24" s="131">
        <v>172</v>
      </c>
      <c r="O24" s="131">
        <v>163</v>
      </c>
      <c r="P24" s="133">
        <v>-5.6000000000000001E-2</v>
      </c>
      <c r="Q24" s="133">
        <v>0.749</v>
      </c>
      <c r="R24" s="133">
        <v>0.99099999999999999</v>
      </c>
      <c r="S24" s="133">
        <v>0.94299999999999995</v>
      </c>
      <c r="T24" s="131">
        <v>34334</v>
      </c>
      <c r="U24" s="131">
        <v>3447</v>
      </c>
      <c r="V24" s="128"/>
    </row>
    <row r="25" spans="1:22">
      <c r="A25" s="403" t="s">
        <v>65</v>
      </c>
      <c r="B25" s="129">
        <v>46138</v>
      </c>
      <c r="C25" s="129" t="s">
        <v>158</v>
      </c>
      <c r="D25" s="129" t="s">
        <v>162</v>
      </c>
      <c r="E25" s="130">
        <v>1.8</v>
      </c>
      <c r="F25" s="130">
        <v>1.54</v>
      </c>
      <c r="G25" s="131">
        <v>243800</v>
      </c>
      <c r="H25" s="131">
        <v>214107</v>
      </c>
      <c r="I25" s="131">
        <v>225776</v>
      </c>
      <c r="J25" s="131">
        <v>222320</v>
      </c>
      <c r="K25" s="132">
        <v>3.8399999999999997E-2</v>
      </c>
      <c r="L25" s="132">
        <v>0.1741</v>
      </c>
      <c r="M25" s="132">
        <v>0.2036</v>
      </c>
      <c r="N25" s="131">
        <v>172</v>
      </c>
      <c r="O25" s="131">
        <v>163</v>
      </c>
      <c r="P25" s="133">
        <v>-5.6000000000000001E-2</v>
      </c>
      <c r="Q25" s="133">
        <v>0.77100000000000002</v>
      </c>
      <c r="R25" s="133">
        <v>0.99099999999999999</v>
      </c>
      <c r="S25" s="133">
        <v>0.97</v>
      </c>
      <c r="T25" s="131">
        <v>9620</v>
      </c>
      <c r="U25" s="131">
        <v>1872</v>
      </c>
      <c r="V25" s="128"/>
    </row>
    <row r="26" spans="1:22">
      <c r="A26" s="403" t="s">
        <v>66</v>
      </c>
      <c r="B26" s="129">
        <v>46138</v>
      </c>
      <c r="C26" s="129" t="s">
        <v>158</v>
      </c>
      <c r="D26" s="129" t="s">
        <v>162</v>
      </c>
      <c r="E26" s="130">
        <v>5.15</v>
      </c>
      <c r="F26" s="130">
        <v>3.96</v>
      </c>
      <c r="G26" s="131">
        <v>855370</v>
      </c>
      <c r="H26" s="131">
        <v>760380</v>
      </c>
      <c r="I26" s="131">
        <v>801525</v>
      </c>
      <c r="J26" s="131">
        <v>781250</v>
      </c>
      <c r="K26" s="132">
        <v>2.7400000000000001E-2</v>
      </c>
      <c r="L26" s="132">
        <v>0.2162</v>
      </c>
      <c r="M26" s="132">
        <v>0.28110000000000002</v>
      </c>
      <c r="N26" s="131">
        <v>211</v>
      </c>
      <c r="O26" s="131">
        <v>199</v>
      </c>
      <c r="P26" s="133">
        <v>-5.6000000000000001E-2</v>
      </c>
      <c r="Q26" s="133">
        <v>0.78300000000000003</v>
      </c>
      <c r="R26" s="133">
        <v>0.998</v>
      </c>
      <c r="S26" s="133">
        <v>0.95799999999999996</v>
      </c>
      <c r="T26" s="131">
        <v>42836</v>
      </c>
      <c r="U26" s="131">
        <v>2630</v>
      </c>
      <c r="V26" s="128"/>
    </row>
    <row r="27" spans="1:22">
      <c r="A27" s="403" t="s">
        <v>67</v>
      </c>
      <c r="B27" s="129">
        <v>46138</v>
      </c>
      <c r="C27" s="129" t="s">
        <v>158</v>
      </c>
      <c r="D27" s="129" t="s">
        <v>162</v>
      </c>
      <c r="E27" s="130">
        <v>65</v>
      </c>
      <c r="F27" s="130">
        <v>50</v>
      </c>
      <c r="G27" s="131">
        <v>7735659</v>
      </c>
      <c r="H27" s="131">
        <v>6923207</v>
      </c>
      <c r="I27" s="131">
        <v>7667930</v>
      </c>
      <c r="J27" s="131">
        <v>7452900</v>
      </c>
      <c r="K27" s="132">
        <v>7.6499999999999999E-2</v>
      </c>
      <c r="L27" s="132">
        <v>0.1638</v>
      </c>
      <c r="M27" s="132">
        <v>0.21299999999999999</v>
      </c>
      <c r="N27" s="131">
        <v>173</v>
      </c>
      <c r="O27" s="131">
        <v>155</v>
      </c>
      <c r="P27" s="133">
        <v>-0.106</v>
      </c>
      <c r="Q27" s="133">
        <v>0.76100000000000001</v>
      </c>
      <c r="R27" s="133">
        <v>1</v>
      </c>
      <c r="S27" s="133">
        <v>0.996</v>
      </c>
      <c r="T27" s="131">
        <v>378885</v>
      </c>
      <c r="U27" s="131">
        <v>2576</v>
      </c>
      <c r="V27" s="128"/>
    </row>
    <row r="28" spans="1:22">
      <c r="A28" s="403" t="s">
        <v>69</v>
      </c>
      <c r="B28" s="129">
        <v>46138</v>
      </c>
      <c r="C28" s="129" t="s">
        <v>158</v>
      </c>
      <c r="D28" s="129" t="s">
        <v>163</v>
      </c>
      <c r="E28" s="130">
        <v>3.75</v>
      </c>
      <c r="F28" s="130">
        <v>3</v>
      </c>
      <c r="G28" s="131">
        <v>425720</v>
      </c>
      <c r="H28" s="131">
        <v>397700</v>
      </c>
      <c r="I28" s="131">
        <v>326224</v>
      </c>
      <c r="J28" s="131">
        <v>320040</v>
      </c>
      <c r="K28" s="132">
        <v>-0.1953</v>
      </c>
      <c r="L28" s="132">
        <v>0.1208</v>
      </c>
      <c r="M28" s="132">
        <v>0.151</v>
      </c>
      <c r="N28" s="131">
        <v>135</v>
      </c>
      <c r="O28" s="131">
        <v>134</v>
      </c>
      <c r="P28" s="133">
        <v>-8.0000000000000002E-3</v>
      </c>
      <c r="Q28" s="133">
        <v>0.65100000000000002</v>
      </c>
      <c r="R28" s="133">
        <v>1</v>
      </c>
      <c r="S28" s="133">
        <v>0.84399999999999997</v>
      </c>
      <c r="T28" s="131">
        <v>61759</v>
      </c>
      <c r="U28" s="131">
        <v>0</v>
      </c>
      <c r="V28" s="128"/>
    </row>
    <row r="29" spans="1:22">
      <c r="A29" s="403" t="s">
        <v>70</v>
      </c>
      <c r="B29" s="129">
        <v>46138</v>
      </c>
      <c r="C29" s="129" t="s">
        <v>158</v>
      </c>
      <c r="D29" s="129" t="s">
        <v>161</v>
      </c>
      <c r="E29" s="130">
        <v>3.93</v>
      </c>
      <c r="F29" s="130">
        <v>2.86</v>
      </c>
      <c r="G29" s="131">
        <v>623300</v>
      </c>
      <c r="H29" s="131">
        <v>557681</v>
      </c>
      <c r="I29" s="131">
        <v>586167</v>
      </c>
      <c r="J29" s="131">
        <v>580730</v>
      </c>
      <c r="K29" s="132">
        <v>4.1300000000000003E-2</v>
      </c>
      <c r="L29" s="132">
        <v>0.2072</v>
      </c>
      <c r="M29" s="132">
        <v>0.2545</v>
      </c>
      <c r="N29" s="131">
        <v>186</v>
      </c>
      <c r="O29" s="131">
        <v>184</v>
      </c>
      <c r="P29" s="133">
        <v>-7.0000000000000001E-3</v>
      </c>
      <c r="Q29" s="133">
        <v>0.81</v>
      </c>
      <c r="R29" s="133">
        <v>0.995</v>
      </c>
      <c r="S29" s="133">
        <v>0.996</v>
      </c>
      <c r="T29" s="131">
        <v>8409</v>
      </c>
      <c r="U29" s="131">
        <v>1893</v>
      </c>
      <c r="V29" s="128"/>
    </row>
    <row r="30" spans="1:22">
      <c r="A30" s="403" t="s">
        <v>72</v>
      </c>
      <c r="B30" s="129">
        <v>46138</v>
      </c>
      <c r="C30" s="129" t="s">
        <v>158</v>
      </c>
      <c r="D30" s="129" t="s">
        <v>161</v>
      </c>
      <c r="E30" s="130">
        <v>3.72</v>
      </c>
      <c r="F30" s="130">
        <v>3.3</v>
      </c>
      <c r="G30" s="131">
        <v>632445</v>
      </c>
      <c r="H30" s="131">
        <v>570599</v>
      </c>
      <c r="I30" s="131">
        <v>587316</v>
      </c>
      <c r="J30" s="131">
        <v>585140</v>
      </c>
      <c r="K30" s="132">
        <v>2.5499999999999998E-2</v>
      </c>
      <c r="L30" s="132">
        <v>0.2195</v>
      </c>
      <c r="M30" s="132">
        <v>0.23669999999999999</v>
      </c>
      <c r="N30" s="131">
        <v>186</v>
      </c>
      <c r="O30" s="131">
        <v>183</v>
      </c>
      <c r="P30" s="133">
        <v>-1.2E-2</v>
      </c>
      <c r="Q30" s="133">
        <v>0.86199999999999999</v>
      </c>
      <c r="R30" s="133">
        <v>0.995</v>
      </c>
      <c r="S30" s="133">
        <v>0.997</v>
      </c>
      <c r="T30" s="131">
        <v>1184</v>
      </c>
      <c r="U30" s="131">
        <v>1714</v>
      </c>
      <c r="V30" s="128"/>
    </row>
    <row r="31" spans="1:22">
      <c r="A31" s="403" t="s">
        <v>74</v>
      </c>
      <c r="B31" s="129">
        <v>46138</v>
      </c>
      <c r="C31" s="129" t="s">
        <v>158</v>
      </c>
      <c r="D31" s="129" t="s">
        <v>161</v>
      </c>
      <c r="E31" s="130">
        <v>4</v>
      </c>
      <c r="F31" s="130">
        <v>3.2</v>
      </c>
      <c r="G31" s="131">
        <v>573112</v>
      </c>
      <c r="H31" s="131">
        <v>548348</v>
      </c>
      <c r="I31" s="131">
        <v>514946</v>
      </c>
      <c r="J31" s="131">
        <v>512980</v>
      </c>
      <c r="K31" s="132">
        <v>-6.4500000000000002E-2</v>
      </c>
      <c r="L31" s="132">
        <v>0.17879999999999999</v>
      </c>
      <c r="M31" s="132">
        <v>0.2072</v>
      </c>
      <c r="N31" s="131">
        <v>182</v>
      </c>
      <c r="O31" s="131">
        <v>181</v>
      </c>
      <c r="P31" s="133">
        <v>-5.0000000000000001E-3</v>
      </c>
      <c r="Q31" s="133">
        <v>0.71099999999999997</v>
      </c>
      <c r="R31" s="133">
        <v>1</v>
      </c>
      <c r="S31" s="133">
        <v>0.94599999999999995</v>
      </c>
      <c r="T31" s="131">
        <v>22938</v>
      </c>
      <c r="U31" s="131">
        <v>0</v>
      </c>
      <c r="V31" s="128"/>
    </row>
    <row r="32" spans="1:22">
      <c r="A32" s="403" t="s">
        <v>76</v>
      </c>
      <c r="B32" s="129">
        <v>46138</v>
      </c>
      <c r="C32" s="129" t="s">
        <v>158</v>
      </c>
      <c r="D32" s="129" t="s">
        <v>161</v>
      </c>
      <c r="E32" s="130">
        <v>6</v>
      </c>
      <c r="F32" s="130">
        <v>4.9000000000000004</v>
      </c>
      <c r="G32" s="131">
        <v>847912</v>
      </c>
      <c r="H32" s="131">
        <v>818451</v>
      </c>
      <c r="I32" s="131">
        <v>869814</v>
      </c>
      <c r="J32" s="131">
        <v>850740</v>
      </c>
      <c r="K32" s="132">
        <v>3.95E-2</v>
      </c>
      <c r="L32" s="132">
        <v>0.20130000000000001</v>
      </c>
      <c r="M32" s="132">
        <v>0.2286</v>
      </c>
      <c r="N32" s="131">
        <v>177</v>
      </c>
      <c r="O32" s="131">
        <v>184</v>
      </c>
      <c r="P32" s="133">
        <v>4.2999999999999997E-2</v>
      </c>
      <c r="Q32" s="133">
        <v>0.78700000000000003</v>
      </c>
      <c r="R32" s="133">
        <v>1</v>
      </c>
      <c r="S32" s="133">
        <v>0.998</v>
      </c>
      <c r="T32" s="131">
        <v>0</v>
      </c>
      <c r="U32" s="131">
        <v>556</v>
      </c>
      <c r="V32" s="128"/>
    </row>
    <row r="33" spans="1:22">
      <c r="A33" s="403" t="s">
        <v>78</v>
      </c>
      <c r="B33" s="129">
        <v>46138</v>
      </c>
      <c r="C33" s="129" t="s">
        <v>158</v>
      </c>
      <c r="D33" s="129" t="s">
        <v>161</v>
      </c>
      <c r="E33" s="130">
        <v>6</v>
      </c>
      <c r="F33" s="130">
        <v>4.5</v>
      </c>
      <c r="G33" s="131">
        <v>852173</v>
      </c>
      <c r="H33" s="131">
        <v>821081</v>
      </c>
      <c r="I33" s="131">
        <v>868918</v>
      </c>
      <c r="J33" s="131">
        <v>853740</v>
      </c>
      <c r="K33" s="132">
        <v>3.9800000000000002E-2</v>
      </c>
      <c r="L33" s="132">
        <v>0.2011</v>
      </c>
      <c r="M33" s="132">
        <v>0.24260000000000001</v>
      </c>
      <c r="N33" s="131">
        <v>177</v>
      </c>
      <c r="O33" s="131">
        <v>183</v>
      </c>
      <c r="P33" s="133">
        <v>3.5000000000000003E-2</v>
      </c>
      <c r="Q33" s="133">
        <v>0.79200000000000004</v>
      </c>
      <c r="R33" s="133">
        <v>1</v>
      </c>
      <c r="S33" s="133">
        <v>0.998</v>
      </c>
      <c r="T33" s="131">
        <v>0</v>
      </c>
      <c r="U33" s="131">
        <v>1066</v>
      </c>
      <c r="V33" s="128"/>
    </row>
    <row r="34" spans="1:22">
      <c r="A34" s="403" t="s">
        <v>80</v>
      </c>
      <c r="B34" s="129">
        <v>46138</v>
      </c>
      <c r="C34" s="129" t="s">
        <v>158</v>
      </c>
      <c r="D34" s="129" t="s">
        <v>163</v>
      </c>
      <c r="E34" s="216">
        <v>12.3</v>
      </c>
      <c r="F34" s="216">
        <v>10.119999999999999</v>
      </c>
      <c r="G34" s="131">
        <v>1556230</v>
      </c>
      <c r="H34" s="131">
        <v>1517620</v>
      </c>
      <c r="I34" s="131">
        <v>1525862</v>
      </c>
      <c r="J34" s="131">
        <v>1495935</v>
      </c>
      <c r="K34" s="132">
        <v>-1.43E-2</v>
      </c>
      <c r="L34" s="132">
        <v>0.17230000000000001</v>
      </c>
      <c r="M34" s="132">
        <v>0.19850000000000001</v>
      </c>
      <c r="N34" s="131">
        <v>172</v>
      </c>
      <c r="O34" s="131">
        <v>157</v>
      </c>
      <c r="P34" s="133">
        <v>-8.6999999999999994E-2</v>
      </c>
      <c r="Q34" s="133">
        <v>0.79200000000000004</v>
      </c>
      <c r="R34" s="133">
        <v>1</v>
      </c>
      <c r="S34" s="133">
        <v>1</v>
      </c>
      <c r="T34" s="131">
        <v>68285</v>
      </c>
      <c r="U34" s="131">
        <v>8421</v>
      </c>
      <c r="V34" s="128"/>
    </row>
    <row r="35" spans="1:22">
      <c r="A35" s="403" t="s">
        <v>82</v>
      </c>
      <c r="B35" s="129">
        <v>46138</v>
      </c>
      <c r="C35" s="129" t="s">
        <v>158</v>
      </c>
      <c r="D35" s="129" t="s">
        <v>163</v>
      </c>
      <c r="E35" s="130">
        <v>21</v>
      </c>
      <c r="F35" s="216">
        <v>14.85</v>
      </c>
      <c r="G35" s="131">
        <v>2999178</v>
      </c>
      <c r="H35" s="131">
        <v>2317536</v>
      </c>
      <c r="I35" s="131">
        <v>2550625</v>
      </c>
      <c r="J35" s="131">
        <v>2531100</v>
      </c>
      <c r="K35" s="132">
        <v>9.2200000000000004E-2</v>
      </c>
      <c r="L35" s="132">
        <v>0.16869999999999999</v>
      </c>
      <c r="M35" s="132">
        <v>0.21659999999999999</v>
      </c>
      <c r="N35" s="131">
        <v>173</v>
      </c>
      <c r="O35" s="131">
        <v>175</v>
      </c>
      <c r="P35" s="133">
        <v>8.0000000000000002E-3</v>
      </c>
      <c r="Q35" s="133">
        <v>0.69499999999999995</v>
      </c>
      <c r="R35" s="133">
        <v>1</v>
      </c>
      <c r="S35" s="133">
        <v>0.95899999999999996</v>
      </c>
      <c r="T35" s="131">
        <v>117502</v>
      </c>
      <c r="U35" s="131">
        <v>0</v>
      </c>
      <c r="V35" s="128"/>
    </row>
    <row r="36" spans="1:22">
      <c r="A36" s="403" t="s">
        <v>83</v>
      </c>
      <c r="B36" s="129">
        <v>46138</v>
      </c>
      <c r="C36" s="129" t="s">
        <v>158</v>
      </c>
      <c r="D36" s="129" t="s">
        <v>163</v>
      </c>
      <c r="E36" s="130">
        <v>8.39</v>
      </c>
      <c r="F36" s="216">
        <v>6</v>
      </c>
      <c r="G36" s="131">
        <v>1099956</v>
      </c>
      <c r="H36" s="131">
        <v>989950</v>
      </c>
      <c r="I36" s="131">
        <v>1086597</v>
      </c>
      <c r="J36" s="131">
        <v>1075080</v>
      </c>
      <c r="K36" s="132">
        <v>8.5999999999999993E-2</v>
      </c>
      <c r="L36" s="132">
        <v>0.1799</v>
      </c>
      <c r="M36" s="132">
        <v>0.2291</v>
      </c>
      <c r="N36" s="131">
        <v>182</v>
      </c>
      <c r="O36" s="131">
        <v>173</v>
      </c>
      <c r="P36" s="133">
        <v>-0.05</v>
      </c>
      <c r="Q36" s="133">
        <v>0.749</v>
      </c>
      <c r="R36" s="133">
        <v>0.997</v>
      </c>
      <c r="S36" s="133">
        <v>0.93799999999999994</v>
      </c>
      <c r="T36" s="131">
        <v>66878</v>
      </c>
      <c r="U36" s="131">
        <v>8536</v>
      </c>
      <c r="V36" s="128"/>
    </row>
    <row r="37" spans="1:22">
      <c r="A37" s="403" t="s">
        <v>84</v>
      </c>
      <c r="B37" s="129">
        <v>46138</v>
      </c>
      <c r="C37" s="129" t="s">
        <v>158</v>
      </c>
      <c r="D37" s="129" t="s">
        <v>163</v>
      </c>
      <c r="E37" s="130">
        <v>1.9</v>
      </c>
      <c r="F37" s="216">
        <v>1.54</v>
      </c>
      <c r="G37" s="131">
        <v>268034</v>
      </c>
      <c r="H37" s="131">
        <v>268034</v>
      </c>
      <c r="I37" s="131">
        <v>271446</v>
      </c>
      <c r="J37" s="131">
        <v>266625</v>
      </c>
      <c r="K37" s="132">
        <v>-5.3E-3</v>
      </c>
      <c r="L37" s="132">
        <v>0.19839999999999999</v>
      </c>
      <c r="M37" s="132">
        <v>0.23</v>
      </c>
      <c r="N37" s="131">
        <v>174</v>
      </c>
      <c r="O37" s="131">
        <v>173</v>
      </c>
      <c r="P37" s="133">
        <v>-7.0000000000000001E-3</v>
      </c>
      <c r="Q37" s="133">
        <v>0.82599999999999996</v>
      </c>
      <c r="R37" s="133">
        <v>1</v>
      </c>
      <c r="S37" s="133">
        <v>1</v>
      </c>
      <c r="T37" s="131">
        <v>0</v>
      </c>
      <c r="U37" s="131">
        <v>0</v>
      </c>
      <c r="V37" s="128"/>
    </row>
    <row r="38" spans="1:22">
      <c r="A38" s="403" t="s">
        <v>85</v>
      </c>
      <c r="B38" s="129">
        <v>46138</v>
      </c>
      <c r="C38" s="129" t="s">
        <v>158</v>
      </c>
      <c r="D38" s="129" t="s">
        <v>163</v>
      </c>
      <c r="E38" s="130">
        <v>6</v>
      </c>
      <c r="F38" s="216">
        <v>3.9</v>
      </c>
      <c r="G38" s="131">
        <v>808132</v>
      </c>
      <c r="H38" s="212">
        <v>727298</v>
      </c>
      <c r="I38" s="212">
        <v>775711</v>
      </c>
      <c r="J38" s="212">
        <v>773730</v>
      </c>
      <c r="K38" s="213">
        <v>6.3799999999999996E-2</v>
      </c>
      <c r="L38" s="213">
        <v>0.17960000000000001</v>
      </c>
      <c r="M38" s="213">
        <v>0.24660000000000001</v>
      </c>
      <c r="N38" s="212">
        <v>182</v>
      </c>
      <c r="O38" s="212">
        <v>174</v>
      </c>
      <c r="P38" s="214">
        <v>-4.2000000000000003E-2</v>
      </c>
      <c r="Q38" s="214">
        <v>0.74299999999999999</v>
      </c>
      <c r="R38" s="214">
        <v>0.995</v>
      </c>
      <c r="S38" s="214">
        <v>0.95899999999999996</v>
      </c>
      <c r="T38" s="212">
        <v>30259</v>
      </c>
      <c r="U38" s="212">
        <v>2002</v>
      </c>
      <c r="V38" s="128"/>
    </row>
    <row r="39" spans="1:22">
      <c r="A39" s="215" t="s">
        <v>86</v>
      </c>
      <c r="B39" s="129">
        <v>46138</v>
      </c>
      <c r="C39" s="215" t="s">
        <v>158</v>
      </c>
      <c r="D39" s="222" t="s">
        <v>162</v>
      </c>
      <c r="E39" s="130">
        <v>4.9000000000000004</v>
      </c>
      <c r="F39" s="216">
        <v>3.96</v>
      </c>
      <c r="G39" s="131">
        <v>800850</v>
      </c>
      <c r="H39" s="212">
        <v>761580</v>
      </c>
      <c r="I39" s="212">
        <v>676099</v>
      </c>
      <c r="J39" s="212">
        <v>661550</v>
      </c>
      <c r="K39" s="213">
        <v>-0.1313</v>
      </c>
      <c r="L39" s="213">
        <v>0.19159999999999999</v>
      </c>
      <c r="M39" s="213">
        <v>0.2167</v>
      </c>
      <c r="N39" s="212">
        <v>208</v>
      </c>
      <c r="O39" s="212">
        <v>200</v>
      </c>
      <c r="P39" s="214">
        <v>-4.1000000000000002E-2</v>
      </c>
      <c r="Q39" s="214">
        <v>0.69099999999999995</v>
      </c>
      <c r="R39" s="214">
        <v>0.99099999999999999</v>
      </c>
      <c r="S39" s="214">
        <v>0.99199999999999999</v>
      </c>
      <c r="T39" s="212">
        <v>83124</v>
      </c>
      <c r="U39" s="212">
        <v>11062</v>
      </c>
      <c r="V39" s="128"/>
    </row>
    <row r="40" spans="1:22">
      <c r="A40" s="215" t="s">
        <v>87</v>
      </c>
      <c r="B40" s="129">
        <v>46138</v>
      </c>
      <c r="C40" s="215" t="s">
        <v>158</v>
      </c>
      <c r="D40" s="220" t="s">
        <v>163</v>
      </c>
      <c r="E40" s="130">
        <v>5.9</v>
      </c>
      <c r="F40" s="216">
        <v>3.96</v>
      </c>
      <c r="G40" s="131">
        <v>805948</v>
      </c>
      <c r="H40" s="212">
        <v>805948</v>
      </c>
      <c r="I40" s="212">
        <v>794736</v>
      </c>
      <c r="J40" s="212">
        <v>781695</v>
      </c>
      <c r="K40" s="213">
        <v>-3.0099999999999998E-2</v>
      </c>
      <c r="L40" s="213">
        <v>0.18709999999999999</v>
      </c>
      <c r="M40" s="213">
        <v>0.25090000000000001</v>
      </c>
      <c r="N40" s="212">
        <v>184</v>
      </c>
      <c r="O40" s="212">
        <v>168</v>
      </c>
      <c r="P40" s="214">
        <v>-8.6999999999999994E-2</v>
      </c>
      <c r="Q40" s="214">
        <v>0.80300000000000005</v>
      </c>
      <c r="R40" s="214">
        <v>1</v>
      </c>
      <c r="S40" s="214">
        <v>1</v>
      </c>
      <c r="T40" s="212">
        <v>0</v>
      </c>
      <c r="U40" s="212">
        <v>0</v>
      </c>
      <c r="V40" s="128"/>
    </row>
    <row r="41" spans="1:22">
      <c r="A41" s="215" t="s">
        <v>88</v>
      </c>
      <c r="B41" s="129">
        <v>46138</v>
      </c>
      <c r="C41" s="215" t="s">
        <v>158</v>
      </c>
      <c r="D41" s="220" t="s">
        <v>163</v>
      </c>
      <c r="E41" s="130">
        <v>3.7</v>
      </c>
      <c r="F41" s="216">
        <v>2.94</v>
      </c>
      <c r="G41" s="131">
        <v>521768</v>
      </c>
      <c r="H41" s="212">
        <v>496366</v>
      </c>
      <c r="I41" s="212">
        <v>524008</v>
      </c>
      <c r="J41" s="212">
        <v>510780</v>
      </c>
      <c r="K41" s="213">
        <v>2.9000000000000001E-2</v>
      </c>
      <c r="L41" s="213">
        <v>0.19670000000000001</v>
      </c>
      <c r="M41" s="213">
        <v>0.23100000000000001</v>
      </c>
      <c r="N41" s="212">
        <v>174</v>
      </c>
      <c r="O41" s="212">
        <v>175</v>
      </c>
      <c r="P41" s="214">
        <v>3.0000000000000001E-3</v>
      </c>
      <c r="Q41" s="214">
        <v>0.81100000000000005</v>
      </c>
      <c r="R41" s="214">
        <v>1</v>
      </c>
      <c r="S41" s="214">
        <v>1</v>
      </c>
      <c r="T41" s="212">
        <v>0</v>
      </c>
      <c r="U41" s="212">
        <v>0</v>
      </c>
      <c r="V41" s="128"/>
    </row>
    <row r="42" spans="1:22">
      <c r="A42" s="215" t="s">
        <v>89</v>
      </c>
      <c r="B42" s="129">
        <v>46138</v>
      </c>
      <c r="C42" s="215" t="s">
        <v>158</v>
      </c>
      <c r="D42" s="220" t="s">
        <v>163</v>
      </c>
      <c r="E42" s="130">
        <v>7</v>
      </c>
      <c r="F42" s="216">
        <v>5.5</v>
      </c>
      <c r="G42" s="131">
        <v>973700</v>
      </c>
      <c r="H42" s="227">
        <v>884832</v>
      </c>
      <c r="I42" s="227">
        <v>1017271</v>
      </c>
      <c r="J42" s="227">
        <v>1000200</v>
      </c>
      <c r="K42" s="228">
        <v>0.13039999999999999</v>
      </c>
      <c r="L42" s="228">
        <v>0.20180000000000001</v>
      </c>
      <c r="M42" s="228">
        <v>0.2397</v>
      </c>
      <c r="N42" s="227">
        <v>174</v>
      </c>
      <c r="O42" s="227">
        <v>179</v>
      </c>
      <c r="P42" s="229">
        <v>2.5000000000000001E-2</v>
      </c>
      <c r="Q42" s="229">
        <v>0.81399999999999995</v>
      </c>
      <c r="R42" s="229">
        <v>1</v>
      </c>
      <c r="S42" s="229">
        <v>1</v>
      </c>
      <c r="T42" s="227">
        <v>0</v>
      </c>
      <c r="U42" s="227">
        <v>0</v>
      </c>
      <c r="V42" s="230"/>
    </row>
    <row r="43" spans="1:22">
      <c r="A43" s="215" t="s">
        <v>90</v>
      </c>
      <c r="B43" s="129">
        <v>46138</v>
      </c>
      <c r="C43" s="215" t="s">
        <v>158</v>
      </c>
      <c r="D43" s="224" t="s">
        <v>163</v>
      </c>
      <c r="E43" s="130">
        <v>3.32</v>
      </c>
      <c r="F43" s="216">
        <v>2.86</v>
      </c>
      <c r="G43" s="131">
        <v>422734</v>
      </c>
      <c r="H43" s="227">
        <v>382252</v>
      </c>
      <c r="I43" s="227">
        <v>395039</v>
      </c>
      <c r="J43" s="227">
        <v>387720</v>
      </c>
      <c r="K43" s="228">
        <v>1.43E-2</v>
      </c>
      <c r="L43" s="228">
        <v>0.16539999999999999</v>
      </c>
      <c r="M43" s="228">
        <v>0.183</v>
      </c>
      <c r="N43" s="227">
        <v>166</v>
      </c>
      <c r="O43" s="227">
        <v>147</v>
      </c>
      <c r="P43" s="229">
        <v>-0.11899999999999999</v>
      </c>
      <c r="Q43" s="229">
        <v>0.81299999999999994</v>
      </c>
      <c r="R43" s="229">
        <v>1</v>
      </c>
      <c r="S43" s="229">
        <v>0.94699999999999995</v>
      </c>
      <c r="T43" s="227">
        <v>21811</v>
      </c>
      <c r="U43" s="227">
        <v>0</v>
      </c>
      <c r="V43" s="230"/>
    </row>
    <row r="44" spans="1:22">
      <c r="A44" s="215" t="s">
        <v>91</v>
      </c>
      <c r="B44" s="129">
        <v>46138</v>
      </c>
      <c r="C44" s="215" t="s">
        <v>158</v>
      </c>
      <c r="D44" s="224" t="s">
        <v>163</v>
      </c>
      <c r="E44" s="130">
        <v>2.83</v>
      </c>
      <c r="F44" s="216">
        <v>2.42</v>
      </c>
      <c r="G44" s="131">
        <v>412470</v>
      </c>
      <c r="H44" s="227">
        <v>410040</v>
      </c>
      <c r="I44" s="227">
        <v>383696</v>
      </c>
      <c r="J44" s="227">
        <v>376400</v>
      </c>
      <c r="K44" s="228">
        <v>-8.2000000000000003E-2</v>
      </c>
      <c r="L44" s="228">
        <v>0.18820000000000001</v>
      </c>
      <c r="M44" s="228">
        <v>0.20699999999999999</v>
      </c>
      <c r="N44" s="227">
        <v>196</v>
      </c>
      <c r="O44" s="227">
        <v>167</v>
      </c>
      <c r="P44" s="229">
        <v>-0.14699999999999999</v>
      </c>
      <c r="Q44" s="229">
        <v>0.81100000000000005</v>
      </c>
      <c r="R44" s="229">
        <v>1</v>
      </c>
      <c r="S44" s="229">
        <v>0.97099999999999997</v>
      </c>
      <c r="T44" s="227">
        <v>7469</v>
      </c>
      <c r="U44" s="227">
        <v>0</v>
      </c>
      <c r="V44" s="230"/>
    </row>
    <row r="45" spans="1:22">
      <c r="A45" s="215" t="s">
        <v>92</v>
      </c>
      <c r="B45" s="129">
        <v>46138</v>
      </c>
      <c r="C45" s="215" t="s">
        <v>158</v>
      </c>
      <c r="D45" s="224" t="s">
        <v>163</v>
      </c>
      <c r="E45" s="130">
        <v>3.13</v>
      </c>
      <c r="F45" s="216">
        <v>2.6</v>
      </c>
      <c r="G45" s="131">
        <v>400374</v>
      </c>
      <c r="H45" s="227">
        <v>394004</v>
      </c>
      <c r="I45" s="227">
        <v>385984</v>
      </c>
      <c r="J45" s="227">
        <v>383880</v>
      </c>
      <c r="K45" s="228">
        <v>-2.5700000000000001E-2</v>
      </c>
      <c r="L45" s="228">
        <v>0.17150000000000001</v>
      </c>
      <c r="M45" s="228">
        <v>0.19589999999999999</v>
      </c>
      <c r="N45" s="227">
        <v>168</v>
      </c>
      <c r="O45" s="227">
        <v>154</v>
      </c>
      <c r="P45" s="229">
        <v>-8.3000000000000004E-2</v>
      </c>
      <c r="Q45" s="229">
        <v>0.8</v>
      </c>
      <c r="R45" s="229">
        <v>1</v>
      </c>
      <c r="S45" s="229">
        <v>0.95899999999999996</v>
      </c>
      <c r="T45" s="227">
        <v>12462</v>
      </c>
      <c r="U45" s="227">
        <v>0</v>
      </c>
      <c r="V45" s="230"/>
    </row>
    <row r="46" spans="1:22">
      <c r="A46" s="215" t="s">
        <v>93</v>
      </c>
      <c r="B46" s="129">
        <v>46138</v>
      </c>
      <c r="C46" s="215" t="s">
        <v>158</v>
      </c>
      <c r="D46" s="225" t="s">
        <v>162</v>
      </c>
      <c r="E46" s="216">
        <v>3</v>
      </c>
      <c r="F46" s="216">
        <v>2.4</v>
      </c>
      <c r="G46" s="131">
        <v>479190</v>
      </c>
      <c r="H46" s="227">
        <v>466470</v>
      </c>
      <c r="I46" s="227">
        <v>468054</v>
      </c>
      <c r="J46" s="227">
        <v>462300</v>
      </c>
      <c r="K46" s="228">
        <v>-8.8999999999999999E-3</v>
      </c>
      <c r="L46" s="228">
        <v>0.2167</v>
      </c>
      <c r="M46" s="228">
        <v>0.24859999999999999</v>
      </c>
      <c r="N46" s="227">
        <v>200</v>
      </c>
      <c r="O46" s="227">
        <v>192</v>
      </c>
      <c r="P46" s="229">
        <v>-3.9E-2</v>
      </c>
      <c r="Q46" s="229">
        <v>0.81200000000000006</v>
      </c>
      <c r="R46" s="229">
        <v>0.97399999999999998</v>
      </c>
      <c r="S46" s="229">
        <v>0.99299999999999999</v>
      </c>
      <c r="T46" s="227">
        <v>5790</v>
      </c>
      <c r="U46" s="227">
        <v>13016</v>
      </c>
      <c r="V46" s="230"/>
    </row>
    <row r="47" spans="1:22">
      <c r="A47" s="215" t="s">
        <v>94</v>
      </c>
      <c r="B47" s="129">
        <v>46138</v>
      </c>
      <c r="C47" s="215" t="s">
        <v>158</v>
      </c>
      <c r="D47" s="225" t="s">
        <v>162</v>
      </c>
      <c r="E47" s="130">
        <v>1.72</v>
      </c>
      <c r="F47" s="216">
        <v>1.4</v>
      </c>
      <c r="G47" s="131">
        <v>253526</v>
      </c>
      <c r="H47" s="227">
        <v>225966</v>
      </c>
      <c r="I47" s="227">
        <v>244862</v>
      </c>
      <c r="J47" s="227">
        <v>241815</v>
      </c>
      <c r="K47" s="228">
        <v>7.0099999999999996E-2</v>
      </c>
      <c r="L47" s="228">
        <v>0.1983</v>
      </c>
      <c r="M47" s="228">
        <v>0.2286</v>
      </c>
      <c r="N47" s="227">
        <v>205</v>
      </c>
      <c r="O47" s="227">
        <v>182</v>
      </c>
      <c r="P47" s="229">
        <v>-0.111</v>
      </c>
      <c r="Q47" s="229">
        <v>0.78300000000000003</v>
      </c>
      <c r="R47" s="229">
        <v>1</v>
      </c>
      <c r="S47" s="229">
        <v>0.95399999999999996</v>
      </c>
      <c r="T47" s="227">
        <v>9046</v>
      </c>
      <c r="U47" s="227">
        <v>0</v>
      </c>
      <c r="V47" s="230"/>
    </row>
    <row r="48" spans="1:22">
      <c r="A48" s="215" t="s">
        <v>95</v>
      </c>
      <c r="B48" s="129">
        <v>46138</v>
      </c>
      <c r="C48" s="215" t="s">
        <v>158</v>
      </c>
      <c r="D48" s="225" t="s">
        <v>162</v>
      </c>
      <c r="E48" s="216">
        <v>2.4900000000000002</v>
      </c>
      <c r="F48" s="216">
        <v>2</v>
      </c>
      <c r="G48" s="131">
        <v>365040</v>
      </c>
      <c r="H48" s="227">
        <v>327158</v>
      </c>
      <c r="I48" s="227">
        <v>302194</v>
      </c>
      <c r="J48" s="227">
        <v>297950</v>
      </c>
      <c r="K48" s="228">
        <v>-8.9300000000000004E-2</v>
      </c>
      <c r="L48" s="228">
        <v>0.16889999999999999</v>
      </c>
      <c r="M48" s="228">
        <v>0.1968</v>
      </c>
      <c r="N48" s="227">
        <v>178</v>
      </c>
      <c r="O48" s="227">
        <v>182</v>
      </c>
      <c r="P48" s="229">
        <v>2.5000000000000001E-2</v>
      </c>
      <c r="Q48" s="229">
        <v>0.66700000000000004</v>
      </c>
      <c r="R48" s="229">
        <v>0.998</v>
      </c>
      <c r="S48" s="229">
        <v>0.73899999999999999</v>
      </c>
      <c r="T48" s="227">
        <v>38867</v>
      </c>
      <c r="U48" s="227">
        <v>0</v>
      </c>
      <c r="V48" s="230"/>
    </row>
    <row r="49" spans="1:22">
      <c r="A49" s="215" t="s">
        <v>96</v>
      </c>
      <c r="B49" s="129">
        <v>46138</v>
      </c>
      <c r="C49" s="215" t="s">
        <v>158</v>
      </c>
      <c r="D49" s="225" t="s">
        <v>162</v>
      </c>
      <c r="E49" s="216">
        <v>3</v>
      </c>
      <c r="F49" s="216">
        <v>2.42</v>
      </c>
      <c r="G49" s="131">
        <v>463620</v>
      </c>
      <c r="H49" s="227">
        <v>446730</v>
      </c>
      <c r="I49" s="227">
        <v>442960</v>
      </c>
      <c r="J49" s="227">
        <v>432090</v>
      </c>
      <c r="K49" s="228">
        <v>-3.2800000000000003E-2</v>
      </c>
      <c r="L49" s="228">
        <v>0.2051</v>
      </c>
      <c r="M49" s="228">
        <v>0.23219999999999999</v>
      </c>
      <c r="N49" s="227">
        <v>199</v>
      </c>
      <c r="O49" s="227">
        <v>194</v>
      </c>
      <c r="P49" s="229">
        <v>-2.3E-2</v>
      </c>
      <c r="Q49" s="229">
        <v>0.76</v>
      </c>
      <c r="R49" s="229">
        <v>1</v>
      </c>
      <c r="S49" s="229">
        <v>0.98799999999999999</v>
      </c>
      <c r="T49" s="227">
        <v>51435</v>
      </c>
      <c r="U49" s="227">
        <v>0</v>
      </c>
      <c r="V49" s="230"/>
    </row>
    <row r="50" spans="1:22">
      <c r="A50" s="215" t="s">
        <v>97</v>
      </c>
      <c r="B50" s="129">
        <v>46138</v>
      </c>
      <c r="C50" s="215" t="s">
        <v>158</v>
      </c>
      <c r="D50" s="225" t="s">
        <v>162</v>
      </c>
      <c r="E50" s="216">
        <v>4.8</v>
      </c>
      <c r="F50" s="216">
        <v>3.6</v>
      </c>
      <c r="G50" s="131">
        <v>825900</v>
      </c>
      <c r="H50" s="227">
        <v>680521</v>
      </c>
      <c r="I50" s="227">
        <v>762845</v>
      </c>
      <c r="J50" s="227">
        <v>751250</v>
      </c>
      <c r="K50" s="228">
        <v>0.10390000000000001</v>
      </c>
      <c r="L50" s="228">
        <v>0.22070000000000001</v>
      </c>
      <c r="M50" s="228">
        <v>0.2631</v>
      </c>
      <c r="N50" s="227">
        <v>215</v>
      </c>
      <c r="O50" s="227">
        <v>192</v>
      </c>
      <c r="P50" s="229">
        <v>-0.11</v>
      </c>
      <c r="Q50" s="229">
        <v>0.83</v>
      </c>
      <c r="R50" s="229">
        <v>1</v>
      </c>
      <c r="S50" s="229">
        <v>0.98199999999999998</v>
      </c>
      <c r="T50" s="227">
        <v>17346</v>
      </c>
      <c r="U50" s="227">
        <v>0</v>
      </c>
      <c r="V50" s="230"/>
    </row>
    <row r="51" spans="1:22">
      <c r="A51" s="215" t="s">
        <v>98</v>
      </c>
      <c r="B51" s="129">
        <v>46138</v>
      </c>
      <c r="C51" s="215" t="s">
        <v>158</v>
      </c>
      <c r="D51" s="224" t="s">
        <v>163</v>
      </c>
      <c r="E51" s="216">
        <v>1.7</v>
      </c>
      <c r="F51" s="216">
        <v>1.28</v>
      </c>
      <c r="G51" s="131">
        <v>267644</v>
      </c>
      <c r="H51" s="227">
        <v>228592</v>
      </c>
      <c r="I51" s="227">
        <v>240384</v>
      </c>
      <c r="J51" s="227">
        <v>242775</v>
      </c>
      <c r="K51" s="228">
        <v>6.2E-2</v>
      </c>
      <c r="L51" s="228">
        <v>0.19639999999999999</v>
      </c>
      <c r="M51" s="228">
        <v>0.2407</v>
      </c>
      <c r="N51" s="227">
        <v>183</v>
      </c>
      <c r="O51" s="227">
        <v>173</v>
      </c>
      <c r="P51" s="229">
        <v>-5.6000000000000001E-2</v>
      </c>
      <c r="Q51" s="229">
        <v>0.81899999999999995</v>
      </c>
      <c r="R51" s="229">
        <v>1</v>
      </c>
      <c r="S51" s="229">
        <v>1</v>
      </c>
      <c r="T51" s="227">
        <v>0</v>
      </c>
      <c r="U51" s="227">
        <v>0</v>
      </c>
      <c r="V51" s="230"/>
    </row>
    <row r="52" spans="1:22">
      <c r="A52" s="215" t="s">
        <v>99</v>
      </c>
      <c r="B52" s="129">
        <v>46138</v>
      </c>
      <c r="C52" s="215" t="s">
        <v>158</v>
      </c>
      <c r="D52" s="225" t="s">
        <v>162</v>
      </c>
      <c r="E52" s="216">
        <v>4.5999999999999996</v>
      </c>
      <c r="F52" s="216">
        <v>3.96</v>
      </c>
      <c r="G52" s="131">
        <v>959490</v>
      </c>
      <c r="H52" s="227">
        <v>954870</v>
      </c>
      <c r="I52" s="227">
        <v>845485</v>
      </c>
      <c r="J52" s="227">
        <v>831400</v>
      </c>
      <c r="K52" s="228">
        <v>-0.1293</v>
      </c>
      <c r="L52" s="228">
        <v>0.25530000000000003</v>
      </c>
      <c r="M52" s="228">
        <v>0.27679999999999999</v>
      </c>
      <c r="N52" s="227">
        <v>248</v>
      </c>
      <c r="O52" s="227">
        <v>227</v>
      </c>
      <c r="P52" s="229">
        <v>-8.4000000000000005E-2</v>
      </c>
      <c r="Q52" s="229">
        <v>0.80800000000000005</v>
      </c>
      <c r="R52" s="229">
        <v>0.99299999999999999</v>
      </c>
      <c r="S52" s="229">
        <v>0.94499999999999995</v>
      </c>
      <c r="T52" s="227">
        <v>49689</v>
      </c>
      <c r="U52" s="227">
        <v>6323</v>
      </c>
      <c r="V52" s="230"/>
    </row>
    <row r="53" spans="1:22">
      <c r="A53" s="215" t="s">
        <v>100</v>
      </c>
      <c r="B53" s="129">
        <v>46138</v>
      </c>
      <c r="C53" s="215" t="s">
        <v>158</v>
      </c>
      <c r="D53" s="225" t="s">
        <v>162</v>
      </c>
      <c r="E53" s="216">
        <v>3.8</v>
      </c>
      <c r="F53" s="216">
        <v>2.86</v>
      </c>
      <c r="G53" s="131">
        <v>855510</v>
      </c>
      <c r="H53" s="227">
        <v>707940</v>
      </c>
      <c r="I53" s="227">
        <v>762672</v>
      </c>
      <c r="J53" s="227">
        <v>747600</v>
      </c>
      <c r="K53" s="228">
        <v>5.6000000000000001E-2</v>
      </c>
      <c r="L53" s="228">
        <v>0.27879999999999999</v>
      </c>
      <c r="M53" s="228">
        <v>0.33040000000000003</v>
      </c>
      <c r="N53" s="227">
        <v>218</v>
      </c>
      <c r="O53" s="227">
        <v>242</v>
      </c>
      <c r="P53" s="229">
        <v>0.108</v>
      </c>
      <c r="Q53" s="229">
        <v>0.83</v>
      </c>
      <c r="R53" s="229">
        <v>0.99399999999999999</v>
      </c>
      <c r="S53" s="229">
        <v>0.995</v>
      </c>
      <c r="T53" s="227">
        <v>3730</v>
      </c>
      <c r="U53" s="227">
        <v>7267</v>
      </c>
      <c r="V53" s="230"/>
    </row>
    <row r="54" spans="1:22">
      <c r="A54" s="215" t="s">
        <v>101</v>
      </c>
      <c r="B54" s="129">
        <v>46138</v>
      </c>
      <c r="C54" s="215" t="s">
        <v>158</v>
      </c>
      <c r="D54" s="225" t="s">
        <v>162</v>
      </c>
      <c r="E54" s="216">
        <v>2.1</v>
      </c>
      <c r="F54" s="216">
        <v>1.76</v>
      </c>
      <c r="G54" s="131">
        <v>497430</v>
      </c>
      <c r="H54" s="227">
        <v>400110</v>
      </c>
      <c r="I54" s="227">
        <v>429910</v>
      </c>
      <c r="J54" s="227">
        <v>421590</v>
      </c>
      <c r="K54" s="228">
        <v>5.3699999999999998E-2</v>
      </c>
      <c r="L54" s="228">
        <v>0.2843</v>
      </c>
      <c r="M54" s="228">
        <v>0.31519999999999998</v>
      </c>
      <c r="N54" s="227">
        <v>218</v>
      </c>
      <c r="O54" s="227">
        <v>245</v>
      </c>
      <c r="P54" s="229">
        <v>0.125</v>
      </c>
      <c r="Q54" s="229">
        <v>0.83399999999999996</v>
      </c>
      <c r="R54" s="229">
        <v>1</v>
      </c>
      <c r="S54" s="229">
        <v>0.997</v>
      </c>
      <c r="T54" s="227">
        <v>1272</v>
      </c>
      <c r="U54" s="227">
        <v>0</v>
      </c>
      <c r="V54" s="230"/>
    </row>
    <row r="55" spans="1:22">
      <c r="A55" s="215" t="s">
        <v>102</v>
      </c>
      <c r="B55" s="129">
        <v>46138</v>
      </c>
      <c r="C55" s="215" t="s">
        <v>158</v>
      </c>
      <c r="D55" s="225" t="s">
        <v>162</v>
      </c>
      <c r="E55" s="216">
        <v>2.0499999999999998</v>
      </c>
      <c r="F55" s="216">
        <v>1.6</v>
      </c>
      <c r="G55" s="131">
        <v>337890</v>
      </c>
      <c r="H55" s="227">
        <v>296460</v>
      </c>
      <c r="I55" s="227">
        <v>330770</v>
      </c>
      <c r="J55" s="227">
        <v>325440</v>
      </c>
      <c r="K55" s="228">
        <v>9.7799999999999998E-2</v>
      </c>
      <c r="L55" s="228">
        <v>0.2238</v>
      </c>
      <c r="M55" s="228">
        <v>0.25979999999999998</v>
      </c>
      <c r="N55" s="227">
        <v>199</v>
      </c>
      <c r="O55" s="227">
        <v>195</v>
      </c>
      <c r="P55" s="229">
        <v>-2.1999999999999999E-2</v>
      </c>
      <c r="Q55" s="229">
        <v>0.82699999999999996</v>
      </c>
      <c r="R55" s="229">
        <v>0.999</v>
      </c>
      <c r="S55" s="229">
        <v>0.99299999999999999</v>
      </c>
      <c r="T55" s="227">
        <v>3970</v>
      </c>
      <c r="U55" s="227">
        <v>226</v>
      </c>
      <c r="V55" s="230"/>
    </row>
    <row r="56" spans="1:22">
      <c r="A56" s="215" t="s">
        <v>103</v>
      </c>
      <c r="B56" s="129">
        <v>46138</v>
      </c>
      <c r="C56" s="215" t="s">
        <v>158</v>
      </c>
      <c r="D56" s="224" t="s">
        <v>163</v>
      </c>
      <c r="E56" s="216">
        <v>8.75</v>
      </c>
      <c r="F56" s="216">
        <v>6.33</v>
      </c>
      <c r="G56" s="131">
        <v>1293058</v>
      </c>
      <c r="H56" s="227">
        <v>1293058</v>
      </c>
      <c r="I56" s="227">
        <v>1308104</v>
      </c>
      <c r="J56" s="227">
        <v>1290375</v>
      </c>
      <c r="K56" s="228">
        <v>-2.0999999999999999E-3</v>
      </c>
      <c r="L56" s="228">
        <v>0.20760000000000001</v>
      </c>
      <c r="M56" s="228">
        <v>0.26290000000000002</v>
      </c>
      <c r="N56" s="227">
        <v>211</v>
      </c>
      <c r="O56" s="227">
        <v>175</v>
      </c>
      <c r="P56" s="229">
        <v>-0.16900000000000001</v>
      </c>
      <c r="Q56" s="229">
        <v>0.85299999999999998</v>
      </c>
      <c r="R56" s="229">
        <v>1</v>
      </c>
      <c r="S56" s="229">
        <v>1</v>
      </c>
      <c r="T56" s="227">
        <v>0</v>
      </c>
      <c r="U56" s="227">
        <v>0</v>
      </c>
      <c r="V56" s="230"/>
    </row>
    <row r="57" spans="1:22">
      <c r="A57" s="234" t="s">
        <v>104</v>
      </c>
      <c r="B57" s="129">
        <v>46138</v>
      </c>
      <c r="C57" s="215" t="s">
        <v>158</v>
      </c>
      <c r="D57" s="238" t="s">
        <v>163</v>
      </c>
      <c r="E57" s="216">
        <v>4</v>
      </c>
      <c r="F57" s="216">
        <v>3.03</v>
      </c>
      <c r="G57" s="131">
        <v>601640</v>
      </c>
      <c r="H57" s="212">
        <v>601640</v>
      </c>
      <c r="I57" s="212">
        <v>605574</v>
      </c>
      <c r="J57" s="212">
        <v>600240</v>
      </c>
      <c r="K57" s="213">
        <v>-2.3E-3</v>
      </c>
      <c r="L57" s="213">
        <v>0.21029999999999999</v>
      </c>
      <c r="M57" s="213">
        <v>0.25750000000000001</v>
      </c>
      <c r="N57" s="212">
        <v>183</v>
      </c>
      <c r="O57" s="212">
        <v>174</v>
      </c>
      <c r="P57" s="214">
        <v>-4.5999999999999999E-2</v>
      </c>
      <c r="Q57" s="214">
        <v>0.86799999999999999</v>
      </c>
      <c r="R57" s="214">
        <v>1</v>
      </c>
      <c r="S57" s="214">
        <v>1</v>
      </c>
      <c r="T57" s="212">
        <v>0</v>
      </c>
      <c r="U57" s="212">
        <v>0</v>
      </c>
      <c r="V57" s="128"/>
    </row>
    <row r="58" spans="1:22">
      <c r="A58" s="235" t="s">
        <v>105</v>
      </c>
      <c r="B58" s="129">
        <v>46138</v>
      </c>
      <c r="C58" s="236" t="s">
        <v>158</v>
      </c>
      <c r="D58" s="235" t="s">
        <v>162</v>
      </c>
      <c r="E58" s="239">
        <v>2.9</v>
      </c>
      <c r="F58" s="216">
        <v>2.2000000000000002</v>
      </c>
      <c r="G58" s="131">
        <v>467790</v>
      </c>
      <c r="H58" s="212">
        <v>394770</v>
      </c>
      <c r="I58" s="212">
        <v>402794</v>
      </c>
      <c r="J58" s="212">
        <v>397280</v>
      </c>
      <c r="K58" s="213">
        <v>6.4000000000000003E-3</v>
      </c>
      <c r="L58" s="213">
        <v>0.19289999999999999</v>
      </c>
      <c r="M58" s="213">
        <v>0.25430000000000003</v>
      </c>
      <c r="N58" s="212">
        <v>205</v>
      </c>
      <c r="O58" s="212">
        <v>181</v>
      </c>
      <c r="P58" s="214">
        <v>-0.12</v>
      </c>
      <c r="Q58" s="214">
        <v>0.76900000000000002</v>
      </c>
      <c r="R58" s="214">
        <v>1</v>
      </c>
      <c r="S58" s="214">
        <v>0.95399999999999996</v>
      </c>
      <c r="T58" s="212">
        <v>24137</v>
      </c>
      <c r="U58" s="212">
        <v>0</v>
      </c>
      <c r="V58" s="223"/>
    </row>
    <row r="59" spans="1:22">
      <c r="A59" s="235" t="s">
        <v>107</v>
      </c>
      <c r="B59" s="129">
        <v>46138</v>
      </c>
      <c r="C59" s="236" t="s">
        <v>158</v>
      </c>
      <c r="D59" s="235" t="s">
        <v>162</v>
      </c>
      <c r="E59" s="239">
        <v>1</v>
      </c>
      <c r="F59" s="216">
        <v>0.8</v>
      </c>
      <c r="G59" s="131">
        <v>138930</v>
      </c>
      <c r="H59" s="212">
        <v>120840</v>
      </c>
      <c r="I59" s="212">
        <v>138578</v>
      </c>
      <c r="J59" s="212">
        <v>138075</v>
      </c>
      <c r="K59" s="213">
        <v>0.1426</v>
      </c>
      <c r="L59" s="213">
        <v>0.1925</v>
      </c>
      <c r="M59" s="213">
        <v>0.24060000000000001</v>
      </c>
      <c r="N59" s="212">
        <v>206</v>
      </c>
      <c r="O59" s="212">
        <v>181</v>
      </c>
      <c r="P59" s="214">
        <v>-0.121</v>
      </c>
      <c r="Q59" s="214">
        <v>0.76700000000000002</v>
      </c>
      <c r="R59" s="214">
        <v>1</v>
      </c>
      <c r="S59" s="214">
        <v>0.95399999999999996</v>
      </c>
      <c r="T59" s="212">
        <v>24137</v>
      </c>
      <c r="U59" s="212">
        <v>0</v>
      </c>
      <c r="V59" s="223"/>
    </row>
    <row r="60" spans="1:22">
      <c r="A60" s="235" t="s">
        <v>108</v>
      </c>
      <c r="B60" s="129">
        <v>46138</v>
      </c>
      <c r="C60" s="236" t="s">
        <v>158</v>
      </c>
      <c r="D60" s="235" t="s">
        <v>162</v>
      </c>
      <c r="E60" s="239">
        <v>1.34</v>
      </c>
      <c r="F60" s="216">
        <v>1.1299999999999999</v>
      </c>
      <c r="G60" s="131">
        <v>247830</v>
      </c>
      <c r="H60" s="212">
        <v>198690</v>
      </c>
      <c r="I60" s="212">
        <v>192241</v>
      </c>
      <c r="J60" s="212">
        <v>190185</v>
      </c>
      <c r="K60" s="213">
        <v>-4.2799999999999998E-2</v>
      </c>
      <c r="L60" s="213">
        <v>0.1988</v>
      </c>
      <c r="M60" s="213">
        <v>0.23730000000000001</v>
      </c>
      <c r="N60" s="212">
        <v>214</v>
      </c>
      <c r="O60" s="212">
        <v>176</v>
      </c>
      <c r="P60" s="214">
        <v>-0.17599999999999999</v>
      </c>
      <c r="Q60" s="214">
        <v>0.81200000000000006</v>
      </c>
      <c r="R60" s="214">
        <v>1</v>
      </c>
      <c r="S60" s="214">
        <v>0.94399999999999995</v>
      </c>
      <c r="T60" s="212">
        <v>15812</v>
      </c>
      <c r="U60" s="212">
        <v>0</v>
      </c>
      <c r="V60" s="223"/>
    </row>
    <row r="61" spans="1:22">
      <c r="A61" s="235" t="s">
        <v>109</v>
      </c>
      <c r="B61" s="129">
        <v>46138</v>
      </c>
      <c r="C61" s="236" t="s">
        <v>158</v>
      </c>
      <c r="D61" s="235" t="s">
        <v>162</v>
      </c>
      <c r="E61" s="239">
        <v>1.5</v>
      </c>
      <c r="F61" s="216">
        <v>1.2</v>
      </c>
      <c r="G61" s="131">
        <v>236850</v>
      </c>
      <c r="H61" s="212">
        <v>213900</v>
      </c>
      <c r="I61" s="212">
        <v>201296</v>
      </c>
      <c r="J61" s="212">
        <v>200790</v>
      </c>
      <c r="K61" s="213">
        <v>-6.13E-2</v>
      </c>
      <c r="L61" s="213">
        <v>0.18640000000000001</v>
      </c>
      <c r="M61" s="213">
        <v>0.23300000000000001</v>
      </c>
      <c r="N61" s="212">
        <v>206</v>
      </c>
      <c r="O61" s="212">
        <v>176</v>
      </c>
      <c r="P61" s="214">
        <v>-0.14199999999999999</v>
      </c>
      <c r="Q61" s="214">
        <v>0.76100000000000001</v>
      </c>
      <c r="R61" s="214">
        <v>1</v>
      </c>
      <c r="S61" s="214">
        <v>0.97</v>
      </c>
      <c r="T61" s="212">
        <v>8486</v>
      </c>
      <c r="U61" s="212">
        <v>0</v>
      </c>
      <c r="V61" s="223"/>
    </row>
    <row r="62" spans="1:22">
      <c r="A62" s="235" t="s">
        <v>110</v>
      </c>
      <c r="B62" s="129">
        <v>46138</v>
      </c>
      <c r="C62" s="236" t="s">
        <v>158</v>
      </c>
      <c r="D62" s="235" t="s">
        <v>162</v>
      </c>
      <c r="E62" s="239">
        <v>3</v>
      </c>
      <c r="F62" s="216">
        <v>2.4</v>
      </c>
      <c r="G62" s="131">
        <v>478140</v>
      </c>
      <c r="H62" s="212">
        <v>384660</v>
      </c>
      <c r="I62" s="212">
        <v>403460</v>
      </c>
      <c r="J62" s="212">
        <v>398400</v>
      </c>
      <c r="K62" s="213">
        <v>3.5700000000000003E-2</v>
      </c>
      <c r="L62" s="213">
        <v>0.18679999999999999</v>
      </c>
      <c r="M62" s="213">
        <v>0.23350000000000001</v>
      </c>
      <c r="N62" s="212">
        <v>195</v>
      </c>
      <c r="O62" s="212">
        <v>176</v>
      </c>
      <c r="P62" s="214">
        <v>-9.6000000000000002E-2</v>
      </c>
      <c r="Q62" s="214">
        <v>0.76300000000000001</v>
      </c>
      <c r="R62" s="214">
        <v>0.998</v>
      </c>
      <c r="S62" s="214">
        <v>0.95899999999999996</v>
      </c>
      <c r="T62" s="212">
        <v>23453</v>
      </c>
      <c r="U62" s="212">
        <v>1209</v>
      </c>
      <c r="V62" s="223"/>
    </row>
    <row r="63" spans="1:22">
      <c r="A63" s="235" t="s">
        <v>111</v>
      </c>
      <c r="B63" s="129">
        <v>46138</v>
      </c>
      <c r="C63" s="236" t="s">
        <v>158</v>
      </c>
      <c r="D63" s="235" t="s">
        <v>162</v>
      </c>
      <c r="E63" s="239">
        <v>502</v>
      </c>
      <c r="F63" s="216">
        <v>1.2</v>
      </c>
      <c r="G63" s="131">
        <v>261180</v>
      </c>
      <c r="H63" s="212">
        <v>214950</v>
      </c>
      <c r="I63" s="212">
        <v>211281</v>
      </c>
      <c r="J63" s="212">
        <v>208300</v>
      </c>
      <c r="K63" s="213">
        <v>-3.09E-2</v>
      </c>
      <c r="L63" s="213">
        <v>0.1956</v>
      </c>
      <c r="M63" s="213">
        <v>0.2445</v>
      </c>
      <c r="N63" s="212">
        <v>214</v>
      </c>
      <c r="O63" s="212">
        <v>181</v>
      </c>
      <c r="P63" s="214">
        <v>-0.155</v>
      </c>
      <c r="Q63" s="214">
        <v>0.78</v>
      </c>
      <c r="R63" s="214">
        <v>0.998</v>
      </c>
      <c r="S63" s="214">
        <v>0.95499999999999996</v>
      </c>
      <c r="T63" s="212">
        <v>13997</v>
      </c>
      <c r="U63" s="212">
        <v>207</v>
      </c>
      <c r="V63" s="223"/>
    </row>
    <row r="64" spans="1:22">
      <c r="A64" s="240" t="s">
        <v>112</v>
      </c>
      <c r="B64" s="129">
        <v>46138</v>
      </c>
      <c r="C64" s="241" t="s">
        <v>158</v>
      </c>
      <c r="D64" s="240" t="s">
        <v>162</v>
      </c>
      <c r="E64" s="242">
        <v>1.79</v>
      </c>
      <c r="F64" s="226">
        <v>1.5</v>
      </c>
      <c r="G64" s="131">
        <v>268140</v>
      </c>
      <c r="H64" s="212">
        <v>223260</v>
      </c>
      <c r="I64" s="212">
        <v>249616</v>
      </c>
      <c r="J64" s="212">
        <v>248355</v>
      </c>
      <c r="K64" s="213">
        <v>0.1124</v>
      </c>
      <c r="L64" s="213">
        <v>0</v>
      </c>
      <c r="M64" s="213">
        <v>0</v>
      </c>
      <c r="N64" s="212">
        <v>195</v>
      </c>
      <c r="O64" s="212">
        <v>181</v>
      </c>
      <c r="P64" s="214">
        <v>-7.4999999999999997E-2</v>
      </c>
      <c r="Q64" s="214">
        <v>0.77300000000000002</v>
      </c>
      <c r="R64" s="214">
        <v>1</v>
      </c>
      <c r="S64" s="214">
        <v>0.94899999999999995</v>
      </c>
      <c r="T64" s="212">
        <v>18057</v>
      </c>
      <c r="U64" s="212">
        <v>0</v>
      </c>
      <c r="V64" s="223"/>
    </row>
    <row r="65" spans="1:22">
      <c r="A65" s="240" t="s">
        <v>113</v>
      </c>
      <c r="B65" s="129">
        <v>46138</v>
      </c>
      <c r="C65" s="241" t="s">
        <v>158</v>
      </c>
      <c r="D65" s="240" t="s">
        <v>162</v>
      </c>
      <c r="E65" s="237">
        <v>4</v>
      </c>
      <c r="F65" s="130">
        <v>3.2</v>
      </c>
      <c r="G65" s="131">
        <v>516011</v>
      </c>
      <c r="H65" s="131">
        <v>534659</v>
      </c>
      <c r="I65" s="131">
        <v>629046</v>
      </c>
      <c r="J65" s="131">
        <v>620000</v>
      </c>
      <c r="K65" s="132">
        <v>0.17649999999999999</v>
      </c>
      <c r="L65" s="132">
        <v>0.2185</v>
      </c>
      <c r="M65" s="132">
        <v>0.27300000000000002</v>
      </c>
      <c r="N65" s="131">
        <v>215</v>
      </c>
      <c r="O65" s="131">
        <v>194</v>
      </c>
      <c r="P65" s="133">
        <v>-9.4E-2</v>
      </c>
      <c r="Q65" s="133">
        <v>0.80900000000000005</v>
      </c>
      <c r="R65" s="133">
        <v>0.995</v>
      </c>
      <c r="S65" s="133">
        <v>1</v>
      </c>
      <c r="T65" s="131">
        <v>0</v>
      </c>
      <c r="U65" s="131">
        <v>4414</v>
      </c>
      <c r="V65" s="223"/>
    </row>
    <row r="66" spans="1:22">
      <c r="A66" s="235" t="s">
        <v>115</v>
      </c>
      <c r="B66" s="129">
        <v>46138</v>
      </c>
      <c r="C66" s="235" t="s">
        <v>158</v>
      </c>
      <c r="D66" s="235" t="s">
        <v>162</v>
      </c>
      <c r="E66" s="239">
        <v>2.0099999999999998</v>
      </c>
      <c r="F66" s="216">
        <v>1.6</v>
      </c>
      <c r="G66" s="131">
        <v>317310</v>
      </c>
      <c r="H66" s="212">
        <v>268290</v>
      </c>
      <c r="I66" s="212">
        <v>313255</v>
      </c>
      <c r="J66" s="212">
        <v>308340</v>
      </c>
      <c r="K66" s="213">
        <v>0.1676</v>
      </c>
      <c r="L66" s="213">
        <v>0.217</v>
      </c>
      <c r="M66" s="213">
        <v>0.27189999999999998</v>
      </c>
      <c r="N66" s="212">
        <v>215</v>
      </c>
      <c r="O66" s="212">
        <v>185</v>
      </c>
      <c r="P66" s="214">
        <v>-0.13800000000000001</v>
      </c>
      <c r="Q66" s="214">
        <v>0.84499999999999997</v>
      </c>
      <c r="R66" s="214">
        <v>1</v>
      </c>
      <c r="S66" s="214">
        <v>1</v>
      </c>
      <c r="T66" s="212">
        <v>0</v>
      </c>
      <c r="U66" s="212">
        <v>0</v>
      </c>
      <c r="V66" s="223"/>
    </row>
    <row r="67" spans="1:22">
      <c r="A67" s="235" t="s">
        <v>116</v>
      </c>
      <c r="B67" s="129">
        <v>46138</v>
      </c>
      <c r="C67" s="235" t="s">
        <v>158</v>
      </c>
      <c r="D67" s="235" t="s">
        <v>162</v>
      </c>
      <c r="E67" s="239">
        <v>4</v>
      </c>
      <c r="F67" s="216">
        <v>3.3</v>
      </c>
      <c r="G67" s="131">
        <v>658890</v>
      </c>
      <c r="H67" s="212">
        <v>610650</v>
      </c>
      <c r="I67" s="212">
        <v>694798</v>
      </c>
      <c r="J67" s="212">
        <v>684320</v>
      </c>
      <c r="K67" s="213">
        <v>0.13780000000000001</v>
      </c>
      <c r="L67" s="213">
        <v>0.24099999999999999</v>
      </c>
      <c r="M67" s="213">
        <v>0.29239999999999999</v>
      </c>
      <c r="N67" s="212">
        <v>196</v>
      </c>
      <c r="O67" s="212">
        <v>204</v>
      </c>
      <c r="P67" s="214">
        <v>3.7999999999999999E-2</v>
      </c>
      <c r="Q67" s="214">
        <v>0.85399999999999998</v>
      </c>
      <c r="R67" s="214">
        <v>0.995</v>
      </c>
      <c r="S67" s="214">
        <v>1</v>
      </c>
      <c r="T67" s="212">
        <v>0</v>
      </c>
      <c r="U67" s="212">
        <v>5395</v>
      </c>
      <c r="V67" s="223"/>
    </row>
    <row r="68" spans="1:22">
      <c r="A68" s="235" t="s">
        <v>117</v>
      </c>
      <c r="B68" s="129">
        <v>46138</v>
      </c>
      <c r="C68" s="235" t="s">
        <v>158</v>
      </c>
      <c r="D68" s="235" t="s">
        <v>162</v>
      </c>
      <c r="E68" s="239">
        <v>2.48</v>
      </c>
      <c r="F68" s="216">
        <v>1.9</v>
      </c>
      <c r="G68" s="131">
        <v>459510</v>
      </c>
      <c r="H68" s="212">
        <v>369000</v>
      </c>
      <c r="I68" s="212">
        <v>436294</v>
      </c>
      <c r="J68" s="212">
        <v>428190</v>
      </c>
      <c r="K68" s="213">
        <v>0.18240000000000001</v>
      </c>
      <c r="L68" s="213">
        <v>0.24429999999999999</v>
      </c>
      <c r="M68" s="213">
        <v>0.31890000000000002</v>
      </c>
      <c r="N68" s="212">
        <v>222</v>
      </c>
      <c r="O68" s="212">
        <v>208</v>
      </c>
      <c r="P68" s="214">
        <v>-6.2E-2</v>
      </c>
      <c r="Q68" s="214">
        <v>0.84699999999999998</v>
      </c>
      <c r="R68" s="214">
        <v>1</v>
      </c>
      <c r="S68" s="214">
        <v>1</v>
      </c>
      <c r="T68" s="212">
        <v>0</v>
      </c>
      <c r="U68" s="212">
        <v>0</v>
      </c>
      <c r="V68" s="223"/>
    </row>
    <row r="69" spans="1:22">
      <c r="A69" s="235" t="s">
        <v>118</v>
      </c>
      <c r="B69" s="129">
        <v>46138</v>
      </c>
      <c r="C69" s="235" t="s">
        <v>158</v>
      </c>
      <c r="D69" s="235" t="s">
        <v>162</v>
      </c>
      <c r="E69" s="239">
        <v>9</v>
      </c>
      <c r="F69" s="216">
        <v>7.67</v>
      </c>
      <c r="G69" s="131">
        <v>1385610</v>
      </c>
      <c r="H69" s="212">
        <v>1315110</v>
      </c>
      <c r="I69" s="212">
        <v>1611290</v>
      </c>
      <c r="J69" s="212">
        <v>1581774</v>
      </c>
      <c r="K69" s="213">
        <v>0.22520000000000001</v>
      </c>
      <c r="L69" s="213">
        <v>0.24879999999999999</v>
      </c>
      <c r="M69" s="213">
        <v>0.2918</v>
      </c>
      <c r="N69" s="212">
        <v>195</v>
      </c>
      <c r="O69" s="212">
        <v>219</v>
      </c>
      <c r="P69" s="214">
        <v>0.123</v>
      </c>
      <c r="Q69" s="214">
        <v>0.82</v>
      </c>
      <c r="R69" s="214">
        <v>1</v>
      </c>
      <c r="S69" s="214">
        <v>1</v>
      </c>
      <c r="T69" s="212">
        <v>729</v>
      </c>
      <c r="U69" s="212">
        <v>0</v>
      </c>
      <c r="V69" s="223"/>
    </row>
    <row r="70" spans="1:22">
      <c r="A70" s="235" t="s">
        <v>119</v>
      </c>
      <c r="B70" s="129">
        <v>46138</v>
      </c>
      <c r="C70" s="235" t="s">
        <v>158</v>
      </c>
      <c r="D70" s="235" t="s">
        <v>162</v>
      </c>
      <c r="E70" s="239">
        <v>1.5</v>
      </c>
      <c r="F70" s="216">
        <v>1.2</v>
      </c>
      <c r="G70" s="131">
        <v>252990</v>
      </c>
      <c r="H70" s="212">
        <v>250260</v>
      </c>
      <c r="I70" s="212">
        <v>238790</v>
      </c>
      <c r="J70" s="212">
        <v>237080</v>
      </c>
      <c r="K70" s="213">
        <v>-4.58E-2</v>
      </c>
      <c r="L70" s="213">
        <v>0.2218</v>
      </c>
      <c r="M70" s="213">
        <v>0.27639999999999998</v>
      </c>
      <c r="N70" s="212">
        <v>203</v>
      </c>
      <c r="O70" s="212">
        <v>190</v>
      </c>
      <c r="P70" s="214">
        <v>-6.2E-2</v>
      </c>
      <c r="Q70" s="214">
        <v>0.83899999999999997</v>
      </c>
      <c r="R70" s="214">
        <v>1</v>
      </c>
      <c r="S70" s="214">
        <v>0.99299999999999999</v>
      </c>
      <c r="T70" s="212">
        <v>1988</v>
      </c>
      <c r="U70" s="212">
        <v>0</v>
      </c>
      <c r="V70" s="223"/>
    </row>
    <row r="71" spans="1:22">
      <c r="A71" s="235" t="s">
        <v>120</v>
      </c>
      <c r="B71" s="129">
        <v>46138</v>
      </c>
      <c r="C71" s="235" t="s">
        <v>158</v>
      </c>
      <c r="D71" s="235" t="s">
        <v>162</v>
      </c>
      <c r="E71" s="239">
        <v>11.99</v>
      </c>
      <c r="F71" s="216">
        <v>9.6</v>
      </c>
      <c r="G71" s="131">
        <v>1939380</v>
      </c>
      <c r="H71" s="212">
        <v>1855770</v>
      </c>
      <c r="I71" s="212">
        <v>2020333</v>
      </c>
      <c r="J71" s="212">
        <v>1972740</v>
      </c>
      <c r="K71" s="213">
        <v>8.8700000000000001E-2</v>
      </c>
      <c r="L71" s="213">
        <v>0.23400000000000001</v>
      </c>
      <c r="M71" s="213">
        <v>0.2923</v>
      </c>
      <c r="N71" s="212">
        <v>195</v>
      </c>
      <c r="O71" s="212">
        <v>208</v>
      </c>
      <c r="P71" s="214">
        <v>6.3E-2</v>
      </c>
      <c r="Q71" s="214">
        <v>0.81100000000000005</v>
      </c>
      <c r="R71" s="214">
        <v>1</v>
      </c>
      <c r="S71" s="214">
        <v>0.999</v>
      </c>
      <c r="T71" s="212">
        <v>0</v>
      </c>
      <c r="U71" s="212">
        <v>1694</v>
      </c>
      <c r="V71" s="223"/>
    </row>
    <row r="72" spans="1:22">
      <c r="A72" s="235" t="s">
        <v>121</v>
      </c>
      <c r="B72" s="129">
        <v>46138</v>
      </c>
      <c r="C72" s="235" t="s">
        <v>158</v>
      </c>
      <c r="D72" s="235" t="s">
        <v>162</v>
      </c>
      <c r="E72" s="239">
        <v>12.01</v>
      </c>
      <c r="F72" s="216">
        <v>9.68</v>
      </c>
      <c r="G72" s="131">
        <v>2274990</v>
      </c>
      <c r="H72" s="212">
        <v>1955040</v>
      </c>
      <c r="I72" s="212">
        <v>2068247</v>
      </c>
      <c r="J72" s="212">
        <v>2022840</v>
      </c>
      <c r="K72" s="213">
        <v>5.79E-2</v>
      </c>
      <c r="L72" s="213">
        <v>0.2392</v>
      </c>
      <c r="M72" s="213">
        <v>0.29680000000000001</v>
      </c>
      <c r="N72" s="212">
        <v>221</v>
      </c>
      <c r="O72" s="212">
        <v>208</v>
      </c>
      <c r="P72" s="214">
        <v>-6.2E-2</v>
      </c>
      <c r="Q72" s="214">
        <v>0.83</v>
      </c>
      <c r="R72" s="214">
        <v>0.995</v>
      </c>
      <c r="S72" s="214">
        <v>0.999</v>
      </c>
      <c r="T72" s="212">
        <v>1283</v>
      </c>
      <c r="U72" s="212">
        <v>8471</v>
      </c>
      <c r="V72" s="223"/>
    </row>
    <row r="73" spans="1:22">
      <c r="A73" s="235" t="s">
        <v>122</v>
      </c>
      <c r="B73" s="129">
        <v>46138</v>
      </c>
      <c r="C73" s="235" t="s">
        <v>158</v>
      </c>
      <c r="D73" s="235" t="s">
        <v>162</v>
      </c>
      <c r="E73" s="239">
        <v>3.09</v>
      </c>
      <c r="F73" s="216">
        <v>2.64</v>
      </c>
      <c r="G73" s="131">
        <v>616920</v>
      </c>
      <c r="H73" s="212">
        <v>552000</v>
      </c>
      <c r="I73" s="212">
        <v>627664</v>
      </c>
      <c r="J73" s="212">
        <v>615720</v>
      </c>
      <c r="K73" s="213">
        <v>0.1371</v>
      </c>
      <c r="L73" s="213">
        <v>0.28260000000000002</v>
      </c>
      <c r="M73" s="213">
        <v>0.33019999999999999</v>
      </c>
      <c r="N73" s="212">
        <v>271</v>
      </c>
      <c r="O73" s="212">
        <v>261</v>
      </c>
      <c r="P73" s="214">
        <v>-3.9E-2</v>
      </c>
      <c r="Q73" s="214">
        <v>0.78200000000000003</v>
      </c>
      <c r="R73" s="214">
        <v>1</v>
      </c>
      <c r="S73" s="214">
        <v>0.96399999999999997</v>
      </c>
      <c r="T73" s="212">
        <v>26217</v>
      </c>
      <c r="U73" s="212">
        <v>253</v>
      </c>
      <c r="V73" s="223"/>
    </row>
    <row r="74" spans="1:22">
      <c r="A74" s="235" t="s">
        <v>123</v>
      </c>
      <c r="B74" s="129">
        <v>46138</v>
      </c>
      <c r="C74" s="235" t="s">
        <v>158</v>
      </c>
      <c r="D74" s="235" t="s">
        <v>162</v>
      </c>
      <c r="E74" s="239">
        <v>4.8099999999999996</v>
      </c>
      <c r="F74" s="216">
        <v>3.96</v>
      </c>
      <c r="G74" s="131">
        <v>1048590</v>
      </c>
      <c r="H74" s="212">
        <v>900450</v>
      </c>
      <c r="I74" s="212">
        <v>977105</v>
      </c>
      <c r="J74" s="212">
        <v>955550</v>
      </c>
      <c r="K74" s="213">
        <v>8.5099999999999995E-2</v>
      </c>
      <c r="L74" s="213">
        <v>0.28239999999999998</v>
      </c>
      <c r="M74" s="213">
        <v>0.3427</v>
      </c>
      <c r="N74" s="212">
        <v>271</v>
      </c>
      <c r="O74" s="212">
        <v>261</v>
      </c>
      <c r="P74" s="214">
        <v>-3.6999999999999998E-2</v>
      </c>
      <c r="Q74" s="214">
        <v>0.78100000000000003</v>
      </c>
      <c r="R74" s="214">
        <v>0.99299999999999999</v>
      </c>
      <c r="S74" s="214">
        <v>0.96699999999999997</v>
      </c>
      <c r="T74" s="212">
        <v>43917</v>
      </c>
      <c r="U74" s="212">
        <v>3572</v>
      </c>
      <c r="V74" s="223"/>
    </row>
    <row r="75" spans="1:22">
      <c r="A75" s="235" t="s">
        <v>124</v>
      </c>
      <c r="B75" s="129">
        <v>46138</v>
      </c>
      <c r="C75" s="235" t="s">
        <v>158</v>
      </c>
      <c r="D75" s="235" t="s">
        <v>162</v>
      </c>
      <c r="E75" s="239">
        <v>1.35</v>
      </c>
      <c r="F75" s="216">
        <v>1.1000000000000001</v>
      </c>
      <c r="G75" s="131">
        <v>279780</v>
      </c>
      <c r="H75" s="212">
        <v>241380</v>
      </c>
      <c r="I75" s="212">
        <v>271591</v>
      </c>
      <c r="J75" s="212">
        <v>268620</v>
      </c>
      <c r="K75" s="213">
        <v>0.12520000000000001</v>
      </c>
      <c r="L75" s="213">
        <v>0.27879999999999999</v>
      </c>
      <c r="M75" s="213">
        <v>0.34289999999999998</v>
      </c>
      <c r="N75" s="212">
        <v>271</v>
      </c>
      <c r="O75" s="212">
        <v>260</v>
      </c>
      <c r="P75" s="214">
        <v>-4.2999999999999997E-2</v>
      </c>
      <c r="Q75" s="214">
        <v>0.77400000000000002</v>
      </c>
      <c r="R75" s="214">
        <v>1</v>
      </c>
      <c r="S75" s="214">
        <v>0.96</v>
      </c>
      <c r="T75" s="212">
        <v>13400</v>
      </c>
      <c r="U75" s="212">
        <v>0</v>
      </c>
      <c r="V75" s="223"/>
    </row>
    <row r="76" spans="1:22">
      <c r="A76" s="235" t="s">
        <v>125</v>
      </c>
      <c r="B76" s="129">
        <v>46138</v>
      </c>
      <c r="C76" s="235" t="s">
        <v>158</v>
      </c>
      <c r="D76" s="235" t="s">
        <v>162</v>
      </c>
      <c r="E76" s="239">
        <v>5.05</v>
      </c>
      <c r="F76" s="216">
        <v>3.96</v>
      </c>
      <c r="G76" s="131">
        <v>867390</v>
      </c>
      <c r="H76" s="212">
        <v>738840</v>
      </c>
      <c r="I76" s="212">
        <v>828825</v>
      </c>
      <c r="J76" s="212">
        <v>813350</v>
      </c>
      <c r="K76" s="213">
        <v>0.12180000000000001</v>
      </c>
      <c r="L76" s="213">
        <v>0.22789999999999999</v>
      </c>
      <c r="M76" s="213">
        <v>0.29070000000000001</v>
      </c>
      <c r="N76" s="212">
        <v>223</v>
      </c>
      <c r="O76" s="212">
        <v>206</v>
      </c>
      <c r="P76" s="214">
        <v>-7.5999999999999998E-2</v>
      </c>
      <c r="Q76" s="214">
        <v>0.79800000000000004</v>
      </c>
      <c r="R76" s="214">
        <v>0.999</v>
      </c>
      <c r="S76" s="214">
        <v>0.97799999999999998</v>
      </c>
      <c r="T76" s="212">
        <v>27078</v>
      </c>
      <c r="U76" s="212">
        <v>634</v>
      </c>
      <c r="V76" s="223"/>
    </row>
    <row r="77" spans="1:22">
      <c r="A77" s="235" t="s">
        <v>126</v>
      </c>
      <c r="B77" s="129">
        <v>46138</v>
      </c>
      <c r="C77" s="235" t="s">
        <v>158</v>
      </c>
      <c r="D77" s="235" t="s">
        <v>162</v>
      </c>
      <c r="E77" s="239">
        <v>2.5299999999999998</v>
      </c>
      <c r="F77" s="216">
        <v>1.76</v>
      </c>
      <c r="G77" s="131">
        <v>420630</v>
      </c>
      <c r="H77" s="212">
        <v>357450</v>
      </c>
      <c r="I77" s="212">
        <v>409721</v>
      </c>
      <c r="J77" s="212">
        <v>403340</v>
      </c>
      <c r="K77" s="213">
        <v>0.1462</v>
      </c>
      <c r="L77" s="213">
        <v>0.2253</v>
      </c>
      <c r="M77" s="213">
        <v>0.32329999999999998</v>
      </c>
      <c r="N77" s="212">
        <v>223</v>
      </c>
      <c r="O77" s="212">
        <v>206</v>
      </c>
      <c r="P77" s="214">
        <v>-7.2999999999999995E-2</v>
      </c>
      <c r="Q77" s="214">
        <v>0.78600000000000003</v>
      </c>
      <c r="R77" s="214">
        <v>0.999</v>
      </c>
      <c r="S77" s="214">
        <v>0.97599999999999998</v>
      </c>
      <c r="T77" s="212">
        <v>14562</v>
      </c>
      <c r="U77" s="212">
        <v>142</v>
      </c>
      <c r="V77" s="223"/>
    </row>
    <row r="78" spans="1:22">
      <c r="A78" s="235" t="s">
        <v>127</v>
      </c>
      <c r="B78" s="129">
        <v>46138</v>
      </c>
      <c r="C78" s="235" t="s">
        <v>158</v>
      </c>
      <c r="D78" s="235" t="s">
        <v>162</v>
      </c>
      <c r="E78" s="239">
        <v>3.03</v>
      </c>
      <c r="F78" s="216">
        <v>2.2000000000000002</v>
      </c>
      <c r="G78" s="131">
        <v>504990</v>
      </c>
      <c r="H78" s="212">
        <v>429420</v>
      </c>
      <c r="I78" s="212">
        <v>496803</v>
      </c>
      <c r="J78" s="212">
        <v>485880</v>
      </c>
      <c r="K78" s="213">
        <v>0.15690000000000001</v>
      </c>
      <c r="L78" s="213">
        <v>0.22739999999999999</v>
      </c>
      <c r="M78" s="213">
        <v>0.31359999999999999</v>
      </c>
      <c r="N78" s="212">
        <v>223</v>
      </c>
      <c r="O78" s="212">
        <v>207</v>
      </c>
      <c r="P78" s="214">
        <v>-7.1999999999999995E-2</v>
      </c>
      <c r="Q78" s="214">
        <v>0.79200000000000004</v>
      </c>
      <c r="R78" s="214">
        <v>1</v>
      </c>
      <c r="S78" s="214">
        <v>0.98099999999999998</v>
      </c>
      <c r="T78" s="212">
        <v>13713</v>
      </c>
      <c r="U78" s="212">
        <v>0</v>
      </c>
      <c r="V78" s="223"/>
    </row>
    <row r="79" spans="1:22">
      <c r="A79" s="235" t="s">
        <v>128</v>
      </c>
      <c r="B79" s="129">
        <v>46138</v>
      </c>
      <c r="C79" s="235" t="s">
        <v>158</v>
      </c>
      <c r="D79" s="235" t="s">
        <v>164</v>
      </c>
      <c r="E79" s="239">
        <v>18</v>
      </c>
      <c r="F79" s="216">
        <v>14</v>
      </c>
      <c r="G79" s="131">
        <v>2275650</v>
      </c>
      <c r="H79" s="212">
        <v>2139780</v>
      </c>
      <c r="I79" s="212">
        <v>2760302</v>
      </c>
      <c r="J79" s="212">
        <v>2715600</v>
      </c>
      <c r="K79" s="213">
        <v>0.28999999999999998</v>
      </c>
      <c r="L79" s="213">
        <v>0.21299999999999999</v>
      </c>
      <c r="M79" s="213">
        <v>0.27379999999999999</v>
      </c>
      <c r="N79" s="212">
        <v>194</v>
      </c>
      <c r="O79" s="212">
        <v>189</v>
      </c>
      <c r="P79" s="214">
        <v>-2.5000000000000001E-2</v>
      </c>
      <c r="Q79" s="214">
        <v>0.81</v>
      </c>
      <c r="R79" s="214">
        <v>1</v>
      </c>
      <c r="S79" s="214">
        <v>1</v>
      </c>
      <c r="T79" s="212">
        <v>0</v>
      </c>
      <c r="U79" s="212">
        <v>0</v>
      </c>
      <c r="V79" s="223"/>
    </row>
    <row r="80" spans="1:22">
      <c r="A80" s="235" t="s">
        <v>129</v>
      </c>
      <c r="B80" s="129">
        <v>46138</v>
      </c>
      <c r="C80" s="235" t="s">
        <v>158</v>
      </c>
      <c r="D80" s="235" t="s">
        <v>162</v>
      </c>
      <c r="E80" s="239">
        <v>19.21</v>
      </c>
      <c r="F80" s="216">
        <v>15</v>
      </c>
      <c r="G80" s="131">
        <v>2934300</v>
      </c>
      <c r="H80" s="212">
        <v>2825310</v>
      </c>
      <c r="I80" s="212">
        <v>3015185</v>
      </c>
      <c r="J80" s="212">
        <v>2931750</v>
      </c>
      <c r="K80" s="213">
        <v>6.7199999999999996E-2</v>
      </c>
      <c r="L80" s="213">
        <v>6.5416999999999996</v>
      </c>
      <c r="M80" s="213">
        <v>0.26040000000000002</v>
      </c>
      <c r="N80" s="212">
        <v>201</v>
      </c>
      <c r="O80" s="212">
        <v>200</v>
      </c>
      <c r="P80" s="214">
        <v>-3.0000000000000001E-3</v>
      </c>
      <c r="Q80" s="214">
        <v>0.78400000000000003</v>
      </c>
      <c r="R80" s="214">
        <v>1</v>
      </c>
      <c r="S80" s="214">
        <v>0.93899999999999995</v>
      </c>
      <c r="T80" s="212">
        <v>332106</v>
      </c>
      <c r="U80" s="212">
        <v>0</v>
      </c>
      <c r="V80" s="223"/>
    </row>
    <row r="81" spans="1:22">
      <c r="A81" s="240" t="s">
        <v>130</v>
      </c>
      <c r="B81" s="129">
        <v>46138</v>
      </c>
      <c r="C81" s="235" t="s">
        <v>158</v>
      </c>
      <c r="D81" s="235" t="s">
        <v>162</v>
      </c>
      <c r="E81" s="239">
        <v>14.3</v>
      </c>
      <c r="F81" s="216">
        <v>11</v>
      </c>
      <c r="G81" s="131">
        <v>2255280</v>
      </c>
      <c r="H81" s="212">
        <v>2088974</v>
      </c>
      <c r="I81" s="212">
        <v>2309314</v>
      </c>
      <c r="J81" s="212">
        <v>2233710</v>
      </c>
      <c r="K81" s="213">
        <v>0.1055</v>
      </c>
      <c r="L81" s="213">
        <v>0.2243</v>
      </c>
      <c r="M81" s="213">
        <v>0.29160000000000003</v>
      </c>
      <c r="N81" s="212">
        <v>202</v>
      </c>
      <c r="O81" s="212">
        <v>204</v>
      </c>
      <c r="P81" s="214">
        <v>8.0000000000000002E-3</v>
      </c>
      <c r="Q81" s="214">
        <v>0.79400000000000004</v>
      </c>
      <c r="R81" s="214">
        <v>1</v>
      </c>
      <c r="S81" s="214">
        <v>0.94299999999999995</v>
      </c>
      <c r="T81" s="212">
        <v>239922</v>
      </c>
      <c r="U81" s="212">
        <v>0</v>
      </c>
      <c r="V81" s="223"/>
    </row>
    <row r="82" spans="1:22">
      <c r="A82" s="240" t="s">
        <v>131</v>
      </c>
      <c r="B82" s="129">
        <v>46138</v>
      </c>
      <c r="C82" s="243" t="s">
        <v>158</v>
      </c>
      <c r="D82" s="235" t="s">
        <v>162</v>
      </c>
      <c r="E82" s="239">
        <v>4.8099999999999996</v>
      </c>
      <c r="F82" s="216">
        <v>3.85</v>
      </c>
      <c r="G82" s="131">
        <v>823200</v>
      </c>
      <c r="H82" s="212">
        <v>601710</v>
      </c>
      <c r="I82" s="212">
        <v>728251</v>
      </c>
      <c r="J82" s="212">
        <v>713450</v>
      </c>
      <c r="K82" s="213">
        <v>0.1857</v>
      </c>
      <c r="L82" s="213">
        <v>0.21029999999999999</v>
      </c>
      <c r="M82" s="213">
        <v>0.26269999999999999</v>
      </c>
      <c r="N82" s="212">
        <v>195</v>
      </c>
      <c r="O82" s="212">
        <v>181</v>
      </c>
      <c r="P82" s="214">
        <v>-6.9000000000000006E-2</v>
      </c>
      <c r="Q82" s="214">
        <v>0.83499999999999996</v>
      </c>
      <c r="R82" s="214">
        <v>1</v>
      </c>
      <c r="S82" s="214">
        <v>0.98399999999999999</v>
      </c>
      <c r="T82" s="212">
        <v>12621</v>
      </c>
      <c r="U82" s="212">
        <v>1048</v>
      </c>
      <c r="V82" s="223"/>
    </row>
    <row r="83" spans="1:22">
      <c r="A83" s="235" t="s">
        <v>132</v>
      </c>
      <c r="B83" s="129">
        <v>46138</v>
      </c>
      <c r="C83" s="243" t="s">
        <v>158</v>
      </c>
      <c r="D83" s="235" t="s">
        <v>162</v>
      </c>
      <c r="E83" s="239">
        <v>4.03</v>
      </c>
      <c r="F83" s="216">
        <v>3.15</v>
      </c>
      <c r="G83" s="131">
        <v>628481</v>
      </c>
      <c r="H83" s="212">
        <v>577704</v>
      </c>
      <c r="I83" s="212">
        <v>561839</v>
      </c>
      <c r="J83" s="212">
        <v>552440</v>
      </c>
      <c r="K83" s="213">
        <v>-4.3700000000000003E-2</v>
      </c>
      <c r="L83" s="213">
        <v>0.19339999999999999</v>
      </c>
      <c r="M83" s="213">
        <v>0.2477</v>
      </c>
      <c r="N83" s="212">
        <v>191</v>
      </c>
      <c r="O83" s="212">
        <v>173</v>
      </c>
      <c r="P83" s="214">
        <v>-9.1999999999999998E-2</v>
      </c>
      <c r="Q83" s="214">
        <v>0.80500000000000005</v>
      </c>
      <c r="R83" s="214">
        <v>1</v>
      </c>
      <c r="S83" s="214">
        <v>0.98099999999999998</v>
      </c>
      <c r="T83" s="212">
        <v>28227</v>
      </c>
      <c r="U83" s="212">
        <v>0</v>
      </c>
      <c r="V83" s="223"/>
    </row>
    <row r="84" spans="1:22">
      <c r="A84" s="235" t="s">
        <v>133</v>
      </c>
      <c r="B84" s="129">
        <v>46138</v>
      </c>
      <c r="C84" s="243" t="s">
        <v>158</v>
      </c>
      <c r="D84" s="235" t="s">
        <v>162</v>
      </c>
      <c r="E84" s="216">
        <v>1.6</v>
      </c>
      <c r="F84" s="216">
        <v>1.32</v>
      </c>
      <c r="G84" s="212">
        <v>345000</v>
      </c>
      <c r="H84" s="212">
        <v>323550</v>
      </c>
      <c r="I84" s="212">
        <v>0</v>
      </c>
      <c r="J84" s="212">
        <v>0</v>
      </c>
      <c r="K84" s="213">
        <v>-1</v>
      </c>
      <c r="L84" s="213">
        <v>0</v>
      </c>
      <c r="M84" s="213">
        <v>0</v>
      </c>
      <c r="N84" s="212">
        <v>268</v>
      </c>
      <c r="O84" s="212">
        <v>0</v>
      </c>
      <c r="P84" s="214">
        <v>-1</v>
      </c>
      <c r="Q84" s="214" t="e">
        <v>#DIV/0!</v>
      </c>
      <c r="R84" s="214" t="e">
        <v>#DIV/0!</v>
      </c>
      <c r="S84" s="214" t="e">
        <v>#DIV/0!</v>
      </c>
      <c r="T84" s="212">
        <v>0</v>
      </c>
      <c r="U84" s="212">
        <v>0</v>
      </c>
      <c r="V84" s="223"/>
    </row>
    <row r="85" spans="1:22">
      <c r="A85" s="235" t="s">
        <v>134</v>
      </c>
      <c r="B85" s="129">
        <v>46138</v>
      </c>
      <c r="C85" s="243" t="s">
        <v>158</v>
      </c>
      <c r="D85" s="235" t="s">
        <v>162</v>
      </c>
      <c r="E85" s="216">
        <v>1.7</v>
      </c>
      <c r="F85" s="216">
        <v>1.32</v>
      </c>
      <c r="G85" s="212">
        <v>365010</v>
      </c>
      <c r="H85" s="212">
        <v>343140</v>
      </c>
      <c r="I85" s="212">
        <v>0</v>
      </c>
      <c r="J85" s="212">
        <v>0</v>
      </c>
      <c r="K85" s="213">
        <v>-1</v>
      </c>
      <c r="L85" s="213">
        <v>0</v>
      </c>
      <c r="M85" s="213">
        <v>0</v>
      </c>
      <c r="N85" s="212">
        <v>268</v>
      </c>
      <c r="O85" s="212">
        <v>0</v>
      </c>
      <c r="P85" s="214">
        <v>-1</v>
      </c>
      <c r="Q85" s="214" t="e">
        <v>#DIV/0!</v>
      </c>
      <c r="R85" s="214" t="e">
        <v>#DIV/0!</v>
      </c>
      <c r="S85" s="214" t="e">
        <v>#DIV/0!</v>
      </c>
      <c r="T85" s="212">
        <v>0</v>
      </c>
      <c r="U85" s="212">
        <v>0</v>
      </c>
      <c r="V85" s="223"/>
    </row>
  </sheetData>
  <conditionalFormatting sqref="K2:K85 M21">
    <cfRule type="cellIs" dxfId="1" priority="3" operator="lessThan">
      <formula>0</formula>
    </cfRule>
  </conditionalFormatting>
  <conditionalFormatting sqref="K2:K85">
    <cfRule type="cellIs" dxfId="0" priority="2"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666E-1FCE-47C1-BAD2-98EB26CB1E77}">
  <dimension ref="A1:Q66"/>
  <sheetViews>
    <sheetView workbookViewId="0">
      <pane xSplit="1" ySplit="3" topLeftCell="B4" activePane="bottomRight" state="frozen"/>
      <selection pane="topRight"/>
      <selection pane="bottomLeft"/>
      <selection pane="bottomRight" activeCell="A67" sqref="A67"/>
    </sheetView>
  </sheetViews>
  <sheetFormatPr defaultRowHeight="14.5"/>
  <cols>
    <col min="1" max="1" width="10.81640625" bestFit="1" customWidth="1"/>
    <col min="2"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171</v>
      </c>
      <c r="B1" s="406"/>
      <c r="C1" s="406"/>
      <c r="D1" s="406"/>
      <c r="E1" s="406"/>
      <c r="F1" s="406"/>
      <c r="G1" s="406"/>
      <c r="H1" s="406"/>
      <c r="I1" s="406"/>
      <c r="J1" s="406"/>
      <c r="K1" s="406"/>
      <c r="L1" s="406"/>
      <c r="M1" s="406"/>
      <c r="N1" s="406"/>
      <c r="O1" s="406"/>
      <c r="P1" s="406"/>
      <c r="Q1" s="406"/>
    </row>
    <row r="2" spans="1:17" ht="18.5">
      <c r="A2" s="7">
        <v>46113</v>
      </c>
      <c r="B2" s="407" t="s">
        <v>172</v>
      </c>
      <c r="C2" s="408"/>
      <c r="D2" s="8">
        <v>4034</v>
      </c>
      <c r="E2" s="407" t="s">
        <v>173</v>
      </c>
      <c r="F2" s="407"/>
      <c r="G2" s="408"/>
      <c r="H2" s="8">
        <v>3150</v>
      </c>
      <c r="I2" s="409" t="s">
        <v>174</v>
      </c>
      <c r="J2" s="410"/>
      <c r="K2" s="85">
        <v>45383</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20949.362949999999</v>
      </c>
      <c r="C4" s="39">
        <v>19256.8076</v>
      </c>
      <c r="D4" s="232">
        <v>21274</v>
      </c>
      <c r="E4" s="49">
        <v>21000</v>
      </c>
      <c r="F4" s="88">
        <f t="shared" ref="F4:F35" si="0">(IF(ISBLANK(E4),0,E4-C4))/C4</f>
        <v>9.0523436501489474E-2</v>
      </c>
      <c r="G4" s="2">
        <f t="shared" ref="G4:G33" si="1">D4/($D$2*24)</f>
        <v>0.21973640720542059</v>
      </c>
      <c r="H4" s="2">
        <f t="shared" ref="H4:H33" si="2">D4/($H$2*24)</f>
        <v>0.28140211640211638</v>
      </c>
      <c r="I4" s="36">
        <v>6.35</v>
      </c>
      <c r="J4" s="37">
        <v>6.42</v>
      </c>
      <c r="K4" s="88">
        <f t="shared" ref="K4:K35" si="3">(IF(ISBLANK(J4),0,J4-I4))/I4</f>
        <v>1.1023622047244139E-2</v>
      </c>
      <c r="L4" s="40">
        <f t="shared" ref="L4:L35" si="4">D4/($D$2*J4)</f>
        <v>0.82144451291746023</v>
      </c>
      <c r="M4" s="41">
        <v>1</v>
      </c>
      <c r="N4" s="41">
        <v>0.98419999999999996</v>
      </c>
      <c r="O4" s="37">
        <v>576</v>
      </c>
      <c r="P4" s="37">
        <v>0</v>
      </c>
      <c r="Q4" s="37" t="s">
        <v>176</v>
      </c>
    </row>
    <row r="5" spans="1:17">
      <c r="A5" s="13">
        <f t="shared" ref="A5:A33" si="5">A4+1</f>
        <v>46114</v>
      </c>
      <c r="B5" s="27">
        <v>20949.362949999999</v>
      </c>
      <c r="C5" s="46">
        <v>19256.8076</v>
      </c>
      <c r="D5" s="50">
        <v>19336</v>
      </c>
      <c r="E5" s="50">
        <v>19040</v>
      </c>
      <c r="F5" s="88">
        <f t="shared" si="0"/>
        <v>-1.1258750905316211E-2</v>
      </c>
      <c r="G5" s="2">
        <f t="shared" si="1"/>
        <v>0.1997190547017022</v>
      </c>
      <c r="H5" s="2">
        <f t="shared" si="2"/>
        <v>0.25576719576719575</v>
      </c>
      <c r="I5" s="43">
        <v>6.35</v>
      </c>
      <c r="J5" s="44">
        <v>5.78</v>
      </c>
      <c r="K5" s="88">
        <f t="shared" si="3"/>
        <v>-8.9763779527558971E-2</v>
      </c>
      <c r="L5" s="40">
        <f t="shared" si="4"/>
        <v>0.82928327211779462</v>
      </c>
      <c r="M5" s="48">
        <v>1</v>
      </c>
      <c r="N5" s="48">
        <v>0.99280000000000002</v>
      </c>
      <c r="O5" s="44">
        <v>254</v>
      </c>
      <c r="P5" s="44">
        <v>0</v>
      </c>
      <c r="Q5" s="44" t="s">
        <v>177</v>
      </c>
    </row>
    <row r="6" spans="1:17">
      <c r="A6" s="13">
        <f t="shared" si="5"/>
        <v>46115</v>
      </c>
      <c r="B6" s="27">
        <v>20949.362949999999</v>
      </c>
      <c r="C6" s="46">
        <v>19256.8076</v>
      </c>
      <c r="D6" s="233">
        <v>15953</v>
      </c>
      <c r="E6" s="50">
        <v>15720</v>
      </c>
      <c r="F6" s="88">
        <f t="shared" si="0"/>
        <v>-0.18366531324745644</v>
      </c>
      <c r="G6" s="2">
        <f t="shared" si="1"/>
        <v>0.16477648322591307</v>
      </c>
      <c r="H6" s="2">
        <f t="shared" si="2"/>
        <v>0.21101851851851852</v>
      </c>
      <c r="I6" s="43">
        <v>6.35</v>
      </c>
      <c r="J6" s="44">
        <v>4.7699999999999996</v>
      </c>
      <c r="K6" s="88">
        <f t="shared" si="3"/>
        <v>-0.2488188976377953</v>
      </c>
      <c r="L6" s="40">
        <f t="shared" si="4"/>
        <v>0.82906406654547471</v>
      </c>
      <c r="M6" s="48">
        <v>1</v>
      </c>
      <c r="N6" s="48">
        <v>1</v>
      </c>
      <c r="O6" s="44">
        <v>0</v>
      </c>
      <c r="P6" s="44">
        <v>0</v>
      </c>
      <c r="Q6" s="44"/>
    </row>
    <row r="7" spans="1:17">
      <c r="A7" s="13">
        <f t="shared" si="5"/>
        <v>46116</v>
      </c>
      <c r="B7" s="27">
        <v>20949.362949999999</v>
      </c>
      <c r="C7" s="46">
        <v>19256.8076</v>
      </c>
      <c r="D7" s="233">
        <v>24120</v>
      </c>
      <c r="E7" s="50">
        <v>23680</v>
      </c>
      <c r="F7" s="88">
        <f t="shared" si="0"/>
        <v>0.2296949988740605</v>
      </c>
      <c r="G7" s="2">
        <f t="shared" si="1"/>
        <v>0.24913237481408032</v>
      </c>
      <c r="H7" s="2">
        <f t="shared" si="2"/>
        <v>0.31904761904761902</v>
      </c>
      <c r="I7" s="43">
        <v>6.35</v>
      </c>
      <c r="J7" s="44">
        <v>7.28</v>
      </c>
      <c r="K7" s="88">
        <f t="shared" si="3"/>
        <v>0.14645669291338592</v>
      </c>
      <c r="L7" s="40">
        <f t="shared" si="4"/>
        <v>0.82131552136509989</v>
      </c>
      <c r="M7" s="48">
        <v>1</v>
      </c>
      <c r="N7" s="48">
        <v>1</v>
      </c>
      <c r="O7" s="44">
        <v>0</v>
      </c>
      <c r="P7" s="44">
        <v>0</v>
      </c>
      <c r="Q7" s="44"/>
    </row>
    <row r="8" spans="1:17">
      <c r="A8" s="13">
        <f t="shared" si="5"/>
        <v>46117</v>
      </c>
      <c r="B8" s="27">
        <v>20949.362949999999</v>
      </c>
      <c r="C8" s="46">
        <v>19256.8076</v>
      </c>
      <c r="D8" s="233">
        <v>22400</v>
      </c>
      <c r="E8" s="50">
        <v>22040</v>
      </c>
      <c r="F8" s="88">
        <f t="shared" si="0"/>
        <v>0.14453031145203943</v>
      </c>
      <c r="G8" s="2">
        <f t="shared" si="1"/>
        <v>0.23136671624524871</v>
      </c>
      <c r="H8" s="2">
        <f t="shared" si="2"/>
        <v>0.29629629629629628</v>
      </c>
      <c r="I8" s="43">
        <v>6.35</v>
      </c>
      <c r="J8" s="44">
        <v>6.83</v>
      </c>
      <c r="K8" s="88">
        <f t="shared" si="3"/>
        <v>7.5590551181102431E-2</v>
      </c>
      <c r="L8" s="40">
        <f t="shared" si="4"/>
        <v>0.81300163834348005</v>
      </c>
      <c r="M8" s="48">
        <v>1</v>
      </c>
      <c r="N8" s="48">
        <v>0.98</v>
      </c>
      <c r="O8" s="44">
        <v>1242</v>
      </c>
      <c r="P8" s="44">
        <v>0</v>
      </c>
      <c r="Q8" s="44" t="s">
        <v>177</v>
      </c>
    </row>
    <row r="9" spans="1:17">
      <c r="A9" s="13">
        <f t="shared" si="5"/>
        <v>46118</v>
      </c>
      <c r="B9" s="27">
        <v>20949.362949999999</v>
      </c>
      <c r="C9" s="46">
        <v>19256.8076</v>
      </c>
      <c r="D9" s="233">
        <v>22595</v>
      </c>
      <c r="E9" s="50">
        <v>22240</v>
      </c>
      <c r="F9" s="88">
        <f t="shared" si="0"/>
        <v>0.15491624894252981</v>
      </c>
      <c r="G9" s="2">
        <f t="shared" si="1"/>
        <v>0.23338084614113369</v>
      </c>
      <c r="H9" s="2">
        <f t="shared" si="2"/>
        <v>0.29887566137566135</v>
      </c>
      <c r="I9" s="43">
        <v>6.35</v>
      </c>
      <c r="J9" s="44">
        <v>6.93</v>
      </c>
      <c r="K9" s="88">
        <f t="shared" si="3"/>
        <v>9.1338582677165367E-2</v>
      </c>
      <c r="L9" s="40">
        <f t="shared" si="4"/>
        <v>0.80824535460132885</v>
      </c>
      <c r="M9" s="48">
        <v>1</v>
      </c>
      <c r="N9" s="48">
        <v>0.97</v>
      </c>
      <c r="O9" s="44">
        <v>1643</v>
      </c>
      <c r="P9" s="44">
        <v>0</v>
      </c>
      <c r="Q9" s="44" t="s">
        <v>177</v>
      </c>
    </row>
    <row r="10" spans="1:17">
      <c r="A10" s="13">
        <f t="shared" si="5"/>
        <v>46119</v>
      </c>
      <c r="B10" s="27">
        <v>20949.362949999999</v>
      </c>
      <c r="C10" s="46">
        <v>19256.8076</v>
      </c>
      <c r="D10" s="233">
        <v>12499</v>
      </c>
      <c r="E10" s="50">
        <v>12320</v>
      </c>
      <c r="F10" s="88">
        <f t="shared" si="0"/>
        <v>-0.36022625058579283</v>
      </c>
      <c r="G10" s="2">
        <f t="shared" si="1"/>
        <v>0.1291005618905966</v>
      </c>
      <c r="H10" s="2">
        <f t="shared" si="2"/>
        <v>0.16533068783068783</v>
      </c>
      <c r="I10" s="43">
        <v>6.35</v>
      </c>
      <c r="J10" s="44">
        <v>3.94</v>
      </c>
      <c r="K10" s="88">
        <f t="shared" si="3"/>
        <v>-0.37952755905511809</v>
      </c>
      <c r="L10" s="40">
        <f t="shared" si="4"/>
        <v>0.78639936177013159</v>
      </c>
      <c r="M10" s="48">
        <v>1</v>
      </c>
      <c r="N10" s="48">
        <v>0.95</v>
      </c>
      <c r="O10" s="44">
        <v>2086</v>
      </c>
      <c r="P10" s="44">
        <v>0</v>
      </c>
      <c r="Q10" s="44" t="s">
        <v>178</v>
      </c>
    </row>
    <row r="11" spans="1:17">
      <c r="A11" s="13">
        <f t="shared" si="5"/>
        <v>46120</v>
      </c>
      <c r="B11" s="27">
        <v>20949.362949999999</v>
      </c>
      <c r="C11" s="46">
        <v>19256.8076</v>
      </c>
      <c r="D11" s="233">
        <v>17822</v>
      </c>
      <c r="E11" s="50">
        <v>17520</v>
      </c>
      <c r="F11" s="88">
        <f t="shared" si="0"/>
        <v>-9.019187583304307E-2</v>
      </c>
      <c r="G11" s="2">
        <f t="shared" si="1"/>
        <v>0.18408114361262601</v>
      </c>
      <c r="H11" s="2">
        <f t="shared" si="2"/>
        <v>0.23574074074074075</v>
      </c>
      <c r="I11" s="43">
        <v>6.35</v>
      </c>
      <c r="J11" s="44">
        <v>5.65</v>
      </c>
      <c r="K11" s="88">
        <f t="shared" si="3"/>
        <v>-0.11023622047244083</v>
      </c>
      <c r="L11" s="40">
        <f t="shared" si="4"/>
        <v>0.7819376011863759</v>
      </c>
      <c r="M11" s="48">
        <v>1</v>
      </c>
      <c r="N11" s="48">
        <v>0.95</v>
      </c>
      <c r="O11" s="44">
        <v>5520</v>
      </c>
      <c r="P11" s="44">
        <v>0</v>
      </c>
      <c r="Q11" s="44" t="s">
        <v>178</v>
      </c>
    </row>
    <row r="12" spans="1:17">
      <c r="A12" s="13">
        <f t="shared" si="5"/>
        <v>46121</v>
      </c>
      <c r="B12" s="27">
        <v>20949.362949999999</v>
      </c>
      <c r="C12" s="46">
        <v>19256.8076</v>
      </c>
      <c r="D12" s="233">
        <v>21200</v>
      </c>
      <c r="E12" s="50">
        <v>20880</v>
      </c>
      <c r="F12" s="88">
        <f t="shared" si="0"/>
        <v>8.4291874007195247E-2</v>
      </c>
      <c r="G12" s="2">
        <f t="shared" si="1"/>
        <v>0.21897207073211039</v>
      </c>
      <c r="H12" s="2">
        <f t="shared" si="2"/>
        <v>0.28042328042328041</v>
      </c>
      <c r="I12" s="43">
        <v>6.35</v>
      </c>
      <c r="J12" s="44">
        <v>6.5</v>
      </c>
      <c r="K12" s="88">
        <f t="shared" si="3"/>
        <v>2.3622047244094547E-2</v>
      </c>
      <c r="L12" s="40">
        <f t="shared" si="4"/>
        <v>0.80851226116471531</v>
      </c>
      <c r="M12" s="48">
        <v>1</v>
      </c>
      <c r="N12" s="48">
        <v>0.98</v>
      </c>
      <c r="O12" s="44">
        <v>1516</v>
      </c>
      <c r="P12" s="44">
        <v>0</v>
      </c>
      <c r="Q12" s="44" t="s">
        <v>179</v>
      </c>
    </row>
    <row r="13" spans="1:17">
      <c r="A13" s="13">
        <f t="shared" si="5"/>
        <v>46122</v>
      </c>
      <c r="B13" s="27">
        <v>20949.362949999999</v>
      </c>
      <c r="C13" s="46">
        <v>19256.8076</v>
      </c>
      <c r="D13" s="233">
        <v>22579</v>
      </c>
      <c r="E13" s="50">
        <v>22160</v>
      </c>
      <c r="F13" s="88">
        <f t="shared" si="0"/>
        <v>0.15076187394633364</v>
      </c>
      <c r="G13" s="2">
        <f t="shared" si="1"/>
        <v>0.23321558420095853</v>
      </c>
      <c r="H13" s="2">
        <f t="shared" si="2"/>
        <v>0.29866402116402119</v>
      </c>
      <c r="I13" s="43">
        <v>6.35</v>
      </c>
      <c r="J13" s="44">
        <v>6.75</v>
      </c>
      <c r="K13" s="88">
        <f t="shared" si="3"/>
        <v>6.2992125984252023E-2</v>
      </c>
      <c r="L13" s="40">
        <f t="shared" si="4"/>
        <v>0.82921096604785249</v>
      </c>
      <c r="M13" s="48">
        <v>1</v>
      </c>
      <c r="N13" s="48">
        <v>0.98</v>
      </c>
      <c r="O13" s="44">
        <v>760</v>
      </c>
      <c r="P13" s="44">
        <v>0</v>
      </c>
      <c r="Q13" s="44" t="s">
        <v>176</v>
      </c>
    </row>
    <row r="14" spans="1:17">
      <c r="A14" s="13">
        <f t="shared" si="5"/>
        <v>46123</v>
      </c>
      <c r="B14" s="27">
        <v>20949.362949999999</v>
      </c>
      <c r="C14" s="46">
        <v>19256.8076</v>
      </c>
      <c r="D14" s="233">
        <v>22642</v>
      </c>
      <c r="E14" s="50">
        <v>22280</v>
      </c>
      <c r="F14" s="88">
        <f t="shared" si="0"/>
        <v>0.15699343644062788</v>
      </c>
      <c r="G14" s="2">
        <f t="shared" si="1"/>
        <v>0.23386630309039827</v>
      </c>
      <c r="H14" s="2">
        <f t="shared" si="2"/>
        <v>0.29949735449735448</v>
      </c>
      <c r="I14" s="43">
        <v>6.35</v>
      </c>
      <c r="J14" s="44">
        <v>6.82</v>
      </c>
      <c r="K14" s="88">
        <f t="shared" si="3"/>
        <v>7.4015748031496173E-2</v>
      </c>
      <c r="L14" s="40">
        <f t="shared" si="4"/>
        <v>0.82298992289876227</v>
      </c>
      <c r="M14" s="48">
        <v>1</v>
      </c>
      <c r="N14" s="48">
        <v>1</v>
      </c>
      <c r="O14" s="44">
        <v>0</v>
      </c>
      <c r="P14" s="44">
        <v>0</v>
      </c>
      <c r="Q14" s="44"/>
    </row>
    <row r="15" spans="1:17">
      <c r="A15" s="13">
        <f t="shared" si="5"/>
        <v>46124</v>
      </c>
      <c r="B15" s="27">
        <v>20949.362949999999</v>
      </c>
      <c r="C15" s="46">
        <v>19256.8076</v>
      </c>
      <c r="D15" s="233">
        <v>23345</v>
      </c>
      <c r="E15" s="50">
        <v>22920</v>
      </c>
      <c r="F15" s="88">
        <f t="shared" si="0"/>
        <v>0.19022843641019707</v>
      </c>
      <c r="G15" s="2">
        <f t="shared" si="1"/>
        <v>0.24112749958684515</v>
      </c>
      <c r="H15" s="2">
        <f t="shared" si="2"/>
        <v>0.30879629629629629</v>
      </c>
      <c r="I15" s="43">
        <v>6.35</v>
      </c>
      <c r="J15" s="44">
        <v>7.03</v>
      </c>
      <c r="K15" s="88">
        <f t="shared" si="3"/>
        <v>0.10708661417322844</v>
      </c>
      <c r="L15" s="40">
        <f t="shared" si="4"/>
        <v>0.82319487767912991</v>
      </c>
      <c r="M15" s="48">
        <v>1</v>
      </c>
      <c r="N15" s="48">
        <v>1</v>
      </c>
      <c r="O15" s="44">
        <v>0</v>
      </c>
      <c r="P15" s="44">
        <v>0</v>
      </c>
      <c r="Q15" s="44"/>
    </row>
    <row r="16" spans="1:17">
      <c r="A16" s="13">
        <f t="shared" si="5"/>
        <v>46125</v>
      </c>
      <c r="B16" s="27">
        <v>20949.362949999999</v>
      </c>
      <c r="C16" s="46">
        <v>19256.8076</v>
      </c>
      <c r="D16" s="233">
        <v>22676</v>
      </c>
      <c r="E16" s="50">
        <v>22280</v>
      </c>
      <c r="F16" s="88">
        <f t="shared" si="0"/>
        <v>0.15699343644062788</v>
      </c>
      <c r="G16" s="2">
        <f t="shared" si="1"/>
        <v>0.23421748471327053</v>
      </c>
      <c r="H16" s="2">
        <f t="shared" si="2"/>
        <v>0.29994708994708996</v>
      </c>
      <c r="I16" s="43">
        <v>6.35</v>
      </c>
      <c r="J16" s="44">
        <v>6.77</v>
      </c>
      <c r="K16" s="88">
        <f t="shared" si="3"/>
        <v>6.6141732283464566E-2</v>
      </c>
      <c r="L16" s="40">
        <f t="shared" si="4"/>
        <v>0.83031309204113646</v>
      </c>
      <c r="M16" s="48">
        <v>1</v>
      </c>
      <c r="N16" s="48">
        <v>1</v>
      </c>
      <c r="O16" s="44">
        <v>0</v>
      </c>
      <c r="P16" s="44">
        <v>0</v>
      </c>
      <c r="Q16" s="44"/>
    </row>
    <row r="17" spans="1:17">
      <c r="A17" s="13">
        <f t="shared" si="5"/>
        <v>46126</v>
      </c>
      <c r="B17" s="27">
        <v>20949.362949999999</v>
      </c>
      <c r="C17" s="46">
        <v>19256.8076</v>
      </c>
      <c r="D17" s="50">
        <v>22461</v>
      </c>
      <c r="E17" s="50">
        <v>22040</v>
      </c>
      <c r="F17" s="88">
        <f t="shared" si="0"/>
        <v>0.14453031145203943</v>
      </c>
      <c r="G17" s="2">
        <f t="shared" si="1"/>
        <v>0.23199677739216659</v>
      </c>
      <c r="H17" s="2">
        <f t="shared" si="2"/>
        <v>0.29710317460317459</v>
      </c>
      <c r="I17" s="43">
        <v>6.35</v>
      </c>
      <c r="J17" s="44">
        <v>6.99</v>
      </c>
      <c r="K17" s="88">
        <f t="shared" si="3"/>
        <v>0.10078740157480325</v>
      </c>
      <c r="L17" s="40">
        <f t="shared" si="4"/>
        <v>0.79655545885722434</v>
      </c>
      <c r="M17" s="48">
        <v>1</v>
      </c>
      <c r="N17" s="48">
        <v>0.98</v>
      </c>
      <c r="O17" s="44">
        <v>1200</v>
      </c>
      <c r="P17" s="44">
        <v>0</v>
      </c>
      <c r="Q17" s="44" t="s">
        <v>177</v>
      </c>
    </row>
    <row r="18" spans="1:17">
      <c r="A18" s="13">
        <f t="shared" si="5"/>
        <v>46127</v>
      </c>
      <c r="B18" s="27">
        <v>20949.362949999999</v>
      </c>
      <c r="C18" s="46">
        <v>19256.8076</v>
      </c>
      <c r="D18" s="233">
        <v>21265</v>
      </c>
      <c r="E18" s="50">
        <v>20920</v>
      </c>
      <c r="F18" s="88">
        <f t="shared" si="0"/>
        <v>8.6369061505293318E-2</v>
      </c>
      <c r="G18" s="2">
        <f t="shared" si="1"/>
        <v>0.21964344736407204</v>
      </c>
      <c r="H18" s="2">
        <f t="shared" si="2"/>
        <v>0.2812830687830688</v>
      </c>
      <c r="I18" s="43">
        <v>6.35</v>
      </c>
      <c r="J18" s="44">
        <v>6.67</v>
      </c>
      <c r="K18" s="88">
        <f t="shared" si="3"/>
        <v>5.0393700787401623E-2</v>
      </c>
      <c r="L18" s="40">
        <f t="shared" si="4"/>
        <v>0.79032124988571661</v>
      </c>
      <c r="M18" s="48">
        <v>1</v>
      </c>
      <c r="N18" s="48">
        <v>0.98</v>
      </c>
      <c r="O18" s="44">
        <v>1116</v>
      </c>
      <c r="P18" s="44">
        <v>0</v>
      </c>
      <c r="Q18" s="44" t="s">
        <v>177</v>
      </c>
    </row>
    <row r="19" spans="1:17">
      <c r="A19" s="13">
        <f t="shared" si="5"/>
        <v>46128</v>
      </c>
      <c r="B19" s="27">
        <v>20949.362949999999</v>
      </c>
      <c r="C19" s="46">
        <v>19256.8076</v>
      </c>
      <c r="D19" s="233">
        <v>22078</v>
      </c>
      <c r="E19" s="50">
        <v>21720</v>
      </c>
      <c r="F19" s="88">
        <f t="shared" si="0"/>
        <v>0.12791281146725483</v>
      </c>
      <c r="G19" s="2">
        <f t="shared" si="1"/>
        <v>0.22804081969922327</v>
      </c>
      <c r="H19" s="2">
        <f t="shared" si="2"/>
        <v>0.29203703703703704</v>
      </c>
      <c r="I19" s="43">
        <v>6.35</v>
      </c>
      <c r="J19" s="44">
        <v>6.95</v>
      </c>
      <c r="K19" s="88">
        <f t="shared" si="3"/>
        <v>9.4488188976378049E-2</v>
      </c>
      <c r="L19" s="40">
        <f t="shared" si="4"/>
        <v>0.78747908960882862</v>
      </c>
      <c r="M19" s="48">
        <v>1</v>
      </c>
      <c r="N19" s="48">
        <v>0.98</v>
      </c>
      <c r="O19" s="44">
        <v>904</v>
      </c>
      <c r="P19" s="44">
        <v>0</v>
      </c>
      <c r="Q19" s="44" t="s">
        <v>177</v>
      </c>
    </row>
    <row r="20" spans="1:17">
      <c r="A20" s="13">
        <f t="shared" si="5"/>
        <v>46129</v>
      </c>
      <c r="B20" s="27">
        <v>20949.362949999999</v>
      </c>
      <c r="C20" s="46">
        <v>19256.8076</v>
      </c>
      <c r="D20" s="233">
        <v>21769</v>
      </c>
      <c r="E20" s="50">
        <v>21440</v>
      </c>
      <c r="F20" s="88">
        <f t="shared" si="0"/>
        <v>0.1133724989805683</v>
      </c>
      <c r="G20" s="2">
        <f t="shared" si="1"/>
        <v>0.22484919847959015</v>
      </c>
      <c r="H20" s="2">
        <f t="shared" si="2"/>
        <v>0.28794973544973546</v>
      </c>
      <c r="I20" s="43">
        <v>6.35</v>
      </c>
      <c r="J20" s="44">
        <v>6.7670000000000003</v>
      </c>
      <c r="K20" s="88">
        <f t="shared" si="3"/>
        <v>6.5669291338582791E-2</v>
      </c>
      <c r="L20" s="40">
        <f t="shared" si="4"/>
        <v>0.79745541059703906</v>
      </c>
      <c r="M20" s="48">
        <v>1</v>
      </c>
      <c r="N20" s="48">
        <v>0.98</v>
      </c>
      <c r="O20" s="44">
        <v>1358.57</v>
      </c>
      <c r="P20" s="44"/>
      <c r="Q20" s="44" t="s">
        <v>177</v>
      </c>
    </row>
    <row r="21" spans="1:17">
      <c r="A21" s="13">
        <f t="shared" si="5"/>
        <v>46130</v>
      </c>
      <c r="B21" s="27">
        <v>20949.362949999999</v>
      </c>
      <c r="C21" s="46">
        <v>19256.8076</v>
      </c>
      <c r="D21" s="233">
        <v>23431</v>
      </c>
      <c r="E21" s="50">
        <v>23000</v>
      </c>
      <c r="F21" s="88">
        <f t="shared" si="0"/>
        <v>0.19438281140639324</v>
      </c>
      <c r="G21" s="2">
        <f t="shared" si="1"/>
        <v>0.24201578251528674</v>
      </c>
      <c r="H21" s="2">
        <f t="shared" si="2"/>
        <v>0.30993386243386245</v>
      </c>
      <c r="I21" s="43">
        <v>6.35</v>
      </c>
      <c r="J21" s="44">
        <v>7.2640000000000002</v>
      </c>
      <c r="K21" s="88">
        <f t="shared" si="3"/>
        <v>0.14393700787401584</v>
      </c>
      <c r="L21" s="40">
        <f t="shared" si="4"/>
        <v>0.79961161623993404</v>
      </c>
      <c r="M21" s="48">
        <v>1</v>
      </c>
      <c r="N21" s="48">
        <v>0.98680000000000001</v>
      </c>
      <c r="O21" s="44">
        <v>1016</v>
      </c>
      <c r="P21" s="44"/>
      <c r="Q21" s="44" t="s">
        <v>177</v>
      </c>
    </row>
    <row r="22" spans="1:17">
      <c r="A22" s="13">
        <f t="shared" si="5"/>
        <v>46131</v>
      </c>
      <c r="B22" s="27">
        <v>20949.362949999999</v>
      </c>
      <c r="C22" s="46">
        <v>19256.8076</v>
      </c>
      <c r="D22" s="233">
        <v>21698</v>
      </c>
      <c r="E22" s="50">
        <v>21320</v>
      </c>
      <c r="F22" s="88">
        <f t="shared" si="0"/>
        <v>0.10714093648627407</v>
      </c>
      <c r="G22" s="2">
        <f t="shared" si="1"/>
        <v>0.22411584862006281</v>
      </c>
      <c r="H22" s="2">
        <f t="shared" si="2"/>
        <v>0.28701058201058199</v>
      </c>
      <c r="I22" s="43">
        <v>6.35</v>
      </c>
      <c r="J22" s="44">
        <v>6.8040000000000003</v>
      </c>
      <c r="K22" s="88">
        <f t="shared" si="3"/>
        <v>7.1496062992126089E-2</v>
      </c>
      <c r="L22" s="40">
        <f t="shared" si="4"/>
        <v>0.79053209389792878</v>
      </c>
      <c r="M22" s="48">
        <v>1</v>
      </c>
      <c r="N22" s="48">
        <v>0.97</v>
      </c>
      <c r="O22" s="44">
        <v>1900</v>
      </c>
      <c r="P22" s="44"/>
      <c r="Q22" s="44" t="s">
        <v>176</v>
      </c>
    </row>
    <row r="23" spans="1:17">
      <c r="A23" s="13">
        <f t="shared" si="5"/>
        <v>46132</v>
      </c>
      <c r="B23" s="27">
        <v>20949.362949999999</v>
      </c>
      <c r="C23" s="46">
        <v>19256.8076</v>
      </c>
      <c r="D23" s="233">
        <v>22988</v>
      </c>
      <c r="E23" s="50">
        <v>22600</v>
      </c>
      <c r="F23" s="88">
        <f t="shared" si="0"/>
        <v>0.17361093642541248</v>
      </c>
      <c r="G23" s="2">
        <f t="shared" si="1"/>
        <v>0.23744009254668649</v>
      </c>
      <c r="H23" s="2">
        <f t="shared" si="2"/>
        <v>0.30407407407407405</v>
      </c>
      <c r="I23" s="43">
        <v>6.35</v>
      </c>
      <c r="J23" s="44">
        <v>7.2370000000000001</v>
      </c>
      <c r="K23" s="88">
        <f t="shared" si="3"/>
        <v>0.13968503937007881</v>
      </c>
      <c r="L23" s="40">
        <f t="shared" si="4"/>
        <v>0.78742050865282243</v>
      </c>
      <c r="M23" s="48">
        <v>1</v>
      </c>
      <c r="N23" s="48">
        <v>0.98</v>
      </c>
      <c r="O23" s="44">
        <v>1306</v>
      </c>
      <c r="P23" s="44"/>
      <c r="Q23" s="44" t="s">
        <v>177</v>
      </c>
    </row>
    <row r="24" spans="1:17">
      <c r="A24" s="13">
        <f t="shared" si="5"/>
        <v>46133</v>
      </c>
      <c r="B24" s="27">
        <v>20949.362949999999</v>
      </c>
      <c r="C24" s="46">
        <v>19256.8076</v>
      </c>
      <c r="D24" s="233">
        <v>23173</v>
      </c>
      <c r="E24" s="50">
        <v>22760</v>
      </c>
      <c r="F24" s="88">
        <f t="shared" si="0"/>
        <v>0.18191968641780479</v>
      </c>
      <c r="G24" s="2">
        <f t="shared" si="1"/>
        <v>0.239350933729962</v>
      </c>
      <c r="H24" s="2">
        <f t="shared" si="2"/>
        <v>0.30652116402116403</v>
      </c>
      <c r="I24" s="43">
        <v>6.35</v>
      </c>
      <c r="J24" s="44">
        <v>7.3570000000000002</v>
      </c>
      <c r="K24" s="88">
        <f t="shared" si="3"/>
        <v>0.15858267716535443</v>
      </c>
      <c r="L24" s="40">
        <f t="shared" si="4"/>
        <v>0.78081044033153291</v>
      </c>
      <c r="M24" s="48">
        <v>1</v>
      </c>
      <c r="N24" s="48">
        <v>0.98</v>
      </c>
      <c r="O24" s="44">
        <v>1372</v>
      </c>
      <c r="P24" s="44"/>
      <c r="Q24" s="44" t="s">
        <v>177</v>
      </c>
    </row>
    <row r="25" spans="1:17">
      <c r="A25" s="13">
        <f t="shared" si="5"/>
        <v>46134</v>
      </c>
      <c r="B25" s="27">
        <v>20949.362949999999</v>
      </c>
      <c r="C25" s="46">
        <v>19256.8076</v>
      </c>
      <c r="D25" s="233">
        <v>22817</v>
      </c>
      <c r="E25" s="50">
        <v>22400</v>
      </c>
      <c r="F25" s="88">
        <f t="shared" si="0"/>
        <v>0.16322499893492209</v>
      </c>
      <c r="G25" s="2">
        <f t="shared" si="1"/>
        <v>0.23567385556106429</v>
      </c>
      <c r="H25" s="2">
        <f t="shared" si="2"/>
        <v>0.30181216931216931</v>
      </c>
      <c r="I25" s="43">
        <v>6.35</v>
      </c>
      <c r="J25" s="44">
        <v>7.1390000000000002</v>
      </c>
      <c r="K25" s="88">
        <f t="shared" si="3"/>
        <v>0.1242519685039371</v>
      </c>
      <c r="L25" s="40">
        <f t="shared" si="4"/>
        <v>0.79229199236105086</v>
      </c>
      <c r="M25" s="48">
        <v>1</v>
      </c>
      <c r="N25" s="48">
        <v>0.97</v>
      </c>
      <c r="O25" s="44">
        <v>1787</v>
      </c>
      <c r="P25" s="44"/>
      <c r="Q25" s="44" t="s">
        <v>177</v>
      </c>
    </row>
    <row r="26" spans="1:17">
      <c r="A26" s="13">
        <f t="shared" si="5"/>
        <v>46135</v>
      </c>
      <c r="B26" s="27">
        <v>20949.362949999999</v>
      </c>
      <c r="C26" s="46">
        <v>19256.8076</v>
      </c>
      <c r="D26" s="233">
        <v>23138</v>
      </c>
      <c r="E26" s="50">
        <v>22720</v>
      </c>
      <c r="F26" s="88">
        <f t="shared" si="0"/>
        <v>0.17984249891970672</v>
      </c>
      <c r="G26" s="2">
        <f t="shared" si="1"/>
        <v>0.23898942323582878</v>
      </c>
      <c r="H26" s="2">
        <f t="shared" si="2"/>
        <v>0.30605820105820108</v>
      </c>
      <c r="I26" s="43">
        <v>6.35</v>
      </c>
      <c r="J26" s="44">
        <v>7.1980000000000004</v>
      </c>
      <c r="K26" s="88">
        <f t="shared" si="3"/>
        <v>0.1335433070866143</v>
      </c>
      <c r="L26" s="40">
        <f t="shared" si="4"/>
        <v>0.79685275877464445</v>
      </c>
      <c r="M26" s="48">
        <v>1</v>
      </c>
      <c r="N26" s="48">
        <v>0.98</v>
      </c>
      <c r="O26" s="44">
        <v>571</v>
      </c>
      <c r="P26" s="44"/>
      <c r="Q26" s="44" t="s">
        <v>176</v>
      </c>
    </row>
    <row r="27" spans="1:17">
      <c r="A27" s="13">
        <f t="shared" si="5"/>
        <v>46136</v>
      </c>
      <c r="B27" s="27">
        <v>20949.362949999999</v>
      </c>
      <c r="C27" s="46">
        <v>19256.8076</v>
      </c>
      <c r="D27" s="233">
        <v>23019</v>
      </c>
      <c r="E27" s="50">
        <v>22680</v>
      </c>
      <c r="F27" s="88">
        <f t="shared" si="0"/>
        <v>0.17776531142160862</v>
      </c>
      <c r="G27" s="2">
        <f t="shared" si="1"/>
        <v>0.23776028755577591</v>
      </c>
      <c r="H27" s="2">
        <f t="shared" si="2"/>
        <v>0.30448412698412697</v>
      </c>
      <c r="I27" s="43">
        <v>6.35</v>
      </c>
      <c r="J27" s="44">
        <v>7.125</v>
      </c>
      <c r="K27" s="88">
        <f t="shared" si="3"/>
        <v>0.12204724409448825</v>
      </c>
      <c r="L27" s="40">
        <f t="shared" si="4"/>
        <v>0.8008767580826136</v>
      </c>
      <c r="M27" s="48">
        <v>1</v>
      </c>
      <c r="N27" s="48">
        <v>0.99</v>
      </c>
      <c r="O27" s="44">
        <v>362</v>
      </c>
      <c r="P27" s="44"/>
      <c r="Q27" s="44" t="s">
        <v>176</v>
      </c>
    </row>
    <row r="28" spans="1:17">
      <c r="A28" s="13">
        <f t="shared" si="5"/>
        <v>46137</v>
      </c>
      <c r="B28" s="27">
        <v>20949.362949999999</v>
      </c>
      <c r="C28" s="46">
        <v>19256.8076</v>
      </c>
      <c r="D28" s="233">
        <v>22956</v>
      </c>
      <c r="E28" s="50">
        <v>22600</v>
      </c>
      <c r="F28" s="88">
        <f t="shared" si="0"/>
        <v>0.17361093642541248</v>
      </c>
      <c r="G28" s="2">
        <f t="shared" si="1"/>
        <v>0.23710956866633615</v>
      </c>
      <c r="H28" s="2">
        <f t="shared" si="2"/>
        <v>0.30365079365079367</v>
      </c>
      <c r="I28" s="43">
        <v>6.35</v>
      </c>
      <c r="J28" s="6">
        <v>6.9249999999999998</v>
      </c>
      <c r="K28" s="88">
        <f t="shared" si="3"/>
        <v>9.0551181102362238E-2</v>
      </c>
      <c r="L28" s="40">
        <f t="shared" si="4"/>
        <v>0.82175157371726604</v>
      </c>
      <c r="M28" s="25">
        <v>1</v>
      </c>
      <c r="N28" s="25"/>
      <c r="O28" s="6"/>
      <c r="P28" s="44"/>
      <c r="Q28" s="44"/>
    </row>
    <row r="29" spans="1:17">
      <c r="A29" s="13">
        <f t="shared" si="5"/>
        <v>46138</v>
      </c>
      <c r="B29" s="27">
        <v>20949.362949999999</v>
      </c>
      <c r="C29" s="46">
        <v>19256.8076</v>
      </c>
      <c r="D29" s="233">
        <v>22605</v>
      </c>
      <c r="E29" s="50">
        <v>22160</v>
      </c>
      <c r="F29" s="88">
        <f t="shared" si="0"/>
        <v>0.15076187394633364</v>
      </c>
      <c r="G29" s="2">
        <f t="shared" si="1"/>
        <v>0.23348413485374317</v>
      </c>
      <c r="H29" s="2">
        <f t="shared" si="2"/>
        <v>0.2990079365079365</v>
      </c>
      <c r="I29" s="43">
        <v>6.35</v>
      </c>
      <c r="J29" s="6">
        <v>7.032</v>
      </c>
      <c r="K29" s="88">
        <f t="shared" si="3"/>
        <v>0.10740157480314967</v>
      </c>
      <c r="L29" s="40">
        <f t="shared" si="4"/>
        <v>0.79687418038820201</v>
      </c>
      <c r="M29" s="25">
        <v>1</v>
      </c>
      <c r="N29" s="25">
        <v>0.97</v>
      </c>
      <c r="O29" s="6">
        <v>1737</v>
      </c>
      <c r="P29" s="44"/>
      <c r="Q29" s="44" t="s">
        <v>179</v>
      </c>
    </row>
    <row r="30" spans="1:17">
      <c r="A30" s="13">
        <f t="shared" si="5"/>
        <v>46139</v>
      </c>
      <c r="B30" s="27">
        <v>20949.362949999999</v>
      </c>
      <c r="C30" s="46">
        <v>19256.8076</v>
      </c>
      <c r="D30" s="50"/>
      <c r="E30" s="50"/>
      <c r="F30" s="88">
        <f t="shared" si="0"/>
        <v>0</v>
      </c>
      <c r="G30" s="2">
        <f t="shared" si="1"/>
        <v>0</v>
      </c>
      <c r="H30" s="2">
        <f t="shared" si="2"/>
        <v>0</v>
      </c>
      <c r="I30" s="43">
        <v>6.35</v>
      </c>
      <c r="J30" s="6"/>
      <c r="K30" s="88">
        <f t="shared" si="3"/>
        <v>0</v>
      </c>
      <c r="L30" s="40" t="e">
        <f t="shared" si="4"/>
        <v>#DIV/0!</v>
      </c>
      <c r="M30" s="6"/>
      <c r="N30" s="6"/>
      <c r="O30" s="6"/>
      <c r="P30" s="6"/>
      <c r="Q30" s="44"/>
    </row>
    <row r="31" spans="1:17">
      <c r="A31" s="13">
        <f t="shared" si="5"/>
        <v>46140</v>
      </c>
      <c r="B31" s="27">
        <v>20949.362949999999</v>
      </c>
      <c r="C31" s="46">
        <v>19256.8076</v>
      </c>
      <c r="D31" s="50"/>
      <c r="E31" s="50"/>
      <c r="F31" s="88">
        <f t="shared" si="0"/>
        <v>0</v>
      </c>
      <c r="G31" s="2">
        <f t="shared" si="1"/>
        <v>0</v>
      </c>
      <c r="H31" s="2">
        <f t="shared" si="2"/>
        <v>0</v>
      </c>
      <c r="I31" s="43">
        <v>6.35</v>
      </c>
      <c r="J31" s="6"/>
      <c r="K31" s="88">
        <f t="shared" si="3"/>
        <v>0</v>
      </c>
      <c r="L31" s="40" t="e">
        <f t="shared" si="4"/>
        <v>#DIV/0!</v>
      </c>
      <c r="M31" s="6"/>
      <c r="N31" s="6"/>
      <c r="O31" s="6"/>
      <c r="P31" s="6"/>
      <c r="Q31" s="44"/>
    </row>
    <row r="32" spans="1:17">
      <c r="A32" s="13">
        <f t="shared" si="5"/>
        <v>46141</v>
      </c>
      <c r="B32" s="27">
        <v>20949.362949999999</v>
      </c>
      <c r="C32" s="46">
        <v>19256.8076</v>
      </c>
      <c r="D32" s="50"/>
      <c r="E32" s="50"/>
      <c r="F32" s="88">
        <f t="shared" si="0"/>
        <v>0</v>
      </c>
      <c r="G32" s="2">
        <f t="shared" si="1"/>
        <v>0</v>
      </c>
      <c r="H32" s="2">
        <f t="shared" si="2"/>
        <v>0</v>
      </c>
      <c r="I32" s="43">
        <v>6.35</v>
      </c>
      <c r="J32" s="6"/>
      <c r="K32" s="88">
        <f t="shared" si="3"/>
        <v>0</v>
      </c>
      <c r="L32" s="40" t="e">
        <f t="shared" si="4"/>
        <v>#DIV/0!</v>
      </c>
      <c r="M32" s="6"/>
      <c r="N32" s="6"/>
      <c r="O32" s="6"/>
      <c r="P32" s="6"/>
      <c r="Q32" s="44"/>
    </row>
    <row r="33" spans="1:17">
      <c r="A33" s="13">
        <f t="shared" si="5"/>
        <v>46142</v>
      </c>
      <c r="B33" s="27">
        <v>20949.362949999999</v>
      </c>
      <c r="C33" s="46">
        <v>19256.8076</v>
      </c>
      <c r="D33" s="50"/>
      <c r="E33" s="50"/>
      <c r="F33" s="88">
        <f t="shared" si="0"/>
        <v>0</v>
      </c>
      <c r="G33" s="2">
        <f t="shared" si="1"/>
        <v>0</v>
      </c>
      <c r="H33" s="2">
        <f t="shared" si="2"/>
        <v>0</v>
      </c>
      <c r="I33" s="43">
        <v>6.35</v>
      </c>
      <c r="J33" s="6"/>
      <c r="K33" s="88">
        <f t="shared" si="3"/>
        <v>0</v>
      </c>
      <c r="L33" s="40" t="e">
        <f t="shared" si="4"/>
        <v>#DIV/0!</v>
      </c>
      <c r="M33" s="6"/>
      <c r="N33" s="6"/>
      <c r="O33" s="6"/>
      <c r="P33" s="6"/>
      <c r="Q33" s="44"/>
    </row>
    <row r="34" spans="1:17">
      <c r="A34" s="349">
        <v>46113</v>
      </c>
      <c r="B34" s="89">
        <f>SUM(B4:B33)</f>
        <v>628480.88849999977</v>
      </c>
      <c r="C34" s="89">
        <f>SUM(C4:C33)</f>
        <v>577704.22799999989</v>
      </c>
      <c r="D34" s="89">
        <f>SUM(D4:D33)</f>
        <v>561839</v>
      </c>
      <c r="E34" s="89">
        <f>SUM(E4:E33)</f>
        <v>552440</v>
      </c>
      <c r="F34" s="160">
        <f t="shared" si="0"/>
        <v>-4.3732115458915928E-2</v>
      </c>
      <c r="G34" s="90">
        <f>AVERAGE(G4:G33)</f>
        <v>0.19343875667933672</v>
      </c>
      <c r="H34" s="90">
        <f>AVERAGE(H4:H33)</f>
        <v>0.24772442680776013</v>
      </c>
      <c r="I34" s="89">
        <f>SUM(I4:I33)</f>
        <v>190.49999999999991</v>
      </c>
      <c r="J34" s="89">
        <f>SUM(J4:J33)</f>
        <v>172.92800000000003</v>
      </c>
      <c r="K34" s="160">
        <f t="shared" si="3"/>
        <v>-9.2241469816272431E-2</v>
      </c>
      <c r="L34" s="161">
        <f t="shared" si="4"/>
        <v>0.80539822821707552</v>
      </c>
      <c r="M34" s="90">
        <f>AVERAGE(M4:M33)</f>
        <v>1</v>
      </c>
      <c r="N34" s="90">
        <f>AVERAGE(N4:N33)</f>
        <v>0.98135199999999978</v>
      </c>
      <c r="O34" s="89">
        <f>SUM(O4:O33)</f>
        <v>28226.57</v>
      </c>
      <c r="P34" s="89">
        <f>SUM(P4:P33)</f>
        <v>0</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50"/>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50"/>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7DA68-9F0C-4C50-9F09-BD68B1F99996}">
  <dimension ref="A1:Q66"/>
  <sheetViews>
    <sheetView workbookViewId="0">
      <pane xSplit="1" ySplit="3" topLeftCell="B28" activePane="bottomRight" state="frozen"/>
      <selection pane="topRight"/>
      <selection pane="bottomLeft"/>
      <selection pane="bottomRight" activeCell="B35" sqref="B35"/>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180</v>
      </c>
      <c r="B1" s="406"/>
      <c r="C1" s="406"/>
      <c r="D1" s="406"/>
      <c r="E1" s="406"/>
      <c r="F1" s="406"/>
      <c r="G1" s="406"/>
      <c r="H1" s="406"/>
      <c r="I1" s="406"/>
      <c r="J1" s="406"/>
      <c r="K1" s="406"/>
      <c r="L1" s="406"/>
      <c r="M1" s="406"/>
      <c r="N1" s="406"/>
      <c r="O1" s="406"/>
      <c r="P1" s="406"/>
      <c r="Q1" s="406"/>
    </row>
    <row r="2" spans="1:17" ht="18.5">
      <c r="A2" s="7">
        <v>46113</v>
      </c>
      <c r="B2" s="407" t="s">
        <v>172</v>
      </c>
      <c r="C2" s="408"/>
      <c r="D2" s="8">
        <v>4809</v>
      </c>
      <c r="E2" s="407" t="s">
        <v>173</v>
      </c>
      <c r="F2" s="407"/>
      <c r="G2" s="408"/>
      <c r="H2" s="8">
        <v>3850</v>
      </c>
      <c r="I2" s="409" t="s">
        <v>174</v>
      </c>
      <c r="J2" s="410"/>
      <c r="K2" s="85" t="s">
        <v>181</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27440</v>
      </c>
      <c r="C4" s="39">
        <v>20057</v>
      </c>
      <c r="D4" s="232">
        <v>27854</v>
      </c>
      <c r="E4" s="49">
        <v>27300</v>
      </c>
      <c r="F4" s="88">
        <f t="shared" ref="F4:F35" si="0">(IF(ISBLANK(E4),0,E4-C4))/C4</f>
        <v>0.36112080570374433</v>
      </c>
      <c r="G4" s="2">
        <f t="shared" ref="G4:G33" si="1">D4/($D$2*24)</f>
        <v>0.24133569002564637</v>
      </c>
      <c r="H4" s="2">
        <f t="shared" ref="H4:H33" si="2">D4/($H$2*24)</f>
        <v>0.30145021645021647</v>
      </c>
      <c r="I4" s="36">
        <v>6.49</v>
      </c>
      <c r="J4" s="37">
        <v>6.7510000000000003</v>
      </c>
      <c r="K4" s="88">
        <f t="shared" ref="K4:K35" si="3">(IF(ISBLANK(J4),0,J4-I4))/I4</f>
        <v>4.0215716486902947E-2</v>
      </c>
      <c r="L4" s="40">
        <f t="shared" ref="L4:L35" si="4">D4/($D$2*J4)</f>
        <v>0.85795534892838277</v>
      </c>
      <c r="M4" s="41">
        <v>1</v>
      </c>
      <c r="N4" s="41">
        <v>1</v>
      </c>
      <c r="O4" s="37">
        <v>0</v>
      </c>
      <c r="P4" s="37">
        <v>0</v>
      </c>
      <c r="Q4" s="37"/>
    </row>
    <row r="5" spans="1:17">
      <c r="A5" s="13">
        <f t="shared" ref="A5:A33" si="5">A4+1</f>
        <v>46114</v>
      </c>
      <c r="B5" s="27">
        <v>27440</v>
      </c>
      <c r="C5" s="46">
        <v>20057</v>
      </c>
      <c r="D5" s="50">
        <v>26487</v>
      </c>
      <c r="E5" s="50">
        <v>25950</v>
      </c>
      <c r="F5" s="88">
        <f t="shared" si="0"/>
        <v>0.29381263399311963</v>
      </c>
      <c r="G5" s="2">
        <f t="shared" si="1"/>
        <v>0.22949157829070493</v>
      </c>
      <c r="H5" s="2">
        <f t="shared" si="2"/>
        <v>0.28665584415584416</v>
      </c>
      <c r="I5" s="43">
        <v>6.49</v>
      </c>
      <c r="J5" s="44">
        <v>6.3680000000000003</v>
      </c>
      <c r="K5" s="88">
        <f t="shared" si="3"/>
        <v>-1.8798151001540815E-2</v>
      </c>
      <c r="L5" s="40">
        <f t="shared" si="4"/>
        <v>0.86491800863330992</v>
      </c>
      <c r="M5" s="48">
        <v>1</v>
      </c>
      <c r="N5" s="48">
        <v>1</v>
      </c>
      <c r="O5" s="44">
        <v>0</v>
      </c>
      <c r="P5" s="44">
        <v>0</v>
      </c>
      <c r="Q5" s="44"/>
    </row>
    <row r="6" spans="1:17">
      <c r="A6" s="13">
        <f t="shared" si="5"/>
        <v>46115</v>
      </c>
      <c r="B6" s="27">
        <v>27440</v>
      </c>
      <c r="C6" s="46">
        <v>20057</v>
      </c>
      <c r="D6" s="233">
        <v>20169</v>
      </c>
      <c r="E6" s="50">
        <v>19850</v>
      </c>
      <c r="F6" s="88">
        <f t="shared" si="0"/>
        <v>-1.0320586328962458E-2</v>
      </c>
      <c r="G6" s="2">
        <f t="shared" si="1"/>
        <v>0.17475046787273862</v>
      </c>
      <c r="H6" s="2">
        <f t="shared" si="2"/>
        <v>0.21827922077922077</v>
      </c>
      <c r="I6" s="43">
        <v>6.49</v>
      </c>
      <c r="J6" s="44">
        <v>4.76</v>
      </c>
      <c r="K6" s="88">
        <f t="shared" si="3"/>
        <v>-0.26656394453004628</v>
      </c>
      <c r="L6" s="40">
        <f t="shared" si="4"/>
        <v>0.88109479599700147</v>
      </c>
      <c r="M6" s="48">
        <v>1</v>
      </c>
      <c r="N6" s="48">
        <v>1</v>
      </c>
      <c r="O6" s="44">
        <v>0</v>
      </c>
      <c r="P6" s="44">
        <v>0</v>
      </c>
      <c r="Q6" s="44"/>
    </row>
    <row r="7" spans="1:17">
      <c r="A7" s="13">
        <f t="shared" si="5"/>
        <v>46116</v>
      </c>
      <c r="B7" s="27">
        <v>27440</v>
      </c>
      <c r="C7" s="46">
        <v>20057</v>
      </c>
      <c r="D7" s="233">
        <v>30494</v>
      </c>
      <c r="E7" s="50">
        <v>29800</v>
      </c>
      <c r="F7" s="88">
        <f t="shared" si="0"/>
        <v>0.48576556813082716</v>
      </c>
      <c r="G7" s="2">
        <f t="shared" si="1"/>
        <v>0.26420946835793996</v>
      </c>
      <c r="H7" s="2">
        <f t="shared" si="2"/>
        <v>0.33002164502164505</v>
      </c>
      <c r="I7" s="43">
        <v>6.49</v>
      </c>
      <c r="J7" s="44">
        <v>7.3040000000000003</v>
      </c>
      <c r="K7" s="88">
        <f t="shared" si="3"/>
        <v>0.12542372881355932</v>
      </c>
      <c r="L7" s="40">
        <f t="shared" si="4"/>
        <v>0.86815816546968227</v>
      </c>
      <c r="M7" s="48">
        <v>1</v>
      </c>
      <c r="N7" s="48">
        <v>1</v>
      </c>
      <c r="O7" s="44">
        <v>0</v>
      </c>
      <c r="P7" s="44">
        <v>0</v>
      </c>
      <c r="Q7" s="44"/>
    </row>
    <row r="8" spans="1:17">
      <c r="A8" s="13">
        <f t="shared" si="5"/>
        <v>46117</v>
      </c>
      <c r="B8" s="27">
        <v>27440</v>
      </c>
      <c r="C8" s="46">
        <v>20057</v>
      </c>
      <c r="D8" s="233">
        <v>26661</v>
      </c>
      <c r="E8" s="50">
        <v>26150</v>
      </c>
      <c r="F8" s="88">
        <f t="shared" si="0"/>
        <v>0.30378421498728625</v>
      </c>
      <c r="G8" s="2">
        <f t="shared" si="1"/>
        <v>0.23099916822624247</v>
      </c>
      <c r="H8" s="2">
        <f t="shared" si="2"/>
        <v>0.28853896103896104</v>
      </c>
      <c r="I8" s="43">
        <v>6.49</v>
      </c>
      <c r="J8" s="44">
        <v>7.0350000000000001</v>
      </c>
      <c r="K8" s="88">
        <f t="shared" si="3"/>
        <v>8.3975346687211086E-2</v>
      </c>
      <c r="L8" s="40">
        <f t="shared" si="4"/>
        <v>0.78805686388483565</v>
      </c>
      <c r="M8" s="48">
        <v>1</v>
      </c>
      <c r="N8" s="48">
        <v>0.9375</v>
      </c>
      <c r="O8" s="44">
        <v>2668</v>
      </c>
      <c r="P8" s="44">
        <v>0</v>
      </c>
      <c r="Q8" s="44" t="s">
        <v>182</v>
      </c>
    </row>
    <row r="9" spans="1:17">
      <c r="A9" s="13">
        <f t="shared" si="5"/>
        <v>46118</v>
      </c>
      <c r="B9" s="27">
        <v>27440</v>
      </c>
      <c r="C9" s="46">
        <v>20057</v>
      </c>
      <c r="D9" s="233">
        <v>27939</v>
      </c>
      <c r="E9" s="50">
        <v>27350</v>
      </c>
      <c r="F9" s="88">
        <f t="shared" si="0"/>
        <v>0.36361370095228601</v>
      </c>
      <c r="G9" s="2">
        <f t="shared" si="1"/>
        <v>0.24207215637346641</v>
      </c>
      <c r="H9" s="2">
        <f t="shared" si="2"/>
        <v>0.30237012987012984</v>
      </c>
      <c r="I9" s="43">
        <v>6.49</v>
      </c>
      <c r="J9" s="44">
        <v>7.3339999999999996</v>
      </c>
      <c r="K9" s="88">
        <f t="shared" si="3"/>
        <v>0.13004622496147911</v>
      </c>
      <c r="L9" s="40">
        <f t="shared" si="4"/>
        <v>0.79216413321014378</v>
      </c>
      <c r="M9" s="48">
        <v>1</v>
      </c>
      <c r="N9" s="48">
        <v>0.9375</v>
      </c>
      <c r="O9" s="44">
        <v>2566</v>
      </c>
      <c r="P9" s="44">
        <v>0</v>
      </c>
      <c r="Q9" s="44" t="s">
        <v>182</v>
      </c>
    </row>
    <row r="10" spans="1:17">
      <c r="A10" s="13">
        <f t="shared" si="5"/>
        <v>46119</v>
      </c>
      <c r="B10" s="27">
        <v>27440</v>
      </c>
      <c r="C10" s="46">
        <v>20057</v>
      </c>
      <c r="D10" s="233">
        <v>16182</v>
      </c>
      <c r="E10" s="50">
        <v>15850</v>
      </c>
      <c r="F10" s="88">
        <f t="shared" si="0"/>
        <v>-0.20975220621229496</v>
      </c>
      <c r="G10" s="2">
        <f t="shared" si="1"/>
        <v>0.14020586400499063</v>
      </c>
      <c r="H10" s="2">
        <f t="shared" si="2"/>
        <v>0.17512987012987014</v>
      </c>
      <c r="I10" s="43">
        <v>6.49</v>
      </c>
      <c r="J10" s="44">
        <v>4.3780000000000001</v>
      </c>
      <c r="K10" s="88">
        <f t="shared" si="3"/>
        <v>-0.32542372881355935</v>
      </c>
      <c r="L10" s="40">
        <f t="shared" si="4"/>
        <v>0.76860226955682398</v>
      </c>
      <c r="M10" s="48">
        <v>1</v>
      </c>
      <c r="N10" s="48">
        <v>0.93059999999999998</v>
      </c>
      <c r="O10" s="44">
        <v>2282</v>
      </c>
      <c r="P10" s="44">
        <v>0</v>
      </c>
      <c r="Q10" s="44" t="s">
        <v>183</v>
      </c>
    </row>
    <row r="11" spans="1:17">
      <c r="A11" s="13">
        <f t="shared" si="5"/>
        <v>46120</v>
      </c>
      <c r="B11" s="27">
        <v>27440</v>
      </c>
      <c r="C11" s="46">
        <v>20057</v>
      </c>
      <c r="D11" s="233">
        <v>26024</v>
      </c>
      <c r="E11" s="50">
        <v>25550</v>
      </c>
      <c r="F11" s="88">
        <f t="shared" si="0"/>
        <v>0.27386947200478634</v>
      </c>
      <c r="G11" s="2">
        <f t="shared" si="1"/>
        <v>0.22548000277257918</v>
      </c>
      <c r="H11" s="2">
        <f t="shared" si="2"/>
        <v>0.28164502164502164</v>
      </c>
      <c r="I11" s="43">
        <v>6.49</v>
      </c>
      <c r="J11" s="44">
        <v>7.1180000000000003</v>
      </c>
      <c r="K11" s="88">
        <f t="shared" si="3"/>
        <v>9.6764252696456096E-2</v>
      </c>
      <c r="L11" s="40">
        <f t="shared" si="4"/>
        <v>0.76025850892693181</v>
      </c>
      <c r="M11" s="48">
        <v>1</v>
      </c>
      <c r="N11" s="48">
        <v>0.88100000000000001</v>
      </c>
      <c r="O11" s="44">
        <v>3685</v>
      </c>
      <c r="P11" s="44">
        <v>0</v>
      </c>
      <c r="Q11" s="44" t="s">
        <v>184</v>
      </c>
    </row>
    <row r="12" spans="1:17">
      <c r="A12" s="13">
        <f t="shared" si="5"/>
        <v>46121</v>
      </c>
      <c r="B12" s="27">
        <v>27440</v>
      </c>
      <c r="C12" s="46">
        <v>20057</v>
      </c>
      <c r="D12" s="233">
        <v>28769</v>
      </c>
      <c r="E12" s="50">
        <v>28200</v>
      </c>
      <c r="F12" s="88">
        <f t="shared" si="0"/>
        <v>0.40599292017749417</v>
      </c>
      <c r="G12" s="2">
        <f t="shared" si="1"/>
        <v>0.24926353365217993</v>
      </c>
      <c r="H12" s="2">
        <f t="shared" si="2"/>
        <v>0.31135281385281383</v>
      </c>
      <c r="I12" s="43">
        <v>6.49</v>
      </c>
      <c r="J12" s="44">
        <v>7.0780000000000003</v>
      </c>
      <c r="K12" s="88">
        <f t="shared" si="3"/>
        <v>9.0600924499229588E-2</v>
      </c>
      <c r="L12" s="40">
        <f t="shared" si="4"/>
        <v>0.84519988805486279</v>
      </c>
      <c r="M12" s="48">
        <v>1</v>
      </c>
      <c r="N12" s="48">
        <v>1</v>
      </c>
      <c r="O12" s="44">
        <v>0</v>
      </c>
      <c r="P12" s="44">
        <v>0</v>
      </c>
      <c r="Q12" s="44"/>
    </row>
    <row r="13" spans="1:17">
      <c r="A13" s="13">
        <f t="shared" si="5"/>
        <v>46122</v>
      </c>
      <c r="B13" s="27">
        <v>27440</v>
      </c>
      <c r="C13" s="46">
        <v>20057</v>
      </c>
      <c r="D13" s="233">
        <v>29198</v>
      </c>
      <c r="E13" s="50">
        <v>28650</v>
      </c>
      <c r="F13" s="88">
        <f t="shared" si="0"/>
        <v>0.42842897741436903</v>
      </c>
      <c r="G13" s="2">
        <f t="shared" si="1"/>
        <v>0.25298052263117765</v>
      </c>
      <c r="H13" s="2">
        <f t="shared" si="2"/>
        <v>0.315995670995671</v>
      </c>
      <c r="I13" s="43">
        <v>6.49</v>
      </c>
      <c r="J13" s="44">
        <v>7.173</v>
      </c>
      <c r="K13" s="88">
        <f t="shared" si="3"/>
        <v>0.1052388289676425</v>
      </c>
      <c r="L13" s="40">
        <f t="shared" si="4"/>
        <v>0.84644256840209997</v>
      </c>
      <c r="M13" s="48">
        <v>1</v>
      </c>
      <c r="N13" s="48">
        <v>1</v>
      </c>
      <c r="O13" s="44">
        <v>0</v>
      </c>
      <c r="P13" s="44">
        <v>0</v>
      </c>
      <c r="Q13" s="44"/>
    </row>
    <row r="14" spans="1:17">
      <c r="A14" s="13">
        <f t="shared" si="5"/>
        <v>46123</v>
      </c>
      <c r="B14" s="27">
        <v>27440</v>
      </c>
      <c r="C14" s="46">
        <v>20057</v>
      </c>
      <c r="D14" s="233">
        <v>28613</v>
      </c>
      <c r="E14" s="50">
        <v>28050</v>
      </c>
      <c r="F14" s="88">
        <f t="shared" si="0"/>
        <v>0.39851423443186917</v>
      </c>
      <c r="G14" s="2">
        <f t="shared" si="1"/>
        <v>0.24791190129618076</v>
      </c>
      <c r="H14" s="2">
        <f t="shared" si="2"/>
        <v>0.30966450216450214</v>
      </c>
      <c r="I14" s="43">
        <v>6.49</v>
      </c>
      <c r="J14" s="44">
        <v>7.0650000000000004</v>
      </c>
      <c r="K14" s="88">
        <f t="shared" si="3"/>
        <v>8.8597842835131002E-2</v>
      </c>
      <c r="L14" s="40">
        <f t="shared" si="4"/>
        <v>0.84216357128214281</v>
      </c>
      <c r="M14" s="48">
        <v>1</v>
      </c>
      <c r="N14" s="48">
        <v>1</v>
      </c>
      <c r="O14" s="44">
        <v>0</v>
      </c>
      <c r="P14" s="44">
        <v>0</v>
      </c>
      <c r="Q14" s="44"/>
    </row>
    <row r="15" spans="1:17">
      <c r="A15" s="13">
        <f t="shared" si="5"/>
        <v>46124</v>
      </c>
      <c r="B15" s="27">
        <v>27440</v>
      </c>
      <c r="C15" s="46">
        <v>20057</v>
      </c>
      <c r="D15" s="233">
        <v>29186</v>
      </c>
      <c r="E15" s="50">
        <v>28600</v>
      </c>
      <c r="F15" s="88">
        <f t="shared" si="0"/>
        <v>0.4259360821658274</v>
      </c>
      <c r="G15" s="2">
        <f t="shared" si="1"/>
        <v>0.25287655091148542</v>
      </c>
      <c r="H15" s="2">
        <f t="shared" si="2"/>
        <v>0.31586580086580085</v>
      </c>
      <c r="I15" s="43">
        <v>6.49</v>
      </c>
      <c r="J15" s="44">
        <v>7.2359999999999998</v>
      </c>
      <c r="K15" s="88">
        <f t="shared" si="3"/>
        <v>0.1149460708782742</v>
      </c>
      <c r="L15" s="40">
        <f t="shared" si="4"/>
        <v>0.83872819539464483</v>
      </c>
      <c r="M15" s="48">
        <v>1</v>
      </c>
      <c r="N15" s="48">
        <v>1</v>
      </c>
      <c r="O15" s="44">
        <v>0</v>
      </c>
      <c r="P15" s="44">
        <v>0</v>
      </c>
      <c r="Q15" s="44"/>
    </row>
    <row r="16" spans="1:17">
      <c r="A16" s="13">
        <f t="shared" si="5"/>
        <v>46125</v>
      </c>
      <c r="B16" s="27">
        <v>27440</v>
      </c>
      <c r="C16" s="46">
        <v>20057</v>
      </c>
      <c r="D16" s="233">
        <v>28719</v>
      </c>
      <c r="E16" s="50">
        <v>28150</v>
      </c>
      <c r="F16" s="88">
        <f t="shared" si="0"/>
        <v>0.40350002492895248</v>
      </c>
      <c r="G16" s="2">
        <f t="shared" si="1"/>
        <v>0.24883031815346227</v>
      </c>
      <c r="H16" s="2">
        <f t="shared" si="2"/>
        <v>0.31081168831168832</v>
      </c>
      <c r="I16" s="43">
        <v>6.49</v>
      </c>
      <c r="J16" s="44">
        <v>7.1550000000000002</v>
      </c>
      <c r="K16" s="88">
        <f t="shared" si="3"/>
        <v>0.1024653312788906</v>
      </c>
      <c r="L16" s="40">
        <f t="shared" si="4"/>
        <v>0.83465096235962177</v>
      </c>
      <c r="M16" s="48">
        <v>1</v>
      </c>
      <c r="N16" s="48">
        <v>1</v>
      </c>
      <c r="O16" s="44">
        <v>0</v>
      </c>
      <c r="P16" s="44">
        <v>0</v>
      </c>
      <c r="Q16" s="44"/>
    </row>
    <row r="17" spans="1:17">
      <c r="A17" s="13">
        <f t="shared" si="5"/>
        <v>46126</v>
      </c>
      <c r="B17" s="27">
        <v>27440</v>
      </c>
      <c r="C17" s="46">
        <v>20057</v>
      </c>
      <c r="D17" s="50">
        <v>29834</v>
      </c>
      <c r="E17" s="50">
        <v>29200</v>
      </c>
      <c r="F17" s="88">
        <f t="shared" si="0"/>
        <v>0.45585082514832725</v>
      </c>
      <c r="G17" s="2">
        <f t="shared" si="1"/>
        <v>0.25849102377486655</v>
      </c>
      <c r="H17" s="2">
        <f t="shared" si="2"/>
        <v>0.32287878787878788</v>
      </c>
      <c r="I17" s="43">
        <v>6.49</v>
      </c>
      <c r="J17" s="44">
        <v>7.3760000000000003</v>
      </c>
      <c r="K17" s="88">
        <f t="shared" si="3"/>
        <v>0.13651771956856704</v>
      </c>
      <c r="L17" s="40">
        <f t="shared" si="4"/>
        <v>0.8410770838661602</v>
      </c>
      <c r="M17" s="48">
        <v>1</v>
      </c>
      <c r="N17" s="48">
        <v>1</v>
      </c>
      <c r="O17" s="44">
        <v>0</v>
      </c>
      <c r="P17" s="44">
        <v>0</v>
      </c>
      <c r="Q17" s="44"/>
    </row>
    <row r="18" spans="1:17">
      <c r="A18" s="13">
        <f t="shared" si="5"/>
        <v>46127</v>
      </c>
      <c r="B18" s="27">
        <v>27440</v>
      </c>
      <c r="C18" s="46">
        <v>20057</v>
      </c>
      <c r="D18" s="233">
        <v>27481</v>
      </c>
      <c r="E18" s="50">
        <v>26950</v>
      </c>
      <c r="F18" s="88">
        <f t="shared" si="0"/>
        <v>0.34367053896395272</v>
      </c>
      <c r="G18" s="2">
        <f t="shared" si="1"/>
        <v>0.23810390240521245</v>
      </c>
      <c r="H18" s="2">
        <f t="shared" si="2"/>
        <v>0.29741341991341991</v>
      </c>
      <c r="I18" s="43">
        <v>6.49</v>
      </c>
      <c r="J18" s="44">
        <v>7.0890000000000004</v>
      </c>
      <c r="K18" s="88">
        <f t="shared" si="3"/>
        <v>9.2295839753466904E-2</v>
      </c>
      <c r="L18" s="40">
        <f t="shared" si="4"/>
        <v>0.80610716006842975</v>
      </c>
      <c r="M18" s="48">
        <v>1</v>
      </c>
      <c r="N18" s="48">
        <v>0.98609999999999998</v>
      </c>
      <c r="O18" s="44">
        <v>639</v>
      </c>
      <c r="P18" s="44">
        <v>0</v>
      </c>
      <c r="Q18" s="44" t="s">
        <v>185</v>
      </c>
    </row>
    <row r="19" spans="1:17">
      <c r="A19" s="13">
        <f t="shared" si="5"/>
        <v>46128</v>
      </c>
      <c r="B19" s="27">
        <v>27440</v>
      </c>
      <c r="C19" s="46">
        <v>20057</v>
      </c>
      <c r="D19" s="233">
        <v>29353</v>
      </c>
      <c r="E19" s="50">
        <v>28750</v>
      </c>
      <c r="F19" s="88">
        <f t="shared" si="0"/>
        <v>0.43341476791145234</v>
      </c>
      <c r="G19" s="2">
        <f t="shared" si="1"/>
        <v>0.25432349067720245</v>
      </c>
      <c r="H19" s="2">
        <f t="shared" si="2"/>
        <v>0.31767316017316016</v>
      </c>
      <c r="I19" s="43">
        <v>6.49</v>
      </c>
      <c r="J19" s="44">
        <v>7.306</v>
      </c>
      <c r="K19" s="88">
        <f t="shared" si="3"/>
        <v>0.12573189522342063</v>
      </c>
      <c r="L19" s="40">
        <f t="shared" si="4"/>
        <v>0.83544535672773867</v>
      </c>
      <c r="M19" s="48">
        <v>1</v>
      </c>
      <c r="N19" s="48">
        <v>1</v>
      </c>
      <c r="O19" s="44">
        <v>0</v>
      </c>
      <c r="P19" s="44">
        <v>0</v>
      </c>
      <c r="Q19" s="44"/>
    </row>
    <row r="20" spans="1:17">
      <c r="A20" s="13">
        <f t="shared" si="5"/>
        <v>46129</v>
      </c>
      <c r="B20" s="27">
        <v>27440</v>
      </c>
      <c r="C20" s="46">
        <v>20057</v>
      </c>
      <c r="D20" s="233">
        <v>29634</v>
      </c>
      <c r="E20" s="50">
        <v>29000</v>
      </c>
      <c r="F20" s="88">
        <f t="shared" si="0"/>
        <v>0.44587924415416064</v>
      </c>
      <c r="G20" s="2">
        <f t="shared" si="1"/>
        <v>0.25675816177999583</v>
      </c>
      <c r="H20" s="2">
        <f t="shared" si="2"/>
        <v>0.32071428571428573</v>
      </c>
      <c r="I20" s="43">
        <v>6.49</v>
      </c>
      <c r="J20" s="44">
        <v>7.3460000000000001</v>
      </c>
      <c r="K20" s="88">
        <f t="shared" si="3"/>
        <v>0.13189522342064713</v>
      </c>
      <c r="L20" s="40">
        <f t="shared" si="4"/>
        <v>0.83885051493600604</v>
      </c>
      <c r="M20" s="48">
        <v>1</v>
      </c>
      <c r="N20" s="48">
        <v>1</v>
      </c>
      <c r="O20" s="44">
        <v>0</v>
      </c>
      <c r="P20" s="44">
        <v>0</v>
      </c>
      <c r="Q20" s="44"/>
    </row>
    <row r="21" spans="1:17">
      <c r="A21" s="13">
        <f t="shared" si="5"/>
        <v>46130</v>
      </c>
      <c r="B21" s="27">
        <v>27440</v>
      </c>
      <c r="C21" s="46">
        <v>20057</v>
      </c>
      <c r="D21" s="233">
        <v>30493</v>
      </c>
      <c r="E21" s="50">
        <v>29850</v>
      </c>
      <c r="F21" s="88">
        <f t="shared" si="0"/>
        <v>0.48825846337936879</v>
      </c>
      <c r="G21" s="2">
        <f t="shared" si="1"/>
        <v>0.26420080404796564</v>
      </c>
      <c r="H21" s="2">
        <f t="shared" si="2"/>
        <v>0.33001082251082253</v>
      </c>
      <c r="I21" s="43">
        <v>6.49</v>
      </c>
      <c r="J21" s="44">
        <v>7.5049999999999999</v>
      </c>
      <c r="K21" s="88">
        <f t="shared" si="3"/>
        <v>0.15639445300462243</v>
      </c>
      <c r="L21" s="40">
        <f t="shared" si="4"/>
        <v>0.84487932007344102</v>
      </c>
      <c r="M21" s="48">
        <v>1</v>
      </c>
      <c r="N21" s="48">
        <v>1</v>
      </c>
      <c r="O21" s="44">
        <v>0</v>
      </c>
      <c r="P21" s="44">
        <v>0</v>
      </c>
      <c r="Q21" s="44"/>
    </row>
    <row r="22" spans="1:17">
      <c r="A22" s="13">
        <f t="shared" si="5"/>
        <v>46131</v>
      </c>
      <c r="B22" s="27">
        <v>27440</v>
      </c>
      <c r="C22" s="46">
        <v>20057</v>
      </c>
      <c r="D22" s="233">
        <v>29314</v>
      </c>
      <c r="E22" s="50">
        <v>28650</v>
      </c>
      <c r="F22" s="88">
        <f t="shared" si="0"/>
        <v>0.42842897741436903</v>
      </c>
      <c r="G22" s="2">
        <f t="shared" si="1"/>
        <v>0.2539855825882027</v>
      </c>
      <c r="H22" s="2">
        <f t="shared" si="2"/>
        <v>0.31725108225108223</v>
      </c>
      <c r="I22" s="43">
        <v>6.49</v>
      </c>
      <c r="J22" s="44">
        <v>7.141</v>
      </c>
      <c r="K22" s="88">
        <f t="shared" si="3"/>
        <v>0.10030816640986129</v>
      </c>
      <c r="L22" s="40">
        <f t="shared" si="4"/>
        <v>0.85361349700558231</v>
      </c>
      <c r="M22" s="48">
        <v>1</v>
      </c>
      <c r="N22" s="48">
        <v>1</v>
      </c>
      <c r="O22" s="44">
        <v>0</v>
      </c>
      <c r="P22" s="44">
        <v>0</v>
      </c>
      <c r="Q22" s="44"/>
    </row>
    <row r="23" spans="1:17">
      <c r="A23" s="13">
        <f t="shared" si="5"/>
        <v>46132</v>
      </c>
      <c r="B23" s="27">
        <v>27440</v>
      </c>
      <c r="C23" s="46">
        <v>20057</v>
      </c>
      <c r="D23" s="233">
        <v>29820</v>
      </c>
      <c r="E23" s="50">
        <v>29200</v>
      </c>
      <c r="F23" s="88">
        <f t="shared" si="0"/>
        <v>0.45585082514832725</v>
      </c>
      <c r="G23" s="2">
        <f t="shared" si="1"/>
        <v>0.25836972343522563</v>
      </c>
      <c r="H23" s="2">
        <f t="shared" si="2"/>
        <v>0.32272727272727275</v>
      </c>
      <c r="I23" s="43">
        <v>6.49</v>
      </c>
      <c r="J23" s="44">
        <v>7.3150000000000004</v>
      </c>
      <c r="K23" s="88">
        <f t="shared" si="3"/>
        <v>0.12711864406779663</v>
      </c>
      <c r="L23" s="40">
        <f t="shared" si="4"/>
        <v>0.84769287251475256</v>
      </c>
      <c r="M23" s="48">
        <v>1</v>
      </c>
      <c r="N23" s="48">
        <v>1</v>
      </c>
      <c r="O23" s="44">
        <v>0</v>
      </c>
      <c r="P23" s="44">
        <v>0</v>
      </c>
      <c r="Q23" s="44"/>
    </row>
    <row r="24" spans="1:17">
      <c r="A24" s="13">
        <f t="shared" si="5"/>
        <v>46133</v>
      </c>
      <c r="B24" s="27">
        <v>27440</v>
      </c>
      <c r="C24" s="46">
        <v>20057</v>
      </c>
      <c r="D24" s="233">
        <v>30446</v>
      </c>
      <c r="E24" s="50">
        <v>29850</v>
      </c>
      <c r="F24" s="88">
        <f t="shared" si="0"/>
        <v>0.48825846337936879</v>
      </c>
      <c r="G24" s="2">
        <f t="shared" si="1"/>
        <v>0.26379358147917098</v>
      </c>
      <c r="H24" s="2">
        <f t="shared" si="2"/>
        <v>0.32950216450216452</v>
      </c>
      <c r="I24" s="43">
        <v>6.49</v>
      </c>
      <c r="J24" s="44">
        <v>7.38</v>
      </c>
      <c r="K24" s="88">
        <f t="shared" si="3"/>
        <v>0.13713405238828963</v>
      </c>
      <c r="L24" s="40">
        <f t="shared" si="4"/>
        <v>0.85786530562332042</v>
      </c>
      <c r="M24" s="48">
        <v>1</v>
      </c>
      <c r="N24" s="48">
        <v>1</v>
      </c>
      <c r="O24" s="44">
        <v>0</v>
      </c>
      <c r="P24" s="44">
        <v>0</v>
      </c>
      <c r="Q24" s="44"/>
    </row>
    <row r="25" spans="1:17">
      <c r="A25" s="13">
        <f t="shared" si="5"/>
        <v>46134</v>
      </c>
      <c r="B25" s="27">
        <v>27440</v>
      </c>
      <c r="C25" s="46">
        <v>20057</v>
      </c>
      <c r="D25" s="233">
        <v>30263</v>
      </c>
      <c r="E25" s="50">
        <v>29600</v>
      </c>
      <c r="F25" s="88">
        <f t="shared" si="0"/>
        <v>0.47579398713666049</v>
      </c>
      <c r="G25" s="2">
        <f t="shared" si="1"/>
        <v>0.26220801275386429</v>
      </c>
      <c r="H25" s="2">
        <f t="shared" si="2"/>
        <v>0.32752164502164505</v>
      </c>
      <c r="I25" s="43">
        <v>6.49</v>
      </c>
      <c r="J25" s="44">
        <v>7.2</v>
      </c>
      <c r="K25" s="88">
        <f t="shared" si="3"/>
        <v>0.10939907550077041</v>
      </c>
      <c r="L25" s="40">
        <f t="shared" si="4"/>
        <v>0.8740267091795475</v>
      </c>
      <c r="M25" s="48">
        <v>1</v>
      </c>
      <c r="N25" s="48">
        <v>1</v>
      </c>
      <c r="O25" s="44">
        <v>0</v>
      </c>
      <c r="P25" s="44">
        <v>0</v>
      </c>
      <c r="Q25" s="44"/>
    </row>
    <row r="26" spans="1:17">
      <c r="A26" s="13">
        <f t="shared" si="5"/>
        <v>46135</v>
      </c>
      <c r="B26" s="27">
        <v>27440</v>
      </c>
      <c r="C26" s="46">
        <v>20057</v>
      </c>
      <c r="D26" s="233">
        <v>28831</v>
      </c>
      <c r="E26" s="50">
        <v>28350</v>
      </c>
      <c r="F26" s="88">
        <f t="shared" si="0"/>
        <v>0.4134716059231191</v>
      </c>
      <c r="G26" s="2">
        <f t="shared" si="1"/>
        <v>0.24980072087058985</v>
      </c>
      <c r="H26" s="2">
        <f t="shared" si="2"/>
        <v>0.31202380952380954</v>
      </c>
      <c r="I26" s="43">
        <v>6.49</v>
      </c>
      <c r="J26" s="44">
        <v>7.2880000000000003</v>
      </c>
      <c r="K26" s="88">
        <f t="shared" si="3"/>
        <v>0.12295839753466872</v>
      </c>
      <c r="L26" s="40">
        <f t="shared" si="4"/>
        <v>0.82261488760896773</v>
      </c>
      <c r="M26" s="48">
        <v>1</v>
      </c>
      <c r="N26" s="48">
        <v>0.98219999999999996</v>
      </c>
      <c r="O26" s="44">
        <v>781</v>
      </c>
      <c r="P26" s="44">
        <v>0</v>
      </c>
      <c r="Q26" s="44" t="s">
        <v>186</v>
      </c>
    </row>
    <row r="27" spans="1:17">
      <c r="A27" s="13">
        <f t="shared" si="5"/>
        <v>46136</v>
      </c>
      <c r="B27" s="27">
        <v>27440</v>
      </c>
      <c r="C27" s="46">
        <v>20057</v>
      </c>
      <c r="D27" s="233">
        <v>29473</v>
      </c>
      <c r="E27" s="50">
        <v>28750</v>
      </c>
      <c r="F27" s="88">
        <f t="shared" si="0"/>
        <v>0.43341476791145234</v>
      </c>
      <c r="G27" s="2">
        <f t="shared" si="1"/>
        <v>0.25536320787412492</v>
      </c>
      <c r="H27" s="2">
        <f t="shared" si="2"/>
        <v>0.31897186147186146</v>
      </c>
      <c r="I27" s="43">
        <v>6.49</v>
      </c>
      <c r="J27" s="44">
        <v>7.1079999999999997</v>
      </c>
      <c r="K27" s="88">
        <f t="shared" si="3"/>
        <v>9.5223420647149365E-2</v>
      </c>
      <c r="L27" s="40">
        <f t="shared" si="4"/>
        <v>0.86222805134763625</v>
      </c>
      <c r="M27" s="48">
        <v>1</v>
      </c>
      <c r="N27" s="48">
        <v>1</v>
      </c>
      <c r="O27" s="44">
        <v>0</v>
      </c>
      <c r="P27" s="44">
        <v>0</v>
      </c>
      <c r="Q27" s="44"/>
    </row>
    <row r="28" spans="1:17">
      <c r="A28" s="13">
        <f t="shared" si="5"/>
        <v>46137</v>
      </c>
      <c r="B28" s="27">
        <v>27440</v>
      </c>
      <c r="C28" s="46">
        <v>20057</v>
      </c>
      <c r="D28" s="233">
        <v>29055</v>
      </c>
      <c r="E28" s="50">
        <v>28400</v>
      </c>
      <c r="F28" s="88">
        <f t="shared" si="0"/>
        <v>0.41596450117166078</v>
      </c>
      <c r="G28" s="2">
        <f t="shared" si="1"/>
        <v>0.25174152630484509</v>
      </c>
      <c r="H28" s="2">
        <f t="shared" si="2"/>
        <v>0.31444805194805192</v>
      </c>
      <c r="I28" s="43">
        <v>6.49</v>
      </c>
      <c r="J28" s="6">
        <v>7.1539999999999999</v>
      </c>
      <c r="K28" s="88">
        <f t="shared" si="3"/>
        <v>0.10231124807395989</v>
      </c>
      <c r="L28" s="40">
        <f t="shared" si="4"/>
        <v>0.84453405525807679</v>
      </c>
      <c r="M28" s="25">
        <v>1</v>
      </c>
      <c r="N28" s="25">
        <v>1</v>
      </c>
      <c r="O28" s="6">
        <v>0</v>
      </c>
      <c r="P28" s="44">
        <v>0</v>
      </c>
      <c r="Q28" s="44"/>
    </row>
    <row r="29" spans="1:17">
      <c r="A29" s="13">
        <f t="shared" si="5"/>
        <v>46138</v>
      </c>
      <c r="B29" s="27">
        <v>27440</v>
      </c>
      <c r="C29" s="46">
        <v>20057</v>
      </c>
      <c r="D29" s="233">
        <v>27959</v>
      </c>
      <c r="E29" s="50">
        <v>27450</v>
      </c>
      <c r="F29" s="88">
        <f t="shared" si="0"/>
        <v>0.36859949144936932</v>
      </c>
      <c r="G29" s="2">
        <f t="shared" si="1"/>
        <v>0.2422454425729535</v>
      </c>
      <c r="H29" s="2">
        <f t="shared" si="2"/>
        <v>0.30258658008658007</v>
      </c>
      <c r="I29" s="43">
        <v>6.49</v>
      </c>
      <c r="J29" s="6">
        <v>7.33</v>
      </c>
      <c r="K29" s="88">
        <f t="shared" si="3"/>
        <v>0.12942989214175651</v>
      </c>
      <c r="L29" s="40">
        <f t="shared" si="4"/>
        <v>0.79316379560039341</v>
      </c>
      <c r="M29" s="25">
        <v>1</v>
      </c>
      <c r="N29" s="25">
        <v>0.92059999999999997</v>
      </c>
      <c r="O29" s="6">
        <v>0</v>
      </c>
      <c r="P29" s="44">
        <v>1048</v>
      </c>
      <c r="Q29" s="44" t="s">
        <v>187</v>
      </c>
    </row>
    <row r="30" spans="1:17">
      <c r="A30" s="13">
        <f t="shared" si="5"/>
        <v>46139</v>
      </c>
      <c r="B30" s="27">
        <v>27440</v>
      </c>
      <c r="C30" s="46">
        <v>20057</v>
      </c>
      <c r="D30" s="50"/>
      <c r="E30" s="50"/>
      <c r="F30" s="88">
        <f t="shared" si="0"/>
        <v>0</v>
      </c>
      <c r="G30" s="2">
        <f t="shared" si="1"/>
        <v>0</v>
      </c>
      <c r="H30" s="2">
        <f t="shared" si="2"/>
        <v>0</v>
      </c>
      <c r="I30" s="43">
        <v>6.49</v>
      </c>
      <c r="J30" s="6"/>
      <c r="K30" s="88">
        <f t="shared" si="3"/>
        <v>0</v>
      </c>
      <c r="L30" s="40" t="e">
        <f t="shared" si="4"/>
        <v>#DIV/0!</v>
      </c>
      <c r="M30" s="6"/>
      <c r="N30" s="6"/>
      <c r="O30" s="6"/>
      <c r="P30" s="6"/>
      <c r="Q30" s="44"/>
    </row>
    <row r="31" spans="1:17">
      <c r="A31" s="13">
        <f t="shared" si="5"/>
        <v>46140</v>
      </c>
      <c r="B31" s="27">
        <v>27440</v>
      </c>
      <c r="C31" s="46">
        <v>20057</v>
      </c>
      <c r="D31" s="50"/>
      <c r="E31" s="50"/>
      <c r="F31" s="88">
        <f t="shared" si="0"/>
        <v>0</v>
      </c>
      <c r="G31" s="2">
        <f t="shared" si="1"/>
        <v>0</v>
      </c>
      <c r="H31" s="2">
        <f t="shared" si="2"/>
        <v>0</v>
      </c>
      <c r="I31" s="43">
        <v>6.49</v>
      </c>
      <c r="J31" s="6"/>
      <c r="K31" s="88">
        <f t="shared" si="3"/>
        <v>0</v>
      </c>
      <c r="L31" s="40" t="e">
        <f t="shared" si="4"/>
        <v>#DIV/0!</v>
      </c>
      <c r="M31" s="6"/>
      <c r="N31" s="6"/>
      <c r="O31" s="6"/>
      <c r="P31" s="6"/>
      <c r="Q31" s="44"/>
    </row>
    <row r="32" spans="1:17">
      <c r="A32" s="13">
        <f t="shared" si="5"/>
        <v>46141</v>
      </c>
      <c r="B32" s="27">
        <v>27440</v>
      </c>
      <c r="C32" s="46">
        <v>20057</v>
      </c>
      <c r="D32" s="50"/>
      <c r="E32" s="50"/>
      <c r="F32" s="88">
        <f t="shared" si="0"/>
        <v>0</v>
      </c>
      <c r="G32" s="2">
        <f t="shared" si="1"/>
        <v>0</v>
      </c>
      <c r="H32" s="2">
        <f t="shared" si="2"/>
        <v>0</v>
      </c>
      <c r="I32" s="43">
        <v>6.49</v>
      </c>
      <c r="J32" s="6"/>
      <c r="K32" s="88">
        <f t="shared" si="3"/>
        <v>0</v>
      </c>
      <c r="L32" s="40" t="e">
        <f t="shared" si="4"/>
        <v>#DIV/0!</v>
      </c>
      <c r="M32" s="6"/>
      <c r="N32" s="6"/>
      <c r="O32" s="6"/>
      <c r="P32" s="6"/>
      <c r="Q32" s="44"/>
    </row>
    <row r="33" spans="1:17">
      <c r="A33" s="13">
        <f t="shared" si="5"/>
        <v>46142</v>
      </c>
      <c r="B33" s="27">
        <v>27440</v>
      </c>
      <c r="C33" s="46">
        <v>20057</v>
      </c>
      <c r="D33" s="50"/>
      <c r="E33" s="50"/>
      <c r="F33" s="88">
        <f t="shared" si="0"/>
        <v>0</v>
      </c>
      <c r="G33" s="2">
        <f t="shared" si="1"/>
        <v>0</v>
      </c>
      <c r="H33" s="2">
        <f t="shared" si="2"/>
        <v>0</v>
      </c>
      <c r="I33" s="43">
        <v>6.49</v>
      </c>
      <c r="J33" s="6"/>
      <c r="K33" s="88">
        <f t="shared" si="3"/>
        <v>0</v>
      </c>
      <c r="L33" s="40" t="e">
        <f t="shared" si="4"/>
        <v>#DIV/0!</v>
      </c>
      <c r="M33" s="6"/>
      <c r="N33" s="6"/>
      <c r="O33" s="6"/>
      <c r="P33" s="6"/>
      <c r="Q33" s="44"/>
    </row>
    <row r="34" spans="1:17">
      <c r="A34" s="349">
        <v>46113</v>
      </c>
      <c r="B34" s="89">
        <f>SUM(B4:B33)</f>
        <v>823200</v>
      </c>
      <c r="C34" s="89">
        <f>SUM(C4:C33)</f>
        <v>601710</v>
      </c>
      <c r="D34" s="89">
        <f>SUM(D4:D33)</f>
        <v>728251</v>
      </c>
      <c r="E34" s="89">
        <f>SUM(E4:E33)</f>
        <v>713450</v>
      </c>
      <c r="F34" s="160">
        <f t="shared" si="0"/>
        <v>0.18570407671469644</v>
      </c>
      <c r="G34" s="90">
        <f>AVERAGE(G4:G33)</f>
        <v>0.21032641343776712</v>
      </c>
      <c r="H34" s="90">
        <f>AVERAGE(H4:H33)</f>
        <v>0.26271681096681099</v>
      </c>
      <c r="I34" s="89">
        <f>SUM(I4:I33)</f>
        <v>194.70000000000005</v>
      </c>
      <c r="J34" s="89">
        <f>SUM(J4:J33)</f>
        <v>181.29300000000001</v>
      </c>
      <c r="K34" s="160">
        <f t="shared" si="3"/>
        <v>-6.8859784283513276E-2</v>
      </c>
      <c r="L34" s="161">
        <f t="shared" si="4"/>
        <v>0.83530537679442862</v>
      </c>
      <c r="M34" s="90">
        <f>AVERAGE(M4:M33)</f>
        <v>1</v>
      </c>
      <c r="N34" s="90">
        <f>AVERAGE(N4:N33)</f>
        <v>0.98367307692307682</v>
      </c>
      <c r="O34" s="89">
        <f>SUM(O4:O33)</f>
        <v>12621</v>
      </c>
      <c r="P34" s="89">
        <f>SUM(P4:P33)</f>
        <v>1048</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50"/>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50"/>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D5911-1ED7-44F7-9C06-C76678ECBC68}">
  <dimension ref="A1:Q66"/>
  <sheetViews>
    <sheetView workbookViewId="0">
      <pane xSplit="1" ySplit="3" topLeftCell="B4" activePane="bottomRight" state="frozen"/>
      <selection pane="topRight"/>
      <selection pane="bottomLeft"/>
      <selection pane="bottomRight" activeCell="I67" sqref="I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188</v>
      </c>
      <c r="B1" s="406"/>
      <c r="C1" s="406"/>
      <c r="D1" s="406"/>
      <c r="E1" s="406"/>
      <c r="F1" s="406"/>
      <c r="G1" s="406"/>
      <c r="H1" s="406"/>
      <c r="I1" s="406"/>
      <c r="J1" s="406"/>
      <c r="K1" s="406"/>
      <c r="L1" s="406"/>
      <c r="M1" s="406"/>
      <c r="N1" s="406"/>
      <c r="O1" s="406"/>
      <c r="P1" s="406"/>
      <c r="Q1" s="406"/>
    </row>
    <row r="2" spans="1:17" ht="18.5">
      <c r="A2" s="7">
        <v>46113</v>
      </c>
      <c r="B2" s="407" t="s">
        <v>172</v>
      </c>
      <c r="C2" s="408"/>
      <c r="D2" s="8">
        <v>1000</v>
      </c>
      <c r="E2" s="407" t="s">
        <v>173</v>
      </c>
      <c r="F2" s="407"/>
      <c r="G2" s="408"/>
      <c r="H2" s="8">
        <v>800</v>
      </c>
      <c r="I2" s="409" t="s">
        <v>174</v>
      </c>
      <c r="J2" s="410"/>
      <c r="K2" s="85">
        <v>44364</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4631</v>
      </c>
      <c r="C4" s="39">
        <v>4028</v>
      </c>
      <c r="D4" s="232">
        <v>5174</v>
      </c>
      <c r="E4" s="49">
        <v>5175</v>
      </c>
      <c r="F4" s="88">
        <f t="shared" ref="F4:F35" si="0">(IF(ISBLANK(E4),0,E4-C4))/C4</f>
        <v>0.28475670307845086</v>
      </c>
      <c r="G4" s="2">
        <f t="shared" ref="G4:G33" si="1">D4/($D$2*24)</f>
        <v>0.21558333333333332</v>
      </c>
      <c r="H4" s="2">
        <f t="shared" ref="H4:H33" si="2">D4/($H$2*24)</f>
        <v>0.26947916666666666</v>
      </c>
      <c r="I4" s="36">
        <v>6.85</v>
      </c>
      <c r="J4" s="37">
        <v>6.78</v>
      </c>
      <c r="K4" s="88">
        <f t="shared" ref="K4:K35" si="3">(IF(ISBLANK(J4),0,J4-I4))/I4</f>
        <v>-1.0218978102189693E-2</v>
      </c>
      <c r="L4" s="40">
        <f t="shared" ref="L4:L35" si="4">D4/($D$2*J4)</f>
        <v>0.76312684365781713</v>
      </c>
      <c r="M4" s="41">
        <v>1</v>
      </c>
      <c r="N4" s="41">
        <v>0.94440000000000002</v>
      </c>
      <c r="O4" s="37">
        <v>1427</v>
      </c>
      <c r="P4" s="37">
        <v>0</v>
      </c>
      <c r="Q4" s="37" t="s">
        <v>190</v>
      </c>
    </row>
    <row r="5" spans="1:17">
      <c r="A5" s="13">
        <f t="shared" ref="A5:A33" si="5">A4+1</f>
        <v>46114</v>
      </c>
      <c r="B5" s="27">
        <v>4631</v>
      </c>
      <c r="C5" s="46">
        <v>4028</v>
      </c>
      <c r="D5" s="50">
        <v>5087</v>
      </c>
      <c r="E5" s="50">
        <v>5055</v>
      </c>
      <c r="F5" s="88">
        <f t="shared" si="0"/>
        <v>0.25496524329692155</v>
      </c>
      <c r="G5" s="2">
        <f t="shared" si="1"/>
        <v>0.21195833333333333</v>
      </c>
      <c r="H5" s="2">
        <f t="shared" si="2"/>
        <v>0.26494791666666667</v>
      </c>
      <c r="I5" s="43">
        <v>6.85</v>
      </c>
      <c r="J5" s="44">
        <v>6.51</v>
      </c>
      <c r="K5" s="88">
        <f t="shared" si="3"/>
        <v>-4.963503649635035E-2</v>
      </c>
      <c r="L5" s="40">
        <f t="shared" si="4"/>
        <v>0.78141321044546852</v>
      </c>
      <c r="M5" s="48">
        <v>1</v>
      </c>
      <c r="N5" s="48">
        <v>0.96919999999999995</v>
      </c>
      <c r="O5" s="44">
        <v>773</v>
      </c>
      <c r="P5" s="44">
        <v>0</v>
      </c>
      <c r="Q5" s="44" t="s">
        <v>191</v>
      </c>
    </row>
    <row r="6" spans="1:17">
      <c r="A6" s="13">
        <f t="shared" si="5"/>
        <v>46115</v>
      </c>
      <c r="B6" s="27">
        <v>4631</v>
      </c>
      <c r="C6" s="46">
        <v>4028</v>
      </c>
      <c r="D6" s="233">
        <v>4243</v>
      </c>
      <c r="E6" s="50">
        <v>4230</v>
      </c>
      <c r="F6" s="88">
        <f t="shared" si="0"/>
        <v>5.014895729890765E-2</v>
      </c>
      <c r="G6" s="2">
        <f t="shared" si="1"/>
        <v>0.17679166666666668</v>
      </c>
      <c r="H6" s="2">
        <f t="shared" si="2"/>
        <v>0.22098958333333332</v>
      </c>
      <c r="I6" s="43">
        <v>6.85</v>
      </c>
      <c r="J6" s="44">
        <v>5.0999999999999996</v>
      </c>
      <c r="K6" s="88">
        <f t="shared" si="3"/>
        <v>-0.25547445255474455</v>
      </c>
      <c r="L6" s="40">
        <f t="shared" si="4"/>
        <v>0.83196078431372544</v>
      </c>
      <c r="M6" s="48">
        <v>1</v>
      </c>
      <c r="N6" s="48">
        <v>1</v>
      </c>
      <c r="O6" s="44">
        <v>0</v>
      </c>
      <c r="P6" s="44">
        <v>0</v>
      </c>
      <c r="Q6" s="44"/>
    </row>
    <row r="7" spans="1:17">
      <c r="A7" s="13">
        <f t="shared" si="5"/>
        <v>46116</v>
      </c>
      <c r="B7" s="27">
        <v>4631</v>
      </c>
      <c r="C7" s="46">
        <v>4028</v>
      </c>
      <c r="D7" s="233">
        <v>6054</v>
      </c>
      <c r="E7" s="50">
        <v>6045</v>
      </c>
      <c r="F7" s="88">
        <f t="shared" si="0"/>
        <v>0.50074478649453824</v>
      </c>
      <c r="G7" s="2">
        <f t="shared" si="1"/>
        <v>0.25224999999999997</v>
      </c>
      <c r="H7" s="2">
        <f t="shared" si="2"/>
        <v>0.3153125</v>
      </c>
      <c r="I7" s="43">
        <v>6.85</v>
      </c>
      <c r="J7" s="44">
        <v>7.65</v>
      </c>
      <c r="K7" s="88">
        <f t="shared" si="3"/>
        <v>0.11678832116788332</v>
      </c>
      <c r="L7" s="40">
        <f t="shared" si="4"/>
        <v>0.79137254901960785</v>
      </c>
      <c r="M7" s="48">
        <v>1</v>
      </c>
      <c r="N7" s="48">
        <v>1</v>
      </c>
      <c r="O7" s="44">
        <v>0</v>
      </c>
      <c r="P7" s="44">
        <v>0</v>
      </c>
      <c r="Q7" s="44"/>
    </row>
    <row r="8" spans="1:17">
      <c r="A8" s="13">
        <f t="shared" si="5"/>
        <v>46117</v>
      </c>
      <c r="B8" s="27">
        <v>4631</v>
      </c>
      <c r="C8" s="46">
        <v>4028</v>
      </c>
      <c r="D8" s="233">
        <v>5598</v>
      </c>
      <c r="E8" s="50">
        <v>5595</v>
      </c>
      <c r="F8" s="88">
        <f t="shared" si="0"/>
        <v>0.38902681231380337</v>
      </c>
      <c r="G8" s="2">
        <f t="shared" si="1"/>
        <v>0.23325000000000001</v>
      </c>
      <c r="H8" s="2">
        <f t="shared" si="2"/>
        <v>0.2915625</v>
      </c>
      <c r="I8" s="43">
        <v>6.85</v>
      </c>
      <c r="J8" s="44">
        <v>6.89</v>
      </c>
      <c r="K8" s="88">
        <f t="shared" si="3"/>
        <v>5.8394160583941663E-3</v>
      </c>
      <c r="L8" s="40">
        <f t="shared" si="4"/>
        <v>0.81248185776487658</v>
      </c>
      <c r="M8" s="48">
        <v>1</v>
      </c>
      <c r="N8" s="48">
        <v>0.89090000000000003</v>
      </c>
      <c r="O8" s="44">
        <v>1550</v>
      </c>
      <c r="P8" s="44">
        <v>0</v>
      </c>
      <c r="Q8" s="44" t="s">
        <v>192</v>
      </c>
    </row>
    <row r="9" spans="1:17">
      <c r="A9" s="13">
        <f t="shared" si="5"/>
        <v>46118</v>
      </c>
      <c r="B9" s="27">
        <v>4631</v>
      </c>
      <c r="C9" s="46">
        <v>4028</v>
      </c>
      <c r="D9" s="233">
        <v>5523</v>
      </c>
      <c r="E9" s="50">
        <v>5475</v>
      </c>
      <c r="F9" s="88">
        <f t="shared" si="0"/>
        <v>0.35923535253227407</v>
      </c>
      <c r="G9" s="2">
        <f t="shared" si="1"/>
        <v>0.230125</v>
      </c>
      <c r="H9" s="2">
        <f t="shared" si="2"/>
        <v>0.28765625</v>
      </c>
      <c r="I9" s="43">
        <v>6.85</v>
      </c>
      <c r="J9" s="44">
        <v>7.18</v>
      </c>
      <c r="K9" s="88">
        <f t="shared" si="3"/>
        <v>4.8175182481751837E-2</v>
      </c>
      <c r="L9" s="40">
        <f t="shared" si="4"/>
        <v>0.76922005571030638</v>
      </c>
      <c r="M9" s="48">
        <v>1</v>
      </c>
      <c r="N9" s="48">
        <v>0.90490000000000004</v>
      </c>
      <c r="O9" s="44">
        <v>1450</v>
      </c>
      <c r="P9" s="44">
        <v>0</v>
      </c>
      <c r="Q9" s="44" t="s">
        <v>192</v>
      </c>
    </row>
    <row r="10" spans="1:17">
      <c r="A10" s="13">
        <f t="shared" si="5"/>
        <v>46119</v>
      </c>
      <c r="B10" s="27">
        <v>4631</v>
      </c>
      <c r="C10" s="46">
        <v>4028</v>
      </c>
      <c r="D10" s="233">
        <v>3084</v>
      </c>
      <c r="E10" s="50">
        <v>3090</v>
      </c>
      <c r="F10" s="88">
        <f t="shared" si="0"/>
        <v>-0.23286991062562065</v>
      </c>
      <c r="G10" s="2">
        <f t="shared" si="1"/>
        <v>0.1285</v>
      </c>
      <c r="H10" s="2">
        <f t="shared" si="2"/>
        <v>0.16062499999999999</v>
      </c>
      <c r="I10" s="43">
        <v>6.85</v>
      </c>
      <c r="J10" s="44">
        <v>5.24</v>
      </c>
      <c r="K10" s="88">
        <f t="shared" si="3"/>
        <v>-0.23503649635036489</v>
      </c>
      <c r="L10" s="40">
        <f t="shared" si="4"/>
        <v>0.5885496183206107</v>
      </c>
      <c r="M10" s="48">
        <v>1</v>
      </c>
      <c r="N10" s="48">
        <v>0.80559999999999998</v>
      </c>
      <c r="O10" s="44">
        <v>2932</v>
      </c>
      <c r="P10" s="44">
        <v>0</v>
      </c>
      <c r="Q10" s="44" t="s">
        <v>193</v>
      </c>
    </row>
    <row r="11" spans="1:17">
      <c r="A11" s="13">
        <f t="shared" si="5"/>
        <v>46120</v>
      </c>
      <c r="B11" s="27">
        <v>4631</v>
      </c>
      <c r="C11" s="46">
        <v>4028</v>
      </c>
      <c r="D11" s="233">
        <v>4100</v>
      </c>
      <c r="E11" s="50">
        <v>4080</v>
      </c>
      <c r="F11" s="88">
        <f t="shared" si="0"/>
        <v>1.2909632571996028E-2</v>
      </c>
      <c r="G11" s="2">
        <f t="shared" si="1"/>
        <v>0.17083333333333334</v>
      </c>
      <c r="H11" s="2">
        <f t="shared" si="2"/>
        <v>0.21354166666666666</v>
      </c>
      <c r="I11" s="43">
        <v>6.85</v>
      </c>
      <c r="J11" s="44">
        <v>6.5</v>
      </c>
      <c r="K11" s="88">
        <f t="shared" si="3"/>
        <v>-5.1094890510948857E-2</v>
      </c>
      <c r="L11" s="40">
        <f t="shared" si="4"/>
        <v>0.63076923076923075</v>
      </c>
      <c r="M11" s="48">
        <v>1</v>
      </c>
      <c r="N11" s="48">
        <v>0.7611</v>
      </c>
      <c r="O11" s="44">
        <v>4793</v>
      </c>
      <c r="P11" s="44">
        <v>0</v>
      </c>
      <c r="Q11" s="44" t="s">
        <v>194</v>
      </c>
    </row>
    <row r="12" spans="1:17">
      <c r="A12" s="13">
        <f t="shared" si="5"/>
        <v>46121</v>
      </c>
      <c r="B12" s="27">
        <v>4631</v>
      </c>
      <c r="C12" s="46">
        <v>4028</v>
      </c>
      <c r="D12" s="233">
        <v>4933</v>
      </c>
      <c r="E12" s="50">
        <v>4890</v>
      </c>
      <c r="F12" s="88">
        <f t="shared" si="0"/>
        <v>0.21400198609731877</v>
      </c>
      <c r="G12" s="2">
        <f t="shared" si="1"/>
        <v>0.20554166666666668</v>
      </c>
      <c r="H12" s="2">
        <f t="shared" si="2"/>
        <v>0.25692708333333331</v>
      </c>
      <c r="I12" s="43">
        <v>6.85</v>
      </c>
      <c r="J12" s="44">
        <v>6.6</v>
      </c>
      <c r="K12" s="88">
        <f t="shared" si="3"/>
        <v>-3.6496350364963508E-2</v>
      </c>
      <c r="L12" s="40">
        <f t="shared" si="4"/>
        <v>0.74742424242424244</v>
      </c>
      <c r="M12" s="48">
        <v>1</v>
      </c>
      <c r="N12" s="48">
        <v>0.90690000000000004</v>
      </c>
      <c r="O12" s="44">
        <v>2295</v>
      </c>
      <c r="P12" s="44">
        <v>0</v>
      </c>
      <c r="Q12" s="44" t="s">
        <v>195</v>
      </c>
    </row>
    <row r="13" spans="1:17">
      <c r="A13" s="13">
        <f t="shared" si="5"/>
        <v>46122</v>
      </c>
      <c r="B13" s="27">
        <v>4631</v>
      </c>
      <c r="C13" s="46">
        <v>4028</v>
      </c>
      <c r="D13" s="233">
        <v>5408</v>
      </c>
      <c r="E13" s="50">
        <v>5400</v>
      </c>
      <c r="F13" s="88">
        <f t="shared" si="0"/>
        <v>0.34061569016881826</v>
      </c>
      <c r="G13" s="2">
        <f t="shared" si="1"/>
        <v>0.22533333333333333</v>
      </c>
      <c r="H13" s="2">
        <f t="shared" si="2"/>
        <v>0.28166666666666668</v>
      </c>
      <c r="I13" s="43">
        <v>6.85</v>
      </c>
      <c r="J13" s="44">
        <v>7.17</v>
      </c>
      <c r="K13" s="88">
        <f t="shared" si="3"/>
        <v>4.671532846715333E-2</v>
      </c>
      <c r="L13" s="40">
        <f t="shared" si="4"/>
        <v>0.75425383542538349</v>
      </c>
      <c r="M13" s="48">
        <v>1</v>
      </c>
      <c r="N13" s="48">
        <v>0.9486</v>
      </c>
      <c r="O13" s="44">
        <v>1185</v>
      </c>
      <c r="P13" s="44">
        <v>0</v>
      </c>
      <c r="Q13" s="44" t="s">
        <v>196</v>
      </c>
    </row>
    <row r="14" spans="1:17">
      <c r="A14" s="13">
        <f t="shared" si="5"/>
        <v>46123</v>
      </c>
      <c r="B14" s="27">
        <v>4631</v>
      </c>
      <c r="C14" s="46">
        <v>4028</v>
      </c>
      <c r="D14" s="233">
        <v>5561</v>
      </c>
      <c r="E14" s="50">
        <v>5565</v>
      </c>
      <c r="F14" s="88">
        <f t="shared" si="0"/>
        <v>0.38157894736842107</v>
      </c>
      <c r="G14" s="2">
        <f t="shared" si="1"/>
        <v>0.23170833333333332</v>
      </c>
      <c r="H14" s="2">
        <f t="shared" si="2"/>
        <v>0.28963541666666665</v>
      </c>
      <c r="I14" s="43">
        <v>6.85</v>
      </c>
      <c r="J14" s="44">
        <v>7.18</v>
      </c>
      <c r="K14" s="88">
        <f t="shared" si="3"/>
        <v>4.8175182481751837E-2</v>
      </c>
      <c r="L14" s="40">
        <f t="shared" si="4"/>
        <v>0.77451253481894156</v>
      </c>
      <c r="M14" s="48">
        <v>1</v>
      </c>
      <c r="N14" s="48">
        <v>1</v>
      </c>
      <c r="O14" s="44">
        <v>0</v>
      </c>
      <c r="P14" s="44">
        <v>0</v>
      </c>
      <c r="Q14" s="44"/>
    </row>
    <row r="15" spans="1:17">
      <c r="A15" s="13">
        <f t="shared" si="5"/>
        <v>46124</v>
      </c>
      <c r="B15" s="27">
        <v>4631</v>
      </c>
      <c r="C15" s="46">
        <v>4028</v>
      </c>
      <c r="D15" s="233">
        <v>5704</v>
      </c>
      <c r="E15" s="50">
        <v>5655</v>
      </c>
      <c r="F15" s="88">
        <f t="shared" si="0"/>
        <v>0.40392254220456802</v>
      </c>
      <c r="G15" s="2">
        <f t="shared" si="1"/>
        <v>0.23766666666666666</v>
      </c>
      <c r="H15" s="2">
        <f t="shared" si="2"/>
        <v>0.29708333333333331</v>
      </c>
      <c r="I15" s="43">
        <v>6.85</v>
      </c>
      <c r="J15" s="44">
        <v>7.12</v>
      </c>
      <c r="K15" s="88">
        <f t="shared" si="3"/>
        <v>3.9416058394160652E-2</v>
      </c>
      <c r="L15" s="40">
        <f t="shared" si="4"/>
        <v>0.80112359550561796</v>
      </c>
      <c r="M15" s="48">
        <v>1</v>
      </c>
      <c r="N15" s="48">
        <v>1</v>
      </c>
      <c r="O15" s="44">
        <v>0</v>
      </c>
      <c r="P15" s="44">
        <v>0</v>
      </c>
      <c r="Q15" s="44"/>
    </row>
    <row r="16" spans="1:17">
      <c r="A16" s="13">
        <f t="shared" si="5"/>
        <v>46125</v>
      </c>
      <c r="B16" s="27">
        <v>4631</v>
      </c>
      <c r="C16" s="46">
        <v>4028</v>
      </c>
      <c r="D16" s="233">
        <v>5590</v>
      </c>
      <c r="E16" s="50">
        <v>5580</v>
      </c>
      <c r="F16" s="88">
        <f t="shared" si="0"/>
        <v>0.38530287984111222</v>
      </c>
      <c r="G16" s="2">
        <f t="shared" si="1"/>
        <v>0.23291666666666666</v>
      </c>
      <c r="H16" s="2">
        <f t="shared" si="2"/>
        <v>0.29114583333333333</v>
      </c>
      <c r="I16" s="43">
        <v>6.85</v>
      </c>
      <c r="J16" s="44">
        <v>6.91</v>
      </c>
      <c r="K16" s="88">
        <f t="shared" si="3"/>
        <v>8.7591240875913145E-3</v>
      </c>
      <c r="L16" s="40">
        <f t="shared" si="4"/>
        <v>0.80897250361794504</v>
      </c>
      <c r="M16" s="48">
        <v>1</v>
      </c>
      <c r="N16" s="48">
        <v>1</v>
      </c>
      <c r="O16" s="44">
        <v>0</v>
      </c>
      <c r="P16" s="44">
        <v>0</v>
      </c>
      <c r="Q16" s="44"/>
    </row>
    <row r="17" spans="1:17">
      <c r="A17" s="13">
        <f t="shared" si="5"/>
        <v>46126</v>
      </c>
      <c r="B17" s="27">
        <v>4631</v>
      </c>
      <c r="C17" s="46">
        <v>4028</v>
      </c>
      <c r="D17" s="50">
        <v>5464</v>
      </c>
      <c r="E17" s="50">
        <v>5430</v>
      </c>
      <c r="F17" s="88">
        <f t="shared" si="0"/>
        <v>0.34806355511420062</v>
      </c>
      <c r="G17" s="2">
        <f t="shared" si="1"/>
        <v>0.22766666666666666</v>
      </c>
      <c r="H17" s="2">
        <f t="shared" si="2"/>
        <v>0.28458333333333335</v>
      </c>
      <c r="I17" s="43">
        <v>6.85</v>
      </c>
      <c r="J17" s="44">
        <v>7.22</v>
      </c>
      <c r="K17" s="88">
        <f t="shared" si="3"/>
        <v>5.4014598540146001E-2</v>
      </c>
      <c r="L17" s="40">
        <f t="shared" si="4"/>
        <v>0.756786703601108</v>
      </c>
      <c r="M17" s="48">
        <v>1</v>
      </c>
      <c r="N17" s="48">
        <v>0.96530000000000005</v>
      </c>
      <c r="O17" s="44">
        <v>839</v>
      </c>
      <c r="P17" s="44">
        <v>0</v>
      </c>
      <c r="Q17" s="44" t="s">
        <v>197</v>
      </c>
    </row>
    <row r="18" spans="1:17">
      <c r="A18" s="13">
        <f t="shared" si="5"/>
        <v>46127</v>
      </c>
      <c r="B18" s="27">
        <v>4631</v>
      </c>
      <c r="C18" s="46">
        <v>4028</v>
      </c>
      <c r="D18" s="233">
        <v>5312</v>
      </c>
      <c r="E18" s="50">
        <v>5310</v>
      </c>
      <c r="F18" s="88">
        <f t="shared" si="0"/>
        <v>0.31827209533267131</v>
      </c>
      <c r="G18" s="2">
        <f t="shared" si="1"/>
        <v>0.22133333333333333</v>
      </c>
      <c r="H18" s="2">
        <f t="shared" si="2"/>
        <v>0.27666666666666667</v>
      </c>
      <c r="I18" s="43">
        <v>6.85</v>
      </c>
      <c r="J18" s="44">
        <v>6.97</v>
      </c>
      <c r="K18" s="88">
        <f t="shared" si="3"/>
        <v>1.7518248175182497E-2</v>
      </c>
      <c r="L18" s="40">
        <f t="shared" si="4"/>
        <v>0.76212338593974172</v>
      </c>
      <c r="M18" s="48">
        <v>1</v>
      </c>
      <c r="N18" s="48">
        <v>0.96940000000000004</v>
      </c>
      <c r="O18" s="44">
        <v>689</v>
      </c>
      <c r="P18" s="44">
        <v>0</v>
      </c>
      <c r="Q18" s="44" t="s">
        <v>197</v>
      </c>
    </row>
    <row r="19" spans="1:17">
      <c r="A19" s="13">
        <f t="shared" si="5"/>
        <v>46128</v>
      </c>
      <c r="B19" s="27">
        <v>4631</v>
      </c>
      <c r="C19" s="46">
        <v>4028</v>
      </c>
      <c r="D19" s="233">
        <v>5549</v>
      </c>
      <c r="E19" s="50">
        <v>5550</v>
      </c>
      <c r="F19" s="88">
        <f t="shared" si="0"/>
        <v>0.37785501489572987</v>
      </c>
      <c r="G19" s="2">
        <f t="shared" si="1"/>
        <v>0.23120833333333332</v>
      </c>
      <c r="H19" s="2">
        <f t="shared" si="2"/>
        <v>0.28901041666666666</v>
      </c>
      <c r="I19" s="43">
        <v>6.85</v>
      </c>
      <c r="J19" s="44">
        <v>7.1</v>
      </c>
      <c r="K19" s="88">
        <f t="shared" si="3"/>
        <v>3.6496350364963508E-2</v>
      </c>
      <c r="L19" s="40">
        <f t="shared" si="4"/>
        <v>0.78154929577464793</v>
      </c>
      <c r="M19" s="48">
        <v>1</v>
      </c>
      <c r="N19" s="48">
        <v>0.97919999999999996</v>
      </c>
      <c r="O19" s="44">
        <v>476</v>
      </c>
      <c r="P19" s="44">
        <v>0</v>
      </c>
      <c r="Q19" s="44" t="s">
        <v>197</v>
      </c>
    </row>
    <row r="20" spans="1:17">
      <c r="A20" s="13">
        <f t="shared" si="5"/>
        <v>46129</v>
      </c>
      <c r="B20" s="27">
        <v>4631</v>
      </c>
      <c r="C20" s="46">
        <v>4028</v>
      </c>
      <c r="D20" s="233">
        <v>5554</v>
      </c>
      <c r="E20" s="50">
        <v>5550</v>
      </c>
      <c r="F20" s="88">
        <f t="shared" si="0"/>
        <v>0.37785501489572987</v>
      </c>
      <c r="G20" s="2">
        <f t="shared" si="1"/>
        <v>0.23141666666666666</v>
      </c>
      <c r="H20" s="2">
        <f t="shared" si="2"/>
        <v>0.28927083333333331</v>
      </c>
      <c r="I20" s="43">
        <v>6.85</v>
      </c>
      <c r="J20" s="44">
        <v>7.41</v>
      </c>
      <c r="K20" s="88">
        <f t="shared" si="3"/>
        <v>8.1751824817518332E-2</v>
      </c>
      <c r="L20" s="40">
        <f t="shared" si="4"/>
        <v>0.74952766531713899</v>
      </c>
      <c r="M20" s="48">
        <v>1</v>
      </c>
      <c r="N20" s="48">
        <v>0.95420000000000005</v>
      </c>
      <c r="O20" s="44">
        <v>593</v>
      </c>
      <c r="P20" s="44">
        <v>0</v>
      </c>
      <c r="Q20" s="44" t="s">
        <v>197</v>
      </c>
    </row>
    <row r="21" spans="1:17">
      <c r="A21" s="13">
        <f t="shared" si="5"/>
        <v>46130</v>
      </c>
      <c r="B21" s="27">
        <v>4631</v>
      </c>
      <c r="C21" s="46">
        <v>4028</v>
      </c>
      <c r="D21" s="233">
        <v>5756</v>
      </c>
      <c r="E21" s="50">
        <v>5715</v>
      </c>
      <c r="F21" s="88">
        <f t="shared" si="0"/>
        <v>0.41881827209533268</v>
      </c>
      <c r="G21" s="2">
        <f t="shared" si="1"/>
        <v>0.23983333333333334</v>
      </c>
      <c r="H21" s="2">
        <f t="shared" si="2"/>
        <v>0.29979166666666668</v>
      </c>
      <c r="I21" s="43">
        <v>6.85</v>
      </c>
      <c r="J21" s="44">
        <v>7.3</v>
      </c>
      <c r="K21" s="88">
        <f t="shared" si="3"/>
        <v>6.5693430656934337E-2</v>
      </c>
      <c r="L21" s="40">
        <f t="shared" si="4"/>
        <v>0.78849315068493153</v>
      </c>
      <c r="M21" s="48">
        <v>1</v>
      </c>
      <c r="N21" s="48">
        <v>0.98329999999999995</v>
      </c>
      <c r="O21" s="44">
        <v>398</v>
      </c>
      <c r="P21" s="44">
        <v>0</v>
      </c>
      <c r="Q21" s="44" t="s">
        <v>198</v>
      </c>
    </row>
    <row r="22" spans="1:17">
      <c r="A22" s="13">
        <f t="shared" si="5"/>
        <v>46131</v>
      </c>
      <c r="B22" s="27">
        <v>4631</v>
      </c>
      <c r="C22" s="46">
        <v>4028</v>
      </c>
      <c r="D22" s="233">
        <v>5677</v>
      </c>
      <c r="E22" s="50">
        <v>5640</v>
      </c>
      <c r="F22" s="88">
        <f t="shared" si="0"/>
        <v>0.40019860973187688</v>
      </c>
      <c r="G22" s="2">
        <f t="shared" si="1"/>
        <v>0.23654166666666668</v>
      </c>
      <c r="H22" s="2">
        <f t="shared" si="2"/>
        <v>0.29567708333333331</v>
      </c>
      <c r="I22" s="43">
        <v>6.85</v>
      </c>
      <c r="J22" s="44">
        <v>7.19</v>
      </c>
      <c r="K22" s="88">
        <f t="shared" si="3"/>
        <v>4.9635036496350475E-2</v>
      </c>
      <c r="L22" s="40">
        <f t="shared" si="4"/>
        <v>0.78956884561891516</v>
      </c>
      <c r="M22" s="48">
        <v>1</v>
      </c>
      <c r="N22" s="48">
        <v>0.96250000000000002</v>
      </c>
      <c r="O22" s="44">
        <v>904</v>
      </c>
      <c r="P22" s="44">
        <v>0</v>
      </c>
      <c r="Q22" s="44" t="s">
        <v>199</v>
      </c>
    </row>
    <row r="23" spans="1:17">
      <c r="A23" s="13">
        <f t="shared" si="5"/>
        <v>46132</v>
      </c>
      <c r="B23" s="27">
        <v>4631</v>
      </c>
      <c r="C23" s="46">
        <v>4028</v>
      </c>
      <c r="D23" s="233">
        <v>5527</v>
      </c>
      <c r="E23" s="50">
        <v>5505</v>
      </c>
      <c r="F23" s="88">
        <f t="shared" si="0"/>
        <v>0.36668321747765642</v>
      </c>
      <c r="G23" s="2">
        <f t="shared" si="1"/>
        <v>0.23029166666666667</v>
      </c>
      <c r="H23" s="2">
        <f t="shared" si="2"/>
        <v>0.28786458333333331</v>
      </c>
      <c r="I23" s="43">
        <v>6.85</v>
      </c>
      <c r="J23" s="44">
        <v>7.21</v>
      </c>
      <c r="K23" s="88">
        <f t="shared" si="3"/>
        <v>5.2554744525547495E-2</v>
      </c>
      <c r="L23" s="40">
        <f t="shared" si="4"/>
        <v>0.76657420249653263</v>
      </c>
      <c r="M23" s="48">
        <v>1</v>
      </c>
      <c r="N23" s="48">
        <v>0.96389999999999998</v>
      </c>
      <c r="O23" s="44">
        <v>887</v>
      </c>
      <c r="P23" s="44">
        <v>0</v>
      </c>
      <c r="Q23" s="44" t="s">
        <v>200</v>
      </c>
    </row>
    <row r="24" spans="1:17">
      <c r="A24" s="13">
        <f t="shared" si="5"/>
        <v>46133</v>
      </c>
      <c r="B24" s="27">
        <v>4631</v>
      </c>
      <c r="C24" s="46">
        <v>4028</v>
      </c>
      <c r="D24" s="233">
        <v>5633</v>
      </c>
      <c r="E24" s="50">
        <v>5610</v>
      </c>
      <c r="F24" s="88">
        <f t="shared" si="0"/>
        <v>0.39275074478649452</v>
      </c>
      <c r="G24" s="2">
        <f t="shared" si="1"/>
        <v>0.23470833333333332</v>
      </c>
      <c r="H24" s="2">
        <f t="shared" si="2"/>
        <v>0.29338541666666668</v>
      </c>
      <c r="I24" s="43">
        <v>6.85</v>
      </c>
      <c r="J24" s="44">
        <v>7.25</v>
      </c>
      <c r="K24" s="88">
        <f t="shared" si="3"/>
        <v>5.8394160583941659E-2</v>
      </c>
      <c r="L24" s="40">
        <f t="shared" si="4"/>
        <v>0.7769655172413793</v>
      </c>
      <c r="M24" s="48">
        <v>1</v>
      </c>
      <c r="N24" s="48">
        <v>0.96389999999999998</v>
      </c>
      <c r="O24" s="44">
        <v>920</v>
      </c>
      <c r="P24" s="44">
        <v>0</v>
      </c>
      <c r="Q24" s="44" t="s">
        <v>201</v>
      </c>
    </row>
    <row r="25" spans="1:17">
      <c r="A25" s="13">
        <f t="shared" si="5"/>
        <v>46134</v>
      </c>
      <c r="B25" s="27">
        <v>4631</v>
      </c>
      <c r="C25" s="46">
        <v>4028</v>
      </c>
      <c r="D25" s="233">
        <v>5426</v>
      </c>
      <c r="E25" s="50">
        <v>5370</v>
      </c>
      <c r="F25" s="88">
        <f t="shared" si="0"/>
        <v>0.33316782522343596</v>
      </c>
      <c r="G25" s="2">
        <f t="shared" si="1"/>
        <v>0.22608333333333333</v>
      </c>
      <c r="H25" s="2">
        <f t="shared" si="2"/>
        <v>0.28260416666666666</v>
      </c>
      <c r="I25" s="43">
        <v>6.85</v>
      </c>
      <c r="J25" s="44">
        <v>7.07</v>
      </c>
      <c r="K25" s="88">
        <f t="shared" si="3"/>
        <v>3.2116788321167981E-2</v>
      </c>
      <c r="L25" s="40">
        <f t="shared" si="4"/>
        <v>0.7674681753889675</v>
      </c>
      <c r="M25" s="48">
        <v>1</v>
      </c>
      <c r="N25" s="48">
        <v>0.94720000000000004</v>
      </c>
      <c r="O25" s="44">
        <v>1300</v>
      </c>
      <c r="P25" s="44">
        <v>0</v>
      </c>
      <c r="Q25" s="44" t="s">
        <v>200</v>
      </c>
    </row>
    <row r="26" spans="1:17">
      <c r="A26" s="13">
        <f t="shared" si="5"/>
        <v>46135</v>
      </c>
      <c r="B26" s="27">
        <v>4631</v>
      </c>
      <c r="C26" s="46">
        <v>4028</v>
      </c>
      <c r="D26" s="233">
        <v>5644</v>
      </c>
      <c r="E26" s="50">
        <v>5625</v>
      </c>
      <c r="F26" s="88">
        <f t="shared" si="0"/>
        <v>0.39647467725918573</v>
      </c>
      <c r="G26" s="2">
        <f t="shared" si="1"/>
        <v>0.23516666666666666</v>
      </c>
      <c r="H26" s="2">
        <f t="shared" si="2"/>
        <v>0.29395833333333332</v>
      </c>
      <c r="I26" s="43">
        <v>6.85</v>
      </c>
      <c r="J26" s="44">
        <v>7.37</v>
      </c>
      <c r="K26" s="88">
        <f t="shared" si="3"/>
        <v>7.5912408759124153E-2</v>
      </c>
      <c r="L26" s="40">
        <f t="shared" si="4"/>
        <v>0.7658073270013569</v>
      </c>
      <c r="M26" s="48">
        <v>1</v>
      </c>
      <c r="N26" s="48">
        <v>0.9819</v>
      </c>
      <c r="O26" s="44">
        <v>469</v>
      </c>
      <c r="P26" s="44">
        <v>0</v>
      </c>
      <c r="Q26" s="44" t="s">
        <v>199</v>
      </c>
    </row>
    <row r="27" spans="1:17">
      <c r="A27" s="13">
        <f t="shared" si="5"/>
        <v>46136</v>
      </c>
      <c r="B27" s="27">
        <v>4631</v>
      </c>
      <c r="C27" s="46">
        <v>4028</v>
      </c>
      <c r="D27" s="233">
        <v>5615</v>
      </c>
      <c r="E27" s="50">
        <v>5610</v>
      </c>
      <c r="F27" s="88">
        <f t="shared" si="0"/>
        <v>0.39275074478649452</v>
      </c>
      <c r="G27" s="2">
        <f t="shared" si="1"/>
        <v>0.23395833333333332</v>
      </c>
      <c r="H27" s="2">
        <f t="shared" si="2"/>
        <v>0.29244791666666664</v>
      </c>
      <c r="I27" s="43">
        <v>6.85</v>
      </c>
      <c r="J27" s="44">
        <v>7.25</v>
      </c>
      <c r="K27" s="88">
        <f t="shared" si="3"/>
        <v>5.8394160583941659E-2</v>
      </c>
      <c r="L27" s="40">
        <f t="shared" si="4"/>
        <v>0.7744827586206896</v>
      </c>
      <c r="M27" s="48">
        <v>1</v>
      </c>
      <c r="N27" s="48">
        <v>0.99</v>
      </c>
      <c r="O27" s="44">
        <v>257</v>
      </c>
      <c r="P27" s="44">
        <v>0</v>
      </c>
      <c r="Q27" s="44" t="s">
        <v>199</v>
      </c>
    </row>
    <row r="28" spans="1:17">
      <c r="A28" s="13">
        <f t="shared" si="5"/>
        <v>46137</v>
      </c>
      <c r="B28" s="27">
        <v>4631</v>
      </c>
      <c r="C28" s="46">
        <v>4028</v>
      </c>
      <c r="D28" s="233">
        <v>5623</v>
      </c>
      <c r="E28" s="50">
        <v>5625</v>
      </c>
      <c r="F28" s="88">
        <f t="shared" si="0"/>
        <v>0.39647467725918573</v>
      </c>
      <c r="G28" s="2">
        <f t="shared" si="1"/>
        <v>0.23429166666666668</v>
      </c>
      <c r="H28" s="2">
        <f t="shared" si="2"/>
        <v>0.29286458333333332</v>
      </c>
      <c r="I28" s="43">
        <v>6.85</v>
      </c>
      <c r="J28" s="6">
        <v>7.28</v>
      </c>
      <c r="K28" s="88">
        <f t="shared" si="3"/>
        <v>6.2773722627737324E-2</v>
      </c>
      <c r="L28" s="40">
        <f t="shared" si="4"/>
        <v>0.77239010989010992</v>
      </c>
      <c r="M28" s="25">
        <v>1</v>
      </c>
      <c r="N28" s="25">
        <v>1</v>
      </c>
      <c r="O28" s="6">
        <v>0</v>
      </c>
      <c r="P28" s="44">
        <v>0</v>
      </c>
      <c r="Q28" s="44"/>
    </row>
    <row r="29" spans="1:17">
      <c r="A29" s="13">
        <f t="shared" si="5"/>
        <v>46138</v>
      </c>
      <c r="B29" s="27">
        <v>4631</v>
      </c>
      <c r="C29" s="46">
        <v>4028</v>
      </c>
      <c r="D29" s="233">
        <v>5739</v>
      </c>
      <c r="E29" s="50">
        <v>5700</v>
      </c>
      <c r="F29" s="88">
        <f t="shared" si="0"/>
        <v>0.41509433962264153</v>
      </c>
      <c r="G29" s="2">
        <f t="shared" si="1"/>
        <v>0.239125</v>
      </c>
      <c r="H29" s="2">
        <f t="shared" si="2"/>
        <v>0.29890624999999998</v>
      </c>
      <c r="I29" s="43">
        <v>6.85</v>
      </c>
      <c r="J29" s="6">
        <v>7.11</v>
      </c>
      <c r="K29" s="88">
        <f t="shared" si="3"/>
        <v>3.7956204379562146E-2</v>
      </c>
      <c r="L29" s="40">
        <f t="shared" si="4"/>
        <v>0.80717299578059076</v>
      </c>
      <c r="M29" s="25">
        <v>1</v>
      </c>
      <c r="N29" s="25">
        <v>1</v>
      </c>
      <c r="O29" s="6">
        <v>0</v>
      </c>
      <c r="P29" s="44">
        <v>0</v>
      </c>
      <c r="Q29" s="44"/>
    </row>
    <row r="30" spans="1:17">
      <c r="A30" s="13">
        <f t="shared" si="5"/>
        <v>46139</v>
      </c>
      <c r="B30" s="27">
        <v>4631</v>
      </c>
      <c r="C30" s="46">
        <v>4028</v>
      </c>
      <c r="D30" s="50"/>
      <c r="E30" s="50"/>
      <c r="F30" s="88">
        <f t="shared" si="0"/>
        <v>0</v>
      </c>
      <c r="G30" s="2">
        <f t="shared" si="1"/>
        <v>0</v>
      </c>
      <c r="H30" s="2">
        <f t="shared" si="2"/>
        <v>0</v>
      </c>
      <c r="I30" s="43">
        <v>6.85</v>
      </c>
      <c r="J30" s="6"/>
      <c r="K30" s="88">
        <f t="shared" si="3"/>
        <v>0</v>
      </c>
      <c r="L30" s="40" t="e">
        <f t="shared" si="4"/>
        <v>#DIV/0!</v>
      </c>
      <c r="M30" s="6"/>
      <c r="N30" s="6"/>
      <c r="O30" s="6"/>
      <c r="P30" s="6"/>
      <c r="Q30" s="44"/>
    </row>
    <row r="31" spans="1:17">
      <c r="A31" s="13">
        <f t="shared" si="5"/>
        <v>46140</v>
      </c>
      <c r="B31" s="27">
        <v>4631</v>
      </c>
      <c r="C31" s="46">
        <v>4028</v>
      </c>
      <c r="D31" s="50"/>
      <c r="E31" s="50"/>
      <c r="F31" s="88">
        <f t="shared" si="0"/>
        <v>0</v>
      </c>
      <c r="G31" s="2">
        <f t="shared" si="1"/>
        <v>0</v>
      </c>
      <c r="H31" s="2">
        <f t="shared" si="2"/>
        <v>0</v>
      </c>
      <c r="I31" s="43">
        <v>6.85</v>
      </c>
      <c r="J31" s="6"/>
      <c r="K31" s="88">
        <f t="shared" si="3"/>
        <v>0</v>
      </c>
      <c r="L31" s="40" t="e">
        <f t="shared" si="4"/>
        <v>#DIV/0!</v>
      </c>
      <c r="M31" s="6"/>
      <c r="N31" s="6"/>
      <c r="O31" s="6"/>
      <c r="P31" s="6"/>
      <c r="Q31" s="44"/>
    </row>
    <row r="32" spans="1:17">
      <c r="A32" s="13">
        <f t="shared" si="5"/>
        <v>46141</v>
      </c>
      <c r="B32" s="27">
        <v>4631</v>
      </c>
      <c r="C32" s="46">
        <v>4028</v>
      </c>
      <c r="D32" s="50"/>
      <c r="E32" s="50"/>
      <c r="F32" s="88">
        <f t="shared" si="0"/>
        <v>0</v>
      </c>
      <c r="G32" s="2">
        <f t="shared" si="1"/>
        <v>0</v>
      </c>
      <c r="H32" s="2">
        <f t="shared" si="2"/>
        <v>0</v>
      </c>
      <c r="I32" s="43">
        <v>6.85</v>
      </c>
      <c r="J32" s="6"/>
      <c r="K32" s="88">
        <f t="shared" si="3"/>
        <v>0</v>
      </c>
      <c r="L32" s="40" t="e">
        <f t="shared" si="4"/>
        <v>#DIV/0!</v>
      </c>
      <c r="M32" s="6"/>
      <c r="N32" s="6"/>
      <c r="O32" s="6"/>
      <c r="P32" s="6"/>
      <c r="Q32" s="44"/>
    </row>
    <row r="33" spans="1:17">
      <c r="A33" s="13">
        <f t="shared" si="5"/>
        <v>46142</v>
      </c>
      <c r="B33" s="27">
        <v>4631</v>
      </c>
      <c r="C33" s="46">
        <v>4028</v>
      </c>
      <c r="D33" s="50"/>
      <c r="E33" s="50"/>
      <c r="F33" s="88">
        <f t="shared" si="0"/>
        <v>0</v>
      </c>
      <c r="G33" s="2">
        <f t="shared" si="1"/>
        <v>0</v>
      </c>
      <c r="H33" s="2">
        <f t="shared" si="2"/>
        <v>0</v>
      </c>
      <c r="I33" s="43">
        <v>6.85</v>
      </c>
      <c r="J33" s="6"/>
      <c r="K33" s="88">
        <f t="shared" si="3"/>
        <v>0</v>
      </c>
      <c r="L33" s="40" t="e">
        <f t="shared" si="4"/>
        <v>#DIV/0!</v>
      </c>
      <c r="M33" s="6"/>
      <c r="N33" s="6"/>
      <c r="O33" s="6"/>
      <c r="P33" s="6"/>
      <c r="Q33" s="44"/>
    </row>
    <row r="34" spans="1:17">
      <c r="A34" s="349">
        <v>46113</v>
      </c>
      <c r="B34" s="89">
        <f>SUM(B4:B33)</f>
        <v>138930</v>
      </c>
      <c r="C34" s="89">
        <f>SUM(C4:C33)</f>
        <v>120840</v>
      </c>
      <c r="D34" s="89">
        <f>SUM(D4:D33)</f>
        <v>138578</v>
      </c>
      <c r="E34" s="89">
        <f>SUM(E4:E33)</f>
        <v>138075</v>
      </c>
      <c r="F34" s="160">
        <f t="shared" si="0"/>
        <v>0.14262661370407151</v>
      </c>
      <c r="G34" s="90">
        <f>AVERAGE(G4:G33)</f>
        <v>0.19246944444444444</v>
      </c>
      <c r="H34" s="90">
        <f>AVERAGE(H4:H33)</f>
        <v>0.24058680555555551</v>
      </c>
      <c r="I34" s="89">
        <f>SUM(I4:I33)</f>
        <v>205.49999999999989</v>
      </c>
      <c r="J34" s="89">
        <f>SUM(J4:J33)</f>
        <v>180.56000000000003</v>
      </c>
      <c r="K34" s="160">
        <f t="shared" si="3"/>
        <v>-0.12136253041362467</v>
      </c>
      <c r="L34" s="161">
        <f t="shared" si="4"/>
        <v>0.7674900310146211</v>
      </c>
      <c r="M34" s="90">
        <f>AVERAGE(M4:M33)</f>
        <v>1</v>
      </c>
      <c r="N34" s="90">
        <f>AVERAGE(N4:N33)</f>
        <v>0.95355384615384609</v>
      </c>
      <c r="O34" s="89">
        <f>SUM(O4:O33)</f>
        <v>24137</v>
      </c>
      <c r="P34" s="89">
        <f>SUM(P4:P33)</f>
        <v>0</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50"/>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50"/>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f ca="1">AVERAGE(N35:N66)</f>
        <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4FE0-FB12-4C54-BF2D-0DDDF96C6DA7}">
  <dimension ref="A1:Q66"/>
  <sheetViews>
    <sheetView workbookViewId="0">
      <pane xSplit="2" ySplit="3" topLeftCell="C52" activePane="bottomRight" state="frozen"/>
      <selection pane="topRight"/>
      <selection pane="bottomLeft"/>
      <selection pane="bottomRight" activeCell="I67" sqref="I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202</v>
      </c>
      <c r="B1" s="406"/>
      <c r="C1" s="406"/>
      <c r="D1" s="406"/>
      <c r="E1" s="406"/>
      <c r="F1" s="406"/>
      <c r="G1" s="406"/>
      <c r="H1" s="406"/>
      <c r="I1" s="406"/>
      <c r="J1" s="406"/>
      <c r="K1" s="406"/>
      <c r="L1" s="406"/>
      <c r="M1" s="406"/>
      <c r="N1" s="406"/>
      <c r="O1" s="406"/>
      <c r="P1" s="406"/>
      <c r="Q1" s="406"/>
    </row>
    <row r="2" spans="1:17" ht="18.5">
      <c r="A2" s="7">
        <v>46113</v>
      </c>
      <c r="B2" s="407" t="s">
        <v>172</v>
      </c>
      <c r="C2" s="408"/>
      <c r="D2" s="8">
        <v>2900</v>
      </c>
      <c r="E2" s="407" t="s">
        <v>173</v>
      </c>
      <c r="F2" s="407"/>
      <c r="G2" s="408"/>
      <c r="H2" s="8">
        <v>2200</v>
      </c>
      <c r="I2" s="409" t="s">
        <v>174</v>
      </c>
      <c r="J2" s="410"/>
      <c r="K2" s="85">
        <v>44146</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15593</v>
      </c>
      <c r="C4" s="39">
        <v>13159</v>
      </c>
      <c r="D4" s="232">
        <v>14660</v>
      </c>
      <c r="E4" s="49">
        <v>14440</v>
      </c>
      <c r="F4" s="88">
        <f t="shared" ref="F4:F35" si="0">(IF(ISBLANK(E4),0,E4-C4))/C4</f>
        <v>9.7347822782886242E-2</v>
      </c>
      <c r="G4" s="2">
        <f t="shared" ref="G4:G33" si="1">D4/($D$2*24)</f>
        <v>0.21063218390804597</v>
      </c>
      <c r="H4" s="2">
        <f t="shared" ref="H4:H33" si="2">D4/($H$2*24)</f>
        <v>0.27765151515151515</v>
      </c>
      <c r="I4" s="36">
        <v>6.84</v>
      </c>
      <c r="J4" s="37">
        <v>6.78</v>
      </c>
      <c r="K4" s="88">
        <f t="shared" ref="K4:K35" si="3">(IF(ISBLANK(J4),0,J4-I4))/I4</f>
        <v>-8.7719298245613458E-3</v>
      </c>
      <c r="L4" s="40">
        <f t="shared" ref="L4:L35" si="4">D4/($D$2*J4)</f>
        <v>0.74560065100193262</v>
      </c>
      <c r="M4" s="41">
        <v>1</v>
      </c>
      <c r="N4" s="41">
        <v>0.94440000000000002</v>
      </c>
      <c r="O4" s="37">
        <v>1427</v>
      </c>
      <c r="P4" s="37">
        <v>0</v>
      </c>
      <c r="Q4" s="37" t="s">
        <v>190</v>
      </c>
    </row>
    <row r="5" spans="1:17">
      <c r="A5" s="13">
        <f t="shared" ref="A5:A33" si="5">A4+1</f>
        <v>46114</v>
      </c>
      <c r="B5" s="27">
        <v>15593</v>
      </c>
      <c r="C5" s="46">
        <v>13159</v>
      </c>
      <c r="D5" s="50">
        <v>14649</v>
      </c>
      <c r="E5" s="50">
        <v>14480</v>
      </c>
      <c r="F5" s="88">
        <f t="shared" si="0"/>
        <v>0.10038756744433468</v>
      </c>
      <c r="G5" s="2">
        <f t="shared" si="1"/>
        <v>0.21047413793103448</v>
      </c>
      <c r="H5" s="2">
        <f t="shared" si="2"/>
        <v>0.27744318181818184</v>
      </c>
      <c r="I5" s="43">
        <v>6.84</v>
      </c>
      <c r="J5" s="44">
        <v>6.51</v>
      </c>
      <c r="K5" s="88">
        <f t="shared" si="3"/>
        <v>-4.824561403508773E-2</v>
      </c>
      <c r="L5" s="40">
        <f t="shared" si="4"/>
        <v>0.77594152232639446</v>
      </c>
      <c r="M5" s="48">
        <v>1</v>
      </c>
      <c r="N5" s="48">
        <v>0.96919999999999995</v>
      </c>
      <c r="O5" s="44">
        <v>773</v>
      </c>
      <c r="P5" s="44">
        <v>0</v>
      </c>
      <c r="Q5" s="44" t="s">
        <v>191</v>
      </c>
    </row>
    <row r="6" spans="1:17">
      <c r="A6" s="13">
        <f t="shared" si="5"/>
        <v>46115</v>
      </c>
      <c r="B6" s="27">
        <v>15593</v>
      </c>
      <c r="C6" s="46">
        <v>13159</v>
      </c>
      <c r="D6" s="233">
        <v>11115</v>
      </c>
      <c r="E6" s="50">
        <v>11080</v>
      </c>
      <c r="F6" s="88">
        <f t="shared" si="0"/>
        <v>-0.15799072877878259</v>
      </c>
      <c r="G6" s="2">
        <f t="shared" si="1"/>
        <v>0.15969827586206897</v>
      </c>
      <c r="H6" s="2">
        <f t="shared" si="2"/>
        <v>0.21051136363636364</v>
      </c>
      <c r="I6" s="43">
        <v>6.84</v>
      </c>
      <c r="J6" s="44">
        <v>5.0999999999999996</v>
      </c>
      <c r="K6" s="88">
        <f t="shared" si="3"/>
        <v>-0.25438596491228072</v>
      </c>
      <c r="L6" s="40">
        <f t="shared" si="4"/>
        <v>0.75152129817444224</v>
      </c>
      <c r="M6" s="48">
        <v>1</v>
      </c>
      <c r="N6" s="48">
        <v>1</v>
      </c>
      <c r="O6" s="44">
        <v>0</v>
      </c>
      <c r="P6" s="44">
        <v>0</v>
      </c>
      <c r="Q6" s="44"/>
    </row>
    <row r="7" spans="1:17">
      <c r="A7" s="13">
        <f t="shared" si="5"/>
        <v>46116</v>
      </c>
      <c r="B7" s="27">
        <v>15593</v>
      </c>
      <c r="C7" s="46">
        <v>13159</v>
      </c>
      <c r="D7" s="233">
        <v>17322</v>
      </c>
      <c r="E7" s="50">
        <v>17240</v>
      </c>
      <c r="F7" s="88">
        <f t="shared" si="0"/>
        <v>0.31012994908427693</v>
      </c>
      <c r="G7" s="2">
        <f t="shared" si="1"/>
        <v>0.24887931034482758</v>
      </c>
      <c r="H7" s="2">
        <f t="shared" si="2"/>
        <v>0.32806818181818181</v>
      </c>
      <c r="I7" s="43">
        <v>6.84</v>
      </c>
      <c r="J7" s="44">
        <v>7.65</v>
      </c>
      <c r="K7" s="88">
        <f t="shared" si="3"/>
        <v>0.11842105263157902</v>
      </c>
      <c r="L7" s="40">
        <f t="shared" si="4"/>
        <v>0.7807978363759297</v>
      </c>
      <c r="M7" s="48">
        <v>1</v>
      </c>
      <c r="N7" s="48">
        <v>1</v>
      </c>
      <c r="O7" s="44">
        <v>0</v>
      </c>
      <c r="P7" s="44">
        <v>0</v>
      </c>
      <c r="Q7" s="44"/>
    </row>
    <row r="8" spans="1:17">
      <c r="A8" s="13">
        <f t="shared" si="5"/>
        <v>46117</v>
      </c>
      <c r="B8" s="27">
        <v>15593</v>
      </c>
      <c r="C8" s="46">
        <v>13159</v>
      </c>
      <c r="D8" s="233">
        <v>15408</v>
      </c>
      <c r="E8" s="50">
        <v>15240</v>
      </c>
      <c r="F8" s="88">
        <f t="shared" si="0"/>
        <v>0.15814271601185501</v>
      </c>
      <c r="G8" s="2">
        <f t="shared" si="1"/>
        <v>0.22137931034482758</v>
      </c>
      <c r="H8" s="2">
        <f t="shared" si="2"/>
        <v>0.29181818181818181</v>
      </c>
      <c r="I8" s="43">
        <v>6.84</v>
      </c>
      <c r="J8" s="44">
        <v>6.89</v>
      </c>
      <c r="K8" s="88">
        <f t="shared" si="3"/>
        <v>7.3099415204678107E-3</v>
      </c>
      <c r="L8" s="40">
        <f t="shared" si="4"/>
        <v>0.77113257594714979</v>
      </c>
      <c r="M8" s="48">
        <v>1</v>
      </c>
      <c r="N8" s="48">
        <v>0.89090000000000003</v>
      </c>
      <c r="O8" s="44">
        <v>1550</v>
      </c>
      <c r="P8" s="44">
        <v>0</v>
      </c>
      <c r="Q8" s="44" t="s">
        <v>192</v>
      </c>
    </row>
    <row r="9" spans="1:17">
      <c r="A9" s="13">
        <f t="shared" si="5"/>
        <v>46118</v>
      </c>
      <c r="B9" s="27">
        <v>15593</v>
      </c>
      <c r="C9" s="46">
        <v>13159</v>
      </c>
      <c r="D9" s="233">
        <v>16129</v>
      </c>
      <c r="E9" s="50">
        <v>15840</v>
      </c>
      <c r="F9" s="88">
        <f t="shared" si="0"/>
        <v>0.20373888593358158</v>
      </c>
      <c r="G9" s="2">
        <f t="shared" si="1"/>
        <v>0.23173850574712643</v>
      </c>
      <c r="H9" s="2">
        <f t="shared" si="2"/>
        <v>0.30547348484848486</v>
      </c>
      <c r="I9" s="43">
        <v>6.84</v>
      </c>
      <c r="J9" s="44">
        <v>7.18</v>
      </c>
      <c r="K9" s="88">
        <f t="shared" si="3"/>
        <v>4.970760233918127E-2</v>
      </c>
      <c r="L9" s="40">
        <f t="shared" si="4"/>
        <v>0.77461338968398807</v>
      </c>
      <c r="M9" s="48">
        <v>1</v>
      </c>
      <c r="N9" s="48">
        <v>0.90490000000000004</v>
      </c>
      <c r="O9" s="44">
        <v>1450</v>
      </c>
      <c r="P9" s="44">
        <v>0</v>
      </c>
      <c r="Q9" s="44" t="s">
        <v>192</v>
      </c>
    </row>
    <row r="10" spans="1:17">
      <c r="A10" s="13">
        <f t="shared" si="5"/>
        <v>46119</v>
      </c>
      <c r="B10" s="27">
        <v>15593</v>
      </c>
      <c r="C10" s="46">
        <v>13159</v>
      </c>
      <c r="D10" s="233">
        <v>9674</v>
      </c>
      <c r="E10" s="50">
        <v>9600</v>
      </c>
      <c r="F10" s="88">
        <f t="shared" si="0"/>
        <v>-0.27046128125237479</v>
      </c>
      <c r="G10" s="2">
        <f t="shared" si="1"/>
        <v>0.13899425287356321</v>
      </c>
      <c r="H10" s="2">
        <f t="shared" si="2"/>
        <v>0.18321969696969698</v>
      </c>
      <c r="I10" s="43">
        <v>6.84</v>
      </c>
      <c r="J10" s="44">
        <v>5.24</v>
      </c>
      <c r="K10" s="88">
        <f t="shared" si="3"/>
        <v>-0.23391812865497072</v>
      </c>
      <c r="L10" s="40">
        <f t="shared" si="4"/>
        <v>0.63661489865754151</v>
      </c>
      <c r="M10" s="48">
        <v>1</v>
      </c>
      <c r="N10" s="48">
        <v>0.80559999999999998</v>
      </c>
      <c r="O10" s="44">
        <v>2932</v>
      </c>
      <c r="P10" s="44">
        <v>0</v>
      </c>
      <c r="Q10" s="44" t="s">
        <v>193</v>
      </c>
    </row>
    <row r="11" spans="1:17">
      <c r="A11" s="13">
        <f t="shared" si="5"/>
        <v>46120</v>
      </c>
      <c r="B11" s="27">
        <v>15593</v>
      </c>
      <c r="C11" s="46">
        <v>13159</v>
      </c>
      <c r="D11" s="233">
        <v>10865</v>
      </c>
      <c r="E11" s="50">
        <v>10560</v>
      </c>
      <c r="F11" s="88">
        <f t="shared" si="0"/>
        <v>-0.19750740937761227</v>
      </c>
      <c r="G11" s="2">
        <f t="shared" si="1"/>
        <v>0.15610632183908046</v>
      </c>
      <c r="H11" s="2">
        <f t="shared" si="2"/>
        <v>0.20577651515151515</v>
      </c>
      <c r="I11" s="43">
        <v>6.84</v>
      </c>
      <c r="J11" s="44">
        <v>6.5</v>
      </c>
      <c r="K11" s="88">
        <f t="shared" si="3"/>
        <v>-4.970760233918127E-2</v>
      </c>
      <c r="L11" s="40">
        <f t="shared" si="4"/>
        <v>0.57639257294429713</v>
      </c>
      <c r="M11" s="48">
        <v>1</v>
      </c>
      <c r="N11" s="48">
        <v>0.7611</v>
      </c>
      <c r="O11" s="44">
        <v>4793</v>
      </c>
      <c r="P11" s="44">
        <v>0</v>
      </c>
      <c r="Q11" s="44" t="s">
        <v>194</v>
      </c>
    </row>
    <row r="12" spans="1:17">
      <c r="A12" s="13">
        <f t="shared" si="5"/>
        <v>46121</v>
      </c>
      <c r="B12" s="27">
        <v>15593</v>
      </c>
      <c r="C12" s="46">
        <v>13159</v>
      </c>
      <c r="D12" s="233">
        <v>14574</v>
      </c>
      <c r="E12" s="50">
        <v>14200</v>
      </c>
      <c r="F12" s="88">
        <f t="shared" si="0"/>
        <v>7.9109354814195607E-2</v>
      </c>
      <c r="G12" s="2">
        <f t="shared" si="1"/>
        <v>0.20939655172413793</v>
      </c>
      <c r="H12" s="2">
        <f t="shared" si="2"/>
        <v>0.27602272727272725</v>
      </c>
      <c r="I12" s="43">
        <v>6.84</v>
      </c>
      <c r="J12" s="44">
        <v>6.6</v>
      </c>
      <c r="K12" s="88">
        <f t="shared" si="3"/>
        <v>-3.5087719298245647E-2</v>
      </c>
      <c r="L12" s="40">
        <f t="shared" si="4"/>
        <v>0.76144200626959246</v>
      </c>
      <c r="M12" s="48">
        <v>1</v>
      </c>
      <c r="N12" s="48">
        <v>0.90690000000000004</v>
      </c>
      <c r="O12" s="44">
        <v>2295</v>
      </c>
      <c r="P12" s="44">
        <v>0</v>
      </c>
      <c r="Q12" s="44" t="s">
        <v>195</v>
      </c>
    </row>
    <row r="13" spans="1:17">
      <c r="A13" s="13">
        <f t="shared" si="5"/>
        <v>46122</v>
      </c>
      <c r="B13" s="27">
        <v>15593</v>
      </c>
      <c r="C13" s="46">
        <v>13159</v>
      </c>
      <c r="D13" s="233">
        <v>15195</v>
      </c>
      <c r="E13" s="50">
        <v>14960</v>
      </c>
      <c r="F13" s="88">
        <f t="shared" si="0"/>
        <v>0.13686450338171594</v>
      </c>
      <c r="G13" s="2">
        <f t="shared" si="1"/>
        <v>0.21831896551724139</v>
      </c>
      <c r="H13" s="2">
        <f t="shared" si="2"/>
        <v>0.28778409090909091</v>
      </c>
      <c r="I13" s="43">
        <v>6.84</v>
      </c>
      <c r="J13" s="44">
        <v>7.17</v>
      </c>
      <c r="K13" s="88">
        <f t="shared" si="3"/>
        <v>4.824561403508773E-2</v>
      </c>
      <c r="L13" s="40">
        <f t="shared" si="4"/>
        <v>0.73077477997402973</v>
      </c>
      <c r="M13" s="48">
        <v>1</v>
      </c>
      <c r="N13" s="48">
        <v>0.9486</v>
      </c>
      <c r="O13" s="44">
        <v>1185</v>
      </c>
      <c r="P13" s="44">
        <v>0</v>
      </c>
      <c r="Q13" s="44" t="s">
        <v>196</v>
      </c>
    </row>
    <row r="14" spans="1:17">
      <c r="A14" s="13">
        <f t="shared" si="5"/>
        <v>46123</v>
      </c>
      <c r="B14" s="27">
        <v>15593</v>
      </c>
      <c r="C14" s="46">
        <v>13159</v>
      </c>
      <c r="D14" s="233">
        <v>16159</v>
      </c>
      <c r="E14" s="50">
        <v>16000</v>
      </c>
      <c r="F14" s="88">
        <f t="shared" si="0"/>
        <v>0.21589786457937532</v>
      </c>
      <c r="G14" s="2">
        <f t="shared" si="1"/>
        <v>0.23216954022988506</v>
      </c>
      <c r="H14" s="2">
        <f t="shared" si="2"/>
        <v>0.30604166666666666</v>
      </c>
      <c r="I14" s="43">
        <v>6.84</v>
      </c>
      <c r="J14" s="44">
        <v>7.18</v>
      </c>
      <c r="K14" s="88">
        <f t="shared" si="3"/>
        <v>4.970760233918127E-2</v>
      </c>
      <c r="L14" s="40">
        <f t="shared" si="4"/>
        <v>0.77605417347036787</v>
      </c>
      <c r="M14" s="48">
        <v>1</v>
      </c>
      <c r="N14" s="48">
        <v>1</v>
      </c>
      <c r="O14" s="44">
        <v>0</v>
      </c>
      <c r="P14" s="44">
        <v>0</v>
      </c>
      <c r="Q14" s="44"/>
    </row>
    <row r="15" spans="1:17">
      <c r="A15" s="13">
        <f t="shared" si="5"/>
        <v>46124</v>
      </c>
      <c r="B15" s="27">
        <v>15593</v>
      </c>
      <c r="C15" s="46">
        <v>13159</v>
      </c>
      <c r="D15" s="233">
        <v>16572</v>
      </c>
      <c r="E15" s="50">
        <v>16280</v>
      </c>
      <c r="F15" s="88">
        <f t="shared" si="0"/>
        <v>0.23717607720951439</v>
      </c>
      <c r="G15" s="2">
        <f t="shared" si="1"/>
        <v>0.23810344827586208</v>
      </c>
      <c r="H15" s="2">
        <f t="shared" si="2"/>
        <v>0.31386363636363634</v>
      </c>
      <c r="I15" s="43">
        <v>6.84</v>
      </c>
      <c r="J15" s="44">
        <v>7.12</v>
      </c>
      <c r="K15" s="88">
        <f t="shared" si="3"/>
        <v>4.0935672514619922E-2</v>
      </c>
      <c r="L15" s="40">
        <f t="shared" si="4"/>
        <v>0.80259589306470358</v>
      </c>
      <c r="M15" s="48">
        <v>1</v>
      </c>
      <c r="N15" s="48">
        <v>1</v>
      </c>
      <c r="O15" s="44">
        <v>0</v>
      </c>
      <c r="P15" s="44">
        <v>0</v>
      </c>
      <c r="Q15" s="44"/>
    </row>
    <row r="16" spans="1:17">
      <c r="A16" s="13">
        <f t="shared" si="5"/>
        <v>46125</v>
      </c>
      <c r="B16" s="27">
        <v>15593</v>
      </c>
      <c r="C16" s="46">
        <v>13159</v>
      </c>
      <c r="D16" s="233">
        <v>16323</v>
      </c>
      <c r="E16" s="50">
        <v>16080</v>
      </c>
      <c r="F16" s="88">
        <f t="shared" si="0"/>
        <v>0.22197735390227222</v>
      </c>
      <c r="G16" s="2">
        <f t="shared" si="1"/>
        <v>0.23452586206896553</v>
      </c>
      <c r="H16" s="2">
        <f t="shared" si="2"/>
        <v>0.30914772727272727</v>
      </c>
      <c r="I16" s="43">
        <v>6.84</v>
      </c>
      <c r="J16" s="44">
        <v>6.91</v>
      </c>
      <c r="K16" s="88">
        <f t="shared" si="3"/>
        <v>1.0233918128655012E-2</v>
      </c>
      <c r="L16" s="40">
        <f t="shared" si="4"/>
        <v>0.81456160487050255</v>
      </c>
      <c r="M16" s="48">
        <v>1</v>
      </c>
      <c r="N16" s="48">
        <v>1</v>
      </c>
      <c r="O16" s="44">
        <v>0</v>
      </c>
      <c r="P16" s="44">
        <v>0</v>
      </c>
      <c r="Q16" s="44"/>
    </row>
    <row r="17" spans="1:17">
      <c r="A17" s="13">
        <f t="shared" si="5"/>
        <v>46126</v>
      </c>
      <c r="B17" s="27">
        <v>15593</v>
      </c>
      <c r="C17" s="46">
        <v>13159</v>
      </c>
      <c r="D17" s="50">
        <v>16277</v>
      </c>
      <c r="E17" s="50">
        <v>16080</v>
      </c>
      <c r="F17" s="88">
        <f t="shared" si="0"/>
        <v>0.22197735390227222</v>
      </c>
      <c r="G17" s="2">
        <f t="shared" si="1"/>
        <v>0.23386494252873563</v>
      </c>
      <c r="H17" s="2">
        <f t="shared" si="2"/>
        <v>0.30827651515151516</v>
      </c>
      <c r="I17" s="43">
        <v>6.84</v>
      </c>
      <c r="J17" s="44">
        <v>7.22</v>
      </c>
      <c r="K17" s="88">
        <f t="shared" si="3"/>
        <v>5.5555555555555539E-2</v>
      </c>
      <c r="L17" s="40">
        <f t="shared" si="4"/>
        <v>0.77739039067723759</v>
      </c>
      <c r="M17" s="48">
        <v>1</v>
      </c>
      <c r="N17" s="48">
        <v>0.96530000000000005</v>
      </c>
      <c r="O17" s="44">
        <v>839</v>
      </c>
      <c r="P17" s="44">
        <v>0</v>
      </c>
      <c r="Q17" s="44" t="s">
        <v>197</v>
      </c>
    </row>
    <row r="18" spans="1:17">
      <c r="A18" s="13">
        <f t="shared" si="5"/>
        <v>46127</v>
      </c>
      <c r="B18" s="27">
        <v>15593</v>
      </c>
      <c r="C18" s="46">
        <v>13159</v>
      </c>
      <c r="D18" s="233">
        <v>15834</v>
      </c>
      <c r="E18" s="50">
        <v>15560</v>
      </c>
      <c r="F18" s="88">
        <f t="shared" si="0"/>
        <v>0.18246067330344251</v>
      </c>
      <c r="G18" s="2">
        <f t="shared" si="1"/>
        <v>0.22750000000000001</v>
      </c>
      <c r="H18" s="2">
        <f t="shared" si="2"/>
        <v>0.29988636363636362</v>
      </c>
      <c r="I18" s="43">
        <v>6.84</v>
      </c>
      <c r="J18" s="44">
        <v>6.97</v>
      </c>
      <c r="K18" s="88">
        <f t="shared" si="3"/>
        <v>1.9005847953216359E-2</v>
      </c>
      <c r="L18" s="40">
        <f t="shared" si="4"/>
        <v>0.78335724533715922</v>
      </c>
      <c r="M18" s="48">
        <v>1</v>
      </c>
      <c r="N18" s="48">
        <v>0.96940000000000004</v>
      </c>
      <c r="O18" s="44">
        <v>689</v>
      </c>
      <c r="P18" s="44">
        <v>0</v>
      </c>
      <c r="Q18" s="44" t="s">
        <v>197</v>
      </c>
    </row>
    <row r="19" spans="1:17">
      <c r="A19" s="13">
        <f t="shared" si="5"/>
        <v>46128</v>
      </c>
      <c r="B19" s="27">
        <v>15593</v>
      </c>
      <c r="C19" s="46">
        <v>13159</v>
      </c>
      <c r="D19" s="233">
        <v>16538</v>
      </c>
      <c r="E19" s="50">
        <v>16280</v>
      </c>
      <c r="F19" s="88">
        <f t="shared" si="0"/>
        <v>0.23717607720951439</v>
      </c>
      <c r="G19" s="2">
        <f t="shared" si="1"/>
        <v>0.23761494252873563</v>
      </c>
      <c r="H19" s="2">
        <f t="shared" si="2"/>
        <v>0.31321969696969698</v>
      </c>
      <c r="I19" s="43">
        <v>6.84</v>
      </c>
      <c r="J19" s="44">
        <v>7.1</v>
      </c>
      <c r="K19" s="88">
        <f t="shared" si="3"/>
        <v>3.8011695906432719E-2</v>
      </c>
      <c r="L19" s="40">
        <f t="shared" si="4"/>
        <v>0.80320543953375423</v>
      </c>
      <c r="M19" s="48">
        <v>1</v>
      </c>
      <c r="N19" s="48">
        <v>0.97919999999999996</v>
      </c>
      <c r="O19" s="44">
        <v>476</v>
      </c>
      <c r="P19" s="44">
        <v>0</v>
      </c>
      <c r="Q19" s="44" t="s">
        <v>197</v>
      </c>
    </row>
    <row r="20" spans="1:17">
      <c r="A20" s="13">
        <f t="shared" si="5"/>
        <v>46129</v>
      </c>
      <c r="B20" s="27">
        <v>15593</v>
      </c>
      <c r="C20" s="46">
        <v>13159</v>
      </c>
      <c r="D20" s="233">
        <v>15940</v>
      </c>
      <c r="E20" s="50">
        <v>15720</v>
      </c>
      <c r="F20" s="88">
        <f t="shared" si="0"/>
        <v>0.19461965194923628</v>
      </c>
      <c r="G20" s="2">
        <f t="shared" si="1"/>
        <v>0.22902298850574712</v>
      </c>
      <c r="H20" s="2">
        <f t="shared" si="2"/>
        <v>0.30189393939393938</v>
      </c>
      <c r="I20" s="43">
        <v>6.84</v>
      </c>
      <c r="J20" s="44">
        <v>7.41</v>
      </c>
      <c r="K20" s="88">
        <f t="shared" si="3"/>
        <v>8.333333333333337E-2</v>
      </c>
      <c r="L20" s="40">
        <f t="shared" si="4"/>
        <v>0.74177486155707573</v>
      </c>
      <c r="M20" s="48">
        <v>1</v>
      </c>
      <c r="N20" s="48">
        <v>0.95420000000000005</v>
      </c>
      <c r="O20" s="44">
        <v>593</v>
      </c>
      <c r="P20" s="44">
        <v>0</v>
      </c>
      <c r="Q20" s="44" t="s">
        <v>197</v>
      </c>
    </row>
    <row r="21" spans="1:17">
      <c r="A21" s="13">
        <f t="shared" si="5"/>
        <v>46130</v>
      </c>
      <c r="B21" s="27">
        <v>15593</v>
      </c>
      <c r="C21" s="46">
        <v>13159</v>
      </c>
      <c r="D21" s="233">
        <v>17005</v>
      </c>
      <c r="E21" s="50">
        <v>16680</v>
      </c>
      <c r="F21" s="88">
        <f t="shared" si="0"/>
        <v>0.26757352382399879</v>
      </c>
      <c r="G21" s="2">
        <f t="shared" si="1"/>
        <v>0.24432471264367817</v>
      </c>
      <c r="H21" s="2">
        <f t="shared" si="2"/>
        <v>0.32206439393939396</v>
      </c>
      <c r="I21" s="43">
        <v>6.84</v>
      </c>
      <c r="J21" s="44">
        <v>7.3</v>
      </c>
      <c r="K21" s="88">
        <f t="shared" si="3"/>
        <v>6.725146198830409E-2</v>
      </c>
      <c r="L21" s="40">
        <f t="shared" si="4"/>
        <v>0.80325932923948984</v>
      </c>
      <c r="M21" s="48">
        <v>1</v>
      </c>
      <c r="N21" s="48">
        <v>0.98329999999999995</v>
      </c>
      <c r="O21" s="44">
        <v>398</v>
      </c>
      <c r="P21" s="44">
        <v>0</v>
      </c>
      <c r="Q21" s="44" t="s">
        <v>198</v>
      </c>
    </row>
    <row r="22" spans="1:17">
      <c r="A22" s="13">
        <f t="shared" si="5"/>
        <v>46131</v>
      </c>
      <c r="B22" s="27">
        <v>15593</v>
      </c>
      <c r="C22" s="46">
        <v>13159</v>
      </c>
      <c r="D22" s="233">
        <v>16400</v>
      </c>
      <c r="E22" s="50">
        <v>16200</v>
      </c>
      <c r="F22" s="88">
        <f t="shared" si="0"/>
        <v>0.23109658788661752</v>
      </c>
      <c r="G22" s="2">
        <f t="shared" si="1"/>
        <v>0.23563218390804597</v>
      </c>
      <c r="H22" s="2">
        <f t="shared" si="2"/>
        <v>0.31060606060606061</v>
      </c>
      <c r="I22" s="43">
        <v>6.84</v>
      </c>
      <c r="J22" s="44">
        <v>7.19</v>
      </c>
      <c r="K22" s="88">
        <f t="shared" si="3"/>
        <v>5.1169590643274934E-2</v>
      </c>
      <c r="L22" s="40">
        <f t="shared" si="4"/>
        <v>0.78653301999904079</v>
      </c>
      <c r="M22" s="48">
        <v>1</v>
      </c>
      <c r="N22" s="48">
        <v>0.96250000000000002</v>
      </c>
      <c r="O22" s="44">
        <v>904</v>
      </c>
      <c r="P22" s="44">
        <v>0</v>
      </c>
      <c r="Q22" s="44" t="s">
        <v>199</v>
      </c>
    </row>
    <row r="23" spans="1:17">
      <c r="A23" s="13">
        <f t="shared" si="5"/>
        <v>46132</v>
      </c>
      <c r="B23" s="27">
        <v>15593</v>
      </c>
      <c r="C23" s="46">
        <v>13159</v>
      </c>
      <c r="D23" s="233">
        <v>16457</v>
      </c>
      <c r="E23" s="50">
        <v>16200</v>
      </c>
      <c r="F23" s="88">
        <f t="shared" si="0"/>
        <v>0.23109658788661752</v>
      </c>
      <c r="G23" s="2">
        <f t="shared" si="1"/>
        <v>0.23645114942528736</v>
      </c>
      <c r="H23" s="2">
        <f t="shared" si="2"/>
        <v>0.31168560606060608</v>
      </c>
      <c r="I23" s="43">
        <v>6.84</v>
      </c>
      <c r="J23" s="44">
        <v>7.21</v>
      </c>
      <c r="K23" s="88">
        <f t="shared" si="3"/>
        <v>5.4093567251462006E-2</v>
      </c>
      <c r="L23" s="40">
        <f t="shared" si="4"/>
        <v>0.78707733511884836</v>
      </c>
      <c r="M23" s="48">
        <v>1</v>
      </c>
      <c r="N23" s="48">
        <v>0.96389999999999998</v>
      </c>
      <c r="O23" s="44">
        <v>887</v>
      </c>
      <c r="P23" s="44">
        <v>0</v>
      </c>
      <c r="Q23" s="44" t="s">
        <v>200</v>
      </c>
    </row>
    <row r="24" spans="1:17">
      <c r="A24" s="13">
        <f t="shared" si="5"/>
        <v>46133</v>
      </c>
      <c r="B24" s="27">
        <v>15593</v>
      </c>
      <c r="C24" s="46">
        <v>13159</v>
      </c>
      <c r="D24" s="233">
        <v>16634</v>
      </c>
      <c r="E24" s="50">
        <v>16360</v>
      </c>
      <c r="F24" s="88">
        <f t="shared" si="0"/>
        <v>0.24325556653241129</v>
      </c>
      <c r="G24" s="2">
        <f t="shared" si="1"/>
        <v>0.23899425287356321</v>
      </c>
      <c r="H24" s="2">
        <f t="shared" si="2"/>
        <v>0.31503787878787881</v>
      </c>
      <c r="I24" s="43">
        <v>6.84</v>
      </c>
      <c r="J24" s="44">
        <v>7.25</v>
      </c>
      <c r="K24" s="88">
        <f t="shared" si="3"/>
        <v>5.9941520467836282E-2</v>
      </c>
      <c r="L24" s="40">
        <f t="shared" si="4"/>
        <v>0.79115338882282993</v>
      </c>
      <c r="M24" s="48">
        <v>1</v>
      </c>
      <c r="N24" s="48">
        <v>0.96389999999999998</v>
      </c>
      <c r="O24" s="44">
        <v>920</v>
      </c>
      <c r="P24" s="44">
        <v>0</v>
      </c>
      <c r="Q24" s="44" t="s">
        <v>201</v>
      </c>
    </row>
    <row r="25" spans="1:17">
      <c r="A25" s="13">
        <f t="shared" si="5"/>
        <v>46134</v>
      </c>
      <c r="B25" s="27">
        <v>15593</v>
      </c>
      <c r="C25" s="46">
        <v>13159</v>
      </c>
      <c r="D25" s="233">
        <v>16213</v>
      </c>
      <c r="E25" s="50">
        <v>16080</v>
      </c>
      <c r="F25" s="88">
        <f t="shared" si="0"/>
        <v>0.22197735390227222</v>
      </c>
      <c r="G25" s="2">
        <f t="shared" si="1"/>
        <v>0.23294540229885058</v>
      </c>
      <c r="H25" s="2">
        <f t="shared" si="2"/>
        <v>0.30706439393939394</v>
      </c>
      <c r="I25" s="43">
        <v>6.84</v>
      </c>
      <c r="J25" s="44">
        <v>7.07</v>
      </c>
      <c r="K25" s="88">
        <f t="shared" si="3"/>
        <v>3.3625730994152107E-2</v>
      </c>
      <c r="L25" s="40">
        <f t="shared" si="4"/>
        <v>0.79076232746427355</v>
      </c>
      <c r="M25" s="48">
        <v>1</v>
      </c>
      <c r="N25" s="48">
        <v>0.94720000000000004</v>
      </c>
      <c r="O25" s="44">
        <v>1300</v>
      </c>
      <c r="P25" s="44">
        <v>0</v>
      </c>
      <c r="Q25" s="44" t="s">
        <v>200</v>
      </c>
    </row>
    <row r="26" spans="1:17">
      <c r="A26" s="13">
        <f t="shared" si="5"/>
        <v>46135</v>
      </c>
      <c r="B26" s="27">
        <v>15593</v>
      </c>
      <c r="C26" s="46">
        <v>13159</v>
      </c>
      <c r="D26" s="233">
        <v>16519</v>
      </c>
      <c r="E26" s="50">
        <v>16480</v>
      </c>
      <c r="F26" s="88">
        <f t="shared" si="0"/>
        <v>0.25237480051675659</v>
      </c>
      <c r="G26" s="2">
        <f t="shared" si="1"/>
        <v>0.23734195402298849</v>
      </c>
      <c r="H26" s="2">
        <f t="shared" si="2"/>
        <v>0.31285984848484849</v>
      </c>
      <c r="I26" s="43">
        <v>6.84</v>
      </c>
      <c r="J26" s="44">
        <v>7.37</v>
      </c>
      <c r="K26" s="88">
        <f t="shared" si="3"/>
        <v>7.7485380116959102E-2</v>
      </c>
      <c r="L26" s="40">
        <f t="shared" si="4"/>
        <v>0.77289103073971832</v>
      </c>
      <c r="M26" s="48">
        <v>1</v>
      </c>
      <c r="N26" s="48">
        <v>0.9819</v>
      </c>
      <c r="O26" s="44">
        <v>469</v>
      </c>
      <c r="P26" s="44">
        <v>0</v>
      </c>
      <c r="Q26" s="44" t="s">
        <v>199</v>
      </c>
    </row>
    <row r="27" spans="1:17">
      <c r="A27" s="13">
        <f t="shared" si="5"/>
        <v>46136</v>
      </c>
      <c r="B27" s="27">
        <v>15593</v>
      </c>
      <c r="C27" s="46">
        <v>13159</v>
      </c>
      <c r="D27" s="233">
        <v>16689</v>
      </c>
      <c r="E27" s="50">
        <v>16440</v>
      </c>
      <c r="F27" s="88">
        <f t="shared" si="0"/>
        <v>0.24933505585530816</v>
      </c>
      <c r="G27" s="2">
        <f t="shared" si="1"/>
        <v>0.23978448275862069</v>
      </c>
      <c r="H27" s="2">
        <f t="shared" si="2"/>
        <v>0.31607954545454547</v>
      </c>
      <c r="I27" s="43">
        <v>6.84</v>
      </c>
      <c r="J27" s="44">
        <v>7.25</v>
      </c>
      <c r="K27" s="88">
        <f t="shared" si="3"/>
        <v>5.9941520467836282E-2</v>
      </c>
      <c r="L27" s="40">
        <f t="shared" si="4"/>
        <v>0.79376932223543406</v>
      </c>
      <c r="M27" s="48">
        <v>1</v>
      </c>
      <c r="N27" s="48">
        <v>0.99</v>
      </c>
      <c r="O27" s="44">
        <v>257</v>
      </c>
      <c r="P27" s="44">
        <v>0</v>
      </c>
      <c r="Q27" s="44" t="s">
        <v>199</v>
      </c>
    </row>
    <row r="28" spans="1:17">
      <c r="A28" s="13">
        <f t="shared" si="5"/>
        <v>46137</v>
      </c>
      <c r="B28" s="27">
        <v>15593</v>
      </c>
      <c r="C28" s="46">
        <v>13159</v>
      </c>
      <c r="D28" s="233">
        <v>16661</v>
      </c>
      <c r="E28" s="50">
        <v>16480</v>
      </c>
      <c r="F28" s="88">
        <f t="shared" si="0"/>
        <v>0.25237480051675659</v>
      </c>
      <c r="G28" s="2">
        <f t="shared" si="1"/>
        <v>0.23938218390804597</v>
      </c>
      <c r="H28" s="2">
        <f t="shared" si="2"/>
        <v>0.31554924242424243</v>
      </c>
      <c r="I28" s="43">
        <v>6.84</v>
      </c>
      <c r="J28" s="6">
        <v>7.28</v>
      </c>
      <c r="K28" s="88">
        <f t="shared" si="3"/>
        <v>6.4327485380117011E-2</v>
      </c>
      <c r="L28" s="40">
        <f t="shared" si="4"/>
        <v>0.78917203486169007</v>
      </c>
      <c r="M28" s="25">
        <v>1</v>
      </c>
      <c r="N28" s="25">
        <v>1</v>
      </c>
      <c r="O28" s="6">
        <v>0</v>
      </c>
      <c r="P28" s="44">
        <v>0</v>
      </c>
      <c r="Q28" s="44"/>
    </row>
    <row r="29" spans="1:17">
      <c r="A29" s="13">
        <f t="shared" si="5"/>
        <v>46138</v>
      </c>
      <c r="B29" s="27">
        <v>15593</v>
      </c>
      <c r="C29" s="46">
        <v>13159</v>
      </c>
      <c r="D29" s="233">
        <v>16982</v>
      </c>
      <c r="E29" s="50">
        <v>16720</v>
      </c>
      <c r="F29" s="88">
        <f t="shared" si="0"/>
        <v>0.2706132684854472</v>
      </c>
      <c r="G29" s="2">
        <f t="shared" si="1"/>
        <v>0.24399425287356322</v>
      </c>
      <c r="H29" s="2">
        <f t="shared" si="2"/>
        <v>0.3216287878787879</v>
      </c>
      <c r="I29" s="43">
        <v>6.84</v>
      </c>
      <c r="J29" s="6">
        <v>7.11</v>
      </c>
      <c r="K29" s="88">
        <f t="shared" si="3"/>
        <v>3.9473684210526383E-2</v>
      </c>
      <c r="L29" s="40">
        <f t="shared" si="4"/>
        <v>0.82360929240021341</v>
      </c>
      <c r="M29" s="25">
        <v>1</v>
      </c>
      <c r="N29" s="25">
        <v>1</v>
      </c>
      <c r="O29" s="6">
        <v>0</v>
      </c>
      <c r="P29" s="44">
        <v>0</v>
      </c>
      <c r="Q29" s="44"/>
    </row>
    <row r="30" spans="1:17">
      <c r="A30" s="13">
        <f t="shared" si="5"/>
        <v>46139</v>
      </c>
      <c r="B30" s="27">
        <v>15593</v>
      </c>
      <c r="C30" s="46">
        <v>13159</v>
      </c>
      <c r="D30" s="50"/>
      <c r="E30" s="50"/>
      <c r="F30" s="88">
        <f t="shared" si="0"/>
        <v>0</v>
      </c>
      <c r="G30" s="2">
        <f t="shared" si="1"/>
        <v>0</v>
      </c>
      <c r="H30" s="2">
        <f t="shared" si="2"/>
        <v>0</v>
      </c>
      <c r="I30" s="43">
        <v>6.84</v>
      </c>
      <c r="J30" s="6"/>
      <c r="K30" s="88">
        <f t="shared" si="3"/>
        <v>0</v>
      </c>
      <c r="L30" s="40" t="e">
        <f t="shared" si="4"/>
        <v>#DIV/0!</v>
      </c>
      <c r="M30" s="6"/>
      <c r="N30" s="6"/>
      <c r="O30" s="6"/>
      <c r="P30" s="6"/>
      <c r="Q30" s="44"/>
    </row>
    <row r="31" spans="1:17">
      <c r="A31" s="13">
        <f t="shared" si="5"/>
        <v>46140</v>
      </c>
      <c r="B31" s="27">
        <v>15593</v>
      </c>
      <c r="C31" s="46">
        <v>13159</v>
      </c>
      <c r="D31" s="50"/>
      <c r="E31" s="50"/>
      <c r="F31" s="88">
        <f t="shared" si="0"/>
        <v>0</v>
      </c>
      <c r="G31" s="2">
        <f t="shared" si="1"/>
        <v>0</v>
      </c>
      <c r="H31" s="2">
        <f t="shared" si="2"/>
        <v>0</v>
      </c>
      <c r="I31" s="43">
        <v>6.84</v>
      </c>
      <c r="J31" s="6"/>
      <c r="K31" s="88">
        <f t="shared" si="3"/>
        <v>0</v>
      </c>
      <c r="L31" s="40" t="e">
        <f t="shared" si="4"/>
        <v>#DIV/0!</v>
      </c>
      <c r="M31" s="6"/>
      <c r="N31" s="6"/>
      <c r="O31" s="6"/>
      <c r="P31" s="6"/>
      <c r="Q31" s="44"/>
    </row>
    <row r="32" spans="1:17">
      <c r="A32" s="13">
        <f t="shared" si="5"/>
        <v>46141</v>
      </c>
      <c r="B32" s="27">
        <v>15593</v>
      </c>
      <c r="C32" s="46">
        <v>13159</v>
      </c>
      <c r="D32" s="50"/>
      <c r="E32" s="50"/>
      <c r="F32" s="88">
        <f t="shared" si="0"/>
        <v>0</v>
      </c>
      <c r="G32" s="2">
        <f t="shared" si="1"/>
        <v>0</v>
      </c>
      <c r="H32" s="2">
        <f t="shared" si="2"/>
        <v>0</v>
      </c>
      <c r="I32" s="43">
        <v>6.84</v>
      </c>
      <c r="J32" s="6"/>
      <c r="K32" s="88">
        <f t="shared" si="3"/>
        <v>0</v>
      </c>
      <c r="L32" s="40" t="e">
        <f t="shared" si="4"/>
        <v>#DIV/0!</v>
      </c>
      <c r="M32" s="6"/>
      <c r="N32" s="6"/>
      <c r="O32" s="6"/>
      <c r="P32" s="6"/>
      <c r="Q32" s="44"/>
    </row>
    <row r="33" spans="1:17">
      <c r="A33" s="13">
        <f t="shared" si="5"/>
        <v>46142</v>
      </c>
      <c r="B33" s="27">
        <v>15593</v>
      </c>
      <c r="C33" s="46">
        <v>13159</v>
      </c>
      <c r="D33" s="50"/>
      <c r="E33" s="50"/>
      <c r="F33" s="88">
        <f t="shared" si="0"/>
        <v>0</v>
      </c>
      <c r="G33" s="2">
        <f t="shared" si="1"/>
        <v>0</v>
      </c>
      <c r="H33" s="2">
        <f t="shared" si="2"/>
        <v>0</v>
      </c>
      <c r="I33" s="43">
        <v>6.84</v>
      </c>
      <c r="J33" s="6"/>
      <c r="K33" s="88">
        <f t="shared" si="3"/>
        <v>0</v>
      </c>
      <c r="L33" s="40" t="e">
        <f t="shared" si="4"/>
        <v>#DIV/0!</v>
      </c>
      <c r="M33" s="6"/>
      <c r="N33" s="6"/>
      <c r="O33" s="6"/>
      <c r="P33" s="6"/>
      <c r="Q33" s="44"/>
    </row>
    <row r="34" spans="1:17">
      <c r="A34" s="349">
        <v>46113</v>
      </c>
      <c r="B34" s="89">
        <f>SUM(B4:B33)</f>
        <v>467790</v>
      </c>
      <c r="C34" s="89">
        <f>SUM(C4:C33)</f>
        <v>394770</v>
      </c>
      <c r="D34" s="89">
        <f>SUM(D4:D33)</f>
        <v>402794</v>
      </c>
      <c r="E34" s="89">
        <f>SUM(E4:E33)</f>
        <v>397280</v>
      </c>
      <c r="F34" s="160">
        <f t="shared" si="0"/>
        <v>6.3581325835296498E-3</v>
      </c>
      <c r="G34" s="90">
        <f>AVERAGE(G4:G33)</f>
        <v>0.1929090038314176</v>
      </c>
      <c r="H34" s="90">
        <f>AVERAGE(H4:H33)</f>
        <v>0.25428914141414138</v>
      </c>
      <c r="I34" s="89">
        <f>SUM(I4:I33)</f>
        <v>205.20000000000007</v>
      </c>
      <c r="J34" s="89">
        <f>SUM(J4:J33)</f>
        <v>180.56000000000003</v>
      </c>
      <c r="K34" s="160">
        <f t="shared" si="3"/>
        <v>-0.12007797270955183</v>
      </c>
      <c r="L34" s="161">
        <f t="shared" si="4"/>
        <v>0.76924281545536477</v>
      </c>
      <c r="M34" s="90">
        <f>AVERAGE(M4:M33)</f>
        <v>1</v>
      </c>
      <c r="N34" s="90">
        <f>AVERAGE(N4:N33)</f>
        <v>0.95355384615384609</v>
      </c>
      <c r="O34" s="89">
        <f>SUM(O4:O33)</f>
        <v>24137</v>
      </c>
      <c r="P34" s="89">
        <f>SUM(P4:P33)</f>
        <v>0</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50"/>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50"/>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AVERAGE(N35:N64)</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B2B53-78E7-4476-BD39-58AE13754AE7}">
  <dimension ref="A1:Q66"/>
  <sheetViews>
    <sheetView workbookViewId="0">
      <pane xSplit="2" ySplit="3" topLeftCell="C57" activePane="bottomRight" state="frozen"/>
      <selection pane="topRight"/>
      <selection pane="bottomLeft"/>
      <selection pane="bottomRight" activeCell="I67" sqref="I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5429687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203</v>
      </c>
      <c r="B1" s="406"/>
      <c r="C1" s="406"/>
      <c r="D1" s="406"/>
      <c r="E1" s="406"/>
      <c r="F1" s="406"/>
      <c r="G1" s="406"/>
      <c r="H1" s="406"/>
      <c r="I1" s="406"/>
      <c r="J1" s="406"/>
      <c r="K1" s="406"/>
      <c r="L1" s="406"/>
      <c r="M1" s="406"/>
      <c r="N1" s="406"/>
      <c r="O1" s="406"/>
      <c r="P1" s="406"/>
      <c r="Q1" s="406"/>
    </row>
    <row r="2" spans="1:17" ht="18.5">
      <c r="A2" s="7">
        <v>46113</v>
      </c>
      <c r="B2" s="407" t="s">
        <v>172</v>
      </c>
      <c r="C2" s="408"/>
      <c r="D2" s="8">
        <v>1343</v>
      </c>
      <c r="E2" s="407" t="s">
        <v>173</v>
      </c>
      <c r="F2" s="407"/>
      <c r="G2" s="408"/>
      <c r="H2" s="8">
        <v>1125</v>
      </c>
      <c r="I2" s="409" t="s">
        <v>174</v>
      </c>
      <c r="J2" s="410"/>
      <c r="K2" s="85">
        <v>45381</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8261</v>
      </c>
      <c r="C4" s="39">
        <v>6623</v>
      </c>
      <c r="D4" s="232">
        <v>7076</v>
      </c>
      <c r="E4" s="49">
        <v>6930</v>
      </c>
      <c r="F4" s="88">
        <f t="shared" ref="F4:F35" si="0">(IF(ISBLANK(E4),0,E4-C4))/C4</f>
        <v>4.6353616186018423E-2</v>
      </c>
      <c r="G4" s="2">
        <f t="shared" ref="G4:G33" si="1">D4/($D$2*24)</f>
        <v>0.21953338297344255</v>
      </c>
      <c r="H4" s="2">
        <f t="shared" ref="H4:H33" si="2">D4/($H$2*24)</f>
        <v>0.26207407407407407</v>
      </c>
      <c r="I4" s="36">
        <v>7.13</v>
      </c>
      <c r="J4" s="37">
        <v>6.58</v>
      </c>
      <c r="K4" s="88">
        <f t="shared" ref="K4:K35" si="3">(IF(ISBLANK(J4),0,J4-I4))/I4</f>
        <v>-7.7138849929873743E-2</v>
      </c>
      <c r="L4" s="40">
        <f t="shared" ref="L4:L35" si="4">D4/($D$2*J4)</f>
        <v>0.80072966434082382</v>
      </c>
      <c r="M4" s="41">
        <v>1</v>
      </c>
      <c r="N4" s="41">
        <v>0.94130000000000003</v>
      </c>
      <c r="O4" s="37">
        <v>699</v>
      </c>
      <c r="P4" s="37">
        <v>0</v>
      </c>
      <c r="Q4" s="37" t="s">
        <v>190</v>
      </c>
    </row>
    <row r="5" spans="1:17">
      <c r="A5" s="13">
        <f t="shared" ref="A5:A33" si="5">A4+1</f>
        <v>46114</v>
      </c>
      <c r="B5" s="27">
        <v>8261</v>
      </c>
      <c r="C5" s="46">
        <v>6623</v>
      </c>
      <c r="D5" s="233">
        <v>7140</v>
      </c>
      <c r="E5" s="50">
        <v>7080</v>
      </c>
      <c r="F5" s="88">
        <f t="shared" si="0"/>
        <v>6.9001962856711466E-2</v>
      </c>
      <c r="G5" s="2">
        <f t="shared" si="1"/>
        <v>0.22151898734177214</v>
      </c>
      <c r="H5" s="2">
        <f t="shared" si="2"/>
        <v>0.26444444444444443</v>
      </c>
      <c r="I5" s="43">
        <v>7.13</v>
      </c>
      <c r="J5" s="44">
        <v>6.49</v>
      </c>
      <c r="K5" s="88">
        <f t="shared" si="3"/>
        <v>-8.9761570827489437E-2</v>
      </c>
      <c r="L5" s="40">
        <f t="shared" si="4"/>
        <v>0.81917653254276301</v>
      </c>
      <c r="M5" s="48">
        <v>1</v>
      </c>
      <c r="N5" s="48">
        <v>0.96919999999999995</v>
      </c>
      <c r="O5" s="44">
        <v>382</v>
      </c>
      <c r="P5" s="44">
        <v>0</v>
      </c>
      <c r="Q5" s="44" t="s">
        <v>191</v>
      </c>
    </row>
    <row r="6" spans="1:17">
      <c r="A6" s="13">
        <f t="shared" si="5"/>
        <v>46115</v>
      </c>
      <c r="B6" s="27">
        <v>8261</v>
      </c>
      <c r="C6" s="46">
        <v>6623</v>
      </c>
      <c r="D6" s="233">
        <v>5773</v>
      </c>
      <c r="E6" s="50">
        <v>5775</v>
      </c>
      <c r="F6" s="88">
        <f t="shared" si="0"/>
        <v>-0.12803865317831797</v>
      </c>
      <c r="G6" s="2">
        <f t="shared" si="1"/>
        <v>0.17910771903698189</v>
      </c>
      <c r="H6" s="2">
        <f t="shared" si="2"/>
        <v>0.21381481481481482</v>
      </c>
      <c r="I6" s="43">
        <v>7.13</v>
      </c>
      <c r="J6" s="44">
        <v>5.01</v>
      </c>
      <c r="K6" s="88">
        <f t="shared" si="3"/>
        <v>-0.2973352033660589</v>
      </c>
      <c r="L6" s="40">
        <f t="shared" si="4"/>
        <v>0.85800104927895515</v>
      </c>
      <c r="M6" s="48">
        <v>1</v>
      </c>
      <c r="N6" s="48">
        <v>1</v>
      </c>
      <c r="O6" s="44">
        <v>0</v>
      </c>
      <c r="P6" s="44">
        <v>0</v>
      </c>
      <c r="Q6" s="44"/>
    </row>
    <row r="7" spans="1:17">
      <c r="A7" s="13">
        <f t="shared" si="5"/>
        <v>46116</v>
      </c>
      <c r="B7" s="27">
        <v>8261</v>
      </c>
      <c r="C7" s="46">
        <v>6623</v>
      </c>
      <c r="D7" s="233">
        <v>6806</v>
      </c>
      <c r="E7" s="50">
        <v>6735</v>
      </c>
      <c r="F7" s="88">
        <f t="shared" si="0"/>
        <v>1.6910765514117469E-2</v>
      </c>
      <c r="G7" s="2">
        <f t="shared" si="1"/>
        <v>0.21115661454455201</v>
      </c>
      <c r="H7" s="2">
        <f t="shared" si="2"/>
        <v>0.25207407407407406</v>
      </c>
      <c r="I7" s="43">
        <v>7.13</v>
      </c>
      <c r="J7" s="44">
        <v>7.05</v>
      </c>
      <c r="K7" s="88">
        <f t="shared" si="3"/>
        <v>-1.1220196353436195E-2</v>
      </c>
      <c r="L7" s="40">
        <f t="shared" si="4"/>
        <v>0.71883102823677281</v>
      </c>
      <c r="M7" s="48">
        <v>1</v>
      </c>
      <c r="N7" s="48">
        <v>0.90210000000000001</v>
      </c>
      <c r="O7" s="44">
        <v>1050</v>
      </c>
      <c r="P7" s="44">
        <v>0</v>
      </c>
      <c r="Q7" s="44" t="s">
        <v>204</v>
      </c>
    </row>
    <row r="8" spans="1:17">
      <c r="A8" s="13">
        <f t="shared" si="5"/>
        <v>46117</v>
      </c>
      <c r="B8" s="27">
        <v>8261</v>
      </c>
      <c r="C8" s="46">
        <v>6623</v>
      </c>
      <c r="D8" s="233">
        <v>7575</v>
      </c>
      <c r="E8" s="50">
        <v>7500</v>
      </c>
      <c r="F8" s="88">
        <f t="shared" si="0"/>
        <v>0.13241733353465196</v>
      </c>
      <c r="G8" s="2">
        <f t="shared" si="1"/>
        <v>0.23501489203276246</v>
      </c>
      <c r="H8" s="2">
        <f t="shared" si="2"/>
        <v>0.28055555555555556</v>
      </c>
      <c r="I8" s="43">
        <v>7.13</v>
      </c>
      <c r="J8" s="44">
        <v>6.74</v>
      </c>
      <c r="K8" s="88">
        <f t="shared" si="3"/>
        <v>-5.4698457223001359E-2</v>
      </c>
      <c r="L8" s="40">
        <f t="shared" si="4"/>
        <v>0.83684828023535596</v>
      </c>
      <c r="M8" s="48">
        <v>1</v>
      </c>
      <c r="N8" s="48">
        <v>0.94550000000000001</v>
      </c>
      <c r="O8" s="44">
        <v>594</v>
      </c>
      <c r="P8" s="44">
        <v>0</v>
      </c>
      <c r="Q8" s="44" t="s">
        <v>205</v>
      </c>
    </row>
    <row r="9" spans="1:17">
      <c r="A9" s="13">
        <f t="shared" si="5"/>
        <v>46118</v>
      </c>
      <c r="B9" s="27">
        <v>8261</v>
      </c>
      <c r="C9" s="46">
        <v>6623</v>
      </c>
      <c r="D9" s="233">
        <v>7831</v>
      </c>
      <c r="E9" s="50">
        <v>7740</v>
      </c>
      <c r="F9" s="88">
        <f t="shared" si="0"/>
        <v>0.16865468820776083</v>
      </c>
      <c r="G9" s="2">
        <f t="shared" si="1"/>
        <v>0.24295730950608091</v>
      </c>
      <c r="H9" s="2">
        <f t="shared" si="2"/>
        <v>0.29003703703703704</v>
      </c>
      <c r="I9" s="43">
        <v>7.13</v>
      </c>
      <c r="J9" s="44">
        <v>7.18</v>
      </c>
      <c r="K9" s="88">
        <f t="shared" si="3"/>
        <v>7.0126227208975912E-3</v>
      </c>
      <c r="L9" s="40">
        <f t="shared" si="4"/>
        <v>0.81211356937965762</v>
      </c>
      <c r="M9" s="48">
        <v>1</v>
      </c>
      <c r="N9" s="48">
        <v>0.90490000000000004</v>
      </c>
      <c r="O9" s="44">
        <v>1030</v>
      </c>
      <c r="P9" s="44">
        <v>0</v>
      </c>
      <c r="Q9" s="44" t="s">
        <v>205</v>
      </c>
    </row>
    <row r="10" spans="1:17">
      <c r="A10" s="13">
        <f t="shared" si="5"/>
        <v>46119</v>
      </c>
      <c r="B10" s="27">
        <v>8261</v>
      </c>
      <c r="C10" s="46">
        <v>6623</v>
      </c>
      <c r="D10" s="233">
        <v>4426</v>
      </c>
      <c r="E10" s="50">
        <v>4290</v>
      </c>
      <c r="F10" s="88">
        <f t="shared" si="0"/>
        <v>-0.35225728521817906</v>
      </c>
      <c r="G10" s="2">
        <f t="shared" si="1"/>
        <v>0.13731695209729461</v>
      </c>
      <c r="H10" s="2">
        <f t="shared" si="2"/>
        <v>0.16392592592592592</v>
      </c>
      <c r="I10" s="43">
        <v>7.13</v>
      </c>
      <c r="J10" s="44">
        <v>5.0599999999999996</v>
      </c>
      <c r="K10" s="88">
        <f t="shared" si="3"/>
        <v>-0.29032258064516131</v>
      </c>
      <c r="L10" s="40">
        <f t="shared" si="4"/>
        <v>0.65130570164724721</v>
      </c>
      <c r="M10" s="48">
        <v>1</v>
      </c>
      <c r="N10" s="48">
        <v>0.84440000000000004</v>
      </c>
      <c r="O10" s="44">
        <v>1193</v>
      </c>
      <c r="P10" s="44">
        <v>0</v>
      </c>
      <c r="Q10" s="44" t="s">
        <v>206</v>
      </c>
    </row>
    <row r="11" spans="1:17">
      <c r="A11" s="13">
        <f t="shared" si="5"/>
        <v>46120</v>
      </c>
      <c r="B11" s="27">
        <v>8261</v>
      </c>
      <c r="C11" s="46">
        <v>6623</v>
      </c>
      <c r="D11" s="233">
        <v>4931</v>
      </c>
      <c r="E11" s="50">
        <v>4920</v>
      </c>
      <c r="F11" s="88">
        <f t="shared" si="0"/>
        <v>-0.25713422920126833</v>
      </c>
      <c r="G11" s="2">
        <f t="shared" si="1"/>
        <v>0.15298461156614546</v>
      </c>
      <c r="H11" s="2">
        <f t="shared" si="2"/>
        <v>0.18262962962962964</v>
      </c>
      <c r="I11" s="43">
        <v>7.13</v>
      </c>
      <c r="J11" s="44">
        <v>6.5</v>
      </c>
      <c r="K11" s="88">
        <f t="shared" si="3"/>
        <v>-8.8359046283309942E-2</v>
      </c>
      <c r="L11" s="40">
        <f t="shared" si="4"/>
        <v>0.56486625809038316</v>
      </c>
      <c r="M11" s="48">
        <v>1</v>
      </c>
      <c r="N11" s="48">
        <v>0.67500000000000004</v>
      </c>
      <c r="O11" s="44">
        <v>3096</v>
      </c>
      <c r="P11" s="44">
        <v>0</v>
      </c>
      <c r="Q11" s="44" t="s">
        <v>207</v>
      </c>
    </row>
    <row r="12" spans="1:17">
      <c r="A12" s="13">
        <f t="shared" si="5"/>
        <v>46121</v>
      </c>
      <c r="B12" s="27">
        <v>8261</v>
      </c>
      <c r="C12" s="46">
        <v>6623</v>
      </c>
      <c r="D12" s="233">
        <v>6782</v>
      </c>
      <c r="E12" s="50">
        <v>6705</v>
      </c>
      <c r="F12" s="88">
        <f t="shared" si="0"/>
        <v>1.2381096179978861E-2</v>
      </c>
      <c r="G12" s="2">
        <f t="shared" si="1"/>
        <v>0.21041201290642839</v>
      </c>
      <c r="H12" s="2">
        <f t="shared" si="2"/>
        <v>0.25118518518518518</v>
      </c>
      <c r="I12" s="43">
        <v>7.13</v>
      </c>
      <c r="J12" s="44">
        <v>6.6</v>
      </c>
      <c r="K12" s="88">
        <f t="shared" si="3"/>
        <v>-7.4333800841514766E-2</v>
      </c>
      <c r="L12" s="40">
        <f t="shared" si="4"/>
        <v>0.76513459238701242</v>
      </c>
      <c r="M12" s="48">
        <v>1</v>
      </c>
      <c r="N12" s="48">
        <v>0.8972</v>
      </c>
      <c r="O12" s="44">
        <v>1129</v>
      </c>
      <c r="P12" s="44">
        <v>0</v>
      </c>
      <c r="Q12" s="44" t="s">
        <v>208</v>
      </c>
    </row>
    <row r="13" spans="1:17">
      <c r="A13" s="13">
        <f t="shared" si="5"/>
        <v>46122</v>
      </c>
      <c r="B13" s="27">
        <v>8261</v>
      </c>
      <c r="C13" s="46">
        <v>6623</v>
      </c>
      <c r="D13" s="233">
        <v>7229</v>
      </c>
      <c r="E13" s="50">
        <v>7125</v>
      </c>
      <c r="F13" s="88">
        <f t="shared" si="0"/>
        <v>7.5796466857919367E-2</v>
      </c>
      <c r="G13" s="2">
        <f t="shared" si="1"/>
        <v>0.22428021841648052</v>
      </c>
      <c r="H13" s="2">
        <f t="shared" si="2"/>
        <v>0.26774074074074072</v>
      </c>
      <c r="I13" s="43">
        <v>7.13</v>
      </c>
      <c r="J13" s="44">
        <v>7</v>
      </c>
      <c r="K13" s="88">
        <f t="shared" si="3"/>
        <v>-1.8232819074333786E-2</v>
      </c>
      <c r="L13" s="40">
        <f t="shared" si="4"/>
        <v>0.76896074885650467</v>
      </c>
      <c r="M13" s="48">
        <v>1</v>
      </c>
      <c r="N13" s="48">
        <v>0.94310000000000005</v>
      </c>
      <c r="O13" s="44">
        <v>627</v>
      </c>
      <c r="P13" s="44">
        <v>0</v>
      </c>
      <c r="Q13" s="44" t="s">
        <v>209</v>
      </c>
    </row>
    <row r="14" spans="1:17">
      <c r="A14" s="13">
        <f t="shared" si="5"/>
        <v>46123</v>
      </c>
      <c r="B14" s="27">
        <v>8261</v>
      </c>
      <c r="C14" s="46">
        <v>6623</v>
      </c>
      <c r="D14" s="233">
        <v>7742</v>
      </c>
      <c r="E14" s="50">
        <v>7695</v>
      </c>
      <c r="F14" s="88">
        <f t="shared" si="0"/>
        <v>0.16186018420655293</v>
      </c>
      <c r="G14" s="2">
        <f t="shared" si="1"/>
        <v>0.24019607843137256</v>
      </c>
      <c r="H14" s="2">
        <f t="shared" si="2"/>
        <v>0.28674074074074074</v>
      </c>
      <c r="I14" s="43">
        <v>7.13</v>
      </c>
      <c r="J14" s="44">
        <v>6.85</v>
      </c>
      <c r="K14" s="88">
        <f t="shared" si="3"/>
        <v>-3.9270687237026682E-2</v>
      </c>
      <c r="L14" s="40">
        <f t="shared" si="4"/>
        <v>0.84156290253327615</v>
      </c>
      <c r="M14" s="48">
        <v>1</v>
      </c>
      <c r="N14" s="48">
        <v>1</v>
      </c>
      <c r="O14" s="44">
        <v>0</v>
      </c>
      <c r="P14" s="44">
        <v>0</v>
      </c>
      <c r="Q14" s="44"/>
    </row>
    <row r="15" spans="1:17">
      <c r="A15" s="13">
        <f t="shared" si="5"/>
        <v>46124</v>
      </c>
      <c r="B15" s="27">
        <v>8261</v>
      </c>
      <c r="C15" s="46">
        <v>6623</v>
      </c>
      <c r="D15" s="233">
        <v>7997</v>
      </c>
      <c r="E15" s="50">
        <v>7875</v>
      </c>
      <c r="F15" s="88">
        <f t="shared" si="0"/>
        <v>0.18903820021138457</v>
      </c>
      <c r="G15" s="2">
        <f t="shared" si="1"/>
        <v>0.24810747083643583</v>
      </c>
      <c r="H15" s="2">
        <f t="shared" si="2"/>
        <v>0.29618518518518516</v>
      </c>
      <c r="I15" s="43">
        <v>7.13</v>
      </c>
      <c r="J15" s="44">
        <v>6.87</v>
      </c>
      <c r="K15" s="88">
        <f t="shared" si="3"/>
        <v>-3.6465638148667573E-2</v>
      </c>
      <c r="L15" s="40">
        <f t="shared" si="4"/>
        <v>0.86675098982160992</v>
      </c>
      <c r="M15" s="48">
        <v>1</v>
      </c>
      <c r="N15" s="48">
        <v>1</v>
      </c>
      <c r="O15" s="44">
        <v>0</v>
      </c>
      <c r="P15" s="44">
        <v>0</v>
      </c>
      <c r="Q15" s="44"/>
    </row>
    <row r="16" spans="1:17">
      <c r="A16" s="13">
        <f t="shared" si="5"/>
        <v>46125</v>
      </c>
      <c r="B16" s="27">
        <v>8261</v>
      </c>
      <c r="C16" s="46">
        <v>6623</v>
      </c>
      <c r="D16" s="233">
        <v>7811</v>
      </c>
      <c r="E16" s="50">
        <v>7755</v>
      </c>
      <c r="F16" s="88">
        <f t="shared" si="0"/>
        <v>0.17091952287483014</v>
      </c>
      <c r="G16" s="2">
        <f t="shared" si="1"/>
        <v>0.24233680814097791</v>
      </c>
      <c r="H16" s="2">
        <f t="shared" si="2"/>
        <v>0.28929629629629627</v>
      </c>
      <c r="I16" s="43">
        <v>7.13</v>
      </c>
      <c r="J16" s="44">
        <v>6.78</v>
      </c>
      <c r="K16" s="88">
        <f t="shared" si="3"/>
        <v>-4.908835904628326E-2</v>
      </c>
      <c r="L16" s="40">
        <f t="shared" si="4"/>
        <v>0.85782940934859431</v>
      </c>
      <c r="M16" s="48">
        <v>1</v>
      </c>
      <c r="N16" s="48">
        <v>1</v>
      </c>
      <c r="O16" s="44">
        <v>0</v>
      </c>
      <c r="P16" s="44">
        <v>0</v>
      </c>
      <c r="Q16" s="44"/>
    </row>
    <row r="17" spans="1:17">
      <c r="A17" s="13">
        <f t="shared" si="5"/>
        <v>46126</v>
      </c>
      <c r="B17" s="27">
        <v>8261</v>
      </c>
      <c r="C17" s="46">
        <v>6623</v>
      </c>
      <c r="D17" s="233">
        <v>7688</v>
      </c>
      <c r="E17" s="50">
        <v>7590</v>
      </c>
      <c r="F17" s="88">
        <f t="shared" si="0"/>
        <v>0.14600634153706779</v>
      </c>
      <c r="G17" s="2">
        <f t="shared" si="1"/>
        <v>0.23852072474559444</v>
      </c>
      <c r="H17" s="2">
        <f t="shared" si="2"/>
        <v>0.28474074074074074</v>
      </c>
      <c r="I17" s="43">
        <v>7.13</v>
      </c>
      <c r="J17" s="44">
        <v>7.04</v>
      </c>
      <c r="K17" s="88">
        <f t="shared" si="3"/>
        <v>-1.2622720897615689E-2</v>
      </c>
      <c r="L17" s="40">
        <f t="shared" si="4"/>
        <v>0.81313883435998113</v>
      </c>
      <c r="M17" s="48">
        <v>1</v>
      </c>
      <c r="N17" s="48">
        <v>0.95689999999999997</v>
      </c>
      <c r="O17" s="44">
        <v>530</v>
      </c>
      <c r="P17" s="44">
        <v>0</v>
      </c>
      <c r="Q17" s="44" t="s">
        <v>210</v>
      </c>
    </row>
    <row r="18" spans="1:17">
      <c r="A18" s="13">
        <f t="shared" si="5"/>
        <v>46127</v>
      </c>
      <c r="B18" s="27">
        <v>8261</v>
      </c>
      <c r="C18" s="46">
        <v>6623</v>
      </c>
      <c r="D18" s="233">
        <v>7503</v>
      </c>
      <c r="E18" s="50">
        <v>7470</v>
      </c>
      <c r="F18" s="88">
        <f t="shared" si="0"/>
        <v>0.12788766420051337</v>
      </c>
      <c r="G18" s="2">
        <f t="shared" si="1"/>
        <v>0.23278108711839166</v>
      </c>
      <c r="H18" s="2">
        <f t="shared" si="2"/>
        <v>0.27788888888888891</v>
      </c>
      <c r="I18" s="43">
        <v>7.13</v>
      </c>
      <c r="J18" s="44">
        <v>6.84</v>
      </c>
      <c r="K18" s="88">
        <f t="shared" si="3"/>
        <v>-4.0673211781206177E-2</v>
      </c>
      <c r="L18" s="40">
        <f t="shared" si="4"/>
        <v>0.8167757442750585</v>
      </c>
      <c r="M18" s="48">
        <v>1</v>
      </c>
      <c r="N18" s="48">
        <v>0.95830000000000004</v>
      </c>
      <c r="O18" s="44">
        <v>477</v>
      </c>
      <c r="P18" s="44">
        <v>0</v>
      </c>
      <c r="Q18" s="44" t="s">
        <v>210</v>
      </c>
    </row>
    <row r="19" spans="1:17">
      <c r="A19" s="13">
        <f t="shared" si="5"/>
        <v>46128</v>
      </c>
      <c r="B19" s="27">
        <v>8261</v>
      </c>
      <c r="C19" s="46">
        <v>6623</v>
      </c>
      <c r="D19" s="233">
        <v>7908</v>
      </c>
      <c r="E19" s="50">
        <v>7830</v>
      </c>
      <c r="F19" s="88">
        <f t="shared" si="0"/>
        <v>0.18224369621017666</v>
      </c>
      <c r="G19" s="2">
        <f t="shared" si="1"/>
        <v>0.24534623976172748</v>
      </c>
      <c r="H19" s="2">
        <f t="shared" si="2"/>
        <v>0.29288888888888887</v>
      </c>
      <c r="I19" s="43">
        <v>7.13</v>
      </c>
      <c r="J19" s="44">
        <v>6.99</v>
      </c>
      <c r="K19" s="88">
        <f t="shared" si="3"/>
        <v>-1.9635343618513278E-2</v>
      </c>
      <c r="L19" s="40">
        <f t="shared" si="4"/>
        <v>0.84239052278704718</v>
      </c>
      <c r="M19" s="48">
        <v>1</v>
      </c>
      <c r="N19" s="48">
        <v>0.9778</v>
      </c>
      <c r="O19" s="44">
        <v>276</v>
      </c>
      <c r="P19" s="44">
        <v>0</v>
      </c>
      <c r="Q19" s="44" t="s">
        <v>210</v>
      </c>
    </row>
    <row r="20" spans="1:17">
      <c r="A20" s="13">
        <f t="shared" si="5"/>
        <v>46129</v>
      </c>
      <c r="B20" s="27">
        <v>8261</v>
      </c>
      <c r="C20" s="46">
        <v>6623</v>
      </c>
      <c r="D20" s="233">
        <v>7911</v>
      </c>
      <c r="E20" s="50">
        <v>7800</v>
      </c>
      <c r="F20" s="88">
        <f t="shared" si="0"/>
        <v>0.17771402687603804</v>
      </c>
      <c r="G20" s="2">
        <f t="shared" si="1"/>
        <v>0.24543931496649293</v>
      </c>
      <c r="H20" s="2">
        <f t="shared" si="2"/>
        <v>0.29299999999999998</v>
      </c>
      <c r="I20" s="43">
        <v>7.13</v>
      </c>
      <c r="J20" s="44">
        <v>7.18</v>
      </c>
      <c r="K20" s="88">
        <f t="shared" si="3"/>
        <v>7.0126227208975912E-3</v>
      </c>
      <c r="L20" s="40">
        <f t="shared" si="4"/>
        <v>0.82040996646181485</v>
      </c>
      <c r="M20" s="48">
        <v>1</v>
      </c>
      <c r="N20" s="48">
        <v>0.94440000000000002</v>
      </c>
      <c r="O20" s="44">
        <v>670</v>
      </c>
      <c r="P20" s="44">
        <v>0</v>
      </c>
      <c r="Q20" s="44" t="s">
        <v>210</v>
      </c>
    </row>
    <row r="21" spans="1:17">
      <c r="A21" s="13">
        <f t="shared" si="5"/>
        <v>46130</v>
      </c>
      <c r="B21" s="27">
        <v>8261</v>
      </c>
      <c r="C21" s="46">
        <v>6623</v>
      </c>
      <c r="D21" s="233">
        <v>8217</v>
      </c>
      <c r="E21" s="50">
        <v>8145</v>
      </c>
      <c r="F21" s="88">
        <f t="shared" si="0"/>
        <v>0.22980522421863203</v>
      </c>
      <c r="G21" s="2">
        <f t="shared" si="1"/>
        <v>0.25493298585256885</v>
      </c>
      <c r="H21" s="2">
        <f t="shared" si="2"/>
        <v>0.30433333333333334</v>
      </c>
      <c r="I21" s="43">
        <v>7.13</v>
      </c>
      <c r="J21" s="44">
        <v>7.26</v>
      </c>
      <c r="K21" s="88">
        <f t="shared" si="3"/>
        <v>1.8232819074333786E-2</v>
      </c>
      <c r="L21" s="40">
        <f t="shared" si="4"/>
        <v>0.84275367223989706</v>
      </c>
      <c r="M21" s="48">
        <v>1</v>
      </c>
      <c r="N21" s="48">
        <v>0.96389999999999998</v>
      </c>
      <c r="O21" s="44">
        <v>461</v>
      </c>
      <c r="P21" s="44">
        <v>0</v>
      </c>
      <c r="Q21" s="44" t="s">
        <v>209</v>
      </c>
    </row>
    <row r="22" spans="1:17">
      <c r="A22" s="13">
        <f t="shared" si="5"/>
        <v>46131</v>
      </c>
      <c r="B22" s="27">
        <v>8261</v>
      </c>
      <c r="C22" s="46">
        <v>6623</v>
      </c>
      <c r="D22" s="233">
        <v>7835</v>
      </c>
      <c r="E22" s="50">
        <v>7755</v>
      </c>
      <c r="F22" s="88">
        <f t="shared" si="0"/>
        <v>0.17091952287483014</v>
      </c>
      <c r="G22" s="2">
        <f t="shared" si="1"/>
        <v>0.2430814097791015</v>
      </c>
      <c r="H22" s="2">
        <f t="shared" si="2"/>
        <v>0.29018518518518521</v>
      </c>
      <c r="I22" s="43">
        <v>7.13</v>
      </c>
      <c r="J22" s="44">
        <v>7.02</v>
      </c>
      <c r="K22" s="88">
        <f t="shared" si="3"/>
        <v>-1.5427769985974799E-2</v>
      </c>
      <c r="L22" s="40">
        <f t="shared" si="4"/>
        <v>0.8310475548003472</v>
      </c>
      <c r="M22" s="48">
        <v>1</v>
      </c>
      <c r="N22" s="48">
        <v>0.9194</v>
      </c>
      <c r="O22" s="44">
        <v>940</v>
      </c>
      <c r="P22" s="44">
        <v>0</v>
      </c>
      <c r="Q22" s="44" t="s">
        <v>209</v>
      </c>
    </row>
    <row r="23" spans="1:17">
      <c r="A23" s="13">
        <f t="shared" si="5"/>
        <v>46132</v>
      </c>
      <c r="B23" s="27">
        <v>8261</v>
      </c>
      <c r="C23" s="46">
        <v>6623</v>
      </c>
      <c r="D23" s="233">
        <v>7886</v>
      </c>
      <c r="E23" s="50">
        <v>7800</v>
      </c>
      <c r="F23" s="88">
        <f t="shared" si="0"/>
        <v>0.17771402687603804</v>
      </c>
      <c r="G23" s="2">
        <f t="shared" si="1"/>
        <v>0.24466368826011417</v>
      </c>
      <c r="H23" s="2">
        <f t="shared" si="2"/>
        <v>0.2920740740740741</v>
      </c>
      <c r="I23" s="43">
        <v>7.13</v>
      </c>
      <c r="J23" s="44">
        <v>7.11</v>
      </c>
      <c r="K23" s="88">
        <f t="shared" si="3"/>
        <v>-2.8050490883589864E-3</v>
      </c>
      <c r="L23" s="40">
        <f t="shared" si="4"/>
        <v>0.82586898990755842</v>
      </c>
      <c r="M23" s="48">
        <v>1</v>
      </c>
      <c r="N23" s="48">
        <v>0.95</v>
      </c>
      <c r="O23" s="44">
        <v>607</v>
      </c>
      <c r="P23" s="44">
        <v>0</v>
      </c>
      <c r="Q23" s="44" t="s">
        <v>210</v>
      </c>
    </row>
    <row r="24" spans="1:17">
      <c r="A24" s="13">
        <f t="shared" si="5"/>
        <v>46133</v>
      </c>
      <c r="B24" s="27">
        <v>8261</v>
      </c>
      <c r="C24" s="46">
        <v>6623</v>
      </c>
      <c r="D24" s="233">
        <v>7902</v>
      </c>
      <c r="E24" s="50">
        <v>7830</v>
      </c>
      <c r="F24" s="88">
        <f t="shared" si="0"/>
        <v>0.18224369621017666</v>
      </c>
      <c r="G24" s="2">
        <f t="shared" si="1"/>
        <v>0.24516008935219658</v>
      </c>
      <c r="H24" s="2">
        <f t="shared" si="2"/>
        <v>0.29266666666666669</v>
      </c>
      <c r="I24" s="43">
        <v>7.13</v>
      </c>
      <c r="J24" s="44">
        <v>7.15</v>
      </c>
      <c r="K24" s="88">
        <f t="shared" si="3"/>
        <v>2.8050490883591113E-3</v>
      </c>
      <c r="L24" s="40">
        <f t="shared" si="4"/>
        <v>0.82291498523814233</v>
      </c>
      <c r="M24" s="48">
        <v>1</v>
      </c>
      <c r="N24" s="48">
        <v>0.9597</v>
      </c>
      <c r="O24" s="44">
        <v>525</v>
      </c>
      <c r="P24" s="44">
        <v>0</v>
      </c>
      <c r="Q24" s="44" t="s">
        <v>211</v>
      </c>
    </row>
    <row r="25" spans="1:17">
      <c r="A25" s="13">
        <f t="shared" si="5"/>
        <v>46134</v>
      </c>
      <c r="B25" s="27">
        <v>8261</v>
      </c>
      <c r="C25" s="46">
        <v>6623</v>
      </c>
      <c r="D25" s="233">
        <v>7703</v>
      </c>
      <c r="E25" s="50">
        <v>7620</v>
      </c>
      <c r="F25" s="88">
        <f t="shared" si="0"/>
        <v>0.15053601087120641</v>
      </c>
      <c r="G25" s="2">
        <f t="shared" si="1"/>
        <v>0.2389861007694217</v>
      </c>
      <c r="H25" s="2">
        <f t="shared" si="2"/>
        <v>0.28529629629629627</v>
      </c>
      <c r="I25" s="43">
        <v>7.13</v>
      </c>
      <c r="J25" s="44">
        <v>7.34</v>
      </c>
      <c r="K25" s="88">
        <f t="shared" si="3"/>
        <v>2.9453015427769982E-2</v>
      </c>
      <c r="L25" s="40">
        <f t="shared" si="4"/>
        <v>0.78142594257031628</v>
      </c>
      <c r="M25" s="48">
        <v>1</v>
      </c>
      <c r="N25" s="48">
        <v>0.94169999999999998</v>
      </c>
      <c r="O25" s="44">
        <v>737</v>
      </c>
      <c r="P25" s="44">
        <v>0</v>
      </c>
      <c r="Q25" s="44" t="s">
        <v>212</v>
      </c>
    </row>
    <row r="26" spans="1:17">
      <c r="A26" s="13">
        <f t="shared" si="5"/>
        <v>46135</v>
      </c>
      <c r="B26" s="27">
        <v>8261</v>
      </c>
      <c r="C26" s="46">
        <v>6623</v>
      </c>
      <c r="D26" s="233">
        <v>8059</v>
      </c>
      <c r="E26" s="50">
        <v>7980</v>
      </c>
      <c r="F26" s="88">
        <f t="shared" si="0"/>
        <v>0.20489204288086971</v>
      </c>
      <c r="G26" s="2">
        <f t="shared" si="1"/>
        <v>0.25003102506825514</v>
      </c>
      <c r="H26" s="2">
        <f t="shared" si="2"/>
        <v>0.29848148148148146</v>
      </c>
      <c r="I26" s="43">
        <v>7.13</v>
      </c>
      <c r="J26" s="44">
        <v>7.02</v>
      </c>
      <c r="K26" s="88">
        <f t="shared" si="3"/>
        <v>-1.5427769985974799E-2</v>
      </c>
      <c r="L26" s="40">
        <f t="shared" si="4"/>
        <v>0.85480692331027408</v>
      </c>
      <c r="M26" s="48">
        <v>1</v>
      </c>
      <c r="N26" s="48">
        <v>0.9597</v>
      </c>
      <c r="O26" s="44">
        <v>496</v>
      </c>
      <c r="P26" s="44">
        <v>0</v>
      </c>
      <c r="Q26" s="44" t="s">
        <v>213</v>
      </c>
    </row>
    <row r="27" spans="1:17">
      <c r="A27" s="13">
        <f t="shared" si="5"/>
        <v>46136</v>
      </c>
      <c r="B27" s="27">
        <v>8261</v>
      </c>
      <c r="C27" s="46">
        <v>6623</v>
      </c>
      <c r="D27" s="233">
        <v>8086</v>
      </c>
      <c r="E27" s="50">
        <v>7950</v>
      </c>
      <c r="F27" s="88">
        <f t="shared" si="0"/>
        <v>0.20036237354673109</v>
      </c>
      <c r="G27" s="2">
        <f t="shared" si="1"/>
        <v>0.25086870191114419</v>
      </c>
      <c r="H27" s="2">
        <f t="shared" si="2"/>
        <v>0.29948148148148146</v>
      </c>
      <c r="I27" s="43">
        <v>7.13</v>
      </c>
      <c r="J27" s="44">
        <v>6.83</v>
      </c>
      <c r="K27" s="88">
        <f t="shared" si="3"/>
        <v>-4.2075736325385672E-2</v>
      </c>
      <c r="L27" s="40">
        <f t="shared" si="4"/>
        <v>0.88152984566141446</v>
      </c>
      <c r="M27" s="48">
        <v>1</v>
      </c>
      <c r="N27" s="48">
        <v>0.9778</v>
      </c>
      <c r="O27" s="44">
        <v>293</v>
      </c>
      <c r="P27" s="44">
        <v>0</v>
      </c>
      <c r="Q27" s="44" t="s">
        <v>213</v>
      </c>
    </row>
    <row r="28" spans="1:17">
      <c r="A28" s="13">
        <f t="shared" si="5"/>
        <v>46137</v>
      </c>
      <c r="B28" s="27">
        <v>8261</v>
      </c>
      <c r="C28" s="46">
        <v>6623</v>
      </c>
      <c r="D28" s="233">
        <v>8131</v>
      </c>
      <c r="E28" s="50">
        <v>8070</v>
      </c>
      <c r="F28" s="88">
        <f t="shared" si="0"/>
        <v>0.21848105088328551</v>
      </c>
      <c r="G28" s="2">
        <f t="shared" si="1"/>
        <v>0.25226482998262595</v>
      </c>
      <c r="H28" s="2">
        <f t="shared" si="2"/>
        <v>0.30114814814814816</v>
      </c>
      <c r="I28" s="43">
        <v>7.13</v>
      </c>
      <c r="J28" s="6">
        <v>6.86</v>
      </c>
      <c r="K28" s="88">
        <f t="shared" si="3"/>
        <v>-3.7868162692847068E-2</v>
      </c>
      <c r="L28" s="40">
        <f t="shared" si="4"/>
        <v>0.88255917195087807</v>
      </c>
      <c r="M28" s="25">
        <v>1</v>
      </c>
      <c r="N28" s="25">
        <v>1</v>
      </c>
      <c r="O28" s="6">
        <v>0</v>
      </c>
      <c r="P28" s="44">
        <v>0</v>
      </c>
      <c r="Q28" s="44"/>
    </row>
    <row r="29" spans="1:17">
      <c r="A29" s="13">
        <f t="shared" si="5"/>
        <v>46138</v>
      </c>
      <c r="B29" s="27">
        <v>8261</v>
      </c>
      <c r="C29" s="46">
        <v>6623</v>
      </c>
      <c r="D29" s="233">
        <v>8293</v>
      </c>
      <c r="E29" s="50">
        <v>8220</v>
      </c>
      <c r="F29" s="88">
        <f t="shared" si="0"/>
        <v>0.24112939755397855</v>
      </c>
      <c r="G29" s="2">
        <f t="shared" si="1"/>
        <v>0.25729089103996028</v>
      </c>
      <c r="H29" s="2">
        <f t="shared" si="2"/>
        <v>0.30714814814814817</v>
      </c>
      <c r="I29" s="43">
        <v>7.13</v>
      </c>
      <c r="J29" s="6">
        <v>7</v>
      </c>
      <c r="K29" s="88">
        <f t="shared" si="3"/>
        <v>-1.8232819074333786E-2</v>
      </c>
      <c r="L29" s="40">
        <f t="shared" si="4"/>
        <v>0.88214019785129238</v>
      </c>
      <c r="M29" s="25">
        <v>1</v>
      </c>
      <c r="N29" s="25">
        <v>1</v>
      </c>
      <c r="O29" s="6">
        <v>0</v>
      </c>
      <c r="P29" s="44">
        <v>0</v>
      </c>
      <c r="Q29" s="44"/>
    </row>
    <row r="30" spans="1:17">
      <c r="A30" s="13">
        <f t="shared" si="5"/>
        <v>46139</v>
      </c>
      <c r="B30" s="27">
        <v>8261</v>
      </c>
      <c r="C30" s="46">
        <v>6623</v>
      </c>
      <c r="D30" s="50"/>
      <c r="E30" s="50"/>
      <c r="F30" s="88">
        <f t="shared" si="0"/>
        <v>0</v>
      </c>
      <c r="G30" s="2">
        <f t="shared" si="1"/>
        <v>0</v>
      </c>
      <c r="H30" s="2">
        <f t="shared" si="2"/>
        <v>0</v>
      </c>
      <c r="I30" s="43">
        <v>7.13</v>
      </c>
      <c r="J30" s="6"/>
      <c r="K30" s="88">
        <f t="shared" si="3"/>
        <v>0</v>
      </c>
      <c r="L30" s="40" t="e">
        <f t="shared" si="4"/>
        <v>#DIV/0!</v>
      </c>
      <c r="M30" s="6"/>
      <c r="N30" s="6"/>
      <c r="O30" s="6"/>
      <c r="P30" s="6"/>
      <c r="Q30" s="44"/>
    </row>
    <row r="31" spans="1:17">
      <c r="A31" s="13">
        <f t="shared" si="5"/>
        <v>46140</v>
      </c>
      <c r="B31" s="27">
        <v>8261</v>
      </c>
      <c r="C31" s="46">
        <v>6623</v>
      </c>
      <c r="D31" s="50"/>
      <c r="E31" s="50"/>
      <c r="F31" s="88">
        <f t="shared" si="0"/>
        <v>0</v>
      </c>
      <c r="G31" s="2">
        <f t="shared" si="1"/>
        <v>0</v>
      </c>
      <c r="H31" s="2">
        <f t="shared" si="2"/>
        <v>0</v>
      </c>
      <c r="I31" s="43">
        <v>7.13</v>
      </c>
      <c r="J31" s="6"/>
      <c r="K31" s="88">
        <f t="shared" si="3"/>
        <v>0</v>
      </c>
      <c r="L31" s="40" t="e">
        <f t="shared" si="4"/>
        <v>#DIV/0!</v>
      </c>
      <c r="M31" s="6"/>
      <c r="N31" s="6"/>
      <c r="O31" s="6"/>
      <c r="P31" s="6"/>
      <c r="Q31" s="44"/>
    </row>
    <row r="32" spans="1:17">
      <c r="A32" s="13">
        <f t="shared" si="5"/>
        <v>46141</v>
      </c>
      <c r="B32" s="27">
        <v>8261</v>
      </c>
      <c r="C32" s="46">
        <v>6623</v>
      </c>
      <c r="D32" s="50"/>
      <c r="E32" s="50"/>
      <c r="F32" s="88">
        <f t="shared" si="0"/>
        <v>0</v>
      </c>
      <c r="G32" s="2">
        <f t="shared" si="1"/>
        <v>0</v>
      </c>
      <c r="H32" s="2">
        <f t="shared" si="2"/>
        <v>0</v>
      </c>
      <c r="I32" s="43">
        <v>7.13</v>
      </c>
      <c r="J32" s="6"/>
      <c r="K32" s="88">
        <f t="shared" si="3"/>
        <v>0</v>
      </c>
      <c r="L32" s="40" t="e">
        <f t="shared" si="4"/>
        <v>#DIV/0!</v>
      </c>
      <c r="M32" s="6"/>
      <c r="N32" s="6"/>
      <c r="O32" s="6"/>
      <c r="P32" s="6"/>
      <c r="Q32" s="44"/>
    </row>
    <row r="33" spans="1:17">
      <c r="A33" s="13">
        <f t="shared" si="5"/>
        <v>46142</v>
      </c>
      <c r="B33" s="27">
        <v>8261</v>
      </c>
      <c r="C33" s="46">
        <v>6623</v>
      </c>
      <c r="D33" s="50"/>
      <c r="E33" s="50"/>
      <c r="F33" s="88">
        <f t="shared" si="0"/>
        <v>0</v>
      </c>
      <c r="G33" s="2">
        <f t="shared" si="1"/>
        <v>0</v>
      </c>
      <c r="H33" s="2">
        <f t="shared" si="2"/>
        <v>0</v>
      </c>
      <c r="I33" s="43">
        <v>7.13</v>
      </c>
      <c r="J33" s="6"/>
      <c r="K33" s="88">
        <f t="shared" si="3"/>
        <v>0</v>
      </c>
      <c r="L33" s="40" t="e">
        <f t="shared" si="4"/>
        <v>#DIV/0!</v>
      </c>
      <c r="M33" s="6"/>
      <c r="N33" s="6"/>
      <c r="O33" s="6"/>
      <c r="P33" s="6"/>
      <c r="Q33" s="44"/>
    </row>
    <row r="34" spans="1:17">
      <c r="A34" s="349">
        <v>46113</v>
      </c>
      <c r="B34" s="89">
        <f>SUM(B4:B33)</f>
        <v>247830</v>
      </c>
      <c r="C34" s="89">
        <f>SUM(C4:C33)</f>
        <v>198690</v>
      </c>
      <c r="D34" s="89">
        <f>SUM(D4:D33)</f>
        <v>192241</v>
      </c>
      <c r="E34" s="89">
        <f>SUM(E4:E33)</f>
        <v>190185</v>
      </c>
      <c r="F34" s="160">
        <f t="shared" si="0"/>
        <v>-4.2805375207609846E-2</v>
      </c>
      <c r="G34" s="90">
        <f>AVERAGE(G4:G33)</f>
        <v>0.19880967154794407</v>
      </c>
      <c r="H34" s="90">
        <f>AVERAGE(H4:H33)</f>
        <v>0.23733456790123456</v>
      </c>
      <c r="I34" s="89">
        <f>SUM(I4:I33)</f>
        <v>213.89999999999992</v>
      </c>
      <c r="J34" s="89">
        <f>SUM(J4:J33)</f>
        <v>176.35000000000008</v>
      </c>
      <c r="K34" s="160">
        <f t="shared" si="3"/>
        <v>-0.17554932211313631</v>
      </c>
      <c r="L34" s="161">
        <f t="shared" si="4"/>
        <v>0.81169812029781496</v>
      </c>
      <c r="M34" s="90">
        <f>AVERAGE(M4:M33)</f>
        <v>1</v>
      </c>
      <c r="N34" s="90">
        <f>AVERAGE(N4:N33)</f>
        <v>0.94355</v>
      </c>
      <c r="O34" s="89">
        <f>SUM(O4:O33)</f>
        <v>15812</v>
      </c>
      <c r="P34" s="89">
        <f>SUM(P4:P33)</f>
        <v>0</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233"/>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233"/>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AB83-3888-472C-950A-1DA7CCDAE181}">
  <dimension ref="A1:Q66"/>
  <sheetViews>
    <sheetView workbookViewId="0">
      <pane xSplit="2" ySplit="3" topLeftCell="C56" activePane="bottomRight" state="frozen"/>
      <selection pane="topRight"/>
      <selection pane="bottomLeft"/>
      <selection pane="bottomRight" activeCell="I67" sqref="I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214</v>
      </c>
      <c r="B1" s="406"/>
      <c r="C1" s="406"/>
      <c r="D1" s="406"/>
      <c r="E1" s="406"/>
      <c r="F1" s="406"/>
      <c r="G1" s="406"/>
      <c r="H1" s="406"/>
      <c r="I1" s="406"/>
      <c r="J1" s="406"/>
      <c r="K1" s="406"/>
      <c r="L1" s="406"/>
      <c r="M1" s="406"/>
      <c r="N1" s="406"/>
      <c r="O1" s="406"/>
      <c r="P1" s="406"/>
      <c r="Q1" s="406"/>
    </row>
    <row r="2" spans="1:17" ht="18.5">
      <c r="A2" s="7">
        <v>46113</v>
      </c>
      <c r="B2" s="407" t="s">
        <v>172</v>
      </c>
      <c r="C2" s="408"/>
      <c r="D2" s="8">
        <v>1500</v>
      </c>
      <c r="E2" s="407" t="s">
        <v>173</v>
      </c>
      <c r="F2" s="407"/>
      <c r="G2" s="408"/>
      <c r="H2" s="8">
        <v>1200</v>
      </c>
      <c r="I2" s="409" t="s">
        <v>174</v>
      </c>
      <c r="J2" s="410"/>
      <c r="K2" s="85">
        <v>44827</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7895</v>
      </c>
      <c r="C4" s="39">
        <v>7130</v>
      </c>
      <c r="D4" s="232">
        <v>7411</v>
      </c>
      <c r="E4" s="49">
        <v>7320</v>
      </c>
      <c r="F4" s="88">
        <f t="shared" ref="F4:F35" si="0">(IF(ISBLANK(E4),0,E4-C4))/C4</f>
        <v>2.6647966339410939E-2</v>
      </c>
      <c r="G4" s="2">
        <f t="shared" ref="G4:G33" si="1">D4/($D$2*24)</f>
        <v>0.20586111111111111</v>
      </c>
      <c r="H4" s="2">
        <f t="shared" ref="H4:H33" si="2">D4/($H$2*24)</f>
        <v>0.25732638888888887</v>
      </c>
      <c r="I4" s="36">
        <v>6.85</v>
      </c>
      <c r="J4" s="37">
        <v>6.58</v>
      </c>
      <c r="K4" s="88">
        <f t="shared" ref="K4:K35" si="3">(IF(ISBLANK(J4),0,J4-I4))/I4</f>
        <v>-3.9416058394160521E-2</v>
      </c>
      <c r="L4" s="40">
        <f t="shared" ref="L4:L35" si="4">D4/($D$2*J4)</f>
        <v>0.75086119554204656</v>
      </c>
      <c r="M4" s="41">
        <v>1</v>
      </c>
      <c r="N4" s="41">
        <v>0.94130000000000003</v>
      </c>
      <c r="O4" s="37">
        <v>732</v>
      </c>
      <c r="P4" s="37">
        <v>0</v>
      </c>
      <c r="Q4" s="37" t="s">
        <v>213</v>
      </c>
    </row>
    <row r="5" spans="1:17">
      <c r="A5" s="13">
        <f t="shared" ref="A5:A33" si="5">A4+1</f>
        <v>46114</v>
      </c>
      <c r="B5" s="27">
        <v>7895</v>
      </c>
      <c r="C5" s="46">
        <v>7130</v>
      </c>
      <c r="D5" s="233">
        <v>7364</v>
      </c>
      <c r="E5" s="50">
        <v>7365</v>
      </c>
      <c r="F5" s="88">
        <f t="shared" si="0"/>
        <v>3.2959326788218793E-2</v>
      </c>
      <c r="G5" s="2">
        <f t="shared" si="1"/>
        <v>0.20455555555555555</v>
      </c>
      <c r="H5" s="2">
        <f t="shared" si="2"/>
        <v>0.25569444444444445</v>
      </c>
      <c r="I5" s="43">
        <v>6.85</v>
      </c>
      <c r="J5" s="44">
        <v>6.49</v>
      </c>
      <c r="K5" s="88">
        <f t="shared" si="3"/>
        <v>-5.2554744525547363E-2</v>
      </c>
      <c r="L5" s="40">
        <f t="shared" si="4"/>
        <v>0.75644581407293277</v>
      </c>
      <c r="M5" s="48">
        <v>1</v>
      </c>
      <c r="N5" s="48">
        <v>0.96919999999999995</v>
      </c>
      <c r="O5" s="44">
        <v>399</v>
      </c>
      <c r="P5" s="44">
        <v>0</v>
      </c>
      <c r="Q5" s="44" t="s">
        <v>215</v>
      </c>
    </row>
    <row r="6" spans="1:17">
      <c r="A6" s="13">
        <f t="shared" si="5"/>
        <v>46115</v>
      </c>
      <c r="B6" s="27">
        <v>7895</v>
      </c>
      <c r="C6" s="46">
        <v>7130</v>
      </c>
      <c r="D6" s="233">
        <v>5974</v>
      </c>
      <c r="E6" s="50">
        <v>6000</v>
      </c>
      <c r="F6" s="88">
        <f t="shared" si="0"/>
        <v>-0.15848527349228611</v>
      </c>
      <c r="G6" s="2">
        <f t="shared" si="1"/>
        <v>0.16594444444444445</v>
      </c>
      <c r="H6" s="2">
        <f t="shared" si="2"/>
        <v>0.20743055555555556</v>
      </c>
      <c r="I6" s="43">
        <v>6.85</v>
      </c>
      <c r="J6" s="44">
        <v>5.01</v>
      </c>
      <c r="K6" s="88">
        <f t="shared" si="3"/>
        <v>-0.2686131386861314</v>
      </c>
      <c r="L6" s="40">
        <f t="shared" si="4"/>
        <v>0.79494344644045245</v>
      </c>
      <c r="M6" s="48">
        <v>1</v>
      </c>
      <c r="N6" s="48">
        <v>1</v>
      </c>
      <c r="O6" s="44">
        <v>0</v>
      </c>
      <c r="P6" s="44">
        <v>0</v>
      </c>
      <c r="Q6" s="44"/>
    </row>
    <row r="7" spans="1:17">
      <c r="A7" s="13">
        <f t="shared" si="5"/>
        <v>46116</v>
      </c>
      <c r="B7" s="27">
        <v>7895</v>
      </c>
      <c r="C7" s="46">
        <v>7130</v>
      </c>
      <c r="D7" s="233">
        <v>7157</v>
      </c>
      <c r="E7" s="50">
        <v>7155</v>
      </c>
      <c r="F7" s="88">
        <f t="shared" si="0"/>
        <v>3.5063113604488078E-3</v>
      </c>
      <c r="G7" s="2">
        <f t="shared" si="1"/>
        <v>0.19880555555555557</v>
      </c>
      <c r="H7" s="2">
        <f t="shared" si="2"/>
        <v>0.24850694444444443</v>
      </c>
      <c r="I7" s="43">
        <v>6.85</v>
      </c>
      <c r="J7" s="44">
        <v>7.05</v>
      </c>
      <c r="K7" s="88">
        <f t="shared" si="3"/>
        <v>2.919708029197083E-2</v>
      </c>
      <c r="L7" s="40">
        <f t="shared" si="4"/>
        <v>0.67678486997635934</v>
      </c>
      <c r="M7" s="48">
        <v>1</v>
      </c>
      <c r="N7" s="48">
        <v>0.90210000000000001</v>
      </c>
      <c r="O7" s="44">
        <v>1104</v>
      </c>
      <c r="P7" s="44">
        <v>0</v>
      </c>
      <c r="Q7" s="44" t="s">
        <v>204</v>
      </c>
    </row>
    <row r="8" spans="1:17">
      <c r="A8" s="13">
        <f t="shared" si="5"/>
        <v>46117</v>
      </c>
      <c r="B8" s="27">
        <v>7895</v>
      </c>
      <c r="C8" s="46">
        <v>7130</v>
      </c>
      <c r="D8" s="233">
        <v>7913</v>
      </c>
      <c r="E8" s="50">
        <v>7890</v>
      </c>
      <c r="F8" s="88">
        <f t="shared" si="0"/>
        <v>0.10659186535764376</v>
      </c>
      <c r="G8" s="2">
        <f t="shared" si="1"/>
        <v>0.21980555555555556</v>
      </c>
      <c r="H8" s="2">
        <f t="shared" si="2"/>
        <v>0.27475694444444443</v>
      </c>
      <c r="I8" s="43">
        <v>6.85</v>
      </c>
      <c r="J8" s="44">
        <v>6.74</v>
      </c>
      <c r="K8" s="88">
        <f t="shared" si="3"/>
        <v>-1.6058394160583859E-2</v>
      </c>
      <c r="L8" s="40">
        <f t="shared" si="4"/>
        <v>0.78269040553907021</v>
      </c>
      <c r="M8" s="48">
        <v>1</v>
      </c>
      <c r="N8" s="48">
        <v>0.95799999999999996</v>
      </c>
      <c r="O8" s="44">
        <v>478</v>
      </c>
      <c r="P8" s="44">
        <v>0</v>
      </c>
      <c r="Q8" s="44" t="s">
        <v>205</v>
      </c>
    </row>
    <row r="9" spans="1:17">
      <c r="A9" s="13">
        <f t="shared" si="5"/>
        <v>46118</v>
      </c>
      <c r="B9" s="27">
        <v>7895</v>
      </c>
      <c r="C9" s="46">
        <v>7130</v>
      </c>
      <c r="D9" s="233">
        <v>8048</v>
      </c>
      <c r="E9" s="50">
        <v>8025</v>
      </c>
      <c r="F9" s="88">
        <f t="shared" si="0"/>
        <v>0.12552594670406733</v>
      </c>
      <c r="G9" s="2">
        <f t="shared" si="1"/>
        <v>0.22355555555555556</v>
      </c>
      <c r="H9" s="2">
        <f t="shared" si="2"/>
        <v>0.27944444444444444</v>
      </c>
      <c r="I9" s="43">
        <v>6.85</v>
      </c>
      <c r="J9" s="44">
        <v>7.18</v>
      </c>
      <c r="K9" s="88">
        <f t="shared" si="3"/>
        <v>4.8175182481751837E-2</v>
      </c>
      <c r="L9" s="40">
        <f t="shared" si="4"/>
        <v>0.7472609099350046</v>
      </c>
      <c r="M9" s="48">
        <v>1</v>
      </c>
      <c r="N9" s="48">
        <v>0.90490000000000004</v>
      </c>
      <c r="O9" s="44">
        <v>1058</v>
      </c>
      <c r="P9" s="44">
        <v>0</v>
      </c>
      <c r="Q9" s="44" t="s">
        <v>205</v>
      </c>
    </row>
    <row r="10" spans="1:17">
      <c r="A10" s="13">
        <f t="shared" si="5"/>
        <v>46119</v>
      </c>
      <c r="B10" s="27">
        <v>7895</v>
      </c>
      <c r="C10" s="46">
        <v>7130</v>
      </c>
      <c r="D10" s="233">
        <v>4734</v>
      </c>
      <c r="E10" s="50">
        <v>4680</v>
      </c>
      <c r="F10" s="88">
        <f t="shared" si="0"/>
        <v>-0.34361851332398319</v>
      </c>
      <c r="G10" s="2">
        <f t="shared" si="1"/>
        <v>0.13150000000000001</v>
      </c>
      <c r="H10" s="2">
        <f t="shared" si="2"/>
        <v>0.16437499999999999</v>
      </c>
      <c r="I10" s="43">
        <v>6.85</v>
      </c>
      <c r="J10" s="44">
        <v>5.0599999999999996</v>
      </c>
      <c r="K10" s="88">
        <f t="shared" si="3"/>
        <v>-0.26131386861313871</v>
      </c>
      <c r="L10" s="40">
        <f t="shared" si="4"/>
        <v>0.62371541501976291</v>
      </c>
      <c r="M10" s="48">
        <v>1</v>
      </c>
      <c r="N10" s="48">
        <v>0.86939999999999995</v>
      </c>
      <c r="O10" s="44">
        <v>1251</v>
      </c>
      <c r="P10" s="44">
        <v>0</v>
      </c>
      <c r="Q10" s="44" t="s">
        <v>216</v>
      </c>
    </row>
    <row r="11" spans="1:17">
      <c r="A11" s="13">
        <f t="shared" si="5"/>
        <v>46120</v>
      </c>
      <c r="B11" s="27">
        <v>7895</v>
      </c>
      <c r="C11" s="46">
        <v>7130</v>
      </c>
      <c r="D11" s="233">
        <v>6082</v>
      </c>
      <c r="E11" s="50">
        <v>6045</v>
      </c>
      <c r="F11" s="88">
        <f t="shared" si="0"/>
        <v>-0.15217391304347827</v>
      </c>
      <c r="G11" s="2">
        <f t="shared" si="1"/>
        <v>0.16894444444444445</v>
      </c>
      <c r="H11" s="2">
        <f t="shared" si="2"/>
        <v>0.21118055555555557</v>
      </c>
      <c r="I11" s="43">
        <v>6.85</v>
      </c>
      <c r="J11" s="44">
        <v>6.5</v>
      </c>
      <c r="K11" s="88">
        <f t="shared" si="3"/>
        <v>-5.1094890510948857E-2</v>
      </c>
      <c r="L11" s="40">
        <f t="shared" si="4"/>
        <v>0.62379487179487181</v>
      </c>
      <c r="M11" s="48">
        <v>1</v>
      </c>
      <c r="N11" s="48">
        <v>0.8125</v>
      </c>
      <c r="O11" s="44">
        <v>1825</v>
      </c>
      <c r="P11" s="44">
        <v>0</v>
      </c>
      <c r="Q11" s="44" t="s">
        <v>217</v>
      </c>
    </row>
    <row r="12" spans="1:17">
      <c r="A12" s="13">
        <f t="shared" si="5"/>
        <v>46121</v>
      </c>
      <c r="B12" s="27">
        <v>7895</v>
      </c>
      <c r="C12" s="46">
        <v>7130</v>
      </c>
      <c r="D12" s="233">
        <v>7185</v>
      </c>
      <c r="E12" s="50">
        <v>7215</v>
      </c>
      <c r="F12" s="88">
        <f t="shared" si="0"/>
        <v>1.1921458625525946E-2</v>
      </c>
      <c r="G12" s="2">
        <f t="shared" si="1"/>
        <v>0.19958333333333333</v>
      </c>
      <c r="H12" s="2">
        <f t="shared" si="2"/>
        <v>0.24947916666666667</v>
      </c>
      <c r="I12" s="43">
        <v>6.85</v>
      </c>
      <c r="J12" s="44">
        <v>6.6</v>
      </c>
      <c r="K12" s="88">
        <f t="shared" si="3"/>
        <v>-3.6496350364963508E-2</v>
      </c>
      <c r="L12" s="40">
        <f t="shared" si="4"/>
        <v>0.72575757575757571</v>
      </c>
      <c r="M12" s="48">
        <v>1</v>
      </c>
      <c r="N12" s="48">
        <v>0.91390000000000005</v>
      </c>
      <c r="O12" s="44">
        <v>1059</v>
      </c>
      <c r="P12" s="44">
        <v>0</v>
      </c>
      <c r="Q12" s="44" t="s">
        <v>218</v>
      </c>
    </row>
    <row r="13" spans="1:17">
      <c r="A13" s="13">
        <f t="shared" si="5"/>
        <v>46122</v>
      </c>
      <c r="B13" s="27">
        <v>7895</v>
      </c>
      <c r="C13" s="46">
        <v>7130</v>
      </c>
      <c r="D13" s="233">
        <v>7593</v>
      </c>
      <c r="E13" s="50">
        <v>7530</v>
      </c>
      <c r="F13" s="88">
        <f t="shared" si="0"/>
        <v>5.6100981767180924E-2</v>
      </c>
      <c r="G13" s="2">
        <f t="shared" si="1"/>
        <v>0.21091666666666667</v>
      </c>
      <c r="H13" s="2">
        <f t="shared" si="2"/>
        <v>0.26364583333333336</v>
      </c>
      <c r="I13" s="43">
        <v>6.85</v>
      </c>
      <c r="J13" s="44">
        <v>7</v>
      </c>
      <c r="K13" s="88">
        <f t="shared" si="3"/>
        <v>2.1897810218978155E-2</v>
      </c>
      <c r="L13" s="40">
        <f t="shared" si="4"/>
        <v>0.7231428571428572</v>
      </c>
      <c r="M13" s="48">
        <v>1</v>
      </c>
      <c r="N13" s="48">
        <v>0.95279999999999998</v>
      </c>
      <c r="O13" s="44">
        <v>580</v>
      </c>
      <c r="P13" s="44">
        <v>0</v>
      </c>
      <c r="Q13" s="44" t="s">
        <v>219</v>
      </c>
    </row>
    <row r="14" spans="1:17">
      <c r="A14" s="13">
        <f t="shared" si="5"/>
        <v>46123</v>
      </c>
      <c r="B14" s="27">
        <v>7895</v>
      </c>
      <c r="C14" s="46">
        <v>7130</v>
      </c>
      <c r="D14" s="233">
        <v>8003</v>
      </c>
      <c r="E14" s="50">
        <v>8040</v>
      </c>
      <c r="F14" s="88">
        <f t="shared" si="0"/>
        <v>0.1276297335203366</v>
      </c>
      <c r="G14" s="2">
        <f t="shared" si="1"/>
        <v>0.22230555555555556</v>
      </c>
      <c r="H14" s="2">
        <f t="shared" si="2"/>
        <v>0.27788194444444442</v>
      </c>
      <c r="I14" s="43">
        <v>6.85</v>
      </c>
      <c r="J14" s="44">
        <v>6.85</v>
      </c>
      <c r="K14" s="88">
        <f t="shared" si="3"/>
        <v>0</v>
      </c>
      <c r="L14" s="40">
        <f t="shared" si="4"/>
        <v>0.77888077858880778</v>
      </c>
      <c r="M14" s="48">
        <v>1</v>
      </c>
      <c r="N14" s="48">
        <v>1</v>
      </c>
      <c r="O14" s="44">
        <v>0</v>
      </c>
      <c r="P14" s="44">
        <v>0</v>
      </c>
      <c r="Q14" s="44"/>
    </row>
    <row r="15" spans="1:17">
      <c r="A15" s="13">
        <f t="shared" si="5"/>
        <v>46124</v>
      </c>
      <c r="B15" s="27">
        <v>7895</v>
      </c>
      <c r="C15" s="46">
        <v>7130</v>
      </c>
      <c r="D15" s="233">
        <v>8171</v>
      </c>
      <c r="E15" s="50">
        <v>8115</v>
      </c>
      <c r="F15" s="88">
        <f t="shared" si="0"/>
        <v>0.13814866760168304</v>
      </c>
      <c r="G15" s="2">
        <f t="shared" si="1"/>
        <v>0.22697222222222221</v>
      </c>
      <c r="H15" s="2">
        <f t="shared" si="2"/>
        <v>0.28371527777777777</v>
      </c>
      <c r="I15" s="43">
        <v>6.85</v>
      </c>
      <c r="J15" s="44">
        <v>6.87</v>
      </c>
      <c r="K15" s="88">
        <f t="shared" si="3"/>
        <v>2.9197080291971478E-3</v>
      </c>
      <c r="L15" s="40">
        <f t="shared" si="4"/>
        <v>0.79291606016496852</v>
      </c>
      <c r="M15" s="48">
        <v>1</v>
      </c>
      <c r="N15" s="48">
        <v>1</v>
      </c>
      <c r="O15" s="44">
        <v>0</v>
      </c>
      <c r="P15" s="44">
        <v>0</v>
      </c>
      <c r="Q15" s="44"/>
    </row>
    <row r="16" spans="1:17">
      <c r="A16" s="13">
        <f t="shared" si="5"/>
        <v>46125</v>
      </c>
      <c r="B16" s="27">
        <v>7895</v>
      </c>
      <c r="C16" s="46">
        <v>7130</v>
      </c>
      <c r="D16" s="233">
        <v>7966</v>
      </c>
      <c r="E16" s="50">
        <v>7965</v>
      </c>
      <c r="F16" s="88">
        <f t="shared" si="0"/>
        <v>0.11711079943899018</v>
      </c>
      <c r="G16" s="2">
        <f t="shared" si="1"/>
        <v>0.22127777777777777</v>
      </c>
      <c r="H16" s="2">
        <f t="shared" si="2"/>
        <v>0.27659722222222222</v>
      </c>
      <c r="I16" s="43">
        <v>6.85</v>
      </c>
      <c r="J16" s="44">
        <v>6.78</v>
      </c>
      <c r="K16" s="88">
        <f t="shared" si="3"/>
        <v>-1.0218978102189693E-2</v>
      </c>
      <c r="L16" s="40">
        <f t="shared" si="4"/>
        <v>0.78328416912487708</v>
      </c>
      <c r="M16" s="48">
        <v>1</v>
      </c>
      <c r="N16" s="48">
        <v>1</v>
      </c>
      <c r="O16" s="44">
        <v>0</v>
      </c>
      <c r="P16" s="44">
        <v>0</v>
      </c>
      <c r="Q16" s="44"/>
    </row>
    <row r="17" spans="1:17">
      <c r="A17" s="13">
        <f t="shared" si="5"/>
        <v>46126</v>
      </c>
      <c r="B17" s="27">
        <v>7895</v>
      </c>
      <c r="C17" s="46">
        <v>7130</v>
      </c>
      <c r="D17" s="233">
        <v>8258</v>
      </c>
      <c r="E17" s="50">
        <v>8235</v>
      </c>
      <c r="F17" s="88">
        <f t="shared" si="0"/>
        <v>0.15497896213183732</v>
      </c>
      <c r="G17" s="2">
        <f t="shared" si="1"/>
        <v>0.22938888888888889</v>
      </c>
      <c r="H17" s="2">
        <f t="shared" si="2"/>
        <v>0.28673611111111114</v>
      </c>
      <c r="I17" s="43">
        <v>6.85</v>
      </c>
      <c r="J17" s="44">
        <v>7.04</v>
      </c>
      <c r="K17" s="88">
        <f t="shared" si="3"/>
        <v>2.773722627737232E-2</v>
      </c>
      <c r="L17" s="40">
        <f t="shared" si="4"/>
        <v>0.78200757575757573</v>
      </c>
      <c r="M17" s="48">
        <v>1</v>
      </c>
      <c r="N17" s="48">
        <v>1</v>
      </c>
      <c r="O17" s="44">
        <v>0</v>
      </c>
      <c r="P17" s="44">
        <v>0</v>
      </c>
      <c r="Q17" s="44"/>
    </row>
    <row r="18" spans="1:17">
      <c r="A18" s="13">
        <f t="shared" si="5"/>
        <v>46127</v>
      </c>
      <c r="B18" s="27">
        <v>7895</v>
      </c>
      <c r="C18" s="46">
        <v>7130</v>
      </c>
      <c r="D18" s="233">
        <v>8042</v>
      </c>
      <c r="E18" s="50">
        <v>8040</v>
      </c>
      <c r="F18" s="88">
        <f t="shared" si="0"/>
        <v>0.1276297335203366</v>
      </c>
      <c r="G18" s="2">
        <f t="shared" si="1"/>
        <v>0.22338888888888889</v>
      </c>
      <c r="H18" s="2">
        <f t="shared" si="2"/>
        <v>0.27923611111111113</v>
      </c>
      <c r="I18" s="43">
        <v>6.85</v>
      </c>
      <c r="J18" s="44">
        <v>6.84</v>
      </c>
      <c r="K18" s="88">
        <f t="shared" si="3"/>
        <v>-1.459854014598509E-3</v>
      </c>
      <c r="L18" s="40">
        <f t="shared" si="4"/>
        <v>0.7838206627680312</v>
      </c>
      <c r="M18" s="48">
        <v>1</v>
      </c>
      <c r="N18" s="48">
        <v>1</v>
      </c>
      <c r="O18" s="44">
        <v>0</v>
      </c>
      <c r="P18" s="44">
        <v>0</v>
      </c>
      <c r="Q18" s="44"/>
    </row>
    <row r="19" spans="1:17">
      <c r="A19" s="13">
        <f t="shared" si="5"/>
        <v>46128</v>
      </c>
      <c r="B19" s="27">
        <v>7895</v>
      </c>
      <c r="C19" s="46">
        <v>7130</v>
      </c>
      <c r="D19" s="233">
        <v>8166</v>
      </c>
      <c r="E19" s="50">
        <v>8160</v>
      </c>
      <c r="F19" s="88">
        <f t="shared" si="0"/>
        <v>0.14446002805049088</v>
      </c>
      <c r="G19" s="2">
        <f t="shared" si="1"/>
        <v>0.22683333333333333</v>
      </c>
      <c r="H19" s="2">
        <f t="shared" si="2"/>
        <v>0.28354166666666669</v>
      </c>
      <c r="I19" s="43">
        <v>6.85</v>
      </c>
      <c r="J19" s="44">
        <v>6.99</v>
      </c>
      <c r="K19" s="88">
        <f t="shared" si="3"/>
        <v>2.0437956204379645E-2</v>
      </c>
      <c r="L19" s="40">
        <f t="shared" si="4"/>
        <v>0.77882689556509299</v>
      </c>
      <c r="M19" s="48">
        <v>1</v>
      </c>
      <c r="N19" s="48">
        <v>1</v>
      </c>
      <c r="O19" s="44">
        <v>0</v>
      </c>
      <c r="P19" s="44">
        <v>0</v>
      </c>
      <c r="Q19" s="44"/>
    </row>
    <row r="20" spans="1:17">
      <c r="A20" s="13">
        <f t="shared" si="5"/>
        <v>46129</v>
      </c>
      <c r="B20" s="27">
        <v>7895</v>
      </c>
      <c r="C20" s="46">
        <v>7130</v>
      </c>
      <c r="D20" s="233">
        <v>8480</v>
      </c>
      <c r="E20" s="50">
        <v>8415</v>
      </c>
      <c r="F20" s="88">
        <f t="shared" si="0"/>
        <v>0.18022440392706873</v>
      </c>
      <c r="G20" s="2">
        <f t="shared" si="1"/>
        <v>0.23555555555555555</v>
      </c>
      <c r="H20" s="2">
        <f t="shared" si="2"/>
        <v>0.29444444444444445</v>
      </c>
      <c r="I20" s="43">
        <v>6.85</v>
      </c>
      <c r="J20" s="44">
        <v>7.18</v>
      </c>
      <c r="K20" s="88">
        <f t="shared" si="3"/>
        <v>4.8175182481751837E-2</v>
      </c>
      <c r="L20" s="40">
        <f t="shared" si="4"/>
        <v>0.78737233054781797</v>
      </c>
      <c r="M20" s="48">
        <v>1</v>
      </c>
      <c r="N20" s="48">
        <v>1</v>
      </c>
      <c r="O20" s="44">
        <v>0</v>
      </c>
      <c r="P20" s="44">
        <v>0</v>
      </c>
      <c r="Q20" s="44"/>
    </row>
    <row r="21" spans="1:17">
      <c r="A21" s="13">
        <f t="shared" si="5"/>
        <v>46130</v>
      </c>
      <c r="B21" s="27">
        <v>7895</v>
      </c>
      <c r="C21" s="46">
        <v>7130</v>
      </c>
      <c r="D21" s="233">
        <v>8408</v>
      </c>
      <c r="E21" s="50">
        <v>8430</v>
      </c>
      <c r="F21" s="88">
        <f t="shared" si="0"/>
        <v>0.182328190743338</v>
      </c>
      <c r="G21" s="2">
        <f t="shared" si="1"/>
        <v>0.23355555555555554</v>
      </c>
      <c r="H21" s="2">
        <f t="shared" si="2"/>
        <v>0.29194444444444445</v>
      </c>
      <c r="I21" s="43">
        <v>6.85</v>
      </c>
      <c r="J21" s="44">
        <v>7.26</v>
      </c>
      <c r="K21" s="88">
        <f t="shared" si="3"/>
        <v>5.9854014598540173E-2</v>
      </c>
      <c r="L21" s="40">
        <f t="shared" si="4"/>
        <v>0.7720844811753903</v>
      </c>
      <c r="M21" s="48">
        <v>1</v>
      </c>
      <c r="N21" s="48">
        <v>1</v>
      </c>
      <c r="O21" s="44">
        <v>0</v>
      </c>
      <c r="P21" s="44">
        <v>0</v>
      </c>
      <c r="Q21" s="44"/>
    </row>
    <row r="22" spans="1:17">
      <c r="A22" s="13">
        <f t="shared" si="5"/>
        <v>46131</v>
      </c>
      <c r="B22" s="27">
        <v>7895</v>
      </c>
      <c r="C22" s="46">
        <v>7130</v>
      </c>
      <c r="D22" s="233">
        <v>8372</v>
      </c>
      <c r="E22" s="50">
        <v>8355</v>
      </c>
      <c r="F22" s="88">
        <f t="shared" si="0"/>
        <v>0.17180925666199159</v>
      </c>
      <c r="G22" s="2">
        <f t="shared" si="1"/>
        <v>0.23255555555555554</v>
      </c>
      <c r="H22" s="2">
        <f t="shared" si="2"/>
        <v>0.29069444444444442</v>
      </c>
      <c r="I22" s="43">
        <v>6.85</v>
      </c>
      <c r="J22" s="44">
        <v>7.02</v>
      </c>
      <c r="K22" s="88">
        <f t="shared" si="3"/>
        <v>2.4817518248175175E-2</v>
      </c>
      <c r="L22" s="40">
        <f t="shared" si="4"/>
        <v>0.79506172839506173</v>
      </c>
      <c r="M22" s="48">
        <v>1</v>
      </c>
      <c r="N22" s="48">
        <v>1</v>
      </c>
      <c r="O22" s="44">
        <v>0</v>
      </c>
      <c r="P22" s="44">
        <v>0</v>
      </c>
      <c r="Q22" s="44"/>
    </row>
    <row r="23" spans="1:17">
      <c r="A23" s="13">
        <f t="shared" si="5"/>
        <v>46132</v>
      </c>
      <c r="B23" s="27">
        <v>7895</v>
      </c>
      <c r="C23" s="46">
        <v>7130</v>
      </c>
      <c r="D23" s="233">
        <v>8291</v>
      </c>
      <c r="E23" s="50">
        <v>8235</v>
      </c>
      <c r="F23" s="88">
        <f t="shared" si="0"/>
        <v>0.15497896213183732</v>
      </c>
      <c r="G23" s="2">
        <f t="shared" si="1"/>
        <v>0.23030555555555557</v>
      </c>
      <c r="H23" s="2">
        <f t="shared" si="2"/>
        <v>0.28788194444444443</v>
      </c>
      <c r="I23" s="43">
        <v>6.85</v>
      </c>
      <c r="J23" s="44">
        <v>7.11</v>
      </c>
      <c r="K23" s="88">
        <f t="shared" si="3"/>
        <v>3.7956204379562146E-2</v>
      </c>
      <c r="L23" s="40">
        <f t="shared" si="4"/>
        <v>0.77740271917487103</v>
      </c>
      <c r="M23" s="48">
        <v>1</v>
      </c>
      <c r="N23" s="48">
        <v>1</v>
      </c>
      <c r="O23" s="44">
        <v>0</v>
      </c>
      <c r="P23" s="44">
        <v>0</v>
      </c>
      <c r="Q23" s="44"/>
    </row>
    <row r="24" spans="1:17">
      <c r="A24" s="13">
        <f t="shared" si="5"/>
        <v>46133</v>
      </c>
      <c r="B24" s="27">
        <v>7895</v>
      </c>
      <c r="C24" s="46">
        <v>7130</v>
      </c>
      <c r="D24" s="233">
        <v>8457</v>
      </c>
      <c r="E24" s="50">
        <v>8460</v>
      </c>
      <c r="F24" s="88">
        <f t="shared" si="0"/>
        <v>0.18653576437587657</v>
      </c>
      <c r="G24" s="2">
        <f t="shared" si="1"/>
        <v>0.23491666666666666</v>
      </c>
      <c r="H24" s="2">
        <f t="shared" si="2"/>
        <v>0.29364583333333333</v>
      </c>
      <c r="I24" s="43">
        <v>6.85</v>
      </c>
      <c r="J24" s="44">
        <v>7.15</v>
      </c>
      <c r="K24" s="88">
        <f t="shared" si="3"/>
        <v>4.379562043795631E-2</v>
      </c>
      <c r="L24" s="40">
        <f t="shared" si="4"/>
        <v>0.78853146853146849</v>
      </c>
      <c r="M24" s="48">
        <v>1</v>
      </c>
      <c r="N24" s="48">
        <v>1</v>
      </c>
      <c r="O24" s="44">
        <v>0</v>
      </c>
      <c r="P24" s="44">
        <v>0</v>
      </c>
      <c r="Q24" s="44"/>
    </row>
    <row r="25" spans="1:17">
      <c r="A25" s="13">
        <f t="shared" si="5"/>
        <v>46134</v>
      </c>
      <c r="B25" s="27">
        <v>7895</v>
      </c>
      <c r="C25" s="46">
        <v>7130</v>
      </c>
      <c r="D25" s="233">
        <v>8494</v>
      </c>
      <c r="E25" s="50">
        <v>8475</v>
      </c>
      <c r="F25" s="88">
        <f t="shared" si="0"/>
        <v>0.18863955119214587</v>
      </c>
      <c r="G25" s="2">
        <f t="shared" si="1"/>
        <v>0.23594444444444446</v>
      </c>
      <c r="H25" s="2">
        <f t="shared" si="2"/>
        <v>0.29493055555555553</v>
      </c>
      <c r="I25" s="43">
        <v>6.85</v>
      </c>
      <c r="J25" s="44">
        <v>7.34</v>
      </c>
      <c r="K25" s="88">
        <f t="shared" si="3"/>
        <v>7.1532846715328502E-2</v>
      </c>
      <c r="L25" s="40">
        <f t="shared" si="4"/>
        <v>0.77148047229791095</v>
      </c>
      <c r="M25" s="48">
        <v>1</v>
      </c>
      <c r="N25" s="48">
        <v>1</v>
      </c>
      <c r="O25" s="44">
        <v>0</v>
      </c>
      <c r="P25" s="44">
        <v>0</v>
      </c>
      <c r="Q25" s="44"/>
    </row>
    <row r="26" spans="1:17">
      <c r="A26" s="13">
        <f t="shared" si="5"/>
        <v>46135</v>
      </c>
      <c r="B26" s="27">
        <v>7895</v>
      </c>
      <c r="C26" s="46">
        <v>7130</v>
      </c>
      <c r="D26" s="233">
        <v>8184</v>
      </c>
      <c r="E26" s="50">
        <v>8160</v>
      </c>
      <c r="F26" s="88">
        <f t="shared" si="0"/>
        <v>0.14446002805049088</v>
      </c>
      <c r="G26" s="2">
        <f t="shared" si="1"/>
        <v>0.22733333333333333</v>
      </c>
      <c r="H26" s="2">
        <f t="shared" si="2"/>
        <v>0.28416666666666668</v>
      </c>
      <c r="I26" s="43">
        <v>6.85</v>
      </c>
      <c r="J26" s="44">
        <v>7.02</v>
      </c>
      <c r="K26" s="88">
        <f t="shared" si="3"/>
        <v>2.4817518248175175E-2</v>
      </c>
      <c r="L26" s="40">
        <f t="shared" si="4"/>
        <v>0.77720797720797719</v>
      </c>
      <c r="M26" s="48">
        <v>1</v>
      </c>
      <c r="N26" s="48">
        <v>1</v>
      </c>
      <c r="O26" s="44">
        <v>0</v>
      </c>
      <c r="P26" s="44">
        <v>0</v>
      </c>
      <c r="Q26" s="44"/>
    </row>
    <row r="27" spans="1:17">
      <c r="A27" s="13">
        <f t="shared" si="5"/>
        <v>46136</v>
      </c>
      <c r="B27" s="27">
        <v>7895</v>
      </c>
      <c r="C27" s="46">
        <v>7130</v>
      </c>
      <c r="D27" s="233">
        <v>8126</v>
      </c>
      <c r="E27" s="50">
        <v>8085</v>
      </c>
      <c r="F27" s="88">
        <f t="shared" si="0"/>
        <v>0.13394109396914447</v>
      </c>
      <c r="G27" s="2">
        <f t="shared" si="1"/>
        <v>0.22572222222222221</v>
      </c>
      <c r="H27" s="2">
        <f t="shared" si="2"/>
        <v>0.28215277777777775</v>
      </c>
      <c r="I27" s="43">
        <v>6.85</v>
      </c>
      <c r="J27" s="44">
        <v>6.83</v>
      </c>
      <c r="K27" s="88">
        <f t="shared" si="3"/>
        <v>-2.9197080291970181E-3</v>
      </c>
      <c r="L27" s="40">
        <f t="shared" si="4"/>
        <v>0.79316739873108832</v>
      </c>
      <c r="M27" s="48">
        <v>1</v>
      </c>
      <c r="N27" s="48">
        <v>1</v>
      </c>
      <c r="O27" s="44">
        <v>0</v>
      </c>
      <c r="P27" s="44">
        <v>0</v>
      </c>
      <c r="Q27" s="44"/>
    </row>
    <row r="28" spans="1:17">
      <c r="A28" s="13">
        <f t="shared" si="5"/>
        <v>46137</v>
      </c>
      <c r="B28" s="27">
        <v>7895</v>
      </c>
      <c r="C28" s="46">
        <v>7130</v>
      </c>
      <c r="D28" s="233">
        <v>8173</v>
      </c>
      <c r="E28" s="50">
        <v>8160</v>
      </c>
      <c r="F28" s="88">
        <f t="shared" si="0"/>
        <v>0.14446002805049088</v>
      </c>
      <c r="G28" s="2">
        <f t="shared" si="1"/>
        <v>0.22702777777777777</v>
      </c>
      <c r="H28" s="2">
        <f t="shared" si="2"/>
        <v>0.28378472222222223</v>
      </c>
      <c r="I28" s="43">
        <v>6.85</v>
      </c>
      <c r="J28" s="6">
        <v>6.86</v>
      </c>
      <c r="K28" s="88">
        <f t="shared" si="3"/>
        <v>1.4598540145986387E-3</v>
      </c>
      <c r="L28" s="40">
        <f t="shared" si="4"/>
        <v>0.79426627793974736</v>
      </c>
      <c r="M28" s="25">
        <v>1</v>
      </c>
      <c r="N28" s="25">
        <v>1</v>
      </c>
      <c r="O28" s="6">
        <v>0</v>
      </c>
      <c r="P28" s="44">
        <v>0</v>
      </c>
      <c r="Q28" s="44"/>
    </row>
    <row r="29" spans="1:17">
      <c r="A29" s="13">
        <f t="shared" si="5"/>
        <v>46138</v>
      </c>
      <c r="B29" s="27">
        <v>7895</v>
      </c>
      <c r="C29" s="46">
        <v>7130</v>
      </c>
      <c r="D29" s="233">
        <v>8244</v>
      </c>
      <c r="E29" s="50">
        <v>8235</v>
      </c>
      <c r="F29" s="88">
        <f t="shared" si="0"/>
        <v>0.15497896213183732</v>
      </c>
      <c r="G29" s="2">
        <f t="shared" si="1"/>
        <v>0.22900000000000001</v>
      </c>
      <c r="H29" s="2">
        <f t="shared" si="2"/>
        <v>0.28625</v>
      </c>
      <c r="I29" s="43">
        <v>6.85</v>
      </c>
      <c r="J29" s="6">
        <v>7</v>
      </c>
      <c r="K29" s="88">
        <f t="shared" si="3"/>
        <v>2.1897810218978155E-2</v>
      </c>
      <c r="L29" s="40">
        <f t="shared" si="4"/>
        <v>0.78514285714285714</v>
      </c>
      <c r="M29" s="25">
        <v>1</v>
      </c>
      <c r="N29" s="25">
        <v>1</v>
      </c>
      <c r="O29" s="6">
        <v>0</v>
      </c>
      <c r="P29" s="44">
        <v>0</v>
      </c>
      <c r="Q29" s="44"/>
    </row>
    <row r="30" spans="1:17">
      <c r="A30" s="13">
        <f t="shared" si="5"/>
        <v>46139</v>
      </c>
      <c r="B30" s="27">
        <v>7895</v>
      </c>
      <c r="C30" s="46">
        <v>7130</v>
      </c>
      <c r="D30" s="50"/>
      <c r="E30" s="50"/>
      <c r="F30" s="88">
        <f t="shared" si="0"/>
        <v>0</v>
      </c>
      <c r="G30" s="2">
        <f t="shared" si="1"/>
        <v>0</v>
      </c>
      <c r="H30" s="2">
        <f t="shared" si="2"/>
        <v>0</v>
      </c>
      <c r="I30" s="43">
        <v>6.85</v>
      </c>
      <c r="J30" s="6"/>
      <c r="K30" s="88">
        <f t="shared" si="3"/>
        <v>0</v>
      </c>
      <c r="L30" s="40" t="e">
        <f t="shared" si="4"/>
        <v>#DIV/0!</v>
      </c>
      <c r="M30" s="6"/>
      <c r="N30" s="6"/>
      <c r="O30" s="6"/>
      <c r="P30" s="6"/>
      <c r="Q30" s="44"/>
    </row>
    <row r="31" spans="1:17">
      <c r="A31" s="13">
        <f t="shared" si="5"/>
        <v>46140</v>
      </c>
      <c r="B31" s="27">
        <v>7895</v>
      </c>
      <c r="C31" s="46">
        <v>7130</v>
      </c>
      <c r="D31" s="50"/>
      <c r="E31" s="50"/>
      <c r="F31" s="88">
        <f t="shared" si="0"/>
        <v>0</v>
      </c>
      <c r="G31" s="2">
        <f t="shared" si="1"/>
        <v>0</v>
      </c>
      <c r="H31" s="2">
        <f t="shared" si="2"/>
        <v>0</v>
      </c>
      <c r="I31" s="43">
        <v>6.85</v>
      </c>
      <c r="J31" s="6"/>
      <c r="K31" s="88">
        <f t="shared" si="3"/>
        <v>0</v>
      </c>
      <c r="L31" s="40" t="e">
        <f t="shared" si="4"/>
        <v>#DIV/0!</v>
      </c>
      <c r="M31" s="6"/>
      <c r="N31" s="6"/>
      <c r="O31" s="6"/>
      <c r="P31" s="6"/>
      <c r="Q31" s="44"/>
    </row>
    <row r="32" spans="1:17">
      <c r="A32" s="13">
        <f t="shared" si="5"/>
        <v>46141</v>
      </c>
      <c r="B32" s="27">
        <v>7895</v>
      </c>
      <c r="C32" s="46">
        <v>7130</v>
      </c>
      <c r="D32" s="50"/>
      <c r="E32" s="50"/>
      <c r="F32" s="88">
        <f t="shared" si="0"/>
        <v>0</v>
      </c>
      <c r="G32" s="2">
        <f t="shared" si="1"/>
        <v>0</v>
      </c>
      <c r="H32" s="2">
        <f t="shared" si="2"/>
        <v>0</v>
      </c>
      <c r="I32" s="43">
        <v>6.85</v>
      </c>
      <c r="J32" s="6"/>
      <c r="K32" s="88">
        <f t="shared" si="3"/>
        <v>0</v>
      </c>
      <c r="L32" s="40" t="e">
        <f t="shared" si="4"/>
        <v>#DIV/0!</v>
      </c>
      <c r="M32" s="6"/>
      <c r="N32" s="6"/>
      <c r="O32" s="6"/>
      <c r="P32" s="6"/>
      <c r="Q32" s="44"/>
    </row>
    <row r="33" spans="1:17">
      <c r="A33" s="13">
        <f t="shared" si="5"/>
        <v>46142</v>
      </c>
      <c r="B33" s="27">
        <v>7895</v>
      </c>
      <c r="C33" s="46">
        <v>7130</v>
      </c>
      <c r="D33" s="50"/>
      <c r="E33" s="50"/>
      <c r="F33" s="88">
        <f t="shared" si="0"/>
        <v>0</v>
      </c>
      <c r="G33" s="2">
        <f t="shared" si="1"/>
        <v>0</v>
      </c>
      <c r="H33" s="2">
        <f t="shared" si="2"/>
        <v>0</v>
      </c>
      <c r="I33" s="43">
        <v>6.85</v>
      </c>
      <c r="J33" s="6"/>
      <c r="K33" s="88">
        <f t="shared" si="3"/>
        <v>0</v>
      </c>
      <c r="L33" s="40" t="e">
        <f t="shared" si="4"/>
        <v>#DIV/0!</v>
      </c>
      <c r="M33" s="6"/>
      <c r="N33" s="6"/>
      <c r="O33" s="6"/>
      <c r="P33" s="6"/>
      <c r="Q33" s="44"/>
    </row>
    <row r="34" spans="1:17">
      <c r="A34" s="349">
        <v>46113</v>
      </c>
      <c r="B34" s="89">
        <f>SUM(B4:B33)</f>
        <v>236850</v>
      </c>
      <c r="C34" s="89">
        <f>SUM(C4:C33)</f>
        <v>213900</v>
      </c>
      <c r="D34" s="89">
        <f>SUM(D4:D33)</f>
        <v>201296</v>
      </c>
      <c r="E34" s="89">
        <f>SUM(E4:E33)</f>
        <v>200790</v>
      </c>
      <c r="F34" s="160">
        <f t="shared" si="0"/>
        <v>-6.1290322580645158E-2</v>
      </c>
      <c r="G34" s="90">
        <f>AVERAGE(G4:G33)</f>
        <v>0.18638518518518524</v>
      </c>
      <c r="H34" s="90">
        <f>AVERAGE(H4:H33)</f>
        <v>0.23298148148148146</v>
      </c>
      <c r="I34" s="89">
        <f>SUM(I4:I33)</f>
        <v>205.49999999999989</v>
      </c>
      <c r="J34" s="89">
        <f>SUM(J4:J33)</f>
        <v>176.35000000000008</v>
      </c>
      <c r="K34" s="160">
        <f t="shared" si="3"/>
        <v>-0.14184914841849061</v>
      </c>
      <c r="L34" s="161">
        <f t="shared" si="4"/>
        <v>0.76097155278329043</v>
      </c>
      <c r="M34" s="90">
        <f>AVERAGE(M4:M33)</f>
        <v>1</v>
      </c>
      <c r="N34" s="90">
        <f>AVERAGE(N4:N33)</f>
        <v>0.97015769230769233</v>
      </c>
      <c r="O34" s="89">
        <f>SUM(O4:O33)</f>
        <v>8486</v>
      </c>
      <c r="P34" s="89">
        <f>SUM(P4:P33)</f>
        <v>0</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233"/>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233"/>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5A44-82BA-4D7E-B40A-33B03F5EEE9C}">
  <dimension ref="A1:Q66"/>
  <sheetViews>
    <sheetView workbookViewId="0">
      <pane xSplit="2" ySplit="3" topLeftCell="C57" activePane="bottomRight" state="frozen"/>
      <selection pane="topRight"/>
      <selection pane="bottomLeft"/>
      <selection pane="bottomRight" activeCell="J67" sqref="J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220</v>
      </c>
      <c r="B1" s="406"/>
      <c r="C1" s="406"/>
      <c r="D1" s="406"/>
      <c r="E1" s="406"/>
      <c r="F1" s="406"/>
      <c r="G1" s="406"/>
      <c r="H1" s="406"/>
      <c r="I1" s="406"/>
      <c r="J1" s="406"/>
      <c r="K1" s="406"/>
      <c r="L1" s="406"/>
      <c r="M1" s="406"/>
      <c r="N1" s="406"/>
      <c r="O1" s="406"/>
      <c r="P1" s="406"/>
      <c r="Q1" s="406"/>
    </row>
    <row r="2" spans="1:17" ht="18.5">
      <c r="A2" s="7">
        <v>46113</v>
      </c>
      <c r="B2" s="407" t="s">
        <v>172</v>
      </c>
      <c r="C2" s="408"/>
      <c r="D2" s="8">
        <v>3000</v>
      </c>
      <c r="E2" s="407" t="s">
        <v>173</v>
      </c>
      <c r="F2" s="407"/>
      <c r="G2" s="408"/>
      <c r="H2" s="8">
        <v>2400</v>
      </c>
      <c r="I2" s="409" t="s">
        <v>174</v>
      </c>
      <c r="J2" s="410"/>
      <c r="K2" s="85">
        <v>44357</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15938</v>
      </c>
      <c r="C4" s="39">
        <v>12822</v>
      </c>
      <c r="D4" s="232">
        <v>14776</v>
      </c>
      <c r="E4" s="49">
        <v>14440</v>
      </c>
      <c r="F4" s="88">
        <f t="shared" ref="F4:F35" si="0">(IF(ISBLANK(E4),0,E4-C4))/C4</f>
        <v>0.12618936203400405</v>
      </c>
      <c r="G4" s="2">
        <f t="shared" ref="G4:G33" si="1">D4/($D$2*24)</f>
        <v>0.20522222222222222</v>
      </c>
      <c r="H4" s="2">
        <f t="shared" ref="H4:H33" si="2">D4/($H$2*24)</f>
        <v>0.2565277777777778</v>
      </c>
      <c r="I4" s="36">
        <v>6.5</v>
      </c>
      <c r="J4" s="37">
        <v>6.58</v>
      </c>
      <c r="K4" s="88">
        <f t="shared" ref="K4:K35" si="3">(IF(ISBLANK(J4),0,J4-I4))/I4</f>
        <v>1.2307692307692318E-2</v>
      </c>
      <c r="L4" s="40">
        <f t="shared" ref="L4:L35" si="4">D4/($D$2*J4)</f>
        <v>0.74853090172239112</v>
      </c>
      <c r="M4" s="41">
        <v>1</v>
      </c>
      <c r="N4" s="41">
        <v>0.96499999999999997</v>
      </c>
      <c r="O4" s="37">
        <v>899</v>
      </c>
      <c r="P4" s="37">
        <v>0</v>
      </c>
      <c r="Q4" s="37" t="s">
        <v>221</v>
      </c>
    </row>
    <row r="5" spans="1:17">
      <c r="A5" s="13">
        <f t="shared" ref="A5:A33" si="5">A4+1</f>
        <v>46114</v>
      </c>
      <c r="B5" s="27">
        <v>15938</v>
      </c>
      <c r="C5" s="46">
        <v>12822</v>
      </c>
      <c r="D5" s="233">
        <v>15063</v>
      </c>
      <c r="E5" s="50">
        <v>14880</v>
      </c>
      <c r="F5" s="88">
        <f t="shared" si="0"/>
        <v>0.16050538137576043</v>
      </c>
      <c r="G5" s="2">
        <f t="shared" si="1"/>
        <v>0.20920833333333333</v>
      </c>
      <c r="H5" s="2">
        <f t="shared" si="2"/>
        <v>0.26151041666666669</v>
      </c>
      <c r="I5" s="43">
        <v>6.5</v>
      </c>
      <c r="J5" s="44">
        <v>6.49</v>
      </c>
      <c r="K5" s="88">
        <f t="shared" si="3"/>
        <v>-1.5384615384615057E-3</v>
      </c>
      <c r="L5" s="40">
        <f t="shared" si="4"/>
        <v>0.77365177195685675</v>
      </c>
      <c r="M5" s="48">
        <v>1</v>
      </c>
      <c r="N5" s="48">
        <v>0.96919999999999995</v>
      </c>
      <c r="O5" s="44">
        <v>817</v>
      </c>
      <c r="P5" s="44">
        <v>0</v>
      </c>
      <c r="Q5" s="44" t="s">
        <v>191</v>
      </c>
    </row>
    <row r="6" spans="1:17">
      <c r="A6" s="13">
        <f t="shared" si="5"/>
        <v>46115</v>
      </c>
      <c r="B6" s="27">
        <v>15938</v>
      </c>
      <c r="C6" s="46">
        <v>12822</v>
      </c>
      <c r="D6" s="233">
        <v>12257</v>
      </c>
      <c r="E6" s="50">
        <v>12280</v>
      </c>
      <c r="F6" s="88">
        <f t="shared" si="0"/>
        <v>-4.2271096552799876E-2</v>
      </c>
      <c r="G6" s="2">
        <f t="shared" si="1"/>
        <v>0.17023611111111112</v>
      </c>
      <c r="H6" s="2">
        <f t="shared" si="2"/>
        <v>0.2127951388888889</v>
      </c>
      <c r="I6" s="43">
        <v>6.5</v>
      </c>
      <c r="J6" s="44">
        <v>5.01</v>
      </c>
      <c r="K6" s="88">
        <f t="shared" si="3"/>
        <v>-0.22923076923076927</v>
      </c>
      <c r="L6" s="40">
        <f t="shared" si="4"/>
        <v>0.81550232867598138</v>
      </c>
      <c r="M6" s="48">
        <v>1</v>
      </c>
      <c r="N6" s="48">
        <v>1</v>
      </c>
      <c r="O6" s="44">
        <v>0</v>
      </c>
      <c r="P6" s="44">
        <v>0</v>
      </c>
      <c r="Q6" s="44"/>
    </row>
    <row r="7" spans="1:17">
      <c r="A7" s="13">
        <f t="shared" si="5"/>
        <v>46116</v>
      </c>
      <c r="B7" s="27">
        <v>15938</v>
      </c>
      <c r="C7" s="46">
        <v>12822</v>
      </c>
      <c r="D7" s="233">
        <v>16033</v>
      </c>
      <c r="E7" s="50">
        <v>15840</v>
      </c>
      <c r="F7" s="88">
        <f t="shared" si="0"/>
        <v>0.23537669630322883</v>
      </c>
      <c r="G7" s="2">
        <f t="shared" si="1"/>
        <v>0.22268055555555555</v>
      </c>
      <c r="H7" s="2">
        <f t="shared" si="2"/>
        <v>0.27835069444444444</v>
      </c>
      <c r="I7" s="43">
        <v>6.5</v>
      </c>
      <c r="J7" s="44">
        <v>7.05</v>
      </c>
      <c r="K7" s="88">
        <f t="shared" si="3"/>
        <v>8.4615384615384592E-2</v>
      </c>
      <c r="L7" s="40">
        <f t="shared" si="4"/>
        <v>0.75806146572104016</v>
      </c>
      <c r="M7" s="48">
        <v>0.93710000000000004</v>
      </c>
      <c r="N7" s="48">
        <v>1</v>
      </c>
      <c r="O7" s="44">
        <v>0</v>
      </c>
      <c r="P7" s="44">
        <v>1209</v>
      </c>
      <c r="Q7" s="44" t="s">
        <v>222</v>
      </c>
    </row>
    <row r="8" spans="1:17">
      <c r="A8" s="13">
        <f t="shared" si="5"/>
        <v>46117</v>
      </c>
      <c r="B8" s="27">
        <v>15938</v>
      </c>
      <c r="C8" s="46">
        <v>12822</v>
      </c>
      <c r="D8" s="233">
        <v>15661</v>
      </c>
      <c r="E8" s="50">
        <v>15520</v>
      </c>
      <c r="F8" s="88">
        <f t="shared" si="0"/>
        <v>0.21041959132740601</v>
      </c>
      <c r="G8" s="2">
        <f t="shared" si="1"/>
        <v>0.2175138888888889</v>
      </c>
      <c r="H8" s="2">
        <f t="shared" si="2"/>
        <v>0.27189236111111109</v>
      </c>
      <c r="I8" s="43">
        <v>6.5</v>
      </c>
      <c r="J8" s="44">
        <v>6.74</v>
      </c>
      <c r="K8" s="88">
        <f t="shared" si="3"/>
        <v>3.6923076923076954E-2</v>
      </c>
      <c r="L8" s="40">
        <f t="shared" si="4"/>
        <v>0.77453016815034614</v>
      </c>
      <c r="M8" s="48">
        <v>1</v>
      </c>
      <c r="N8" s="48">
        <v>0.95379999999999998</v>
      </c>
      <c r="O8" s="44">
        <v>1073</v>
      </c>
      <c r="P8" s="44">
        <v>0</v>
      </c>
      <c r="Q8" s="44" t="s">
        <v>223</v>
      </c>
    </row>
    <row r="9" spans="1:17">
      <c r="A9" s="13">
        <f t="shared" si="5"/>
        <v>46118</v>
      </c>
      <c r="B9" s="27">
        <v>15938</v>
      </c>
      <c r="C9" s="46">
        <v>12822</v>
      </c>
      <c r="D9" s="233">
        <v>15887</v>
      </c>
      <c r="E9" s="50">
        <v>15680</v>
      </c>
      <c r="F9" s="88">
        <f t="shared" si="0"/>
        <v>0.22289814381531742</v>
      </c>
      <c r="G9" s="2">
        <f t="shared" si="1"/>
        <v>0.22065277777777778</v>
      </c>
      <c r="H9" s="2">
        <f t="shared" si="2"/>
        <v>0.27581597222222221</v>
      </c>
      <c r="I9" s="43">
        <v>6.5</v>
      </c>
      <c r="J9" s="44">
        <v>7.18</v>
      </c>
      <c r="K9" s="88">
        <f t="shared" si="3"/>
        <v>0.10461538461538457</v>
      </c>
      <c r="L9" s="40">
        <f t="shared" si="4"/>
        <v>0.73755803156917366</v>
      </c>
      <c r="M9" s="48">
        <v>1</v>
      </c>
      <c r="N9" s="48">
        <v>0.94130000000000003</v>
      </c>
      <c r="O9" s="44">
        <v>1178</v>
      </c>
      <c r="P9" s="44">
        <v>0</v>
      </c>
      <c r="Q9" s="44" t="s">
        <v>224</v>
      </c>
    </row>
    <row r="10" spans="1:17">
      <c r="A10" s="13">
        <f t="shared" si="5"/>
        <v>46119</v>
      </c>
      <c r="B10" s="27">
        <v>15938</v>
      </c>
      <c r="C10" s="46">
        <v>12822</v>
      </c>
      <c r="D10" s="233">
        <v>9005</v>
      </c>
      <c r="E10" s="50">
        <v>8720</v>
      </c>
      <c r="F10" s="88">
        <f t="shared" si="0"/>
        <v>-0.31991888940882857</v>
      </c>
      <c r="G10" s="2">
        <f t="shared" si="1"/>
        <v>0.12506944444444446</v>
      </c>
      <c r="H10" s="2">
        <f t="shared" si="2"/>
        <v>0.15633680555555557</v>
      </c>
      <c r="I10" s="43">
        <v>6.5</v>
      </c>
      <c r="J10" s="44">
        <v>5.0599999999999996</v>
      </c>
      <c r="K10" s="88">
        <f t="shared" si="3"/>
        <v>-0.2215384615384616</v>
      </c>
      <c r="L10" s="40">
        <f t="shared" si="4"/>
        <v>0.59321475625823461</v>
      </c>
      <c r="M10" s="48">
        <v>1</v>
      </c>
      <c r="N10" s="48">
        <v>0.81530000000000002</v>
      </c>
      <c r="O10" s="44">
        <v>3123</v>
      </c>
      <c r="P10" s="44">
        <v>0</v>
      </c>
      <c r="Q10" s="44" t="s">
        <v>225</v>
      </c>
    </row>
    <row r="11" spans="1:17">
      <c r="A11" s="13">
        <f t="shared" si="5"/>
        <v>46120</v>
      </c>
      <c r="B11" s="27">
        <v>15938</v>
      </c>
      <c r="C11" s="46">
        <v>12822</v>
      </c>
      <c r="D11" s="233">
        <v>11125</v>
      </c>
      <c r="E11" s="50">
        <v>11080</v>
      </c>
      <c r="F11" s="88">
        <f t="shared" si="0"/>
        <v>-0.13586024021213539</v>
      </c>
      <c r="G11" s="2">
        <f t="shared" si="1"/>
        <v>0.1545138888888889</v>
      </c>
      <c r="H11" s="2">
        <f t="shared" si="2"/>
        <v>0.1931423611111111</v>
      </c>
      <c r="I11" s="43">
        <v>6.5</v>
      </c>
      <c r="J11" s="44">
        <v>6.5</v>
      </c>
      <c r="K11" s="88">
        <f t="shared" si="3"/>
        <v>0</v>
      </c>
      <c r="L11" s="40">
        <f t="shared" si="4"/>
        <v>0.57051282051282048</v>
      </c>
      <c r="M11" s="48">
        <v>1</v>
      </c>
      <c r="N11" s="48">
        <v>0.75419999999999998</v>
      </c>
      <c r="O11" s="44">
        <v>4807</v>
      </c>
      <c r="P11" s="44">
        <v>0</v>
      </c>
      <c r="Q11" s="44" t="s">
        <v>226</v>
      </c>
    </row>
    <row r="12" spans="1:17">
      <c r="A12" s="13">
        <f t="shared" si="5"/>
        <v>46121</v>
      </c>
      <c r="B12" s="27">
        <v>15938</v>
      </c>
      <c r="C12" s="46">
        <v>12822</v>
      </c>
      <c r="D12" s="233">
        <v>14319</v>
      </c>
      <c r="E12" s="50">
        <v>14080</v>
      </c>
      <c r="F12" s="88">
        <f t="shared" si="0"/>
        <v>9.8112618936203405E-2</v>
      </c>
      <c r="G12" s="2">
        <f t="shared" si="1"/>
        <v>0.198875</v>
      </c>
      <c r="H12" s="2">
        <f t="shared" si="2"/>
        <v>0.24859375</v>
      </c>
      <c r="I12" s="43">
        <v>6.5</v>
      </c>
      <c r="J12" s="44">
        <v>6.6</v>
      </c>
      <c r="K12" s="88">
        <f t="shared" si="3"/>
        <v>1.538461538461533E-2</v>
      </c>
      <c r="L12" s="40">
        <f t="shared" si="4"/>
        <v>0.72318181818181815</v>
      </c>
      <c r="M12" s="48">
        <v>1</v>
      </c>
      <c r="N12" s="48">
        <v>0.88749999999999996</v>
      </c>
      <c r="O12" s="44">
        <v>2618</v>
      </c>
      <c r="P12" s="44">
        <v>0</v>
      </c>
      <c r="Q12" s="44" t="s">
        <v>227</v>
      </c>
    </row>
    <row r="13" spans="1:17">
      <c r="A13" s="13">
        <f t="shared" si="5"/>
        <v>46122</v>
      </c>
      <c r="B13" s="27">
        <v>15938</v>
      </c>
      <c r="C13" s="46">
        <v>12822</v>
      </c>
      <c r="D13" s="233">
        <v>15402</v>
      </c>
      <c r="E13" s="50">
        <v>15200</v>
      </c>
      <c r="F13" s="88">
        <f t="shared" si="0"/>
        <v>0.18546248635158322</v>
      </c>
      <c r="G13" s="2">
        <f t="shared" si="1"/>
        <v>0.21391666666666667</v>
      </c>
      <c r="H13" s="2">
        <f t="shared" si="2"/>
        <v>0.26739583333333333</v>
      </c>
      <c r="I13" s="43">
        <v>6.5</v>
      </c>
      <c r="J13" s="44">
        <v>7</v>
      </c>
      <c r="K13" s="88">
        <f t="shared" si="3"/>
        <v>7.6923076923076927E-2</v>
      </c>
      <c r="L13" s="40">
        <f t="shared" si="4"/>
        <v>0.73342857142857143</v>
      </c>
      <c r="M13" s="48">
        <v>1</v>
      </c>
      <c r="N13" s="48">
        <v>0.95279999999999998</v>
      </c>
      <c r="O13" s="44">
        <v>1145</v>
      </c>
      <c r="P13" s="44">
        <v>0</v>
      </c>
      <c r="Q13" s="44" t="s">
        <v>228</v>
      </c>
    </row>
    <row r="14" spans="1:17">
      <c r="A14" s="13">
        <f t="shared" si="5"/>
        <v>46123</v>
      </c>
      <c r="B14" s="27">
        <v>15938</v>
      </c>
      <c r="C14" s="46">
        <v>12822</v>
      </c>
      <c r="D14" s="233">
        <v>16329</v>
      </c>
      <c r="E14" s="50">
        <v>16200</v>
      </c>
      <c r="F14" s="88">
        <f t="shared" si="0"/>
        <v>0.2634534394010295</v>
      </c>
      <c r="G14" s="2">
        <f t="shared" si="1"/>
        <v>0.22679166666666667</v>
      </c>
      <c r="H14" s="2">
        <f t="shared" si="2"/>
        <v>0.28348958333333335</v>
      </c>
      <c r="I14" s="43">
        <v>6.5</v>
      </c>
      <c r="J14" s="44">
        <v>6.85</v>
      </c>
      <c r="K14" s="88">
        <f t="shared" si="3"/>
        <v>5.3846153846153794E-2</v>
      </c>
      <c r="L14" s="40">
        <f t="shared" si="4"/>
        <v>0.79459854014598541</v>
      </c>
      <c r="M14" s="48">
        <v>1</v>
      </c>
      <c r="N14" s="48">
        <v>1</v>
      </c>
      <c r="O14" s="44">
        <v>0</v>
      </c>
      <c r="P14" s="44">
        <v>0</v>
      </c>
      <c r="Q14" s="44"/>
    </row>
    <row r="15" spans="1:17">
      <c r="A15" s="13">
        <f t="shared" si="5"/>
        <v>46124</v>
      </c>
      <c r="B15" s="27">
        <v>15938</v>
      </c>
      <c r="C15" s="46">
        <v>12822</v>
      </c>
      <c r="D15" s="233">
        <v>16669</v>
      </c>
      <c r="E15" s="50">
        <v>16320</v>
      </c>
      <c r="F15" s="88">
        <f t="shared" si="0"/>
        <v>0.27281235376696306</v>
      </c>
      <c r="G15" s="2">
        <f t="shared" si="1"/>
        <v>0.23151388888888888</v>
      </c>
      <c r="H15" s="2">
        <f t="shared" si="2"/>
        <v>0.28939236111111111</v>
      </c>
      <c r="I15" s="43">
        <v>6.5</v>
      </c>
      <c r="J15" s="44">
        <v>6.87</v>
      </c>
      <c r="K15" s="88">
        <f t="shared" si="3"/>
        <v>5.6923076923076937E-2</v>
      </c>
      <c r="L15" s="40">
        <f t="shared" si="4"/>
        <v>0.80878214459000486</v>
      </c>
      <c r="M15" s="48">
        <v>1</v>
      </c>
      <c r="N15" s="48">
        <v>1</v>
      </c>
      <c r="O15" s="44">
        <v>0</v>
      </c>
      <c r="P15" s="44">
        <v>0</v>
      </c>
      <c r="Q15" s="44"/>
    </row>
    <row r="16" spans="1:17">
      <c r="A16" s="13">
        <f t="shared" si="5"/>
        <v>46125</v>
      </c>
      <c r="B16" s="27">
        <v>15938</v>
      </c>
      <c r="C16" s="46">
        <v>12822</v>
      </c>
      <c r="D16" s="233">
        <v>16340</v>
      </c>
      <c r="E16" s="50">
        <v>16160</v>
      </c>
      <c r="F16" s="88">
        <f t="shared" si="0"/>
        <v>0.26033380127905165</v>
      </c>
      <c r="G16" s="2">
        <f t="shared" si="1"/>
        <v>0.22694444444444445</v>
      </c>
      <c r="H16" s="2">
        <f t="shared" si="2"/>
        <v>0.28368055555555555</v>
      </c>
      <c r="I16" s="43">
        <v>6.5</v>
      </c>
      <c r="J16" s="44">
        <v>6.78</v>
      </c>
      <c r="K16" s="88">
        <f t="shared" si="3"/>
        <v>4.3076923076923117E-2</v>
      </c>
      <c r="L16" s="40">
        <f t="shared" si="4"/>
        <v>0.80334316617502455</v>
      </c>
      <c r="M16" s="48">
        <v>1</v>
      </c>
      <c r="N16" s="48">
        <v>1</v>
      </c>
      <c r="O16" s="44">
        <v>0</v>
      </c>
      <c r="P16" s="44">
        <v>0</v>
      </c>
      <c r="Q16" s="44"/>
    </row>
    <row r="17" spans="1:17">
      <c r="A17" s="13">
        <f t="shared" si="5"/>
        <v>46126</v>
      </c>
      <c r="B17" s="27">
        <v>15938</v>
      </c>
      <c r="C17" s="46">
        <v>12822</v>
      </c>
      <c r="D17" s="233">
        <v>16177</v>
      </c>
      <c r="E17" s="50">
        <v>15960</v>
      </c>
      <c r="F17" s="88">
        <f t="shared" si="0"/>
        <v>0.24473561066916238</v>
      </c>
      <c r="G17" s="2">
        <f t="shared" si="1"/>
        <v>0.22468055555555555</v>
      </c>
      <c r="H17" s="2">
        <f t="shared" si="2"/>
        <v>0.28085069444444444</v>
      </c>
      <c r="I17" s="43">
        <v>6.5</v>
      </c>
      <c r="J17" s="44">
        <v>7.04</v>
      </c>
      <c r="K17" s="88">
        <f t="shared" si="3"/>
        <v>8.3076923076923076E-2</v>
      </c>
      <c r="L17" s="40">
        <f t="shared" si="4"/>
        <v>0.76595643939393943</v>
      </c>
      <c r="M17" s="48">
        <v>1</v>
      </c>
      <c r="N17" s="48">
        <v>0.96809999999999996</v>
      </c>
      <c r="O17" s="44">
        <v>847</v>
      </c>
      <c r="P17" s="44">
        <v>0</v>
      </c>
      <c r="Q17" s="44" t="s">
        <v>229</v>
      </c>
    </row>
    <row r="18" spans="1:17">
      <c r="A18" s="13">
        <f t="shared" si="5"/>
        <v>46127</v>
      </c>
      <c r="B18" s="27">
        <v>15938</v>
      </c>
      <c r="C18" s="46">
        <v>12822</v>
      </c>
      <c r="D18" s="233">
        <v>15713</v>
      </c>
      <c r="E18" s="50">
        <v>15640</v>
      </c>
      <c r="F18" s="88">
        <f t="shared" si="0"/>
        <v>0.21977850569333957</v>
      </c>
      <c r="G18" s="2">
        <f t="shared" si="1"/>
        <v>0.2182361111111111</v>
      </c>
      <c r="H18" s="2">
        <f t="shared" si="2"/>
        <v>0.2727951388888889</v>
      </c>
      <c r="I18" s="43">
        <v>6.5</v>
      </c>
      <c r="J18" s="44">
        <v>6.84</v>
      </c>
      <c r="K18" s="88">
        <f t="shared" si="3"/>
        <v>5.2307692307692284E-2</v>
      </c>
      <c r="L18" s="40">
        <f t="shared" si="4"/>
        <v>0.76574074074074072</v>
      </c>
      <c r="M18" s="48">
        <v>1</v>
      </c>
      <c r="N18" s="48">
        <v>0.97219999999999995</v>
      </c>
      <c r="O18" s="44">
        <v>695</v>
      </c>
      <c r="P18" s="44">
        <v>0</v>
      </c>
      <c r="Q18" s="44" t="s">
        <v>229</v>
      </c>
    </row>
    <row r="19" spans="1:17">
      <c r="A19" s="13">
        <f t="shared" si="5"/>
        <v>46128</v>
      </c>
      <c r="B19" s="27">
        <v>15938</v>
      </c>
      <c r="C19" s="46">
        <v>12822</v>
      </c>
      <c r="D19" s="233">
        <v>16448</v>
      </c>
      <c r="E19" s="50">
        <v>16240</v>
      </c>
      <c r="F19" s="88">
        <f t="shared" si="0"/>
        <v>0.26657307752300735</v>
      </c>
      <c r="G19" s="2">
        <f t="shared" si="1"/>
        <v>0.22844444444444445</v>
      </c>
      <c r="H19" s="2">
        <f t="shared" si="2"/>
        <v>0.28555555555555556</v>
      </c>
      <c r="I19" s="43">
        <v>6.5</v>
      </c>
      <c r="J19" s="44">
        <v>6.99</v>
      </c>
      <c r="K19" s="88">
        <f t="shared" si="3"/>
        <v>7.5384615384615411E-2</v>
      </c>
      <c r="L19" s="40">
        <f t="shared" si="4"/>
        <v>0.7843586075345732</v>
      </c>
      <c r="M19" s="48">
        <v>1</v>
      </c>
      <c r="N19" s="48">
        <v>0.98329999999999995</v>
      </c>
      <c r="O19" s="44">
        <v>433</v>
      </c>
      <c r="P19" s="44">
        <v>0</v>
      </c>
      <c r="Q19" s="44" t="s">
        <v>229</v>
      </c>
    </row>
    <row r="20" spans="1:17">
      <c r="A20" s="13">
        <f t="shared" si="5"/>
        <v>46129</v>
      </c>
      <c r="B20" s="27">
        <v>15938</v>
      </c>
      <c r="C20" s="46">
        <v>12822</v>
      </c>
      <c r="D20" s="233">
        <v>16612</v>
      </c>
      <c r="E20" s="50">
        <v>16280</v>
      </c>
      <c r="F20" s="88">
        <f t="shared" si="0"/>
        <v>0.2696927156449852</v>
      </c>
      <c r="G20" s="2">
        <f t="shared" si="1"/>
        <v>0.23072222222222222</v>
      </c>
      <c r="H20" s="2">
        <f t="shared" si="2"/>
        <v>0.28840277777777779</v>
      </c>
      <c r="I20" s="43">
        <v>6.5</v>
      </c>
      <c r="J20" s="44">
        <v>7.18</v>
      </c>
      <c r="K20" s="88">
        <f t="shared" si="3"/>
        <v>0.10461538461538457</v>
      </c>
      <c r="L20" s="40">
        <f t="shared" si="4"/>
        <v>0.77121634168987929</v>
      </c>
      <c r="M20" s="48">
        <v>1</v>
      </c>
      <c r="N20" s="48">
        <v>0.96389999999999998</v>
      </c>
      <c r="O20" s="44">
        <v>950</v>
      </c>
      <c r="P20" s="44">
        <v>0</v>
      </c>
      <c r="Q20" s="44" t="s">
        <v>229</v>
      </c>
    </row>
    <row r="21" spans="1:17">
      <c r="A21" s="13">
        <f t="shared" si="5"/>
        <v>46130</v>
      </c>
      <c r="B21" s="27">
        <v>15938</v>
      </c>
      <c r="C21" s="46">
        <v>12822</v>
      </c>
      <c r="D21" s="233">
        <v>16957</v>
      </c>
      <c r="E21" s="50">
        <v>16880</v>
      </c>
      <c r="F21" s="88">
        <f t="shared" si="0"/>
        <v>0.31648728747465293</v>
      </c>
      <c r="G21" s="2">
        <f t="shared" si="1"/>
        <v>0.23551388888888888</v>
      </c>
      <c r="H21" s="2">
        <f t="shared" si="2"/>
        <v>0.29439236111111111</v>
      </c>
      <c r="I21" s="43">
        <v>6.5</v>
      </c>
      <c r="J21" s="44">
        <v>7.26</v>
      </c>
      <c r="K21" s="88">
        <f t="shared" si="3"/>
        <v>0.11692307692307689</v>
      </c>
      <c r="L21" s="40">
        <f t="shared" si="4"/>
        <v>0.77855831037649215</v>
      </c>
      <c r="M21" s="48">
        <v>1</v>
      </c>
      <c r="N21" s="48">
        <v>0.98470000000000002</v>
      </c>
      <c r="O21" s="44">
        <v>408</v>
      </c>
      <c r="P21" s="44">
        <v>0</v>
      </c>
      <c r="Q21" s="44" t="s">
        <v>230</v>
      </c>
    </row>
    <row r="22" spans="1:17">
      <c r="A22" s="13">
        <f t="shared" si="5"/>
        <v>46131</v>
      </c>
      <c r="B22" s="27">
        <v>15938</v>
      </c>
      <c r="C22" s="46">
        <v>12822</v>
      </c>
      <c r="D22" s="233">
        <v>16540</v>
      </c>
      <c r="E22" s="50">
        <v>16280</v>
      </c>
      <c r="F22" s="88">
        <f t="shared" si="0"/>
        <v>0.2696927156449852</v>
      </c>
      <c r="G22" s="2">
        <f t="shared" si="1"/>
        <v>0.22972222222222222</v>
      </c>
      <c r="H22" s="2">
        <f t="shared" si="2"/>
        <v>0.28715277777777776</v>
      </c>
      <c r="I22" s="43">
        <v>6.5</v>
      </c>
      <c r="J22" s="44">
        <v>7.02</v>
      </c>
      <c r="K22" s="88">
        <f t="shared" si="3"/>
        <v>7.9999999999999932E-2</v>
      </c>
      <c r="L22" s="40">
        <f t="shared" si="4"/>
        <v>0.785375118708452</v>
      </c>
      <c r="M22" s="48">
        <v>1</v>
      </c>
      <c r="N22" s="48">
        <v>0.96809999999999996</v>
      </c>
      <c r="O22" s="44">
        <v>806</v>
      </c>
      <c r="P22" s="44">
        <v>0</v>
      </c>
      <c r="Q22" s="44" t="s">
        <v>230</v>
      </c>
    </row>
    <row r="23" spans="1:17">
      <c r="A23" s="13">
        <f t="shared" si="5"/>
        <v>46132</v>
      </c>
      <c r="B23" s="27">
        <v>15938</v>
      </c>
      <c r="C23" s="46">
        <v>12822</v>
      </c>
      <c r="D23" s="233">
        <v>16514</v>
      </c>
      <c r="E23" s="50">
        <v>16320</v>
      </c>
      <c r="F23" s="88">
        <f t="shared" si="0"/>
        <v>0.27281235376696306</v>
      </c>
      <c r="G23" s="2">
        <f t="shared" si="1"/>
        <v>0.2293611111111111</v>
      </c>
      <c r="H23" s="2">
        <f t="shared" si="2"/>
        <v>0.28670138888888891</v>
      </c>
      <c r="I23" s="43">
        <v>6.5</v>
      </c>
      <c r="J23" s="44">
        <v>7.11</v>
      </c>
      <c r="K23" s="88">
        <f t="shared" si="3"/>
        <v>9.3846153846153899E-2</v>
      </c>
      <c r="L23" s="40">
        <f t="shared" si="4"/>
        <v>0.77421472105016409</v>
      </c>
      <c r="M23" s="48">
        <v>1</v>
      </c>
      <c r="N23" s="48">
        <v>0.96809999999999996</v>
      </c>
      <c r="O23" s="44">
        <v>850</v>
      </c>
      <c r="P23" s="44">
        <v>0</v>
      </c>
      <c r="Q23" s="44" t="s">
        <v>229</v>
      </c>
    </row>
    <row r="24" spans="1:17">
      <c r="A24" s="13">
        <f t="shared" si="5"/>
        <v>46133</v>
      </c>
      <c r="B24" s="27">
        <v>15938</v>
      </c>
      <c r="C24" s="46">
        <v>12822</v>
      </c>
      <c r="D24" s="233">
        <v>16688</v>
      </c>
      <c r="E24" s="50">
        <v>16520</v>
      </c>
      <c r="F24" s="88">
        <f t="shared" si="0"/>
        <v>0.28841054437685226</v>
      </c>
      <c r="G24" s="2">
        <f t="shared" si="1"/>
        <v>0.23177777777777778</v>
      </c>
      <c r="H24" s="2">
        <f t="shared" si="2"/>
        <v>0.28972222222222221</v>
      </c>
      <c r="I24" s="43">
        <v>6.5</v>
      </c>
      <c r="J24" s="44">
        <v>7.15</v>
      </c>
      <c r="K24" s="88">
        <f t="shared" si="3"/>
        <v>0.10000000000000006</v>
      </c>
      <c r="L24" s="40">
        <f t="shared" si="4"/>
        <v>0.77799533799533804</v>
      </c>
      <c r="M24" s="48">
        <v>1</v>
      </c>
      <c r="N24" s="48">
        <v>0.96809999999999996</v>
      </c>
      <c r="O24" s="44">
        <v>897</v>
      </c>
      <c r="P24" s="44">
        <v>0</v>
      </c>
      <c r="Q24" s="44" t="s">
        <v>229</v>
      </c>
    </row>
    <row r="25" spans="1:17">
      <c r="A25" s="13">
        <f t="shared" si="5"/>
        <v>46134</v>
      </c>
      <c r="B25" s="27">
        <v>15938</v>
      </c>
      <c r="C25" s="46">
        <v>12822</v>
      </c>
      <c r="D25" s="233">
        <v>16065</v>
      </c>
      <c r="E25" s="50">
        <v>15800</v>
      </c>
      <c r="F25" s="88">
        <f t="shared" si="0"/>
        <v>0.23225705818125097</v>
      </c>
      <c r="G25" s="2">
        <f t="shared" si="1"/>
        <v>0.22312499999999999</v>
      </c>
      <c r="H25" s="2">
        <f t="shared" si="2"/>
        <v>0.27890625000000002</v>
      </c>
      <c r="I25" s="43">
        <v>6.5</v>
      </c>
      <c r="J25" s="44">
        <v>7.34</v>
      </c>
      <c r="K25" s="88">
        <f t="shared" si="3"/>
        <v>0.1292307692307692</v>
      </c>
      <c r="L25" s="40">
        <f t="shared" si="4"/>
        <v>0.72956403269754766</v>
      </c>
      <c r="M25" s="48">
        <v>1</v>
      </c>
      <c r="N25" s="48">
        <v>0.95140000000000002</v>
      </c>
      <c r="O25" s="44">
        <v>1244</v>
      </c>
      <c r="P25" s="44">
        <v>0</v>
      </c>
      <c r="Q25" s="44" t="s">
        <v>231</v>
      </c>
    </row>
    <row r="26" spans="1:17">
      <c r="A26" s="13">
        <f t="shared" si="5"/>
        <v>46135</v>
      </c>
      <c r="B26" s="27">
        <v>15938</v>
      </c>
      <c r="C26" s="46">
        <v>12822</v>
      </c>
      <c r="D26" s="233">
        <v>16340</v>
      </c>
      <c r="E26" s="50">
        <v>16160</v>
      </c>
      <c r="F26" s="88">
        <f t="shared" si="0"/>
        <v>0.26033380127905165</v>
      </c>
      <c r="G26" s="2">
        <f t="shared" si="1"/>
        <v>0.22694444444444445</v>
      </c>
      <c r="H26" s="2">
        <f t="shared" si="2"/>
        <v>0.28368055555555555</v>
      </c>
      <c r="I26" s="43">
        <v>6.5</v>
      </c>
      <c r="J26" s="44">
        <v>7.02</v>
      </c>
      <c r="K26" s="88">
        <f t="shared" si="3"/>
        <v>7.9999999999999932E-2</v>
      </c>
      <c r="L26" s="40">
        <f t="shared" si="4"/>
        <v>0.77587844254510918</v>
      </c>
      <c r="M26" s="48">
        <v>1</v>
      </c>
      <c r="N26" s="48">
        <v>0.98329999999999995</v>
      </c>
      <c r="O26" s="44">
        <v>416</v>
      </c>
      <c r="P26" s="44">
        <v>0</v>
      </c>
      <c r="Q26" s="44" t="s">
        <v>232</v>
      </c>
    </row>
    <row r="27" spans="1:17">
      <c r="A27" s="13">
        <f t="shared" si="5"/>
        <v>46136</v>
      </c>
      <c r="B27" s="27">
        <v>15938</v>
      </c>
      <c r="C27" s="46">
        <v>12822</v>
      </c>
      <c r="D27" s="233">
        <v>16436</v>
      </c>
      <c r="E27" s="50">
        <v>16080</v>
      </c>
      <c r="F27" s="88">
        <f t="shared" si="0"/>
        <v>0.25409452503509594</v>
      </c>
      <c r="G27" s="2">
        <f t="shared" si="1"/>
        <v>0.22827777777777777</v>
      </c>
      <c r="H27" s="2">
        <f t="shared" si="2"/>
        <v>0.2853472222222222</v>
      </c>
      <c r="I27" s="43">
        <v>6.5</v>
      </c>
      <c r="J27" s="44">
        <v>6.83</v>
      </c>
      <c r="K27" s="88">
        <f t="shared" si="3"/>
        <v>5.0769230769230782E-2</v>
      </c>
      <c r="L27" s="40">
        <f t="shared" si="4"/>
        <v>0.80214738897022941</v>
      </c>
      <c r="M27" s="48">
        <v>1</v>
      </c>
      <c r="N27" s="48">
        <v>0.99029999999999996</v>
      </c>
      <c r="O27" s="44">
        <v>247</v>
      </c>
      <c r="P27" s="44">
        <v>0</v>
      </c>
      <c r="Q27" s="44" t="s">
        <v>232</v>
      </c>
    </row>
    <row r="28" spans="1:17">
      <c r="A28" s="13">
        <f t="shared" si="5"/>
        <v>46137</v>
      </c>
      <c r="B28" s="27">
        <v>15938</v>
      </c>
      <c r="C28" s="46">
        <v>12822</v>
      </c>
      <c r="D28" s="233">
        <v>16894</v>
      </c>
      <c r="E28" s="50">
        <v>16800</v>
      </c>
      <c r="F28" s="88">
        <f t="shared" si="0"/>
        <v>0.31024801123069723</v>
      </c>
      <c r="G28" s="2">
        <f t="shared" si="1"/>
        <v>0.2346388888888889</v>
      </c>
      <c r="H28" s="2">
        <f t="shared" si="2"/>
        <v>0.29329861111111111</v>
      </c>
      <c r="I28" s="43">
        <v>6.5</v>
      </c>
      <c r="J28" s="6">
        <v>6.86</v>
      </c>
      <c r="K28" s="88">
        <f t="shared" si="3"/>
        <v>5.5384615384615435E-2</v>
      </c>
      <c r="L28" s="40">
        <f t="shared" si="4"/>
        <v>0.82089407191448005</v>
      </c>
      <c r="M28" s="25">
        <v>1</v>
      </c>
      <c r="N28" s="25">
        <v>1</v>
      </c>
      <c r="O28" s="6">
        <v>0</v>
      </c>
      <c r="P28" s="44">
        <v>0</v>
      </c>
      <c r="Q28" s="44"/>
    </row>
    <row r="29" spans="1:17">
      <c r="A29" s="13">
        <f t="shared" si="5"/>
        <v>46138</v>
      </c>
      <c r="B29" s="27">
        <v>15938</v>
      </c>
      <c r="C29" s="46">
        <v>12822</v>
      </c>
      <c r="D29" s="233">
        <v>17210</v>
      </c>
      <c r="E29" s="50">
        <v>17040</v>
      </c>
      <c r="F29" s="88">
        <f t="shared" si="0"/>
        <v>0.32896583996256434</v>
      </c>
      <c r="G29" s="2">
        <f t="shared" si="1"/>
        <v>0.23902777777777778</v>
      </c>
      <c r="H29" s="2">
        <f t="shared" si="2"/>
        <v>0.29878472222222224</v>
      </c>
      <c r="I29" s="43">
        <v>6.5</v>
      </c>
      <c r="J29" s="6">
        <v>7</v>
      </c>
      <c r="K29" s="88">
        <f t="shared" si="3"/>
        <v>7.6923076923076927E-2</v>
      </c>
      <c r="L29" s="40">
        <f t="shared" si="4"/>
        <v>0.81952380952380954</v>
      </c>
      <c r="M29" s="25">
        <v>1</v>
      </c>
      <c r="N29" s="25">
        <v>1</v>
      </c>
      <c r="O29" s="6">
        <v>0</v>
      </c>
      <c r="P29" s="44">
        <v>0</v>
      </c>
      <c r="Q29" s="44"/>
    </row>
    <row r="30" spans="1:17">
      <c r="A30" s="13">
        <f t="shared" si="5"/>
        <v>46139</v>
      </c>
      <c r="B30" s="27">
        <v>15938</v>
      </c>
      <c r="C30" s="46">
        <v>12822</v>
      </c>
      <c r="D30" s="50"/>
      <c r="E30" s="50"/>
      <c r="F30" s="88">
        <f t="shared" si="0"/>
        <v>0</v>
      </c>
      <c r="G30" s="2">
        <f t="shared" si="1"/>
        <v>0</v>
      </c>
      <c r="H30" s="2">
        <f t="shared" si="2"/>
        <v>0</v>
      </c>
      <c r="I30" s="43">
        <v>6.5</v>
      </c>
      <c r="J30" s="6"/>
      <c r="K30" s="88">
        <f t="shared" si="3"/>
        <v>0</v>
      </c>
      <c r="L30" s="40" t="e">
        <f t="shared" si="4"/>
        <v>#DIV/0!</v>
      </c>
      <c r="M30" s="6"/>
      <c r="N30" s="6"/>
      <c r="O30" s="6"/>
      <c r="P30" s="6"/>
      <c r="Q30" s="44"/>
    </row>
    <row r="31" spans="1:17">
      <c r="A31" s="13">
        <f t="shared" si="5"/>
        <v>46140</v>
      </c>
      <c r="B31" s="27">
        <v>15938</v>
      </c>
      <c r="C31" s="46">
        <v>12822</v>
      </c>
      <c r="D31" s="50"/>
      <c r="E31" s="50"/>
      <c r="F31" s="88">
        <f t="shared" si="0"/>
        <v>0</v>
      </c>
      <c r="G31" s="2">
        <f t="shared" si="1"/>
        <v>0</v>
      </c>
      <c r="H31" s="2">
        <f t="shared" si="2"/>
        <v>0</v>
      </c>
      <c r="I31" s="43">
        <v>6.5</v>
      </c>
      <c r="J31" s="6"/>
      <c r="K31" s="88">
        <f t="shared" si="3"/>
        <v>0</v>
      </c>
      <c r="L31" s="40" t="e">
        <f t="shared" si="4"/>
        <v>#DIV/0!</v>
      </c>
      <c r="M31" s="6"/>
      <c r="N31" s="6"/>
      <c r="O31" s="6"/>
      <c r="P31" s="6"/>
      <c r="Q31" s="44"/>
    </row>
    <row r="32" spans="1:17">
      <c r="A32" s="13">
        <f t="shared" si="5"/>
        <v>46141</v>
      </c>
      <c r="B32" s="27">
        <v>15938</v>
      </c>
      <c r="C32" s="46">
        <v>12822</v>
      </c>
      <c r="D32" s="50"/>
      <c r="E32" s="50"/>
      <c r="F32" s="88">
        <f t="shared" si="0"/>
        <v>0</v>
      </c>
      <c r="G32" s="2">
        <f t="shared" si="1"/>
        <v>0</v>
      </c>
      <c r="H32" s="2">
        <f t="shared" si="2"/>
        <v>0</v>
      </c>
      <c r="I32" s="43">
        <v>6.5</v>
      </c>
      <c r="J32" s="6"/>
      <c r="K32" s="88">
        <f t="shared" si="3"/>
        <v>0</v>
      </c>
      <c r="L32" s="40" t="e">
        <f t="shared" si="4"/>
        <v>#DIV/0!</v>
      </c>
      <c r="M32" s="6"/>
      <c r="N32" s="6"/>
      <c r="O32" s="6"/>
      <c r="P32" s="6"/>
      <c r="Q32" s="44"/>
    </row>
    <row r="33" spans="1:17">
      <c r="A33" s="13">
        <f t="shared" si="5"/>
        <v>46142</v>
      </c>
      <c r="B33" s="27">
        <v>15938</v>
      </c>
      <c r="C33" s="46">
        <v>12822</v>
      </c>
      <c r="D33" s="50"/>
      <c r="E33" s="50"/>
      <c r="F33" s="88">
        <f t="shared" si="0"/>
        <v>0</v>
      </c>
      <c r="G33" s="2">
        <f t="shared" si="1"/>
        <v>0</v>
      </c>
      <c r="H33" s="2">
        <f t="shared" si="2"/>
        <v>0</v>
      </c>
      <c r="I33" s="43">
        <v>6.5</v>
      </c>
      <c r="J33" s="6"/>
      <c r="K33" s="88">
        <f t="shared" si="3"/>
        <v>0</v>
      </c>
      <c r="L33" s="40" t="e">
        <f t="shared" si="4"/>
        <v>#DIV/0!</v>
      </c>
      <c r="M33" s="6"/>
      <c r="N33" s="6"/>
      <c r="O33" s="6"/>
      <c r="P33" s="6"/>
      <c r="Q33" s="44"/>
    </row>
    <row r="34" spans="1:17">
      <c r="A34" s="349">
        <v>46113</v>
      </c>
      <c r="B34" s="89">
        <f>SUM(B4:B33)</f>
        <v>478140</v>
      </c>
      <c r="C34" s="89">
        <f>SUM(C4:C33)</f>
        <v>384660</v>
      </c>
      <c r="D34" s="89">
        <f>SUM(D4:D33)</f>
        <v>403460</v>
      </c>
      <c r="E34" s="89">
        <f>SUM(E4:E33)</f>
        <v>398400</v>
      </c>
      <c r="F34" s="160">
        <f t="shared" si="0"/>
        <v>3.5719856496646392E-2</v>
      </c>
      <c r="G34" s="90">
        <f>AVERAGE(G4:G33)</f>
        <v>0.18678703703703697</v>
      </c>
      <c r="H34" s="90">
        <f>AVERAGE(H4:H33)</f>
        <v>0.23348379629629629</v>
      </c>
      <c r="I34" s="89">
        <f>SUM(I4:I33)</f>
        <v>195</v>
      </c>
      <c r="J34" s="89">
        <f>SUM(J4:J33)</f>
        <v>176.35000000000008</v>
      </c>
      <c r="K34" s="160">
        <f t="shared" si="3"/>
        <v>-9.5641025641025237E-2</v>
      </c>
      <c r="L34" s="161">
        <f t="shared" si="4"/>
        <v>0.76261222946791385</v>
      </c>
      <c r="M34" s="90">
        <f>AVERAGE(M4:M33)</f>
        <v>0.99758076923076922</v>
      </c>
      <c r="N34" s="90">
        <f>AVERAGE(N4:N33)</f>
        <v>0.95925384615384601</v>
      </c>
      <c r="O34" s="89">
        <f>SUM(O4:O33)</f>
        <v>23453</v>
      </c>
      <c r="P34" s="89">
        <f>SUM(P4:P33)</f>
        <v>1209</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233"/>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233"/>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0CF7-BBC6-454F-AEB6-0796A3ABFD01}">
  <dimension ref="A1:Q66"/>
  <sheetViews>
    <sheetView workbookViewId="0">
      <pane xSplit="4" ySplit="3" topLeftCell="E57" activePane="bottomRight" state="frozen"/>
      <selection pane="topRight"/>
      <selection pane="bottomLeft"/>
      <selection pane="bottomRight" activeCell="I67" sqref="I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2.4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233</v>
      </c>
      <c r="B1" s="406"/>
      <c r="C1" s="406"/>
      <c r="D1" s="406"/>
      <c r="E1" s="406"/>
      <c r="F1" s="406"/>
      <c r="G1" s="406"/>
      <c r="H1" s="406"/>
      <c r="I1" s="406"/>
      <c r="J1" s="406"/>
      <c r="K1" s="406"/>
      <c r="L1" s="406"/>
      <c r="M1" s="406"/>
      <c r="N1" s="406"/>
      <c r="O1" s="406"/>
      <c r="P1" s="406"/>
      <c r="Q1" s="406"/>
    </row>
    <row r="2" spans="1:17" ht="18.5">
      <c r="A2" s="7">
        <v>46113</v>
      </c>
      <c r="B2" s="407" t="s">
        <v>172</v>
      </c>
      <c r="C2" s="408"/>
      <c r="D2" s="8">
        <v>1500</v>
      </c>
      <c r="E2" s="407" t="s">
        <v>173</v>
      </c>
      <c r="F2" s="407"/>
      <c r="G2" s="408"/>
      <c r="H2" s="8">
        <v>1200</v>
      </c>
      <c r="I2" s="409" t="s">
        <v>174</v>
      </c>
      <c r="J2" s="410"/>
      <c r="K2" s="85">
        <v>44549</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8706</v>
      </c>
      <c r="C4" s="39">
        <v>7165</v>
      </c>
      <c r="D4" s="232">
        <v>7914</v>
      </c>
      <c r="E4" s="49">
        <v>7860</v>
      </c>
      <c r="F4" s="88">
        <f t="shared" ref="F4:F35" si="0">(IF(ISBLANK(E4),0,E4-C4))/C4</f>
        <v>9.6999302163293791E-2</v>
      </c>
      <c r="G4" s="2">
        <f t="shared" ref="G4:G33" si="1">D4/($D$2*24)</f>
        <v>0.21983333333333333</v>
      </c>
      <c r="H4" s="2">
        <f t="shared" ref="H4:H33" si="2">D4/($H$2*24)</f>
        <v>0.27479166666666666</v>
      </c>
      <c r="I4" s="36">
        <v>7.12</v>
      </c>
      <c r="J4" s="37">
        <v>6.78</v>
      </c>
      <c r="K4" s="88">
        <f t="shared" ref="K4:K35" si="3">(IF(ISBLANK(J4),0,J4-I4))/I4</f>
        <v>-4.7752808988764023E-2</v>
      </c>
      <c r="L4" s="40">
        <f t="shared" ref="L4:L35" si="4">D4/($D$2*J4)</f>
        <v>0.77817109144542773</v>
      </c>
      <c r="M4" s="41">
        <v>1</v>
      </c>
      <c r="N4" s="41">
        <v>0.94130000000000003</v>
      </c>
      <c r="O4" s="37">
        <v>758</v>
      </c>
      <c r="P4" s="37">
        <v>0</v>
      </c>
      <c r="Q4" s="37" t="s">
        <v>190</v>
      </c>
    </row>
    <row r="5" spans="1:17">
      <c r="A5" s="13">
        <f t="shared" ref="A5:A33" si="5">A4+1</f>
        <v>46114</v>
      </c>
      <c r="B5" s="27">
        <v>8706</v>
      </c>
      <c r="C5" s="46">
        <v>7165</v>
      </c>
      <c r="D5" s="233">
        <v>7825</v>
      </c>
      <c r="E5" s="50">
        <v>7760</v>
      </c>
      <c r="F5" s="88">
        <f t="shared" si="0"/>
        <v>8.3042568039078862E-2</v>
      </c>
      <c r="G5" s="2">
        <f t="shared" si="1"/>
        <v>0.21736111111111112</v>
      </c>
      <c r="H5" s="2">
        <f t="shared" si="2"/>
        <v>0.2717013888888889</v>
      </c>
      <c r="I5" s="43">
        <v>7.12</v>
      </c>
      <c r="J5" s="44">
        <v>6.51</v>
      </c>
      <c r="K5" s="88">
        <f t="shared" si="3"/>
        <v>-8.5674157303370829E-2</v>
      </c>
      <c r="L5" s="40">
        <f t="shared" si="4"/>
        <v>0.80133128520225294</v>
      </c>
      <c r="M5" s="48">
        <v>1</v>
      </c>
      <c r="N5" s="48">
        <v>0.96919999999999995</v>
      </c>
      <c r="O5" s="44">
        <v>423</v>
      </c>
      <c r="P5" s="44">
        <v>0</v>
      </c>
      <c r="Q5" s="44" t="s">
        <v>191</v>
      </c>
    </row>
    <row r="6" spans="1:17">
      <c r="A6" s="13">
        <f t="shared" si="5"/>
        <v>46115</v>
      </c>
      <c r="B6" s="27">
        <v>8706</v>
      </c>
      <c r="C6" s="46">
        <v>7165</v>
      </c>
      <c r="D6" s="233">
        <v>6453</v>
      </c>
      <c r="E6" s="50">
        <v>6400</v>
      </c>
      <c r="F6" s="88">
        <f t="shared" si="0"/>
        <v>-0.10676901605024425</v>
      </c>
      <c r="G6" s="2">
        <f t="shared" si="1"/>
        <v>0.17924999999999999</v>
      </c>
      <c r="H6" s="2">
        <f t="shared" si="2"/>
        <v>0.2240625</v>
      </c>
      <c r="I6" s="43">
        <v>7.12</v>
      </c>
      <c r="J6" s="44">
        <v>5.0999999999999996</v>
      </c>
      <c r="K6" s="88">
        <f t="shared" si="3"/>
        <v>-0.28370786516853941</v>
      </c>
      <c r="L6" s="40">
        <f t="shared" si="4"/>
        <v>0.84352941176470597</v>
      </c>
      <c r="M6" s="48">
        <v>1</v>
      </c>
      <c r="N6" s="48">
        <v>1</v>
      </c>
      <c r="O6" s="44">
        <v>0</v>
      </c>
      <c r="P6" s="44">
        <v>0</v>
      </c>
      <c r="Q6" s="44"/>
    </row>
    <row r="7" spans="1:17">
      <c r="A7" s="13">
        <f t="shared" si="5"/>
        <v>46116</v>
      </c>
      <c r="B7" s="27">
        <v>8706</v>
      </c>
      <c r="C7" s="46">
        <v>7165</v>
      </c>
      <c r="D7" s="233">
        <v>9258</v>
      </c>
      <c r="E7" s="50">
        <v>9180</v>
      </c>
      <c r="F7" s="88">
        <f t="shared" si="0"/>
        <v>0.28122819260293092</v>
      </c>
      <c r="G7" s="2">
        <f t="shared" si="1"/>
        <v>0.25716666666666665</v>
      </c>
      <c r="H7" s="2">
        <f t="shared" si="2"/>
        <v>0.32145833333333335</v>
      </c>
      <c r="I7" s="43">
        <v>7.12</v>
      </c>
      <c r="J7" s="44">
        <v>7.65</v>
      </c>
      <c r="K7" s="88">
        <f t="shared" si="3"/>
        <v>7.443820224719104E-2</v>
      </c>
      <c r="L7" s="40">
        <f t="shared" si="4"/>
        <v>0.80679738562091508</v>
      </c>
      <c r="M7" s="48">
        <v>1</v>
      </c>
      <c r="N7" s="48">
        <v>1</v>
      </c>
      <c r="O7" s="44">
        <v>0</v>
      </c>
      <c r="P7" s="44">
        <v>0</v>
      </c>
      <c r="Q7" s="44"/>
    </row>
    <row r="8" spans="1:17">
      <c r="A8" s="13">
        <f t="shared" si="5"/>
        <v>46117</v>
      </c>
      <c r="B8" s="27">
        <v>8706</v>
      </c>
      <c r="C8" s="46">
        <v>7165</v>
      </c>
      <c r="D8" s="233">
        <v>8596</v>
      </c>
      <c r="E8" s="50">
        <v>8460</v>
      </c>
      <c r="F8" s="88">
        <f t="shared" si="0"/>
        <v>0.1807397069085834</v>
      </c>
      <c r="G8" s="2">
        <f t="shared" si="1"/>
        <v>0.23877777777777778</v>
      </c>
      <c r="H8" s="2">
        <f t="shared" si="2"/>
        <v>0.29847222222222225</v>
      </c>
      <c r="I8" s="43">
        <v>7.12</v>
      </c>
      <c r="J8" s="44">
        <v>6.89</v>
      </c>
      <c r="K8" s="88">
        <f t="shared" si="3"/>
        <v>-3.2303370786516912E-2</v>
      </c>
      <c r="L8" s="40">
        <f t="shared" si="4"/>
        <v>0.83173681664247701</v>
      </c>
      <c r="M8" s="48">
        <v>1</v>
      </c>
      <c r="N8" s="48">
        <v>0.95799999999999996</v>
      </c>
      <c r="O8" s="44">
        <v>507</v>
      </c>
      <c r="P8" s="44">
        <v>0</v>
      </c>
      <c r="Q8" s="44" t="s">
        <v>234</v>
      </c>
    </row>
    <row r="9" spans="1:17">
      <c r="A9" s="13">
        <f t="shared" si="5"/>
        <v>46118</v>
      </c>
      <c r="B9" s="27">
        <v>8706</v>
      </c>
      <c r="C9" s="46">
        <v>7165</v>
      </c>
      <c r="D9" s="233">
        <v>8197</v>
      </c>
      <c r="E9" s="50">
        <v>8080</v>
      </c>
      <c r="F9" s="88">
        <f t="shared" si="0"/>
        <v>0.12770411723656663</v>
      </c>
      <c r="G9" s="2">
        <f t="shared" si="1"/>
        <v>0.22769444444444445</v>
      </c>
      <c r="H9" s="2">
        <f t="shared" si="2"/>
        <v>0.28461805555555558</v>
      </c>
      <c r="I9" s="43">
        <v>7.12</v>
      </c>
      <c r="J9" s="44">
        <v>7.18</v>
      </c>
      <c r="K9" s="88">
        <f t="shared" si="3"/>
        <v>8.4269662921347757E-3</v>
      </c>
      <c r="L9" s="40">
        <f t="shared" si="4"/>
        <v>0.76109563602599817</v>
      </c>
      <c r="M9" s="48">
        <v>0.95099999999999996</v>
      </c>
      <c r="N9" s="48">
        <v>0.90490000000000004</v>
      </c>
      <c r="O9" s="44">
        <v>1149</v>
      </c>
      <c r="P9" s="44">
        <v>207</v>
      </c>
      <c r="Q9" s="44" t="s">
        <v>235</v>
      </c>
    </row>
    <row r="10" spans="1:17">
      <c r="A10" s="13">
        <f t="shared" si="5"/>
        <v>46119</v>
      </c>
      <c r="B10" s="27">
        <v>8706</v>
      </c>
      <c r="C10" s="46">
        <v>7165</v>
      </c>
      <c r="D10" s="233">
        <v>4962</v>
      </c>
      <c r="E10" s="50">
        <v>4900</v>
      </c>
      <c r="F10" s="88">
        <f t="shared" si="0"/>
        <v>-0.31612002791346827</v>
      </c>
      <c r="G10" s="2">
        <f t="shared" si="1"/>
        <v>0.13783333333333334</v>
      </c>
      <c r="H10" s="2">
        <f t="shared" si="2"/>
        <v>0.17229166666666668</v>
      </c>
      <c r="I10" s="43">
        <v>7.12</v>
      </c>
      <c r="J10" s="44">
        <v>5.24</v>
      </c>
      <c r="K10" s="88">
        <f t="shared" si="3"/>
        <v>-0.2640449438202247</v>
      </c>
      <c r="L10" s="40">
        <f t="shared" si="4"/>
        <v>0.63129770992366407</v>
      </c>
      <c r="M10" s="48">
        <v>1</v>
      </c>
      <c r="N10" s="48">
        <v>0.86939999999999995</v>
      </c>
      <c r="O10" s="44">
        <v>1285</v>
      </c>
      <c r="P10" s="44">
        <v>0</v>
      </c>
      <c r="Q10" s="44" t="s">
        <v>236</v>
      </c>
    </row>
    <row r="11" spans="1:17">
      <c r="A11" s="13">
        <f t="shared" si="5"/>
        <v>46120</v>
      </c>
      <c r="B11" s="27">
        <v>8706</v>
      </c>
      <c r="C11" s="46">
        <v>7165</v>
      </c>
      <c r="D11" s="233">
        <v>5798</v>
      </c>
      <c r="E11" s="50">
        <v>5720</v>
      </c>
      <c r="F11" s="88">
        <f t="shared" si="0"/>
        <v>-0.20167480809490579</v>
      </c>
      <c r="G11" s="2">
        <f t="shared" si="1"/>
        <v>0.16105555555555556</v>
      </c>
      <c r="H11" s="2">
        <f t="shared" si="2"/>
        <v>0.20131944444444444</v>
      </c>
      <c r="I11" s="43">
        <v>7.12</v>
      </c>
      <c r="J11" s="44">
        <v>6.5</v>
      </c>
      <c r="K11" s="88">
        <f t="shared" si="3"/>
        <v>-8.7078651685393277E-2</v>
      </c>
      <c r="L11" s="40">
        <f t="shared" si="4"/>
        <v>0.59466666666666668</v>
      </c>
      <c r="M11" s="48">
        <v>1</v>
      </c>
      <c r="N11" s="48">
        <v>0.72919999999999996</v>
      </c>
      <c r="O11" s="44">
        <v>2860</v>
      </c>
      <c r="P11" s="44">
        <v>0</v>
      </c>
      <c r="Q11" s="44" t="s">
        <v>237</v>
      </c>
    </row>
    <row r="12" spans="1:17">
      <c r="A12" s="13">
        <f t="shared" si="5"/>
        <v>46121</v>
      </c>
      <c r="B12" s="27">
        <v>8706</v>
      </c>
      <c r="C12" s="46">
        <v>7165</v>
      </c>
      <c r="D12" s="233">
        <v>7562</v>
      </c>
      <c r="E12" s="50">
        <v>7460</v>
      </c>
      <c r="F12" s="88">
        <f t="shared" si="0"/>
        <v>4.1172365666434056E-2</v>
      </c>
      <c r="G12" s="2">
        <f t="shared" si="1"/>
        <v>0.21005555555555555</v>
      </c>
      <c r="H12" s="2">
        <f t="shared" si="2"/>
        <v>0.26256944444444447</v>
      </c>
      <c r="I12" s="43">
        <v>7.12</v>
      </c>
      <c r="J12" s="44">
        <v>6.6</v>
      </c>
      <c r="K12" s="88">
        <f t="shared" si="3"/>
        <v>-7.3033707865168607E-2</v>
      </c>
      <c r="L12" s="40">
        <f t="shared" si="4"/>
        <v>0.76383838383838387</v>
      </c>
      <c r="M12" s="48">
        <v>1</v>
      </c>
      <c r="N12" s="48">
        <v>0.91390000000000005</v>
      </c>
      <c r="O12" s="44">
        <v>1053</v>
      </c>
      <c r="P12" s="44">
        <v>0</v>
      </c>
      <c r="Q12" s="44" t="s">
        <v>238</v>
      </c>
    </row>
    <row r="13" spans="1:17">
      <c r="A13" s="13">
        <f t="shared" si="5"/>
        <v>46122</v>
      </c>
      <c r="B13" s="27">
        <v>8706</v>
      </c>
      <c r="C13" s="46">
        <v>7165</v>
      </c>
      <c r="D13" s="233">
        <v>8008</v>
      </c>
      <c r="E13" s="50">
        <v>7920</v>
      </c>
      <c r="F13" s="88">
        <f t="shared" si="0"/>
        <v>0.10537334263782275</v>
      </c>
      <c r="G13" s="2">
        <f t="shared" si="1"/>
        <v>0.22244444444444444</v>
      </c>
      <c r="H13" s="2">
        <f t="shared" si="2"/>
        <v>0.27805555555555556</v>
      </c>
      <c r="I13" s="43">
        <v>7.12</v>
      </c>
      <c r="J13" s="44">
        <v>7.17</v>
      </c>
      <c r="K13" s="88">
        <f t="shared" si="3"/>
        <v>7.0224719101123342E-3</v>
      </c>
      <c r="L13" s="40">
        <f t="shared" si="4"/>
        <v>0.74458391445839145</v>
      </c>
      <c r="M13" s="48">
        <v>1</v>
      </c>
      <c r="N13" s="48">
        <v>0.95279999999999998</v>
      </c>
      <c r="O13" s="44">
        <v>577</v>
      </c>
      <c r="P13" s="44">
        <v>0</v>
      </c>
      <c r="Q13" s="44" t="s">
        <v>239</v>
      </c>
    </row>
    <row r="14" spans="1:17">
      <c r="A14" s="13">
        <f t="shared" si="5"/>
        <v>46123</v>
      </c>
      <c r="B14" s="27">
        <v>8706</v>
      </c>
      <c r="C14" s="46">
        <v>7165</v>
      </c>
      <c r="D14" s="233">
        <v>8496</v>
      </c>
      <c r="E14" s="50">
        <v>8380</v>
      </c>
      <c r="F14" s="88">
        <f t="shared" si="0"/>
        <v>0.16957431960921143</v>
      </c>
      <c r="G14" s="2">
        <f t="shared" si="1"/>
        <v>0.23599999999999999</v>
      </c>
      <c r="H14" s="2">
        <f t="shared" si="2"/>
        <v>0.29499999999999998</v>
      </c>
      <c r="I14" s="43">
        <v>7.12</v>
      </c>
      <c r="J14" s="44">
        <v>7.18</v>
      </c>
      <c r="K14" s="88">
        <f t="shared" si="3"/>
        <v>8.4269662921347757E-3</v>
      </c>
      <c r="L14" s="40">
        <f t="shared" si="4"/>
        <v>0.78885793871866294</v>
      </c>
      <c r="M14" s="48">
        <v>1</v>
      </c>
      <c r="N14" s="48">
        <v>1</v>
      </c>
      <c r="O14" s="44">
        <v>0</v>
      </c>
      <c r="P14" s="44">
        <v>0</v>
      </c>
      <c r="Q14" s="44"/>
    </row>
    <row r="15" spans="1:17">
      <c r="A15" s="13">
        <f t="shared" si="5"/>
        <v>46124</v>
      </c>
      <c r="B15" s="27">
        <v>8706</v>
      </c>
      <c r="C15" s="46">
        <v>7165</v>
      </c>
      <c r="D15" s="233">
        <v>8613</v>
      </c>
      <c r="E15" s="50">
        <v>8460</v>
      </c>
      <c r="F15" s="88">
        <f t="shared" si="0"/>
        <v>0.1807397069085834</v>
      </c>
      <c r="G15" s="2">
        <f t="shared" si="1"/>
        <v>0.23924999999999999</v>
      </c>
      <c r="H15" s="2">
        <f t="shared" si="2"/>
        <v>0.29906250000000001</v>
      </c>
      <c r="I15" s="43">
        <v>7.12</v>
      </c>
      <c r="J15" s="44">
        <v>7.12</v>
      </c>
      <c r="K15" s="88">
        <f t="shared" si="3"/>
        <v>0</v>
      </c>
      <c r="L15" s="40">
        <f t="shared" si="4"/>
        <v>0.80646067415730338</v>
      </c>
      <c r="M15" s="48">
        <v>1</v>
      </c>
      <c r="N15" s="48">
        <v>1</v>
      </c>
      <c r="O15" s="44">
        <v>0</v>
      </c>
      <c r="P15" s="44">
        <v>0</v>
      </c>
      <c r="Q15" s="44"/>
    </row>
    <row r="16" spans="1:17">
      <c r="A16" s="13">
        <f t="shared" si="5"/>
        <v>46125</v>
      </c>
      <c r="B16" s="27">
        <v>8706</v>
      </c>
      <c r="C16" s="46">
        <v>7165</v>
      </c>
      <c r="D16" s="233">
        <v>8459</v>
      </c>
      <c r="E16" s="50">
        <v>8320</v>
      </c>
      <c r="F16" s="88">
        <f t="shared" si="0"/>
        <v>0.16120027913468249</v>
      </c>
      <c r="G16" s="2">
        <f t="shared" si="1"/>
        <v>0.23497222222222222</v>
      </c>
      <c r="H16" s="2">
        <f t="shared" si="2"/>
        <v>0.29371527777777778</v>
      </c>
      <c r="I16" s="43">
        <v>7.12</v>
      </c>
      <c r="J16" s="44">
        <v>6.91</v>
      </c>
      <c r="K16" s="88">
        <f t="shared" si="3"/>
        <v>-2.9494382022471906E-2</v>
      </c>
      <c r="L16" s="40">
        <f t="shared" si="4"/>
        <v>0.81611191509889047</v>
      </c>
      <c r="M16" s="48">
        <v>1</v>
      </c>
      <c r="N16" s="48">
        <v>1</v>
      </c>
      <c r="O16" s="44">
        <v>0</v>
      </c>
      <c r="P16" s="44">
        <v>0</v>
      </c>
      <c r="Q16" s="44"/>
    </row>
    <row r="17" spans="1:17">
      <c r="A17" s="13">
        <f t="shared" si="5"/>
        <v>46126</v>
      </c>
      <c r="B17" s="27">
        <v>8706</v>
      </c>
      <c r="C17" s="46">
        <v>7165</v>
      </c>
      <c r="D17" s="233">
        <v>8505</v>
      </c>
      <c r="E17" s="50">
        <v>8420</v>
      </c>
      <c r="F17" s="88">
        <f t="shared" si="0"/>
        <v>0.17515701325889743</v>
      </c>
      <c r="G17" s="2">
        <f t="shared" si="1"/>
        <v>0.23624999999999999</v>
      </c>
      <c r="H17" s="2">
        <f t="shared" si="2"/>
        <v>0.29531249999999998</v>
      </c>
      <c r="I17" s="43">
        <v>7.12</v>
      </c>
      <c r="J17" s="44">
        <v>7.22</v>
      </c>
      <c r="K17" s="88">
        <f t="shared" si="3"/>
        <v>1.4044943820224668E-2</v>
      </c>
      <c r="L17" s="40">
        <f t="shared" si="4"/>
        <v>0.78531855955678675</v>
      </c>
      <c r="M17" s="48">
        <v>1</v>
      </c>
      <c r="N17" s="48">
        <v>0.97360000000000002</v>
      </c>
      <c r="O17" s="44">
        <v>361</v>
      </c>
      <c r="P17" s="44">
        <v>0</v>
      </c>
      <c r="Q17" s="44" t="s">
        <v>240</v>
      </c>
    </row>
    <row r="18" spans="1:17">
      <c r="A18" s="13">
        <f t="shared" si="5"/>
        <v>46127</v>
      </c>
      <c r="B18" s="27">
        <v>8706</v>
      </c>
      <c r="C18" s="46">
        <v>7165</v>
      </c>
      <c r="D18" s="233">
        <v>8137</v>
      </c>
      <c r="E18" s="50">
        <v>8040</v>
      </c>
      <c r="F18" s="88">
        <f t="shared" si="0"/>
        <v>0.12212142358688068</v>
      </c>
      <c r="G18" s="2">
        <f t="shared" si="1"/>
        <v>0.22602777777777777</v>
      </c>
      <c r="H18" s="2">
        <f t="shared" si="2"/>
        <v>0.2825347222222222</v>
      </c>
      <c r="I18" s="43">
        <v>7.12</v>
      </c>
      <c r="J18" s="44">
        <v>6.97</v>
      </c>
      <c r="K18" s="88">
        <f t="shared" si="3"/>
        <v>-2.1067415730337127E-2</v>
      </c>
      <c r="L18" s="40">
        <f t="shared" si="4"/>
        <v>0.77828790052606411</v>
      </c>
      <c r="M18" s="48">
        <v>1</v>
      </c>
      <c r="N18" s="48">
        <v>0.96530000000000005</v>
      </c>
      <c r="O18" s="44">
        <v>432</v>
      </c>
      <c r="P18" s="44">
        <v>0</v>
      </c>
      <c r="Q18" s="44" t="s">
        <v>240</v>
      </c>
    </row>
    <row r="19" spans="1:17">
      <c r="A19" s="13">
        <f t="shared" si="5"/>
        <v>46128</v>
      </c>
      <c r="B19" s="27">
        <v>8706</v>
      </c>
      <c r="C19" s="46">
        <v>7165</v>
      </c>
      <c r="D19" s="233">
        <v>8533</v>
      </c>
      <c r="E19" s="50">
        <v>8440</v>
      </c>
      <c r="F19" s="88">
        <f t="shared" si="0"/>
        <v>0.1779483600837404</v>
      </c>
      <c r="G19" s="2">
        <f t="shared" si="1"/>
        <v>0.23702777777777778</v>
      </c>
      <c r="H19" s="2">
        <f t="shared" si="2"/>
        <v>0.29628472222222224</v>
      </c>
      <c r="I19" s="43">
        <v>7.12</v>
      </c>
      <c r="J19" s="44">
        <v>7.1</v>
      </c>
      <c r="K19" s="88">
        <f t="shared" si="3"/>
        <v>-2.8089887640450088E-3</v>
      </c>
      <c r="L19" s="40">
        <f t="shared" si="4"/>
        <v>0.80122065727699532</v>
      </c>
      <c r="M19" s="48">
        <v>1</v>
      </c>
      <c r="N19" s="48">
        <v>0.98060000000000003</v>
      </c>
      <c r="O19" s="44">
        <v>249</v>
      </c>
      <c r="P19" s="44">
        <v>0</v>
      </c>
      <c r="Q19" s="44" t="s">
        <v>240</v>
      </c>
    </row>
    <row r="20" spans="1:17">
      <c r="A20" s="13">
        <f t="shared" si="5"/>
        <v>46129</v>
      </c>
      <c r="B20" s="27">
        <v>8706</v>
      </c>
      <c r="C20" s="46">
        <v>7165</v>
      </c>
      <c r="D20" s="233">
        <v>8555</v>
      </c>
      <c r="E20" s="50">
        <v>8420</v>
      </c>
      <c r="F20" s="88">
        <f t="shared" si="0"/>
        <v>0.17515701325889743</v>
      </c>
      <c r="G20" s="2">
        <f t="shared" si="1"/>
        <v>0.2376388888888889</v>
      </c>
      <c r="H20" s="2">
        <f t="shared" si="2"/>
        <v>0.29704861111111114</v>
      </c>
      <c r="I20" s="43">
        <v>7.12</v>
      </c>
      <c r="J20" s="44">
        <v>7.41</v>
      </c>
      <c r="K20" s="88">
        <f t="shared" si="3"/>
        <v>4.0730337078651688E-2</v>
      </c>
      <c r="L20" s="40">
        <f t="shared" si="4"/>
        <v>0.76968061178587499</v>
      </c>
      <c r="M20" s="48">
        <v>1</v>
      </c>
      <c r="N20" s="48">
        <v>0.95420000000000005</v>
      </c>
      <c r="O20" s="44">
        <v>597</v>
      </c>
      <c r="P20" s="44">
        <v>0</v>
      </c>
      <c r="Q20" s="44" t="s">
        <v>240</v>
      </c>
    </row>
    <row r="21" spans="1:17">
      <c r="A21" s="13">
        <f t="shared" si="5"/>
        <v>46130</v>
      </c>
      <c r="B21" s="27">
        <v>8706</v>
      </c>
      <c r="C21" s="46">
        <v>7165</v>
      </c>
      <c r="D21" s="233">
        <v>8789</v>
      </c>
      <c r="E21" s="50">
        <v>8640</v>
      </c>
      <c r="F21" s="88">
        <f t="shared" si="0"/>
        <v>0.20586182833217026</v>
      </c>
      <c r="G21" s="2">
        <f t="shared" si="1"/>
        <v>0.24413888888888888</v>
      </c>
      <c r="H21" s="2">
        <f t="shared" si="2"/>
        <v>0.30517361111111113</v>
      </c>
      <c r="I21" s="43">
        <v>7.12</v>
      </c>
      <c r="J21" s="44">
        <v>7.3</v>
      </c>
      <c r="K21" s="88">
        <f t="shared" si="3"/>
        <v>2.5280898876404456E-2</v>
      </c>
      <c r="L21" s="40">
        <f t="shared" si="4"/>
        <v>0.802648401826484</v>
      </c>
      <c r="M21" s="48">
        <v>1</v>
      </c>
      <c r="N21" s="48">
        <v>0.96940000000000004</v>
      </c>
      <c r="O21" s="44">
        <v>422</v>
      </c>
      <c r="P21" s="44">
        <v>0</v>
      </c>
      <c r="Q21" s="44" t="s">
        <v>241</v>
      </c>
    </row>
    <row r="22" spans="1:17">
      <c r="A22" s="13">
        <f t="shared" si="5"/>
        <v>46131</v>
      </c>
      <c r="B22" s="27">
        <v>8706</v>
      </c>
      <c r="C22" s="46">
        <v>7165</v>
      </c>
      <c r="D22" s="233">
        <v>8555</v>
      </c>
      <c r="E22" s="50">
        <v>8440</v>
      </c>
      <c r="F22" s="88">
        <f t="shared" si="0"/>
        <v>0.1779483600837404</v>
      </c>
      <c r="G22" s="2">
        <f t="shared" si="1"/>
        <v>0.2376388888888889</v>
      </c>
      <c r="H22" s="2">
        <f t="shared" si="2"/>
        <v>0.29704861111111114</v>
      </c>
      <c r="I22" s="43">
        <v>7.12</v>
      </c>
      <c r="J22" s="44">
        <v>7.19</v>
      </c>
      <c r="K22" s="88">
        <f t="shared" si="3"/>
        <v>9.831460674157343E-3</v>
      </c>
      <c r="L22" s="40">
        <f t="shared" si="4"/>
        <v>0.79323133982382943</v>
      </c>
      <c r="M22" s="48">
        <v>1</v>
      </c>
      <c r="N22" s="48">
        <v>0.93330000000000002</v>
      </c>
      <c r="O22" s="44">
        <v>862</v>
      </c>
      <c r="P22" s="44">
        <v>0</v>
      </c>
      <c r="Q22" s="44" t="s">
        <v>241</v>
      </c>
    </row>
    <row r="23" spans="1:17">
      <c r="A23" s="13">
        <f t="shared" si="5"/>
        <v>46132</v>
      </c>
      <c r="B23" s="27">
        <v>8706</v>
      </c>
      <c r="C23" s="46">
        <v>7165</v>
      </c>
      <c r="D23" s="233">
        <v>8462</v>
      </c>
      <c r="E23" s="50">
        <v>8320</v>
      </c>
      <c r="F23" s="88">
        <f t="shared" si="0"/>
        <v>0.16120027913468249</v>
      </c>
      <c r="G23" s="2">
        <f t="shared" si="1"/>
        <v>0.23505555555555555</v>
      </c>
      <c r="H23" s="2">
        <f t="shared" si="2"/>
        <v>0.29381944444444447</v>
      </c>
      <c r="I23" s="43">
        <v>7.12</v>
      </c>
      <c r="J23" s="44">
        <v>7.21</v>
      </c>
      <c r="K23" s="88">
        <f t="shared" si="3"/>
        <v>1.2640449438202228E-2</v>
      </c>
      <c r="L23" s="40">
        <f t="shared" si="4"/>
        <v>0.78243180767452614</v>
      </c>
      <c r="M23" s="48">
        <v>1</v>
      </c>
      <c r="N23" s="48">
        <v>0.95830000000000004</v>
      </c>
      <c r="O23" s="44">
        <v>547</v>
      </c>
      <c r="P23" s="44">
        <v>0</v>
      </c>
      <c r="Q23" s="44" t="s">
        <v>240</v>
      </c>
    </row>
    <row r="24" spans="1:17">
      <c r="A24" s="13">
        <f t="shared" si="5"/>
        <v>46133</v>
      </c>
      <c r="B24" s="27">
        <v>8706</v>
      </c>
      <c r="C24" s="46">
        <v>7165</v>
      </c>
      <c r="D24" s="233">
        <v>8520</v>
      </c>
      <c r="E24" s="50">
        <v>8360</v>
      </c>
      <c r="F24" s="88">
        <f t="shared" si="0"/>
        <v>0.16678297278436846</v>
      </c>
      <c r="G24" s="2">
        <f t="shared" si="1"/>
        <v>0.23666666666666666</v>
      </c>
      <c r="H24" s="2">
        <f t="shared" si="2"/>
        <v>0.29583333333333334</v>
      </c>
      <c r="I24" s="43">
        <v>7.12</v>
      </c>
      <c r="J24" s="44">
        <v>7.25</v>
      </c>
      <c r="K24" s="88">
        <f t="shared" si="3"/>
        <v>1.825842696629212E-2</v>
      </c>
      <c r="L24" s="40">
        <f t="shared" si="4"/>
        <v>0.783448275862069</v>
      </c>
      <c r="M24" s="48">
        <v>1</v>
      </c>
      <c r="N24" s="48">
        <v>0.9667</v>
      </c>
      <c r="O24" s="44">
        <v>449</v>
      </c>
      <c r="P24" s="44">
        <v>0</v>
      </c>
      <c r="Q24" s="44" t="s">
        <v>240</v>
      </c>
    </row>
    <row r="25" spans="1:17">
      <c r="A25" s="13">
        <f t="shared" si="5"/>
        <v>46134</v>
      </c>
      <c r="B25" s="27">
        <v>8706</v>
      </c>
      <c r="C25" s="46">
        <v>7165</v>
      </c>
      <c r="D25" s="233">
        <v>8361</v>
      </c>
      <c r="E25" s="50">
        <v>8220</v>
      </c>
      <c r="F25" s="88">
        <f t="shared" si="0"/>
        <v>0.14724354501046755</v>
      </c>
      <c r="G25" s="2">
        <f t="shared" si="1"/>
        <v>0.23225000000000001</v>
      </c>
      <c r="H25" s="2">
        <f t="shared" si="2"/>
        <v>0.29031249999999997</v>
      </c>
      <c r="I25" s="43">
        <v>7.12</v>
      </c>
      <c r="J25" s="44">
        <v>7.07</v>
      </c>
      <c r="K25" s="88">
        <f t="shared" si="3"/>
        <v>-7.0224719101123342E-3</v>
      </c>
      <c r="L25" s="40">
        <f t="shared" si="4"/>
        <v>0.78840169731258836</v>
      </c>
      <c r="M25" s="48">
        <v>1</v>
      </c>
      <c r="N25" s="48">
        <v>0.95140000000000002</v>
      </c>
      <c r="O25" s="44">
        <v>645</v>
      </c>
      <c r="P25" s="44">
        <v>0</v>
      </c>
      <c r="Q25" s="44" t="s">
        <v>242</v>
      </c>
    </row>
    <row r="26" spans="1:17">
      <c r="A26" s="13">
        <f t="shared" si="5"/>
        <v>46135</v>
      </c>
      <c r="B26" s="27">
        <v>8706</v>
      </c>
      <c r="C26" s="46">
        <v>7165</v>
      </c>
      <c r="D26" s="233">
        <v>8534</v>
      </c>
      <c r="E26" s="50">
        <v>8400</v>
      </c>
      <c r="F26" s="88">
        <f t="shared" si="0"/>
        <v>0.17236566643405443</v>
      </c>
      <c r="G26" s="2">
        <f t="shared" si="1"/>
        <v>0.23705555555555555</v>
      </c>
      <c r="H26" s="2">
        <f t="shared" si="2"/>
        <v>0.29631944444444447</v>
      </c>
      <c r="I26" s="43">
        <v>7.12</v>
      </c>
      <c r="J26" s="44">
        <v>7.37</v>
      </c>
      <c r="K26" s="88">
        <f t="shared" si="3"/>
        <v>3.51123595505618E-2</v>
      </c>
      <c r="L26" s="40">
        <f t="shared" si="4"/>
        <v>0.77195838986883758</v>
      </c>
      <c r="M26" s="48">
        <v>1</v>
      </c>
      <c r="N26" s="48">
        <v>0.9597</v>
      </c>
      <c r="O26" s="44">
        <v>523</v>
      </c>
      <c r="P26" s="44">
        <v>0</v>
      </c>
      <c r="Q26" s="44" t="s">
        <v>190</v>
      </c>
    </row>
    <row r="27" spans="1:17">
      <c r="A27" s="13">
        <f t="shared" si="5"/>
        <v>46136</v>
      </c>
      <c r="B27" s="27">
        <v>8706</v>
      </c>
      <c r="C27" s="46">
        <v>7165</v>
      </c>
      <c r="D27" s="233">
        <v>8698</v>
      </c>
      <c r="E27" s="50">
        <v>8500</v>
      </c>
      <c r="F27" s="88">
        <f t="shared" si="0"/>
        <v>0.18632240055826937</v>
      </c>
      <c r="G27" s="2">
        <f t="shared" si="1"/>
        <v>0.24161111111111111</v>
      </c>
      <c r="H27" s="2">
        <f t="shared" si="2"/>
        <v>0.30201388888888892</v>
      </c>
      <c r="I27" s="43">
        <v>7.12</v>
      </c>
      <c r="J27" s="44">
        <v>7.25</v>
      </c>
      <c r="K27" s="88">
        <f t="shared" si="3"/>
        <v>1.825842696629212E-2</v>
      </c>
      <c r="L27" s="40">
        <f t="shared" si="4"/>
        <v>0.79981609195402303</v>
      </c>
      <c r="M27" s="48">
        <v>1</v>
      </c>
      <c r="N27" s="48">
        <v>0.9778</v>
      </c>
      <c r="O27" s="44">
        <v>298</v>
      </c>
      <c r="P27" s="44">
        <v>0</v>
      </c>
      <c r="Q27" s="44" t="s">
        <v>190</v>
      </c>
    </row>
    <row r="28" spans="1:17">
      <c r="A28" s="13">
        <f t="shared" si="5"/>
        <v>46137</v>
      </c>
      <c r="B28" s="27">
        <v>8706</v>
      </c>
      <c r="C28" s="46">
        <v>7165</v>
      </c>
      <c r="D28" s="233">
        <v>8673</v>
      </c>
      <c r="E28" s="50">
        <v>8520</v>
      </c>
      <c r="F28" s="88">
        <f t="shared" si="0"/>
        <v>0.18911374738311235</v>
      </c>
      <c r="G28" s="2">
        <f t="shared" si="1"/>
        <v>0.24091666666666667</v>
      </c>
      <c r="H28" s="2">
        <f t="shared" si="2"/>
        <v>0.30114583333333333</v>
      </c>
      <c r="I28" s="43">
        <v>7.12</v>
      </c>
      <c r="J28" s="6">
        <v>7.28</v>
      </c>
      <c r="K28" s="88">
        <f t="shared" si="3"/>
        <v>2.2471910112359571E-2</v>
      </c>
      <c r="L28" s="40">
        <f t="shared" si="4"/>
        <v>0.79423076923076918</v>
      </c>
      <c r="M28" s="25">
        <v>1</v>
      </c>
      <c r="N28" s="25">
        <v>1</v>
      </c>
      <c r="O28" s="6">
        <v>0</v>
      </c>
      <c r="P28" s="44">
        <v>0</v>
      </c>
      <c r="Q28" s="44"/>
    </row>
    <row r="29" spans="1:17">
      <c r="A29" s="13">
        <f t="shared" si="5"/>
        <v>46138</v>
      </c>
      <c r="B29" s="27">
        <v>8706</v>
      </c>
      <c r="C29" s="46">
        <v>7165</v>
      </c>
      <c r="D29" s="233">
        <v>8818</v>
      </c>
      <c r="E29" s="50">
        <v>8680</v>
      </c>
      <c r="F29" s="88">
        <f t="shared" si="0"/>
        <v>0.21144452198185626</v>
      </c>
      <c r="G29" s="2">
        <f t="shared" si="1"/>
        <v>0.24494444444444444</v>
      </c>
      <c r="H29" s="2">
        <f t="shared" si="2"/>
        <v>0.30618055555555557</v>
      </c>
      <c r="I29" s="43">
        <v>7.12</v>
      </c>
      <c r="J29" s="6">
        <v>7.11</v>
      </c>
      <c r="K29" s="88">
        <f t="shared" si="3"/>
        <v>-1.4044943820224419E-3</v>
      </c>
      <c r="L29" s="40">
        <f t="shared" si="4"/>
        <v>0.82681669010782932</v>
      </c>
      <c r="M29" s="25">
        <v>1</v>
      </c>
      <c r="N29" s="25">
        <v>1</v>
      </c>
      <c r="O29" s="6">
        <v>0</v>
      </c>
      <c r="P29" s="44">
        <v>0</v>
      </c>
      <c r="Q29" s="44"/>
    </row>
    <row r="30" spans="1:17">
      <c r="A30" s="13">
        <f t="shared" si="5"/>
        <v>46139</v>
      </c>
      <c r="B30" s="27">
        <v>8706</v>
      </c>
      <c r="C30" s="46">
        <v>7165</v>
      </c>
      <c r="D30" s="50"/>
      <c r="E30" s="50"/>
      <c r="F30" s="88">
        <f t="shared" si="0"/>
        <v>0</v>
      </c>
      <c r="G30" s="2">
        <f t="shared" si="1"/>
        <v>0</v>
      </c>
      <c r="H30" s="2">
        <f t="shared" si="2"/>
        <v>0</v>
      </c>
      <c r="I30" s="43">
        <v>7.12</v>
      </c>
      <c r="J30" s="6"/>
      <c r="K30" s="88">
        <f t="shared" si="3"/>
        <v>0</v>
      </c>
      <c r="L30" s="40" t="e">
        <f t="shared" si="4"/>
        <v>#DIV/0!</v>
      </c>
      <c r="M30" s="6"/>
      <c r="N30" s="6"/>
      <c r="O30" s="6"/>
      <c r="P30" s="6"/>
      <c r="Q30" s="44"/>
    </row>
    <row r="31" spans="1:17">
      <c r="A31" s="13">
        <f t="shared" si="5"/>
        <v>46140</v>
      </c>
      <c r="B31" s="27">
        <v>8706</v>
      </c>
      <c r="C31" s="46">
        <v>7165</v>
      </c>
      <c r="D31" s="50"/>
      <c r="E31" s="50"/>
      <c r="F31" s="88">
        <f t="shared" si="0"/>
        <v>0</v>
      </c>
      <c r="G31" s="2">
        <f t="shared" si="1"/>
        <v>0</v>
      </c>
      <c r="H31" s="2">
        <f t="shared" si="2"/>
        <v>0</v>
      </c>
      <c r="I31" s="43">
        <v>7.12</v>
      </c>
      <c r="J31" s="6"/>
      <c r="K31" s="88">
        <f t="shared" si="3"/>
        <v>0</v>
      </c>
      <c r="L31" s="40" t="e">
        <f t="shared" si="4"/>
        <v>#DIV/0!</v>
      </c>
      <c r="M31" s="6"/>
      <c r="N31" s="6"/>
      <c r="O31" s="6"/>
      <c r="P31" s="6"/>
      <c r="Q31" s="44"/>
    </row>
    <row r="32" spans="1:17">
      <c r="A32" s="13">
        <f t="shared" si="5"/>
        <v>46141</v>
      </c>
      <c r="B32" s="27">
        <v>8706</v>
      </c>
      <c r="C32" s="46">
        <v>7165</v>
      </c>
      <c r="D32" s="50"/>
      <c r="E32" s="50"/>
      <c r="F32" s="88">
        <f t="shared" si="0"/>
        <v>0</v>
      </c>
      <c r="G32" s="2">
        <f t="shared" si="1"/>
        <v>0</v>
      </c>
      <c r="H32" s="2">
        <f t="shared" si="2"/>
        <v>0</v>
      </c>
      <c r="I32" s="43">
        <v>7.12</v>
      </c>
      <c r="J32" s="6"/>
      <c r="K32" s="88">
        <f t="shared" si="3"/>
        <v>0</v>
      </c>
      <c r="L32" s="40" t="e">
        <f t="shared" si="4"/>
        <v>#DIV/0!</v>
      </c>
      <c r="M32" s="6"/>
      <c r="N32" s="6"/>
      <c r="O32" s="6"/>
      <c r="P32" s="6"/>
      <c r="Q32" s="44"/>
    </row>
    <row r="33" spans="1:17">
      <c r="A33" s="13">
        <f t="shared" si="5"/>
        <v>46142</v>
      </c>
      <c r="B33" s="27">
        <v>8706</v>
      </c>
      <c r="C33" s="46">
        <v>7165</v>
      </c>
      <c r="D33" s="50"/>
      <c r="E33" s="50"/>
      <c r="F33" s="88">
        <f t="shared" si="0"/>
        <v>0</v>
      </c>
      <c r="G33" s="2">
        <f t="shared" si="1"/>
        <v>0</v>
      </c>
      <c r="H33" s="2">
        <f t="shared" si="2"/>
        <v>0</v>
      </c>
      <c r="I33" s="43">
        <v>7.12</v>
      </c>
      <c r="J33" s="6"/>
      <c r="K33" s="88">
        <f t="shared" si="3"/>
        <v>0</v>
      </c>
      <c r="L33" s="40" t="e">
        <f t="shared" si="4"/>
        <v>#DIV/0!</v>
      </c>
      <c r="M33" s="6"/>
      <c r="N33" s="6"/>
      <c r="O33" s="6"/>
      <c r="P33" s="6"/>
      <c r="Q33" s="44"/>
    </row>
    <row r="34" spans="1:17">
      <c r="A34" s="349">
        <v>46113</v>
      </c>
      <c r="B34" s="89">
        <f>SUM(B4:B33)</f>
        <v>261180</v>
      </c>
      <c r="C34" s="89">
        <f>SUM(C4:C33)</f>
        <v>214950</v>
      </c>
      <c r="D34" s="89">
        <f>SUM(D4:D33)</f>
        <v>211281</v>
      </c>
      <c r="E34" s="89">
        <f>SUM(E4:E33)</f>
        <v>208300</v>
      </c>
      <c r="F34" s="160">
        <f t="shared" si="0"/>
        <v>-3.0937427308676435E-2</v>
      </c>
      <c r="G34" s="90">
        <f>AVERAGE(G4:G33)</f>
        <v>0.1956305555555555</v>
      </c>
      <c r="H34" s="90">
        <f>AVERAGE(H4:H33)</f>
        <v>0.2445381944444445</v>
      </c>
      <c r="I34" s="89">
        <f>SUM(I4:I33)</f>
        <v>213.60000000000008</v>
      </c>
      <c r="J34" s="89">
        <f>SUM(J4:J33)</f>
        <v>180.56000000000003</v>
      </c>
      <c r="K34" s="160">
        <f t="shared" si="3"/>
        <v>-0.15468164794007508</v>
      </c>
      <c r="L34" s="161">
        <f t="shared" si="4"/>
        <v>0.78009525919361966</v>
      </c>
      <c r="M34" s="90">
        <f>AVERAGE(M4:M33)</f>
        <v>0.99811538461538463</v>
      </c>
      <c r="N34" s="90">
        <f>AVERAGE(N4:N33)</f>
        <v>0.95496153846153831</v>
      </c>
      <c r="O34" s="89">
        <f>SUM(O4:O33)</f>
        <v>13997</v>
      </c>
      <c r="P34" s="89">
        <f>SUM(P4:P33)</f>
        <v>207</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233"/>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233"/>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233"/>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233"/>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233"/>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0E03-C8FB-4B1F-ABB5-E0ECA1FEB082}">
  <dimension ref="A1:Q66"/>
  <sheetViews>
    <sheetView workbookViewId="0">
      <pane xSplit="2" ySplit="3" topLeftCell="C57" activePane="bottomRight" state="frozen"/>
      <selection pane="topRight"/>
      <selection pane="bottomLeft"/>
      <selection pane="bottomRight" activeCell="D67" sqref="D67"/>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1.269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243</v>
      </c>
      <c r="B1" s="406"/>
      <c r="C1" s="406"/>
      <c r="D1" s="406"/>
      <c r="E1" s="406"/>
      <c r="F1" s="406"/>
      <c r="G1" s="406"/>
      <c r="H1" s="406"/>
      <c r="I1" s="406"/>
      <c r="J1" s="406"/>
      <c r="K1" s="406"/>
      <c r="L1" s="406"/>
      <c r="M1" s="406"/>
      <c r="N1" s="406"/>
      <c r="O1" s="406"/>
      <c r="P1" s="406"/>
      <c r="Q1" s="406"/>
    </row>
    <row r="2" spans="1:17" ht="18.5">
      <c r="A2" s="7">
        <v>46113</v>
      </c>
      <c r="B2" s="407" t="s">
        <v>172</v>
      </c>
      <c r="C2" s="408"/>
      <c r="D2" s="8">
        <v>1788</v>
      </c>
      <c r="E2" s="407" t="s">
        <v>173</v>
      </c>
      <c r="F2" s="407"/>
      <c r="G2" s="408"/>
      <c r="H2" s="8">
        <v>1500</v>
      </c>
      <c r="I2" s="409" t="s">
        <v>174</v>
      </c>
      <c r="J2" s="410"/>
      <c r="K2" s="85">
        <v>44050</v>
      </c>
      <c r="L2" s="10" t="s">
        <v>175</v>
      </c>
      <c r="M2" s="10" t="s">
        <v>175</v>
      </c>
      <c r="N2" s="10" t="s">
        <v>175</v>
      </c>
      <c r="O2" s="10" t="s">
        <v>175</v>
      </c>
      <c r="P2" s="10" t="s">
        <v>175</v>
      </c>
      <c r="Q2" s="11" t="s">
        <v>175</v>
      </c>
    </row>
    <row r="3" spans="1:17" ht="52">
      <c r="A3" s="12" t="s">
        <v>189</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8938</v>
      </c>
      <c r="C4" s="39">
        <v>7442</v>
      </c>
      <c r="D4" s="232">
        <v>9247</v>
      </c>
      <c r="E4" s="49">
        <v>9105</v>
      </c>
      <c r="F4" s="88">
        <f t="shared" ref="F4:F35" si="0">(IF(ISBLANK(E4),0,E4-C4))/C4</f>
        <v>0.22346143509809191</v>
      </c>
      <c r="G4" s="2">
        <f t="shared" ref="G4:G33" si="1">D4/($D$2*24)</f>
        <v>0.21548750932140193</v>
      </c>
      <c r="H4" s="2">
        <f t="shared" ref="H4:H33" si="2">D4/($H$2*24)</f>
        <v>0.2568611111111111</v>
      </c>
      <c r="I4" s="36">
        <v>6.51</v>
      </c>
      <c r="J4" s="37">
        <v>6.78</v>
      </c>
      <c r="K4" s="88">
        <f t="shared" ref="K4:K35" si="3">(IF(ISBLANK(J4),0,J4-I4))/I4</f>
        <v>4.1474654377880255E-2</v>
      </c>
      <c r="L4" s="40">
        <f t="shared" ref="L4:L35" si="4">D4/($D$2*J4)</f>
        <v>0.76278764361558204</v>
      </c>
      <c r="M4" s="41">
        <v>1</v>
      </c>
      <c r="N4" s="41">
        <v>0.94130000000000003</v>
      </c>
      <c r="O4" s="37">
        <v>886</v>
      </c>
      <c r="P4" s="37">
        <v>0</v>
      </c>
      <c r="Q4" s="37" t="s">
        <v>190</v>
      </c>
    </row>
    <row r="5" spans="1:17">
      <c r="A5" s="13">
        <f t="shared" ref="A5:A33" si="5">A4+1</f>
        <v>46114</v>
      </c>
      <c r="B5" s="27">
        <v>8938</v>
      </c>
      <c r="C5" s="46">
        <v>7442</v>
      </c>
      <c r="D5" s="50">
        <v>9215</v>
      </c>
      <c r="E5" s="50">
        <v>9195</v>
      </c>
      <c r="F5" s="88">
        <f t="shared" si="0"/>
        <v>0.23555495834453105</v>
      </c>
      <c r="G5" s="2">
        <f t="shared" si="1"/>
        <v>0.21474179716629382</v>
      </c>
      <c r="H5" s="2">
        <f t="shared" si="2"/>
        <v>0.25597222222222221</v>
      </c>
      <c r="I5" s="43">
        <v>6.51</v>
      </c>
      <c r="J5" s="44">
        <v>6.51</v>
      </c>
      <c r="K5" s="88">
        <f t="shared" si="3"/>
        <v>0</v>
      </c>
      <c r="L5" s="40">
        <f t="shared" si="4"/>
        <v>0.79167482826283442</v>
      </c>
      <c r="M5" s="48">
        <v>1</v>
      </c>
      <c r="N5" s="48">
        <v>0.96919999999999995</v>
      </c>
      <c r="O5" s="44">
        <v>478</v>
      </c>
      <c r="P5" s="44">
        <v>0</v>
      </c>
      <c r="Q5" s="44" t="s">
        <v>191</v>
      </c>
    </row>
    <row r="6" spans="1:17">
      <c r="A6" s="13">
        <f t="shared" si="5"/>
        <v>46115</v>
      </c>
      <c r="B6" s="27">
        <v>8938</v>
      </c>
      <c r="C6" s="46">
        <v>7442</v>
      </c>
      <c r="D6" s="233">
        <v>7355</v>
      </c>
      <c r="E6" s="50">
        <v>7350</v>
      </c>
      <c r="F6" s="88">
        <f t="shared" si="0"/>
        <v>-1.2362268207471111E-2</v>
      </c>
      <c r="G6" s="2">
        <f t="shared" si="1"/>
        <v>0.17139727815063385</v>
      </c>
      <c r="H6" s="2">
        <f t="shared" si="2"/>
        <v>0.20430555555555555</v>
      </c>
      <c r="I6" s="43">
        <v>6.51</v>
      </c>
      <c r="J6" s="44">
        <v>5.0999999999999996</v>
      </c>
      <c r="K6" s="88">
        <f t="shared" si="3"/>
        <v>-0.21658986175115211</v>
      </c>
      <c r="L6" s="40">
        <f t="shared" si="4"/>
        <v>0.80657542659121817</v>
      </c>
      <c r="M6" s="48">
        <v>1</v>
      </c>
      <c r="N6" s="48">
        <v>1</v>
      </c>
      <c r="O6" s="44">
        <v>0</v>
      </c>
      <c r="P6" s="44">
        <v>0</v>
      </c>
      <c r="Q6" s="44"/>
    </row>
    <row r="7" spans="1:17">
      <c r="A7" s="13">
        <f t="shared" si="5"/>
        <v>46116</v>
      </c>
      <c r="B7" s="27">
        <v>8938</v>
      </c>
      <c r="C7" s="46">
        <v>7442</v>
      </c>
      <c r="D7" s="233">
        <v>9095</v>
      </c>
      <c r="E7" s="50">
        <v>9030</v>
      </c>
      <c r="F7" s="88">
        <f t="shared" si="0"/>
        <v>0.21338349905939263</v>
      </c>
      <c r="G7" s="2">
        <f t="shared" si="1"/>
        <v>0.21194537658463833</v>
      </c>
      <c r="H7" s="2">
        <f t="shared" si="2"/>
        <v>0.25263888888888891</v>
      </c>
      <c r="I7" s="43">
        <v>6.51</v>
      </c>
      <c r="J7" s="44">
        <v>7.65</v>
      </c>
      <c r="K7" s="88">
        <f t="shared" si="3"/>
        <v>0.17511520737327199</v>
      </c>
      <c r="L7" s="40">
        <f t="shared" si="4"/>
        <v>0.66492667163808095</v>
      </c>
      <c r="M7" s="48">
        <v>1</v>
      </c>
      <c r="N7" s="48">
        <v>0.90210000000000001</v>
      </c>
      <c r="O7" s="44">
        <v>1293</v>
      </c>
      <c r="P7" s="44">
        <v>0</v>
      </c>
      <c r="Q7" s="44" t="s">
        <v>204</v>
      </c>
    </row>
    <row r="8" spans="1:17">
      <c r="A8" s="13">
        <f t="shared" si="5"/>
        <v>46117</v>
      </c>
      <c r="B8" s="27">
        <v>8938</v>
      </c>
      <c r="C8" s="46">
        <v>7442</v>
      </c>
      <c r="D8" s="233">
        <v>10227</v>
      </c>
      <c r="E8" s="50">
        <v>10170</v>
      </c>
      <c r="F8" s="88">
        <f t="shared" si="0"/>
        <v>0.36656812684762163</v>
      </c>
      <c r="G8" s="2">
        <f t="shared" si="1"/>
        <v>0.23832494407158836</v>
      </c>
      <c r="H8" s="2">
        <f t="shared" si="2"/>
        <v>0.28408333333333335</v>
      </c>
      <c r="I8" s="43">
        <v>6.51</v>
      </c>
      <c r="J8" s="44">
        <v>6.89</v>
      </c>
      <c r="K8" s="88">
        <f t="shared" si="3"/>
        <v>5.8371735791090618E-2</v>
      </c>
      <c r="L8" s="40">
        <f t="shared" si="4"/>
        <v>0.83015945685313797</v>
      </c>
      <c r="M8" s="48">
        <v>1</v>
      </c>
      <c r="N8" s="48">
        <v>0.95799999999999996</v>
      </c>
      <c r="O8" s="44">
        <v>604</v>
      </c>
      <c r="P8" s="44">
        <v>0</v>
      </c>
      <c r="Q8" s="44" t="s">
        <v>234</v>
      </c>
    </row>
    <row r="9" spans="1:17">
      <c r="A9" s="13">
        <f t="shared" si="5"/>
        <v>46118</v>
      </c>
      <c r="B9" s="27">
        <v>8938</v>
      </c>
      <c r="C9" s="46">
        <v>7442</v>
      </c>
      <c r="D9" s="233">
        <v>9949</v>
      </c>
      <c r="E9" s="50">
        <v>9945</v>
      </c>
      <c r="F9" s="88">
        <f t="shared" si="0"/>
        <v>0.33633431873152381</v>
      </c>
      <c r="G9" s="2">
        <f t="shared" si="1"/>
        <v>0.23184656972408652</v>
      </c>
      <c r="H9" s="2">
        <f t="shared" si="2"/>
        <v>0.27636111111111111</v>
      </c>
      <c r="I9" s="43">
        <v>6.51</v>
      </c>
      <c r="J9" s="44">
        <v>7.18</v>
      </c>
      <c r="K9" s="88">
        <f t="shared" si="3"/>
        <v>0.10291858678955453</v>
      </c>
      <c r="L9" s="40">
        <f t="shared" si="4"/>
        <v>0.77497460632006632</v>
      </c>
      <c r="M9" s="48">
        <v>1</v>
      </c>
      <c r="N9" s="48">
        <v>0.90490000000000004</v>
      </c>
      <c r="O9" s="44">
        <v>1395</v>
      </c>
      <c r="P9" s="44">
        <v>0</v>
      </c>
      <c r="Q9" s="44" t="s">
        <v>234</v>
      </c>
    </row>
    <row r="10" spans="1:17">
      <c r="A10" s="13">
        <f t="shared" si="5"/>
        <v>46119</v>
      </c>
      <c r="B10" s="27">
        <v>8938</v>
      </c>
      <c r="C10" s="46">
        <v>7442</v>
      </c>
      <c r="D10" s="233">
        <v>5469</v>
      </c>
      <c r="E10" s="50">
        <v>5460</v>
      </c>
      <c r="F10" s="88">
        <f t="shared" si="0"/>
        <v>-0.26632625638269281</v>
      </c>
      <c r="G10" s="2">
        <f t="shared" si="1"/>
        <v>0.12744686800894856</v>
      </c>
      <c r="H10" s="2">
        <f t="shared" si="2"/>
        <v>0.15191666666666667</v>
      </c>
      <c r="I10" s="43">
        <v>6.51</v>
      </c>
      <c r="J10" s="44">
        <v>5.24</v>
      </c>
      <c r="K10" s="88">
        <f t="shared" si="3"/>
        <v>-0.19508448540706599</v>
      </c>
      <c r="L10" s="40">
        <f t="shared" si="4"/>
        <v>0.58372611301808486</v>
      </c>
      <c r="M10" s="48">
        <v>1</v>
      </c>
      <c r="N10" s="48">
        <v>0.80559999999999998</v>
      </c>
      <c r="O10" s="44">
        <v>2017</v>
      </c>
      <c r="P10" s="44">
        <v>0</v>
      </c>
      <c r="Q10" s="44" t="s">
        <v>244</v>
      </c>
    </row>
    <row r="11" spans="1:17">
      <c r="A11" s="13">
        <f t="shared" si="5"/>
        <v>46120</v>
      </c>
      <c r="B11" s="27">
        <v>8938</v>
      </c>
      <c r="C11" s="46">
        <v>7442</v>
      </c>
      <c r="D11" s="233">
        <v>6463</v>
      </c>
      <c r="E11" s="50">
        <v>6390</v>
      </c>
      <c r="F11" s="88">
        <f t="shared" si="0"/>
        <v>-0.14135984950282182</v>
      </c>
      <c r="G11" s="2">
        <f t="shared" si="1"/>
        <v>0.15061055182699479</v>
      </c>
      <c r="H11" s="2">
        <f t="shared" si="2"/>
        <v>0.17952777777777779</v>
      </c>
      <c r="I11" s="43">
        <v>6.51</v>
      </c>
      <c r="J11" s="44">
        <v>6.5</v>
      </c>
      <c r="K11" s="88">
        <f t="shared" si="3"/>
        <v>-1.5360983102918259E-3</v>
      </c>
      <c r="L11" s="40">
        <f t="shared" si="4"/>
        <v>0.55610049905351921</v>
      </c>
      <c r="M11" s="48">
        <v>1</v>
      </c>
      <c r="N11" s="48">
        <v>0.71940000000000004</v>
      </c>
      <c r="O11" s="44">
        <v>3299</v>
      </c>
      <c r="P11" s="44">
        <v>0</v>
      </c>
      <c r="Q11" s="44" t="s">
        <v>244</v>
      </c>
    </row>
    <row r="12" spans="1:17">
      <c r="A12" s="13">
        <f t="shared" si="5"/>
        <v>46121</v>
      </c>
      <c r="B12" s="27">
        <v>8938</v>
      </c>
      <c r="C12" s="46">
        <v>7442</v>
      </c>
      <c r="D12" s="233">
        <v>8936</v>
      </c>
      <c r="E12" s="50">
        <v>8985</v>
      </c>
      <c r="F12" s="88">
        <f t="shared" si="0"/>
        <v>0.20733673743617306</v>
      </c>
      <c r="G12" s="2">
        <f t="shared" si="1"/>
        <v>0.20824011931394482</v>
      </c>
      <c r="H12" s="2">
        <f t="shared" si="2"/>
        <v>0.24822222222222223</v>
      </c>
      <c r="I12" s="43">
        <v>6.51</v>
      </c>
      <c r="J12" s="44">
        <v>6.6</v>
      </c>
      <c r="K12" s="88">
        <f t="shared" si="3"/>
        <v>1.3824884792626706E-2</v>
      </c>
      <c r="L12" s="40">
        <f t="shared" si="4"/>
        <v>0.75723679750525397</v>
      </c>
      <c r="M12" s="48">
        <v>1</v>
      </c>
      <c r="N12" s="48">
        <v>0.90559999999999996</v>
      </c>
      <c r="O12" s="44">
        <v>1405</v>
      </c>
      <c r="P12" s="44">
        <v>0</v>
      </c>
      <c r="Q12" s="44" t="s">
        <v>245</v>
      </c>
    </row>
    <row r="13" spans="1:17">
      <c r="A13" s="13">
        <f t="shared" si="5"/>
        <v>46122</v>
      </c>
      <c r="B13" s="27">
        <v>8938</v>
      </c>
      <c r="C13" s="46">
        <v>7442</v>
      </c>
      <c r="D13" s="233">
        <v>9470</v>
      </c>
      <c r="E13" s="50">
        <v>9315</v>
      </c>
      <c r="F13" s="88">
        <f t="shared" si="0"/>
        <v>0.25167965600644987</v>
      </c>
      <c r="G13" s="2">
        <f t="shared" si="1"/>
        <v>0.2206841909023117</v>
      </c>
      <c r="H13" s="2">
        <f t="shared" si="2"/>
        <v>0.26305555555555554</v>
      </c>
      <c r="I13" s="43">
        <v>6.51</v>
      </c>
      <c r="J13" s="44">
        <v>7.17</v>
      </c>
      <c r="K13" s="88">
        <f t="shared" si="3"/>
        <v>0.10138248847926269</v>
      </c>
      <c r="L13" s="40">
        <f t="shared" si="4"/>
        <v>0.73869185239267521</v>
      </c>
      <c r="M13" s="48">
        <v>1</v>
      </c>
      <c r="N13" s="48">
        <v>0.92920000000000003</v>
      </c>
      <c r="O13" s="44">
        <v>1057</v>
      </c>
      <c r="P13" s="44">
        <v>0</v>
      </c>
      <c r="Q13" s="44" t="s">
        <v>246</v>
      </c>
    </row>
    <row r="14" spans="1:17">
      <c r="A14" s="13">
        <f t="shared" si="5"/>
        <v>46123</v>
      </c>
      <c r="B14" s="27">
        <v>8938</v>
      </c>
      <c r="C14" s="46">
        <v>7442</v>
      </c>
      <c r="D14" s="233">
        <v>10087</v>
      </c>
      <c r="E14" s="50">
        <v>10050</v>
      </c>
      <c r="F14" s="88">
        <f t="shared" si="0"/>
        <v>0.35044342918570276</v>
      </c>
      <c r="G14" s="2">
        <f t="shared" si="1"/>
        <v>0.23506245339299031</v>
      </c>
      <c r="H14" s="2">
        <f t="shared" si="2"/>
        <v>0.28019444444444447</v>
      </c>
      <c r="I14" s="43">
        <v>6.51</v>
      </c>
      <c r="J14" s="44">
        <v>7.18</v>
      </c>
      <c r="K14" s="88">
        <f t="shared" si="3"/>
        <v>0.10291858678955453</v>
      </c>
      <c r="L14" s="40">
        <f t="shared" si="4"/>
        <v>0.78572407819383949</v>
      </c>
      <c r="M14" s="48">
        <v>1</v>
      </c>
      <c r="N14" s="48">
        <v>1</v>
      </c>
      <c r="O14" s="44">
        <v>0</v>
      </c>
      <c r="P14" s="44">
        <v>0</v>
      </c>
      <c r="Q14" s="44"/>
    </row>
    <row r="15" spans="1:17">
      <c r="A15" s="13">
        <f t="shared" si="5"/>
        <v>46124</v>
      </c>
      <c r="B15" s="27">
        <v>8938</v>
      </c>
      <c r="C15" s="46">
        <v>7442</v>
      </c>
      <c r="D15" s="233">
        <v>10364</v>
      </c>
      <c r="E15" s="50">
        <v>10230</v>
      </c>
      <c r="F15" s="88">
        <f t="shared" si="0"/>
        <v>0.37463047567858104</v>
      </c>
      <c r="G15" s="2">
        <f t="shared" si="1"/>
        <v>0.24151752423564504</v>
      </c>
      <c r="H15" s="2">
        <f t="shared" si="2"/>
        <v>0.28788888888888892</v>
      </c>
      <c r="I15" s="43">
        <v>6.51</v>
      </c>
      <c r="J15" s="44">
        <v>7.12</v>
      </c>
      <c r="K15" s="88">
        <f t="shared" si="3"/>
        <v>9.3701996927803427E-2</v>
      </c>
      <c r="L15" s="40">
        <f t="shared" si="4"/>
        <v>0.81410401427745527</v>
      </c>
      <c r="M15" s="48">
        <v>1</v>
      </c>
      <c r="N15" s="48">
        <v>1</v>
      </c>
      <c r="O15" s="44">
        <v>0</v>
      </c>
      <c r="P15" s="44">
        <v>0</v>
      </c>
      <c r="Q15" s="44"/>
    </row>
    <row r="16" spans="1:17">
      <c r="A16" s="13">
        <f t="shared" si="5"/>
        <v>46125</v>
      </c>
      <c r="B16" s="27">
        <v>8938</v>
      </c>
      <c r="C16" s="46">
        <v>7442</v>
      </c>
      <c r="D16" s="233">
        <v>10055</v>
      </c>
      <c r="E16" s="50">
        <v>10215</v>
      </c>
      <c r="F16" s="88">
        <f t="shared" si="0"/>
        <v>0.37261488847084118</v>
      </c>
      <c r="G16" s="2">
        <f t="shared" si="1"/>
        <v>0.23431674123788218</v>
      </c>
      <c r="H16" s="2">
        <f t="shared" si="2"/>
        <v>0.27930555555555553</v>
      </c>
      <c r="I16" s="43">
        <v>6.51</v>
      </c>
      <c r="J16" s="44">
        <v>6.91</v>
      </c>
      <c r="K16" s="88">
        <f t="shared" si="3"/>
        <v>6.1443932411674403E-2</v>
      </c>
      <c r="L16" s="40">
        <f t="shared" si="4"/>
        <v>0.81383528071044464</v>
      </c>
      <c r="M16" s="48">
        <v>1</v>
      </c>
      <c r="N16" s="48">
        <v>1</v>
      </c>
      <c r="O16" s="44">
        <v>0</v>
      </c>
      <c r="P16" s="44">
        <v>0</v>
      </c>
      <c r="Q16" s="44"/>
    </row>
    <row r="17" spans="1:17">
      <c r="A17" s="13">
        <f t="shared" si="5"/>
        <v>46126</v>
      </c>
      <c r="B17" s="27">
        <v>8938</v>
      </c>
      <c r="C17" s="46">
        <v>7442</v>
      </c>
      <c r="D17" s="50">
        <v>9803</v>
      </c>
      <c r="E17" s="50">
        <v>9765</v>
      </c>
      <c r="F17" s="88">
        <f t="shared" si="0"/>
        <v>0.31214727223864552</v>
      </c>
      <c r="G17" s="2">
        <f t="shared" si="1"/>
        <v>0.22844425801640567</v>
      </c>
      <c r="H17" s="2">
        <f t="shared" si="2"/>
        <v>0.27230555555555558</v>
      </c>
      <c r="I17" s="43">
        <v>6.51</v>
      </c>
      <c r="J17" s="44">
        <v>7.22</v>
      </c>
      <c r="K17" s="88">
        <f t="shared" si="3"/>
        <v>0.10906298003072197</v>
      </c>
      <c r="L17" s="40">
        <f t="shared" si="4"/>
        <v>0.75937149479137622</v>
      </c>
      <c r="M17" s="48">
        <v>1</v>
      </c>
      <c r="N17" s="48">
        <v>0.95279999999999998</v>
      </c>
      <c r="O17" s="44">
        <v>731</v>
      </c>
      <c r="P17" s="44">
        <v>0</v>
      </c>
      <c r="Q17" s="44" t="s">
        <v>247</v>
      </c>
    </row>
    <row r="18" spans="1:17">
      <c r="A18" s="13">
        <f t="shared" si="5"/>
        <v>46127</v>
      </c>
      <c r="B18" s="27">
        <v>8938</v>
      </c>
      <c r="C18" s="46">
        <v>7442</v>
      </c>
      <c r="D18" s="233">
        <v>9756</v>
      </c>
      <c r="E18" s="50">
        <v>9690</v>
      </c>
      <c r="F18" s="88">
        <f t="shared" si="0"/>
        <v>0.30206933619994625</v>
      </c>
      <c r="G18" s="2">
        <f t="shared" si="1"/>
        <v>0.2273489932885906</v>
      </c>
      <c r="H18" s="2">
        <f t="shared" si="2"/>
        <v>0.27100000000000002</v>
      </c>
      <c r="I18" s="43">
        <v>6.51</v>
      </c>
      <c r="J18" s="44">
        <v>6.97</v>
      </c>
      <c r="K18" s="88">
        <f t="shared" si="3"/>
        <v>7.0660522273425494E-2</v>
      </c>
      <c r="L18" s="40">
        <f t="shared" si="4"/>
        <v>0.78283727961638094</v>
      </c>
      <c r="M18" s="48">
        <v>1</v>
      </c>
      <c r="N18" s="48">
        <v>0.97360000000000002</v>
      </c>
      <c r="O18" s="44">
        <v>401</v>
      </c>
      <c r="P18" s="44">
        <v>0</v>
      </c>
      <c r="Q18" s="44" t="s">
        <v>248</v>
      </c>
    </row>
    <row r="19" spans="1:17">
      <c r="A19" s="13">
        <f t="shared" si="5"/>
        <v>46128</v>
      </c>
      <c r="B19" s="27">
        <v>8938</v>
      </c>
      <c r="C19" s="46">
        <v>7442</v>
      </c>
      <c r="D19" s="233">
        <v>10180</v>
      </c>
      <c r="E19" s="50">
        <v>10080</v>
      </c>
      <c r="F19" s="88">
        <f t="shared" si="0"/>
        <v>0.35447460360118249</v>
      </c>
      <c r="G19" s="2">
        <f t="shared" si="1"/>
        <v>0.23722967934377331</v>
      </c>
      <c r="H19" s="2">
        <f t="shared" si="2"/>
        <v>0.28277777777777779</v>
      </c>
      <c r="I19" s="43">
        <v>6.51</v>
      </c>
      <c r="J19" s="44">
        <v>7.1</v>
      </c>
      <c r="K19" s="88">
        <f t="shared" si="3"/>
        <v>9.0629800307219649E-2</v>
      </c>
      <c r="L19" s="40">
        <f t="shared" si="4"/>
        <v>0.80190314144374075</v>
      </c>
      <c r="M19" s="48">
        <v>1</v>
      </c>
      <c r="N19" s="48">
        <v>0.98609999999999998</v>
      </c>
      <c r="O19" s="44">
        <v>220</v>
      </c>
      <c r="P19" s="44">
        <v>0</v>
      </c>
      <c r="Q19" s="44" t="s">
        <v>249</v>
      </c>
    </row>
    <row r="20" spans="1:17">
      <c r="A20" s="13">
        <f t="shared" si="5"/>
        <v>46129</v>
      </c>
      <c r="B20" s="27">
        <v>8938</v>
      </c>
      <c r="C20" s="46">
        <v>7442</v>
      </c>
      <c r="D20" s="233">
        <v>10403</v>
      </c>
      <c r="E20" s="50">
        <v>10380</v>
      </c>
      <c r="F20" s="88">
        <f t="shared" si="0"/>
        <v>0.39478634775597959</v>
      </c>
      <c r="G20" s="2">
        <f t="shared" si="1"/>
        <v>0.24242636092468306</v>
      </c>
      <c r="H20" s="2">
        <f t="shared" si="2"/>
        <v>0.28897222222222224</v>
      </c>
      <c r="I20" s="43">
        <v>6.51</v>
      </c>
      <c r="J20" s="44">
        <v>7.41</v>
      </c>
      <c r="K20" s="88">
        <f t="shared" si="3"/>
        <v>0.13824884792626735</v>
      </c>
      <c r="L20" s="40">
        <f t="shared" si="4"/>
        <v>0.78518659408804237</v>
      </c>
      <c r="M20" s="48">
        <v>1</v>
      </c>
      <c r="N20" s="48">
        <v>0.96530000000000005</v>
      </c>
      <c r="O20" s="44">
        <v>563</v>
      </c>
      <c r="P20" s="44">
        <v>0</v>
      </c>
      <c r="Q20" s="44" t="s">
        <v>248</v>
      </c>
    </row>
    <row r="21" spans="1:17">
      <c r="A21" s="13">
        <f t="shared" si="5"/>
        <v>46130</v>
      </c>
      <c r="B21" s="27">
        <v>8938</v>
      </c>
      <c r="C21" s="46">
        <v>7442</v>
      </c>
      <c r="D21" s="233">
        <v>10437</v>
      </c>
      <c r="E21" s="50">
        <v>10380</v>
      </c>
      <c r="F21" s="88">
        <f t="shared" si="0"/>
        <v>0.39478634775597959</v>
      </c>
      <c r="G21" s="2">
        <f t="shared" si="1"/>
        <v>0.24321868008948547</v>
      </c>
      <c r="H21" s="2">
        <f t="shared" si="2"/>
        <v>0.28991666666666666</v>
      </c>
      <c r="I21" s="43">
        <v>6.51</v>
      </c>
      <c r="J21" s="44">
        <v>7.3</v>
      </c>
      <c r="K21" s="88">
        <f t="shared" si="3"/>
        <v>0.12135176651305685</v>
      </c>
      <c r="L21" s="40">
        <f t="shared" si="4"/>
        <v>0.79962305782844534</v>
      </c>
      <c r="M21" s="48">
        <v>1</v>
      </c>
      <c r="N21" s="48">
        <v>0.9778</v>
      </c>
      <c r="O21" s="44">
        <v>384</v>
      </c>
      <c r="P21" s="44">
        <v>0</v>
      </c>
      <c r="Q21" s="44" t="s">
        <v>250</v>
      </c>
    </row>
    <row r="22" spans="1:17">
      <c r="A22" s="13">
        <f t="shared" si="5"/>
        <v>46131</v>
      </c>
      <c r="B22" s="27">
        <v>8938</v>
      </c>
      <c r="C22" s="46">
        <v>7442</v>
      </c>
      <c r="D22" s="233">
        <v>9970</v>
      </c>
      <c r="E22" s="50">
        <v>9855</v>
      </c>
      <c r="F22" s="88">
        <f t="shared" si="0"/>
        <v>0.32424079548508467</v>
      </c>
      <c r="G22" s="2">
        <f t="shared" si="1"/>
        <v>0.2323359433258762</v>
      </c>
      <c r="H22" s="2">
        <f t="shared" si="2"/>
        <v>0.27694444444444444</v>
      </c>
      <c r="I22" s="43">
        <v>6.51</v>
      </c>
      <c r="J22" s="44">
        <v>7.19</v>
      </c>
      <c r="K22" s="88">
        <f t="shared" si="3"/>
        <v>0.10445468509984648</v>
      </c>
      <c r="L22" s="40">
        <f t="shared" si="4"/>
        <v>0.77553026979430162</v>
      </c>
      <c r="M22" s="48">
        <v>1</v>
      </c>
      <c r="N22" s="48">
        <v>0.95</v>
      </c>
      <c r="O22" s="44">
        <v>770</v>
      </c>
      <c r="P22" s="44">
        <v>0</v>
      </c>
      <c r="Q22" s="44" t="s">
        <v>230</v>
      </c>
    </row>
    <row r="23" spans="1:17">
      <c r="A23" s="13">
        <f t="shared" si="5"/>
        <v>46132</v>
      </c>
      <c r="B23" s="27">
        <v>8938</v>
      </c>
      <c r="C23" s="46">
        <v>7442</v>
      </c>
      <c r="D23" s="233">
        <v>10457</v>
      </c>
      <c r="E23" s="50">
        <v>10440</v>
      </c>
      <c r="F23" s="88">
        <f t="shared" si="0"/>
        <v>0.402848696586939</v>
      </c>
      <c r="G23" s="2">
        <f t="shared" si="1"/>
        <v>0.24368475018642805</v>
      </c>
      <c r="H23" s="2">
        <f t="shared" si="2"/>
        <v>0.29047222222222224</v>
      </c>
      <c r="I23" s="43">
        <v>6.51</v>
      </c>
      <c r="J23" s="44">
        <v>7.21</v>
      </c>
      <c r="K23" s="88">
        <f t="shared" si="3"/>
        <v>0.10752688172043014</v>
      </c>
      <c r="L23" s="40">
        <f t="shared" si="4"/>
        <v>0.81115589521141096</v>
      </c>
      <c r="M23" s="48">
        <v>1</v>
      </c>
      <c r="N23" s="48">
        <v>0.96809999999999996</v>
      </c>
      <c r="O23" s="44">
        <v>524</v>
      </c>
      <c r="P23" s="44">
        <v>0</v>
      </c>
      <c r="Q23" s="44" t="s">
        <v>251</v>
      </c>
    </row>
    <row r="24" spans="1:17">
      <c r="A24" s="13">
        <f t="shared" si="5"/>
        <v>46133</v>
      </c>
      <c r="B24" s="27">
        <v>8938</v>
      </c>
      <c r="C24" s="46">
        <v>7442</v>
      </c>
      <c r="D24" s="233">
        <v>10470</v>
      </c>
      <c r="E24" s="50">
        <v>10395</v>
      </c>
      <c r="F24" s="88">
        <f t="shared" si="0"/>
        <v>0.3968019349637194</v>
      </c>
      <c r="G24" s="2">
        <f t="shared" si="1"/>
        <v>0.24398769574944071</v>
      </c>
      <c r="H24" s="2">
        <f t="shared" si="2"/>
        <v>0.29083333333333333</v>
      </c>
      <c r="I24" s="43">
        <v>6.51</v>
      </c>
      <c r="J24" s="44">
        <v>7.25</v>
      </c>
      <c r="K24" s="88">
        <f t="shared" si="3"/>
        <v>0.11367127496159758</v>
      </c>
      <c r="L24" s="40">
        <f t="shared" si="4"/>
        <v>0.8076834066188382</v>
      </c>
      <c r="M24" s="48">
        <v>1</v>
      </c>
      <c r="N24" s="48">
        <v>0.97499999999999998</v>
      </c>
      <c r="O24" s="44">
        <v>427</v>
      </c>
      <c r="P24" s="44">
        <v>0</v>
      </c>
      <c r="Q24" s="44" t="s">
        <v>248</v>
      </c>
    </row>
    <row r="25" spans="1:17">
      <c r="A25" s="13">
        <f t="shared" si="5"/>
        <v>46134</v>
      </c>
      <c r="B25" s="27">
        <v>8938</v>
      </c>
      <c r="C25" s="46">
        <v>7442</v>
      </c>
      <c r="D25" s="233">
        <v>10286</v>
      </c>
      <c r="E25" s="50">
        <v>10215</v>
      </c>
      <c r="F25" s="88">
        <f t="shared" si="0"/>
        <v>0.37261488847084118</v>
      </c>
      <c r="G25" s="2">
        <f t="shared" si="1"/>
        <v>0.23969985085756898</v>
      </c>
      <c r="H25" s="2">
        <f t="shared" si="2"/>
        <v>0.28572222222222221</v>
      </c>
      <c r="I25" s="43">
        <v>6.51</v>
      </c>
      <c r="J25" s="44">
        <v>7.07</v>
      </c>
      <c r="K25" s="88">
        <f t="shared" si="3"/>
        <v>8.6021505376344162E-2</v>
      </c>
      <c r="L25" s="40">
        <f t="shared" si="4"/>
        <v>0.81369114859712244</v>
      </c>
      <c r="M25" s="48">
        <v>1</v>
      </c>
      <c r="N25" s="48">
        <v>0.96389999999999998</v>
      </c>
      <c r="O25" s="44">
        <v>608</v>
      </c>
      <c r="P25" s="44">
        <v>0</v>
      </c>
      <c r="Q25" s="44" t="s">
        <v>232</v>
      </c>
    </row>
    <row r="26" spans="1:17">
      <c r="A26" s="13">
        <f t="shared" si="5"/>
        <v>46135</v>
      </c>
      <c r="B26" s="27">
        <v>8938</v>
      </c>
      <c r="C26" s="46">
        <v>7442</v>
      </c>
      <c r="D26" s="233">
        <v>10408</v>
      </c>
      <c r="E26" s="50">
        <v>10335</v>
      </c>
      <c r="F26" s="88">
        <f t="shared" si="0"/>
        <v>0.38873958613276</v>
      </c>
      <c r="G26" s="2">
        <f t="shared" si="1"/>
        <v>0.24254287844891873</v>
      </c>
      <c r="H26" s="2">
        <f t="shared" si="2"/>
        <v>0.2891111111111111</v>
      </c>
      <c r="I26" s="43">
        <v>6.51</v>
      </c>
      <c r="J26" s="44">
        <v>7.37</v>
      </c>
      <c r="K26" s="88">
        <f t="shared" si="3"/>
        <v>0.1321044546850999</v>
      </c>
      <c r="L26" s="40">
        <f t="shared" si="4"/>
        <v>0.78982755532890769</v>
      </c>
      <c r="M26" s="48">
        <v>1</v>
      </c>
      <c r="N26" s="48">
        <v>0.9597</v>
      </c>
      <c r="O26" s="44">
        <v>638</v>
      </c>
      <c r="P26" s="44">
        <v>0</v>
      </c>
      <c r="Q26" s="44" t="s">
        <v>190</v>
      </c>
    </row>
    <row r="27" spans="1:17">
      <c r="A27" s="13">
        <f t="shared" si="5"/>
        <v>46136</v>
      </c>
      <c r="B27" s="27">
        <v>8938</v>
      </c>
      <c r="C27" s="46">
        <v>7442</v>
      </c>
      <c r="D27" s="50">
        <v>10435</v>
      </c>
      <c r="E27" s="50">
        <v>10350</v>
      </c>
      <c r="F27" s="88">
        <f t="shared" si="0"/>
        <v>0.39075517334049986</v>
      </c>
      <c r="G27" s="2">
        <f t="shared" si="1"/>
        <v>0.24317207307979119</v>
      </c>
      <c r="H27" s="2">
        <f t="shared" si="2"/>
        <v>0.28986111111111112</v>
      </c>
      <c r="I27" s="43">
        <v>6.51</v>
      </c>
      <c r="J27" s="44">
        <v>7.25</v>
      </c>
      <c r="K27" s="88">
        <f t="shared" si="3"/>
        <v>0.11367127496159758</v>
      </c>
      <c r="L27" s="40">
        <f t="shared" si="4"/>
        <v>0.80498341433310194</v>
      </c>
      <c r="M27" s="48">
        <v>1</v>
      </c>
      <c r="N27" s="48">
        <v>0.9778</v>
      </c>
      <c r="O27" s="44">
        <v>357</v>
      </c>
      <c r="P27" s="44">
        <v>0</v>
      </c>
      <c r="Q27" s="44" t="s">
        <v>190</v>
      </c>
    </row>
    <row r="28" spans="1:17">
      <c r="A28" s="13">
        <f t="shared" si="5"/>
        <v>46137</v>
      </c>
      <c r="B28" s="27">
        <v>8938</v>
      </c>
      <c r="C28" s="46">
        <v>7442</v>
      </c>
      <c r="D28" s="50">
        <v>10436</v>
      </c>
      <c r="E28" s="50">
        <v>10455</v>
      </c>
      <c r="F28" s="88">
        <f t="shared" si="0"/>
        <v>0.40486428379467887</v>
      </c>
      <c r="G28" s="2">
        <f t="shared" si="1"/>
        <v>0.24319537658463833</v>
      </c>
      <c r="H28" s="2">
        <f t="shared" si="2"/>
        <v>0.28988888888888886</v>
      </c>
      <c r="I28" s="43">
        <v>6.51</v>
      </c>
      <c r="J28" s="6">
        <v>7.28</v>
      </c>
      <c r="K28" s="88">
        <f t="shared" si="3"/>
        <v>0.11827956989247319</v>
      </c>
      <c r="L28" s="40">
        <f t="shared" si="4"/>
        <v>0.80174299972957686</v>
      </c>
      <c r="M28" s="25">
        <v>1</v>
      </c>
      <c r="N28" s="25">
        <v>1</v>
      </c>
      <c r="O28" s="6">
        <v>0</v>
      </c>
      <c r="P28" s="44">
        <v>0</v>
      </c>
      <c r="Q28" s="44"/>
    </row>
    <row r="29" spans="1:17">
      <c r="A29" s="13">
        <f t="shared" si="5"/>
        <v>46138</v>
      </c>
      <c r="B29" s="27">
        <v>8938</v>
      </c>
      <c r="C29" s="46">
        <v>7442</v>
      </c>
      <c r="D29" s="50">
        <v>10643</v>
      </c>
      <c r="E29" s="50">
        <v>10575</v>
      </c>
      <c r="F29" s="88">
        <f t="shared" si="0"/>
        <v>0.42098898145659769</v>
      </c>
      <c r="G29" s="2">
        <f t="shared" si="1"/>
        <v>0.24801920208799402</v>
      </c>
      <c r="H29" s="2">
        <f t="shared" si="2"/>
        <v>0.2956388888888889</v>
      </c>
      <c r="I29" s="43">
        <v>6.51</v>
      </c>
      <c r="J29" s="6">
        <v>7.11</v>
      </c>
      <c r="K29" s="88">
        <f t="shared" si="3"/>
        <v>9.2165898617511607E-2</v>
      </c>
      <c r="L29" s="40">
        <f t="shared" si="4"/>
        <v>0.8371956188624271</v>
      </c>
      <c r="M29" s="25">
        <v>1</v>
      </c>
      <c r="N29" s="25">
        <v>1</v>
      </c>
      <c r="O29" s="6">
        <v>0</v>
      </c>
      <c r="P29" s="44">
        <v>0</v>
      </c>
      <c r="Q29" s="44"/>
    </row>
    <row r="30" spans="1:17">
      <c r="A30" s="13">
        <f t="shared" si="5"/>
        <v>46139</v>
      </c>
      <c r="B30" s="27">
        <v>8938</v>
      </c>
      <c r="C30" s="46">
        <v>7442</v>
      </c>
      <c r="D30" s="50" t="s">
        <v>175</v>
      </c>
      <c r="E30" s="50" t="s">
        <v>175</v>
      </c>
      <c r="F30" s="88" t="e">
        <f t="shared" si="0"/>
        <v>#VALUE!</v>
      </c>
      <c r="G30" s="2" t="e">
        <f t="shared" si="1"/>
        <v>#VALUE!</v>
      </c>
      <c r="H30" s="2" t="e">
        <f t="shared" si="2"/>
        <v>#VALUE!</v>
      </c>
      <c r="I30" s="43">
        <v>6.51</v>
      </c>
      <c r="J30" s="6"/>
      <c r="K30" s="88">
        <f t="shared" si="3"/>
        <v>0</v>
      </c>
      <c r="L30" s="40" t="e">
        <f t="shared" si="4"/>
        <v>#VALUE!</v>
      </c>
      <c r="M30" s="6"/>
      <c r="N30" s="6"/>
      <c r="O30" s="6"/>
      <c r="P30" s="6"/>
      <c r="Q30" s="44"/>
    </row>
    <row r="31" spans="1:17">
      <c r="A31" s="13">
        <f t="shared" si="5"/>
        <v>46140</v>
      </c>
      <c r="B31" s="27">
        <v>8938</v>
      </c>
      <c r="C31" s="46">
        <v>7442</v>
      </c>
      <c r="D31" s="50" t="s">
        <v>175</v>
      </c>
      <c r="E31" s="50" t="s">
        <v>175</v>
      </c>
      <c r="F31" s="88" t="e">
        <f t="shared" si="0"/>
        <v>#VALUE!</v>
      </c>
      <c r="G31" s="2" t="e">
        <f t="shared" si="1"/>
        <v>#VALUE!</v>
      </c>
      <c r="H31" s="2" t="e">
        <f t="shared" si="2"/>
        <v>#VALUE!</v>
      </c>
      <c r="I31" s="43">
        <v>6.51</v>
      </c>
      <c r="J31" s="6"/>
      <c r="K31" s="88">
        <f t="shared" si="3"/>
        <v>0</v>
      </c>
      <c r="L31" s="40" t="e">
        <f t="shared" si="4"/>
        <v>#VALUE!</v>
      </c>
      <c r="M31" s="6"/>
      <c r="N31" s="6"/>
      <c r="O31" s="6"/>
      <c r="P31" s="6"/>
      <c r="Q31" s="44"/>
    </row>
    <row r="32" spans="1:17">
      <c r="A32" s="13">
        <f t="shared" si="5"/>
        <v>46141</v>
      </c>
      <c r="B32" s="27">
        <v>8938</v>
      </c>
      <c r="C32" s="46">
        <v>7442</v>
      </c>
      <c r="D32" s="50" t="s">
        <v>175</v>
      </c>
      <c r="E32" s="50" t="s">
        <v>175</v>
      </c>
      <c r="F32" s="88" t="e">
        <f t="shared" si="0"/>
        <v>#VALUE!</v>
      </c>
      <c r="G32" s="2" t="e">
        <f t="shared" si="1"/>
        <v>#VALUE!</v>
      </c>
      <c r="H32" s="2" t="e">
        <f t="shared" si="2"/>
        <v>#VALUE!</v>
      </c>
      <c r="I32" s="43">
        <v>6.51</v>
      </c>
      <c r="J32" s="6"/>
      <c r="K32" s="88">
        <f t="shared" si="3"/>
        <v>0</v>
      </c>
      <c r="L32" s="40" t="e">
        <f t="shared" si="4"/>
        <v>#VALUE!</v>
      </c>
      <c r="M32" s="6"/>
      <c r="N32" s="6"/>
      <c r="O32" s="6"/>
      <c r="P32" s="6"/>
      <c r="Q32" s="44"/>
    </row>
    <row r="33" spans="1:17">
      <c r="A33" s="13">
        <f t="shared" si="5"/>
        <v>46142</v>
      </c>
      <c r="B33" s="27">
        <v>8938</v>
      </c>
      <c r="C33" s="46">
        <v>7442</v>
      </c>
      <c r="D33" s="50" t="s">
        <v>175</v>
      </c>
      <c r="E33" s="50" t="s">
        <v>175</v>
      </c>
      <c r="F33" s="88" t="e">
        <f t="shared" si="0"/>
        <v>#VALUE!</v>
      </c>
      <c r="G33" s="2" t="e">
        <f t="shared" si="1"/>
        <v>#VALUE!</v>
      </c>
      <c r="H33" s="2" t="e">
        <f t="shared" si="2"/>
        <v>#VALUE!</v>
      </c>
      <c r="I33" s="43">
        <v>6.51</v>
      </c>
      <c r="J33" s="6"/>
      <c r="K33" s="88">
        <f t="shared" si="3"/>
        <v>0</v>
      </c>
      <c r="L33" s="40" t="e">
        <f t="shared" si="4"/>
        <v>#VALUE!</v>
      </c>
      <c r="M33" s="6"/>
      <c r="N33" s="6"/>
      <c r="O33" s="6"/>
      <c r="P33" s="6"/>
      <c r="Q33" s="44"/>
    </row>
    <row r="34" spans="1:17">
      <c r="A34" s="349">
        <v>46113</v>
      </c>
      <c r="B34" s="89">
        <f>SUM(B4:B33)</f>
        <v>268140</v>
      </c>
      <c r="C34" s="89">
        <f>SUM(C4:C33)</f>
        <v>223260</v>
      </c>
      <c r="D34" s="89">
        <f>SUM(D4:D33)</f>
        <v>249616</v>
      </c>
      <c r="E34" s="89">
        <f>SUM(E4:E33)</f>
        <v>248355</v>
      </c>
      <c r="F34" s="160">
        <f t="shared" si="0"/>
        <v>0.11240257995162591</v>
      </c>
      <c r="G34" s="90" t="e">
        <f>AVERAGE(G4:G33)</f>
        <v>#VALUE!</v>
      </c>
      <c r="H34" s="90" t="e">
        <f>AVERAGE(H4:H33)</f>
        <v>#VALUE!</v>
      </c>
      <c r="I34" s="89">
        <f>SUM(I4:I33)</f>
        <v>195.29999999999995</v>
      </c>
      <c r="J34" s="89">
        <f>SUM(J4:J33)</f>
        <v>180.56000000000003</v>
      </c>
      <c r="K34" s="160">
        <f t="shared" si="3"/>
        <v>-7.5473630312339612E-2</v>
      </c>
      <c r="L34" s="161">
        <f t="shared" si="4"/>
        <v>0.77318489134970592</v>
      </c>
      <c r="M34" s="90">
        <f>AVERAGE(M4:M33)</f>
        <v>1</v>
      </c>
      <c r="N34" s="90">
        <f>AVERAGE(N4:N33)</f>
        <v>0.94943846153846145</v>
      </c>
      <c r="O34" s="89">
        <f>SUM(O4:O33)</f>
        <v>18057</v>
      </c>
      <c r="P34" s="89">
        <f>SUM(P4:P33)</f>
        <v>0</v>
      </c>
      <c r="Q34" s="91"/>
    </row>
    <row r="35" spans="1:17">
      <c r="A35" s="13">
        <v>46143</v>
      </c>
      <c r="B35" s="26"/>
      <c r="C35" s="39"/>
      <c r="D35" s="232"/>
      <c r="E35" s="49"/>
      <c r="F35" s="88" t="e">
        <f t="shared" si="0"/>
        <v>#DIV/0!</v>
      </c>
      <c r="G35" s="2">
        <f t="shared" ref="G35:G65" si="6">D35/($D$2*24)</f>
        <v>0</v>
      </c>
      <c r="H35" s="2">
        <f t="shared" ref="H35:H65" si="7">D35/($H$2*24)</f>
        <v>0</v>
      </c>
      <c r="I35" s="36"/>
      <c r="J35" s="37"/>
      <c r="K35" s="88" t="e">
        <f t="shared" si="3"/>
        <v>#DIV/0!</v>
      </c>
      <c r="L35" s="40" t="e">
        <f t="shared" si="4"/>
        <v>#DIV/0!</v>
      </c>
      <c r="M35" s="41"/>
      <c r="N35" s="41"/>
      <c r="O35" s="37"/>
      <c r="P35" s="37"/>
      <c r="Q35" s="37"/>
    </row>
    <row r="36" spans="1:17">
      <c r="A36" s="13">
        <f t="shared" ref="A36:A65" si="8">A35+1</f>
        <v>46144</v>
      </c>
      <c r="B36" s="27"/>
      <c r="C36" s="46"/>
      <c r="D36" s="50"/>
      <c r="E36" s="50"/>
      <c r="F36" s="88" t="e">
        <f t="shared" ref="F36:F66" si="9">(IF(ISBLANK(E36),0,E36-C36))/C36</f>
        <v>#DIV/0!</v>
      </c>
      <c r="G36" s="2">
        <f t="shared" si="6"/>
        <v>0</v>
      </c>
      <c r="H36" s="2">
        <f t="shared" si="7"/>
        <v>0</v>
      </c>
      <c r="I36" s="43"/>
      <c r="J36" s="44"/>
      <c r="K36" s="88" t="e">
        <f t="shared" ref="K36:K66" si="10">(IF(ISBLANK(J36),0,J36-I36))/I36</f>
        <v>#DIV/0!</v>
      </c>
      <c r="L36" s="40" t="e">
        <f t="shared" ref="L36:L66" si="11">D36/($D$2*J36)</f>
        <v>#DIV/0!</v>
      </c>
      <c r="M36" s="48"/>
      <c r="N36" s="48"/>
      <c r="O36" s="44"/>
      <c r="P36" s="44"/>
      <c r="Q36" s="44"/>
    </row>
    <row r="37" spans="1:17">
      <c r="A37" s="13">
        <f t="shared" si="8"/>
        <v>46145</v>
      </c>
      <c r="B37" s="27"/>
      <c r="C37" s="46"/>
      <c r="D37" s="233"/>
      <c r="E37" s="50"/>
      <c r="F37" s="88" t="e">
        <f t="shared" si="9"/>
        <v>#DIV/0!</v>
      </c>
      <c r="G37" s="2">
        <f t="shared" si="6"/>
        <v>0</v>
      </c>
      <c r="H37" s="2">
        <f t="shared" si="7"/>
        <v>0</v>
      </c>
      <c r="I37" s="43"/>
      <c r="J37" s="44"/>
      <c r="K37" s="88" t="e">
        <f t="shared" si="10"/>
        <v>#DIV/0!</v>
      </c>
      <c r="L37" s="40" t="e">
        <f t="shared" si="11"/>
        <v>#DIV/0!</v>
      </c>
      <c r="M37" s="48"/>
      <c r="N37" s="48"/>
      <c r="O37" s="44"/>
      <c r="P37" s="44"/>
      <c r="Q37" s="44"/>
    </row>
    <row r="38" spans="1:17">
      <c r="A38" s="13">
        <f t="shared" si="8"/>
        <v>46146</v>
      </c>
      <c r="B38" s="27"/>
      <c r="C38" s="46"/>
      <c r="D38" s="233"/>
      <c r="E38" s="50"/>
      <c r="F38" s="88" t="e">
        <f t="shared" si="9"/>
        <v>#DIV/0!</v>
      </c>
      <c r="G38" s="2">
        <f t="shared" si="6"/>
        <v>0</v>
      </c>
      <c r="H38" s="2">
        <f t="shared" si="7"/>
        <v>0</v>
      </c>
      <c r="I38" s="43"/>
      <c r="J38" s="44"/>
      <c r="K38" s="88" t="e">
        <f t="shared" si="10"/>
        <v>#DIV/0!</v>
      </c>
      <c r="L38" s="40" t="e">
        <f t="shared" si="11"/>
        <v>#DIV/0!</v>
      </c>
      <c r="M38" s="48"/>
      <c r="N38" s="48"/>
      <c r="O38" s="44"/>
      <c r="P38" s="44"/>
      <c r="Q38" s="44"/>
    </row>
    <row r="39" spans="1:17">
      <c r="A39" s="13">
        <f t="shared" si="8"/>
        <v>46147</v>
      </c>
      <c r="B39" s="27"/>
      <c r="C39" s="46"/>
      <c r="D39" s="233"/>
      <c r="E39" s="50"/>
      <c r="F39" s="88" t="e">
        <f t="shared" si="9"/>
        <v>#DIV/0!</v>
      </c>
      <c r="G39" s="2">
        <f t="shared" si="6"/>
        <v>0</v>
      </c>
      <c r="H39" s="2">
        <f t="shared" si="7"/>
        <v>0</v>
      </c>
      <c r="I39" s="43"/>
      <c r="J39" s="44"/>
      <c r="K39" s="88" t="e">
        <f t="shared" si="10"/>
        <v>#DIV/0!</v>
      </c>
      <c r="L39" s="40" t="e">
        <f t="shared" si="11"/>
        <v>#DIV/0!</v>
      </c>
      <c r="M39" s="48"/>
      <c r="N39" s="48"/>
      <c r="O39" s="44"/>
      <c r="P39" s="44"/>
      <c r="Q39" s="44"/>
    </row>
    <row r="40" spans="1:17">
      <c r="A40" s="13">
        <f t="shared" si="8"/>
        <v>46148</v>
      </c>
      <c r="B40" s="27"/>
      <c r="C40" s="46"/>
      <c r="D40" s="233"/>
      <c r="E40" s="50"/>
      <c r="F40" s="88" t="e">
        <f t="shared" si="9"/>
        <v>#DIV/0!</v>
      </c>
      <c r="G40" s="2">
        <f t="shared" si="6"/>
        <v>0</v>
      </c>
      <c r="H40" s="2">
        <f t="shared" si="7"/>
        <v>0</v>
      </c>
      <c r="I40" s="43"/>
      <c r="J40" s="44"/>
      <c r="K40" s="88" t="e">
        <f t="shared" si="10"/>
        <v>#DIV/0!</v>
      </c>
      <c r="L40" s="40" t="e">
        <f t="shared" si="11"/>
        <v>#DIV/0!</v>
      </c>
      <c r="M40" s="48"/>
      <c r="N40" s="48"/>
      <c r="O40" s="44"/>
      <c r="P40" s="44"/>
      <c r="Q40" s="44"/>
    </row>
    <row r="41" spans="1:17">
      <c r="A41" s="13">
        <f t="shared" si="8"/>
        <v>46149</v>
      </c>
      <c r="B41" s="27"/>
      <c r="C41" s="46"/>
      <c r="D41" s="233"/>
      <c r="E41" s="50"/>
      <c r="F41" s="88" t="e">
        <f t="shared" si="9"/>
        <v>#DIV/0!</v>
      </c>
      <c r="G41" s="2">
        <f t="shared" si="6"/>
        <v>0</v>
      </c>
      <c r="H41" s="2">
        <f t="shared" si="7"/>
        <v>0</v>
      </c>
      <c r="I41" s="43"/>
      <c r="J41" s="44"/>
      <c r="K41" s="88" t="e">
        <f t="shared" si="10"/>
        <v>#DIV/0!</v>
      </c>
      <c r="L41" s="40" t="e">
        <f t="shared" si="11"/>
        <v>#DIV/0!</v>
      </c>
      <c r="M41" s="48"/>
      <c r="N41" s="48"/>
      <c r="O41" s="44"/>
      <c r="P41" s="44"/>
      <c r="Q41" s="44"/>
    </row>
    <row r="42" spans="1:17">
      <c r="A42" s="13">
        <f t="shared" si="8"/>
        <v>46150</v>
      </c>
      <c r="B42" s="27"/>
      <c r="C42" s="46"/>
      <c r="D42" s="233"/>
      <c r="E42" s="50"/>
      <c r="F42" s="88" t="e">
        <f t="shared" si="9"/>
        <v>#DIV/0!</v>
      </c>
      <c r="G42" s="2">
        <f t="shared" si="6"/>
        <v>0</v>
      </c>
      <c r="H42" s="2">
        <f t="shared" si="7"/>
        <v>0</v>
      </c>
      <c r="I42" s="43"/>
      <c r="J42" s="44"/>
      <c r="K42" s="88" t="e">
        <f t="shared" si="10"/>
        <v>#DIV/0!</v>
      </c>
      <c r="L42" s="40" t="e">
        <f t="shared" si="11"/>
        <v>#DIV/0!</v>
      </c>
      <c r="M42" s="48"/>
      <c r="N42" s="48"/>
      <c r="O42" s="44"/>
      <c r="P42" s="44"/>
      <c r="Q42" s="44"/>
    </row>
    <row r="43" spans="1:17">
      <c r="A43" s="13">
        <f t="shared" si="8"/>
        <v>46151</v>
      </c>
      <c r="B43" s="27"/>
      <c r="C43" s="46"/>
      <c r="D43" s="233"/>
      <c r="E43" s="50"/>
      <c r="F43" s="88" t="e">
        <f t="shared" si="9"/>
        <v>#DIV/0!</v>
      </c>
      <c r="G43" s="2">
        <f t="shared" si="6"/>
        <v>0</v>
      </c>
      <c r="H43" s="2">
        <f t="shared" si="7"/>
        <v>0</v>
      </c>
      <c r="I43" s="43"/>
      <c r="J43" s="44"/>
      <c r="K43" s="88" t="e">
        <f t="shared" si="10"/>
        <v>#DIV/0!</v>
      </c>
      <c r="L43" s="40" t="e">
        <f t="shared" si="11"/>
        <v>#DIV/0!</v>
      </c>
      <c r="M43" s="48"/>
      <c r="N43" s="48"/>
      <c r="O43" s="44"/>
      <c r="P43" s="44"/>
      <c r="Q43" s="44"/>
    </row>
    <row r="44" spans="1:17">
      <c r="A44" s="13">
        <f t="shared" si="8"/>
        <v>46152</v>
      </c>
      <c r="B44" s="27"/>
      <c r="C44" s="46"/>
      <c r="D44" s="233"/>
      <c r="E44" s="50"/>
      <c r="F44" s="88" t="e">
        <f t="shared" si="9"/>
        <v>#DIV/0!</v>
      </c>
      <c r="G44" s="2">
        <f t="shared" si="6"/>
        <v>0</v>
      </c>
      <c r="H44" s="2">
        <f t="shared" si="7"/>
        <v>0</v>
      </c>
      <c r="I44" s="43"/>
      <c r="J44" s="44"/>
      <c r="K44" s="88" t="e">
        <f t="shared" si="10"/>
        <v>#DIV/0!</v>
      </c>
      <c r="L44" s="40" t="e">
        <f t="shared" si="11"/>
        <v>#DIV/0!</v>
      </c>
      <c r="M44" s="48"/>
      <c r="N44" s="48"/>
      <c r="O44" s="44"/>
      <c r="P44" s="44"/>
      <c r="Q44" s="44"/>
    </row>
    <row r="45" spans="1:17">
      <c r="A45" s="13">
        <f t="shared" si="8"/>
        <v>46153</v>
      </c>
      <c r="B45" s="27"/>
      <c r="C45" s="46"/>
      <c r="D45" s="233"/>
      <c r="E45" s="50"/>
      <c r="F45" s="88" t="e">
        <f t="shared" si="9"/>
        <v>#DIV/0!</v>
      </c>
      <c r="G45" s="2">
        <f t="shared" si="6"/>
        <v>0</v>
      </c>
      <c r="H45" s="2">
        <f t="shared" si="7"/>
        <v>0</v>
      </c>
      <c r="I45" s="43"/>
      <c r="J45" s="44"/>
      <c r="K45" s="88" t="e">
        <f t="shared" si="10"/>
        <v>#DIV/0!</v>
      </c>
      <c r="L45" s="40" t="e">
        <f t="shared" si="11"/>
        <v>#DIV/0!</v>
      </c>
      <c r="M45" s="48"/>
      <c r="N45" s="48"/>
      <c r="O45" s="44"/>
      <c r="P45" s="44"/>
      <c r="Q45" s="44"/>
    </row>
    <row r="46" spans="1:17">
      <c r="A46" s="13">
        <f t="shared" si="8"/>
        <v>46154</v>
      </c>
      <c r="B46" s="27"/>
      <c r="C46" s="46"/>
      <c r="D46" s="233"/>
      <c r="E46" s="50"/>
      <c r="F46" s="88" t="e">
        <f t="shared" si="9"/>
        <v>#DIV/0!</v>
      </c>
      <c r="G46" s="2">
        <f t="shared" si="6"/>
        <v>0</v>
      </c>
      <c r="H46" s="2">
        <f t="shared" si="7"/>
        <v>0</v>
      </c>
      <c r="I46" s="43"/>
      <c r="J46" s="44"/>
      <c r="K46" s="88" t="e">
        <f t="shared" si="10"/>
        <v>#DIV/0!</v>
      </c>
      <c r="L46" s="40" t="e">
        <f t="shared" si="11"/>
        <v>#DIV/0!</v>
      </c>
      <c r="M46" s="48"/>
      <c r="N46" s="48"/>
      <c r="O46" s="44"/>
      <c r="P46" s="44"/>
      <c r="Q46" s="44"/>
    </row>
    <row r="47" spans="1:17">
      <c r="A47" s="13">
        <f t="shared" si="8"/>
        <v>46155</v>
      </c>
      <c r="B47" s="27"/>
      <c r="C47" s="46"/>
      <c r="D47" s="233"/>
      <c r="E47" s="50"/>
      <c r="F47" s="88" t="e">
        <f t="shared" si="9"/>
        <v>#DIV/0!</v>
      </c>
      <c r="G47" s="2">
        <f t="shared" si="6"/>
        <v>0</v>
      </c>
      <c r="H47" s="2">
        <f t="shared" si="7"/>
        <v>0</v>
      </c>
      <c r="I47" s="43"/>
      <c r="J47" s="44"/>
      <c r="K47" s="88" t="e">
        <f t="shared" si="10"/>
        <v>#DIV/0!</v>
      </c>
      <c r="L47" s="40" t="e">
        <f t="shared" si="11"/>
        <v>#DIV/0!</v>
      </c>
      <c r="M47" s="48"/>
      <c r="N47" s="48"/>
      <c r="O47" s="44"/>
      <c r="P47" s="44"/>
      <c r="Q47" s="44"/>
    </row>
    <row r="48" spans="1:17">
      <c r="A48" s="13">
        <f t="shared" si="8"/>
        <v>46156</v>
      </c>
      <c r="B48" s="27"/>
      <c r="C48" s="46"/>
      <c r="D48" s="50"/>
      <c r="E48" s="50"/>
      <c r="F48" s="88" t="e">
        <f t="shared" si="9"/>
        <v>#DIV/0!</v>
      </c>
      <c r="G48" s="2">
        <f t="shared" si="6"/>
        <v>0</v>
      </c>
      <c r="H48" s="2">
        <f t="shared" si="7"/>
        <v>0</v>
      </c>
      <c r="I48" s="43"/>
      <c r="J48" s="44"/>
      <c r="K48" s="88" t="e">
        <f t="shared" si="10"/>
        <v>#DIV/0!</v>
      </c>
      <c r="L48" s="40" t="e">
        <f t="shared" si="11"/>
        <v>#DIV/0!</v>
      </c>
      <c r="M48" s="48"/>
      <c r="N48" s="48"/>
      <c r="O48" s="44"/>
      <c r="P48" s="44"/>
      <c r="Q48" s="44"/>
    </row>
    <row r="49" spans="1:17">
      <c r="A49" s="13">
        <f t="shared" si="8"/>
        <v>46157</v>
      </c>
      <c r="B49" s="27"/>
      <c r="C49" s="46"/>
      <c r="D49" s="233"/>
      <c r="E49" s="50"/>
      <c r="F49" s="88" t="e">
        <f t="shared" si="9"/>
        <v>#DIV/0!</v>
      </c>
      <c r="G49" s="2">
        <f t="shared" si="6"/>
        <v>0</v>
      </c>
      <c r="H49" s="2">
        <f t="shared" si="7"/>
        <v>0</v>
      </c>
      <c r="I49" s="43"/>
      <c r="J49" s="44"/>
      <c r="K49" s="88" t="e">
        <f t="shared" si="10"/>
        <v>#DIV/0!</v>
      </c>
      <c r="L49" s="40" t="e">
        <f t="shared" si="11"/>
        <v>#DIV/0!</v>
      </c>
      <c r="M49" s="48"/>
      <c r="N49" s="48"/>
      <c r="O49" s="44"/>
      <c r="P49" s="44"/>
      <c r="Q49" s="44"/>
    </row>
    <row r="50" spans="1:17">
      <c r="A50" s="13">
        <f t="shared" si="8"/>
        <v>46158</v>
      </c>
      <c r="B50" s="27"/>
      <c r="C50" s="46"/>
      <c r="D50" s="233"/>
      <c r="E50" s="50"/>
      <c r="F50" s="88" t="e">
        <f t="shared" si="9"/>
        <v>#DIV/0!</v>
      </c>
      <c r="G50" s="2">
        <f t="shared" si="6"/>
        <v>0</v>
      </c>
      <c r="H50" s="2">
        <f t="shared" si="7"/>
        <v>0</v>
      </c>
      <c r="I50" s="43"/>
      <c r="J50" s="44"/>
      <c r="K50" s="88" t="e">
        <f t="shared" si="10"/>
        <v>#DIV/0!</v>
      </c>
      <c r="L50" s="40" t="e">
        <f t="shared" si="11"/>
        <v>#DIV/0!</v>
      </c>
      <c r="M50" s="48"/>
      <c r="N50" s="48"/>
      <c r="O50" s="44"/>
      <c r="P50" s="44"/>
      <c r="Q50" s="44"/>
    </row>
    <row r="51" spans="1:17">
      <c r="A51" s="13">
        <f t="shared" si="8"/>
        <v>46159</v>
      </c>
      <c r="B51" s="27"/>
      <c r="C51" s="46"/>
      <c r="D51" s="233"/>
      <c r="E51" s="50"/>
      <c r="F51" s="88" t="e">
        <f t="shared" si="9"/>
        <v>#DIV/0!</v>
      </c>
      <c r="G51" s="2">
        <f t="shared" si="6"/>
        <v>0</v>
      </c>
      <c r="H51" s="2">
        <f t="shared" si="7"/>
        <v>0</v>
      </c>
      <c r="I51" s="43"/>
      <c r="J51" s="44"/>
      <c r="K51" s="88" t="e">
        <f t="shared" si="10"/>
        <v>#DIV/0!</v>
      </c>
      <c r="L51" s="40" t="e">
        <f t="shared" si="11"/>
        <v>#DIV/0!</v>
      </c>
      <c r="M51" s="48"/>
      <c r="N51" s="48"/>
      <c r="O51" s="44"/>
      <c r="P51" s="44"/>
      <c r="Q51" s="44"/>
    </row>
    <row r="52" spans="1:17">
      <c r="A52" s="13">
        <f t="shared" si="8"/>
        <v>46160</v>
      </c>
      <c r="B52" s="27"/>
      <c r="C52" s="46"/>
      <c r="D52" s="233"/>
      <c r="E52" s="50"/>
      <c r="F52" s="88" t="e">
        <f t="shared" si="9"/>
        <v>#DIV/0!</v>
      </c>
      <c r="G52" s="2">
        <f t="shared" si="6"/>
        <v>0</v>
      </c>
      <c r="H52" s="2">
        <f t="shared" si="7"/>
        <v>0</v>
      </c>
      <c r="I52" s="43"/>
      <c r="J52" s="44"/>
      <c r="K52" s="88" t="e">
        <f t="shared" si="10"/>
        <v>#DIV/0!</v>
      </c>
      <c r="L52" s="40" t="e">
        <f t="shared" si="11"/>
        <v>#DIV/0!</v>
      </c>
      <c r="M52" s="48"/>
      <c r="N52" s="48"/>
      <c r="O52" s="44"/>
      <c r="P52" s="44"/>
      <c r="Q52" s="44"/>
    </row>
    <row r="53" spans="1:17">
      <c r="A53" s="13">
        <f t="shared" si="8"/>
        <v>46161</v>
      </c>
      <c r="B53" s="27"/>
      <c r="C53" s="46"/>
      <c r="D53" s="233"/>
      <c r="E53" s="50"/>
      <c r="F53" s="88" t="e">
        <f t="shared" si="9"/>
        <v>#DIV/0!</v>
      </c>
      <c r="G53" s="2">
        <f t="shared" si="6"/>
        <v>0</v>
      </c>
      <c r="H53" s="2">
        <f t="shared" si="7"/>
        <v>0</v>
      </c>
      <c r="I53" s="43"/>
      <c r="J53" s="44"/>
      <c r="K53" s="88" t="e">
        <f t="shared" si="10"/>
        <v>#DIV/0!</v>
      </c>
      <c r="L53" s="40" t="e">
        <f t="shared" si="11"/>
        <v>#DIV/0!</v>
      </c>
      <c r="M53" s="48"/>
      <c r="N53" s="48"/>
      <c r="O53" s="44"/>
      <c r="P53" s="44"/>
      <c r="Q53" s="44"/>
    </row>
    <row r="54" spans="1:17">
      <c r="A54" s="13">
        <f t="shared" si="8"/>
        <v>46162</v>
      </c>
      <c r="B54" s="27"/>
      <c r="C54" s="46"/>
      <c r="D54" s="233"/>
      <c r="E54" s="50"/>
      <c r="F54" s="88" t="e">
        <f t="shared" si="9"/>
        <v>#DIV/0!</v>
      </c>
      <c r="G54" s="2">
        <f t="shared" si="6"/>
        <v>0</v>
      </c>
      <c r="H54" s="2">
        <f t="shared" si="7"/>
        <v>0</v>
      </c>
      <c r="I54" s="43"/>
      <c r="J54" s="44"/>
      <c r="K54" s="88" t="e">
        <f t="shared" si="10"/>
        <v>#DIV/0!</v>
      </c>
      <c r="L54" s="40" t="e">
        <f t="shared" si="11"/>
        <v>#DIV/0!</v>
      </c>
      <c r="M54" s="48"/>
      <c r="N54" s="48"/>
      <c r="O54" s="44"/>
      <c r="P54" s="44"/>
      <c r="Q54" s="44"/>
    </row>
    <row r="55" spans="1:17">
      <c r="A55" s="13">
        <f t="shared" si="8"/>
        <v>46163</v>
      </c>
      <c r="B55" s="27"/>
      <c r="C55" s="46"/>
      <c r="D55" s="233"/>
      <c r="E55" s="50"/>
      <c r="F55" s="88" t="e">
        <f t="shared" si="9"/>
        <v>#DIV/0!</v>
      </c>
      <c r="G55" s="2">
        <f t="shared" si="6"/>
        <v>0</v>
      </c>
      <c r="H55" s="2">
        <f t="shared" si="7"/>
        <v>0</v>
      </c>
      <c r="I55" s="43"/>
      <c r="J55" s="44"/>
      <c r="K55" s="88" t="e">
        <f t="shared" si="10"/>
        <v>#DIV/0!</v>
      </c>
      <c r="L55" s="40" t="e">
        <f t="shared" si="11"/>
        <v>#DIV/0!</v>
      </c>
      <c r="M55" s="48"/>
      <c r="N55" s="48"/>
      <c r="O55" s="44"/>
      <c r="P55" s="44"/>
      <c r="Q55" s="44"/>
    </row>
    <row r="56" spans="1:17">
      <c r="A56" s="13">
        <f t="shared" si="8"/>
        <v>46164</v>
      </c>
      <c r="B56" s="27"/>
      <c r="C56" s="46"/>
      <c r="D56" s="233"/>
      <c r="E56" s="50"/>
      <c r="F56" s="88" t="e">
        <f t="shared" si="9"/>
        <v>#DIV/0!</v>
      </c>
      <c r="G56" s="2">
        <f t="shared" si="6"/>
        <v>0</v>
      </c>
      <c r="H56" s="2">
        <f t="shared" si="7"/>
        <v>0</v>
      </c>
      <c r="I56" s="43"/>
      <c r="J56" s="44"/>
      <c r="K56" s="88" t="e">
        <f t="shared" si="10"/>
        <v>#DIV/0!</v>
      </c>
      <c r="L56" s="40" t="e">
        <f t="shared" si="11"/>
        <v>#DIV/0!</v>
      </c>
      <c r="M56" s="48"/>
      <c r="N56" s="48"/>
      <c r="O56" s="44"/>
      <c r="P56" s="44"/>
      <c r="Q56" s="44"/>
    </row>
    <row r="57" spans="1:17">
      <c r="A57" s="13">
        <f t="shared" si="8"/>
        <v>46165</v>
      </c>
      <c r="B57" s="27"/>
      <c r="C57" s="46"/>
      <c r="D57" s="233"/>
      <c r="E57" s="50"/>
      <c r="F57" s="88" t="e">
        <f t="shared" si="9"/>
        <v>#DIV/0!</v>
      </c>
      <c r="G57" s="2">
        <f t="shared" si="6"/>
        <v>0</v>
      </c>
      <c r="H57" s="2">
        <f t="shared" si="7"/>
        <v>0</v>
      </c>
      <c r="I57" s="43"/>
      <c r="J57" s="44"/>
      <c r="K57" s="88" t="e">
        <f t="shared" si="10"/>
        <v>#DIV/0!</v>
      </c>
      <c r="L57" s="40" t="e">
        <f t="shared" si="11"/>
        <v>#DIV/0!</v>
      </c>
      <c r="M57" s="48"/>
      <c r="N57" s="48"/>
      <c r="O57" s="44"/>
      <c r="P57" s="44"/>
      <c r="Q57" s="44"/>
    </row>
    <row r="58" spans="1:17">
      <c r="A58" s="13">
        <f t="shared" si="8"/>
        <v>46166</v>
      </c>
      <c r="B58" s="27"/>
      <c r="C58" s="46"/>
      <c r="D58" s="50"/>
      <c r="E58" s="50"/>
      <c r="F58" s="88" t="e">
        <f t="shared" si="9"/>
        <v>#DIV/0!</v>
      </c>
      <c r="G58" s="2">
        <f t="shared" si="6"/>
        <v>0</v>
      </c>
      <c r="H58" s="2">
        <f t="shared" si="7"/>
        <v>0</v>
      </c>
      <c r="I58" s="43"/>
      <c r="J58" s="44"/>
      <c r="K58" s="88" t="e">
        <f t="shared" si="10"/>
        <v>#DIV/0!</v>
      </c>
      <c r="L58" s="40" t="e">
        <f t="shared" si="11"/>
        <v>#DIV/0!</v>
      </c>
      <c r="M58" s="48"/>
      <c r="N58" s="48"/>
      <c r="O58" s="44"/>
      <c r="P58" s="44"/>
      <c r="Q58" s="44"/>
    </row>
    <row r="59" spans="1:17">
      <c r="A59" s="13">
        <f t="shared" si="8"/>
        <v>46167</v>
      </c>
      <c r="B59" s="27"/>
      <c r="C59" s="46"/>
      <c r="D59" s="50"/>
      <c r="E59" s="50"/>
      <c r="F59" s="88" t="e">
        <f t="shared" si="9"/>
        <v>#DIV/0!</v>
      </c>
      <c r="G59" s="2">
        <f t="shared" si="6"/>
        <v>0</v>
      </c>
      <c r="H59" s="2">
        <f t="shared" si="7"/>
        <v>0</v>
      </c>
      <c r="I59" s="43"/>
      <c r="J59" s="6"/>
      <c r="K59" s="88" t="e">
        <f t="shared" si="10"/>
        <v>#DIV/0!</v>
      </c>
      <c r="L59" s="40" t="e">
        <f t="shared" si="11"/>
        <v>#DIV/0!</v>
      </c>
      <c r="M59" s="25"/>
      <c r="N59" s="25"/>
      <c r="O59" s="6"/>
      <c r="P59" s="44"/>
      <c r="Q59" s="44"/>
    </row>
    <row r="60" spans="1:17">
      <c r="A60" s="13">
        <f t="shared" si="8"/>
        <v>46168</v>
      </c>
      <c r="B60" s="27"/>
      <c r="C60" s="46"/>
      <c r="D60" s="50"/>
      <c r="E60" s="50"/>
      <c r="F60" s="88" t="e">
        <f t="shared" si="9"/>
        <v>#DIV/0!</v>
      </c>
      <c r="G60" s="2">
        <f t="shared" si="6"/>
        <v>0</v>
      </c>
      <c r="H60" s="2">
        <f t="shared" si="7"/>
        <v>0</v>
      </c>
      <c r="I60" s="43"/>
      <c r="J60" s="6"/>
      <c r="K60" s="88" t="e">
        <f t="shared" si="10"/>
        <v>#DIV/0!</v>
      </c>
      <c r="L60" s="40" t="e">
        <f t="shared" si="11"/>
        <v>#DIV/0!</v>
      </c>
      <c r="M60" s="25"/>
      <c r="N60" s="25"/>
      <c r="O60" s="6"/>
      <c r="P60" s="44"/>
      <c r="Q60" s="44"/>
    </row>
    <row r="61" spans="1:17">
      <c r="A61" s="13">
        <f t="shared" si="8"/>
        <v>46169</v>
      </c>
      <c r="B61" s="27"/>
      <c r="C61" s="46"/>
      <c r="D61" s="50"/>
      <c r="E61" s="50"/>
      <c r="F61" s="88" t="e">
        <f t="shared" si="9"/>
        <v>#DIV/0!</v>
      </c>
      <c r="G61" s="2">
        <f t="shared" si="6"/>
        <v>0</v>
      </c>
      <c r="H61" s="2">
        <f t="shared" si="7"/>
        <v>0</v>
      </c>
      <c r="I61" s="43"/>
      <c r="J61" s="6"/>
      <c r="K61" s="88" t="e">
        <f t="shared" si="10"/>
        <v>#DIV/0!</v>
      </c>
      <c r="L61" s="40" t="e">
        <f t="shared" si="11"/>
        <v>#DIV/0!</v>
      </c>
      <c r="M61" s="6"/>
      <c r="N61" s="6"/>
      <c r="O61" s="6"/>
      <c r="P61" s="6"/>
      <c r="Q61" s="44"/>
    </row>
    <row r="62" spans="1:17">
      <c r="A62" s="13">
        <f t="shared" si="8"/>
        <v>46170</v>
      </c>
      <c r="B62" s="27"/>
      <c r="C62" s="46"/>
      <c r="D62" s="50"/>
      <c r="E62" s="50"/>
      <c r="F62" s="88" t="e">
        <f t="shared" si="9"/>
        <v>#DIV/0!</v>
      </c>
      <c r="G62" s="2">
        <f t="shared" si="6"/>
        <v>0</v>
      </c>
      <c r="H62" s="2">
        <f t="shared" si="7"/>
        <v>0</v>
      </c>
      <c r="I62" s="43"/>
      <c r="J62" s="6"/>
      <c r="K62" s="88" t="e">
        <f t="shared" si="10"/>
        <v>#DIV/0!</v>
      </c>
      <c r="L62" s="40" t="e">
        <f t="shared" si="11"/>
        <v>#DIV/0!</v>
      </c>
      <c r="M62" s="6"/>
      <c r="N62" s="6"/>
      <c r="O62" s="6"/>
      <c r="P62" s="6"/>
      <c r="Q62" s="44"/>
    </row>
    <row r="63" spans="1:17">
      <c r="A63" s="13">
        <f t="shared" si="8"/>
        <v>46171</v>
      </c>
      <c r="B63" s="27"/>
      <c r="C63" s="46"/>
      <c r="D63" s="50"/>
      <c r="E63" s="50"/>
      <c r="F63" s="88" t="e">
        <f t="shared" si="9"/>
        <v>#DIV/0!</v>
      </c>
      <c r="G63" s="2">
        <f t="shared" si="6"/>
        <v>0</v>
      </c>
      <c r="H63" s="2">
        <f t="shared" si="7"/>
        <v>0</v>
      </c>
      <c r="I63" s="43"/>
      <c r="J63" s="6"/>
      <c r="K63" s="88" t="e">
        <f t="shared" si="10"/>
        <v>#DIV/0!</v>
      </c>
      <c r="L63" s="40" t="e">
        <f t="shared" si="11"/>
        <v>#DIV/0!</v>
      </c>
      <c r="M63" s="6"/>
      <c r="N63" s="6"/>
      <c r="O63" s="6"/>
      <c r="P63" s="6"/>
      <c r="Q63" s="44"/>
    </row>
    <row r="64" spans="1:17">
      <c r="A64" s="13">
        <f t="shared" si="8"/>
        <v>46172</v>
      </c>
      <c r="B64" s="27"/>
      <c r="C64" s="46"/>
      <c r="D64" s="50"/>
      <c r="E64" s="50"/>
      <c r="F64" s="88" t="e">
        <f t="shared" si="9"/>
        <v>#DIV/0!</v>
      </c>
      <c r="G64" s="2">
        <f t="shared" si="6"/>
        <v>0</v>
      </c>
      <c r="H64" s="2">
        <f t="shared" si="7"/>
        <v>0</v>
      </c>
      <c r="I64" s="43"/>
      <c r="J64" s="6"/>
      <c r="K64" s="88" t="e">
        <f t="shared" si="10"/>
        <v>#DIV/0!</v>
      </c>
      <c r="L64" s="40" t="e">
        <f t="shared" si="11"/>
        <v>#DIV/0!</v>
      </c>
      <c r="M64" s="6"/>
      <c r="N64" s="6"/>
      <c r="O64" s="6"/>
      <c r="P64" s="6"/>
      <c r="Q64" s="44"/>
    </row>
    <row r="65" spans="1:17">
      <c r="A65" s="13">
        <f t="shared" si="8"/>
        <v>46173</v>
      </c>
      <c r="B65" s="27"/>
      <c r="C65" s="46"/>
      <c r="D65" s="50"/>
      <c r="E65" s="50"/>
      <c r="F65" s="88" t="e">
        <f t="shared" si="9"/>
        <v>#DIV/0!</v>
      </c>
      <c r="G65" s="2">
        <f t="shared" si="6"/>
        <v>0</v>
      </c>
      <c r="H65" s="2">
        <f t="shared" si="7"/>
        <v>0</v>
      </c>
      <c r="I65" s="43"/>
      <c r="J65" s="6"/>
      <c r="K65" s="88" t="e">
        <f t="shared" si="10"/>
        <v>#DIV/0!</v>
      </c>
      <c r="L65" s="40" t="e">
        <f t="shared" si="11"/>
        <v>#DIV/0!</v>
      </c>
      <c r="M65" s="6"/>
      <c r="N65" s="6"/>
      <c r="O65" s="6"/>
      <c r="P65" s="6"/>
      <c r="Q65" s="44"/>
    </row>
    <row r="66" spans="1:17">
      <c r="A66" s="349">
        <v>46143</v>
      </c>
      <c r="B66" s="89">
        <f>SUM(B35:B65)</f>
        <v>0</v>
      </c>
      <c r="C66" s="89">
        <f>SUM(C35:C65)</f>
        <v>0</v>
      </c>
      <c r="D66" s="89">
        <f>SUM(D35:D65)</f>
        <v>0</v>
      </c>
      <c r="E66" s="89">
        <f>SUM(E35:E65)</f>
        <v>0</v>
      </c>
      <c r="F66" s="160" t="e">
        <f t="shared" si="9"/>
        <v>#DIV/0!</v>
      </c>
      <c r="G66" s="90">
        <f>AVERAGE(G35:G65)</f>
        <v>0</v>
      </c>
      <c r="H66" s="90">
        <f>AVERAGE(H35:H65)</f>
        <v>0</v>
      </c>
      <c r="I66" s="89">
        <f>SUM(I35:I65)</f>
        <v>0</v>
      </c>
      <c r="J66" s="89">
        <f>SUM(J35:J65)</f>
        <v>0</v>
      </c>
      <c r="K66" s="160" t="e">
        <f t="shared" si="10"/>
        <v>#DIV/0!</v>
      </c>
      <c r="L66" s="161" t="e">
        <f t="shared" si="11"/>
        <v>#DIV/0!</v>
      </c>
      <c r="M66" s="90" t="e">
        <f>AVERAGE(M35:M65)</f>
        <v>#DIV/0!</v>
      </c>
      <c r="N66" s="90" t="e">
        <f>AVERAGE(N35:N65)</f>
        <v>#DIV/0!</v>
      </c>
      <c r="O66" s="89">
        <f>SUM(O35:O65)</f>
        <v>0</v>
      </c>
      <c r="P66" s="89">
        <f>SUM(P35:P65)</f>
        <v>0</v>
      </c>
      <c r="Q66" s="91"/>
    </row>
  </sheetData>
  <mergeCells count="4">
    <mergeCell ref="A1:Q1"/>
    <mergeCell ref="B2:C2"/>
    <mergeCell ref="E2:G2"/>
    <mergeCell ref="I2: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794C-B931-4A66-9FB9-6D3C69271CC9}">
  <dimension ref="A1:Q66"/>
  <sheetViews>
    <sheetView topLeftCell="A2" workbookViewId="0">
      <pane xSplit="2" ySplit="2" topLeftCell="Q32" activePane="bottomRight" state="frozen"/>
      <selection pane="topRight"/>
      <selection pane="bottomLeft"/>
      <selection pane="bottomRight" activeCell="Q40" sqref="Q40"/>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1.54296875" bestFit="1" customWidth="1"/>
    <col min="7" max="8" width="7.1796875" bestFit="1" customWidth="1"/>
    <col min="9" max="10" width="9.7265625" bestFit="1" customWidth="1"/>
    <col min="11" max="11" width="10.269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252</v>
      </c>
      <c r="B1" s="406"/>
      <c r="C1" s="406"/>
      <c r="D1" s="406"/>
      <c r="E1" s="406"/>
      <c r="F1" s="406"/>
      <c r="G1" s="406"/>
      <c r="H1" s="406"/>
      <c r="I1" s="406"/>
      <c r="J1" s="406"/>
      <c r="K1" s="406"/>
      <c r="L1" s="406"/>
      <c r="M1" s="406"/>
      <c r="N1" s="406"/>
      <c r="O1" s="406"/>
      <c r="P1" s="406"/>
      <c r="Q1" s="406"/>
    </row>
    <row r="2" spans="1:17" ht="18.5">
      <c r="A2" s="7">
        <v>46113</v>
      </c>
      <c r="B2" s="407" t="s">
        <v>172</v>
      </c>
      <c r="C2" s="408"/>
      <c r="D2" s="8">
        <v>10000</v>
      </c>
      <c r="E2" s="407" t="s">
        <v>173</v>
      </c>
      <c r="F2" s="407"/>
      <c r="G2" s="408"/>
      <c r="H2" s="8">
        <v>7500</v>
      </c>
      <c r="I2" s="409" t="s">
        <v>174</v>
      </c>
      <c r="J2" s="410"/>
      <c r="K2" s="85" t="s">
        <v>253</v>
      </c>
      <c r="L2" s="10" t="s">
        <v>175</v>
      </c>
      <c r="M2" s="10" t="s">
        <v>175</v>
      </c>
      <c r="N2" s="10" t="s">
        <v>175</v>
      </c>
      <c r="O2" s="10" t="s">
        <v>175</v>
      </c>
      <c r="P2" s="10" t="s">
        <v>175</v>
      </c>
      <c r="Q2" s="11" t="s">
        <v>175</v>
      </c>
    </row>
    <row r="3" spans="1:17" ht="52">
      <c r="A3" s="12" t="s">
        <v>2</v>
      </c>
      <c r="B3" s="12" t="s">
        <v>3</v>
      </c>
      <c r="C3" s="12" t="s">
        <v>4</v>
      </c>
      <c r="D3" s="12" t="s">
        <v>5</v>
      </c>
      <c r="E3" s="12" t="s">
        <v>6</v>
      </c>
      <c r="F3" s="195" t="s">
        <v>154</v>
      </c>
      <c r="G3" s="12" t="s">
        <v>8</v>
      </c>
      <c r="H3" s="12" t="s">
        <v>9</v>
      </c>
      <c r="I3" s="12" t="s">
        <v>10</v>
      </c>
      <c r="J3" s="12" t="s">
        <v>11</v>
      </c>
      <c r="K3" s="195" t="s">
        <v>155</v>
      </c>
      <c r="L3" s="12" t="s">
        <v>13</v>
      </c>
      <c r="M3" s="12" t="s">
        <v>14</v>
      </c>
      <c r="N3" s="12" t="s">
        <v>15</v>
      </c>
      <c r="O3" s="12" t="s">
        <v>16</v>
      </c>
      <c r="P3" s="12" t="s">
        <v>17</v>
      </c>
      <c r="Q3" s="194" t="s">
        <v>156</v>
      </c>
    </row>
    <row r="4" spans="1:17">
      <c r="A4" s="13">
        <f>A2</f>
        <v>46113</v>
      </c>
      <c r="B4" s="42">
        <v>48043</v>
      </c>
      <c r="C4" s="36">
        <v>39729</v>
      </c>
      <c r="D4" s="37">
        <v>45419.1</v>
      </c>
      <c r="E4" s="37">
        <v>44640</v>
      </c>
      <c r="F4" s="88">
        <f t="shared" ref="F4:F27" si="0">(IF(ISBLANK(E4),0,E4-C4))/C4</f>
        <v>0.12361247451483803</v>
      </c>
      <c r="G4" s="2">
        <f t="shared" ref="G4:G33" si="1">D4/($D$2*24)</f>
        <v>0.18924625</v>
      </c>
      <c r="H4" s="2">
        <f t="shared" ref="H4:H33" si="2">D4/($H$2*24)</f>
        <v>0.25232833333333332</v>
      </c>
      <c r="I4" s="36">
        <v>5.84</v>
      </c>
      <c r="J4" s="37">
        <v>7.02</v>
      </c>
      <c r="K4" s="88">
        <f t="shared" ref="K4:K27" si="3">(IF(ISBLANK(J4),0,J4-I4))/I4</f>
        <v>0.20205479452054789</v>
      </c>
      <c r="L4" s="40">
        <f t="shared" ref="L4:L35" si="4">D4/($D$2*J4)</f>
        <v>0.64699572649572645</v>
      </c>
      <c r="M4" s="41">
        <v>1</v>
      </c>
      <c r="N4" s="41">
        <v>0.90910000000000002</v>
      </c>
      <c r="O4" s="37">
        <v>6864</v>
      </c>
      <c r="P4" s="37">
        <v>0</v>
      </c>
      <c r="Q4" s="37" t="s">
        <v>254</v>
      </c>
    </row>
    <row r="5" spans="1:17">
      <c r="A5" s="13">
        <f>A4+1</f>
        <v>46114</v>
      </c>
      <c r="B5" s="42">
        <v>48043</v>
      </c>
      <c r="C5" s="36">
        <v>39729</v>
      </c>
      <c r="D5" s="44">
        <v>50396.1</v>
      </c>
      <c r="E5" s="44">
        <v>49520</v>
      </c>
      <c r="F5" s="88">
        <f t="shared" si="0"/>
        <v>0.24644466258904074</v>
      </c>
      <c r="G5" s="2">
        <f t="shared" si="1"/>
        <v>0.20998375</v>
      </c>
      <c r="H5" s="2">
        <f t="shared" si="2"/>
        <v>0.27997833333333333</v>
      </c>
      <c r="I5" s="43">
        <v>5.84</v>
      </c>
      <c r="J5" s="44">
        <v>7.14</v>
      </c>
      <c r="K5" s="88">
        <f t="shared" si="3"/>
        <v>0.22260273972602737</v>
      </c>
      <c r="L5" s="40">
        <f t="shared" si="4"/>
        <v>0.70582773109243691</v>
      </c>
      <c r="M5" s="48">
        <v>1</v>
      </c>
      <c r="N5" s="48">
        <v>0.95240000000000002</v>
      </c>
      <c r="O5" s="44">
        <v>3465</v>
      </c>
      <c r="P5" s="44">
        <v>0</v>
      </c>
      <c r="Q5" s="44" t="s">
        <v>254</v>
      </c>
    </row>
    <row r="6" spans="1:17">
      <c r="A6" s="13">
        <f t="shared" ref="A6:A33" si="5">A5+1</f>
        <v>46115</v>
      </c>
      <c r="B6" s="42">
        <v>48043</v>
      </c>
      <c r="C6" s="36">
        <v>39729</v>
      </c>
      <c r="D6" s="44">
        <v>40731.9</v>
      </c>
      <c r="E6" s="44">
        <v>40160</v>
      </c>
      <c r="F6" s="88">
        <f t="shared" si="0"/>
        <v>1.0848498577865035E-2</v>
      </c>
      <c r="G6" s="2">
        <f t="shared" si="1"/>
        <v>0.16971625000000001</v>
      </c>
      <c r="H6" s="2">
        <f t="shared" si="2"/>
        <v>0.22628833333333334</v>
      </c>
      <c r="I6" s="43">
        <v>5.84</v>
      </c>
      <c r="J6" s="44">
        <v>5.95</v>
      </c>
      <c r="K6" s="88">
        <f t="shared" si="3"/>
        <v>1.8835616438356219E-2</v>
      </c>
      <c r="L6" s="40">
        <f t="shared" si="4"/>
        <v>0.6845697478991597</v>
      </c>
      <c r="M6" s="48">
        <v>1</v>
      </c>
      <c r="N6" s="48">
        <v>0.94979999999999998</v>
      </c>
      <c r="O6" s="44">
        <v>4144</v>
      </c>
      <c r="P6" s="44">
        <v>0</v>
      </c>
      <c r="Q6" s="44" t="s">
        <v>254</v>
      </c>
    </row>
    <row r="7" spans="1:17">
      <c r="A7" s="13">
        <f t="shared" si="5"/>
        <v>46116</v>
      </c>
      <c r="B7" s="42">
        <v>48043</v>
      </c>
      <c r="C7" s="36">
        <v>39729</v>
      </c>
      <c r="D7" s="44">
        <v>38691.4</v>
      </c>
      <c r="E7" s="44">
        <v>38000</v>
      </c>
      <c r="F7" s="88">
        <f t="shared" si="0"/>
        <v>-4.3519846963175512E-2</v>
      </c>
      <c r="G7" s="2">
        <f t="shared" si="1"/>
        <v>0.16121416666666669</v>
      </c>
      <c r="H7" s="2">
        <f t="shared" si="2"/>
        <v>0.21495222222222224</v>
      </c>
      <c r="I7" s="43">
        <v>5.84</v>
      </c>
      <c r="J7" s="44">
        <v>5.57</v>
      </c>
      <c r="K7" s="88">
        <f t="shared" si="3"/>
        <v>-4.6232876712328695E-2</v>
      </c>
      <c r="L7" s="40">
        <f t="shared" si="4"/>
        <v>0.69463913824057455</v>
      </c>
      <c r="M7" s="48">
        <v>1</v>
      </c>
      <c r="N7" s="48">
        <v>0.95660000000000001</v>
      </c>
      <c r="O7" s="44">
        <v>3108</v>
      </c>
      <c r="P7" s="44">
        <v>0</v>
      </c>
      <c r="Q7" s="44" t="s">
        <v>254</v>
      </c>
    </row>
    <row r="8" spans="1:17">
      <c r="A8" s="13">
        <f t="shared" si="5"/>
        <v>46117</v>
      </c>
      <c r="B8" s="42">
        <v>48043</v>
      </c>
      <c r="C8" s="36">
        <v>39729</v>
      </c>
      <c r="D8" s="44">
        <v>41408.1</v>
      </c>
      <c r="E8" s="44">
        <v>40960</v>
      </c>
      <c r="F8" s="88">
        <f t="shared" si="0"/>
        <v>3.0984922852324497E-2</v>
      </c>
      <c r="G8" s="2">
        <f t="shared" si="1"/>
        <v>0.17253374999999999</v>
      </c>
      <c r="H8" s="2">
        <f t="shared" si="2"/>
        <v>0.230045</v>
      </c>
      <c r="I8" s="43">
        <v>5.84</v>
      </c>
      <c r="J8" s="44">
        <v>6.16</v>
      </c>
      <c r="K8" s="88">
        <f t="shared" si="3"/>
        <v>5.4794520547945258E-2</v>
      </c>
      <c r="L8" s="40">
        <f t="shared" si="4"/>
        <v>0.6722094155844156</v>
      </c>
      <c r="M8" s="48">
        <v>1</v>
      </c>
      <c r="N8" s="48">
        <v>0.9355</v>
      </c>
      <c r="O8" s="44">
        <v>4544</v>
      </c>
      <c r="P8" s="44">
        <v>0</v>
      </c>
      <c r="Q8" s="44" t="s">
        <v>254</v>
      </c>
    </row>
    <row r="9" spans="1:17">
      <c r="A9" s="13">
        <f t="shared" si="5"/>
        <v>46118</v>
      </c>
      <c r="B9" s="42">
        <v>48043</v>
      </c>
      <c r="C9" s="36">
        <v>39729</v>
      </c>
      <c r="D9" s="44">
        <v>31151.599999999999</v>
      </c>
      <c r="E9" s="44">
        <v>30800</v>
      </c>
      <c r="F9" s="88">
        <f t="shared" si="0"/>
        <v>-0.22474766543331068</v>
      </c>
      <c r="G9" s="2">
        <f t="shared" si="1"/>
        <v>0.12979833333333332</v>
      </c>
      <c r="H9" s="2">
        <f t="shared" si="2"/>
        <v>0.17306444444444444</v>
      </c>
      <c r="I9" s="43">
        <v>5.84</v>
      </c>
      <c r="J9" s="44">
        <v>4.5199999999999996</v>
      </c>
      <c r="K9" s="88">
        <f t="shared" si="3"/>
        <v>-0.22602739726027402</v>
      </c>
      <c r="L9" s="40">
        <f t="shared" si="4"/>
        <v>0.68919469026548685</v>
      </c>
      <c r="M9" s="48">
        <v>1</v>
      </c>
      <c r="N9" s="48">
        <v>0.9536</v>
      </c>
      <c r="O9" s="44">
        <v>3626</v>
      </c>
      <c r="P9" s="44">
        <v>0</v>
      </c>
      <c r="Q9" s="44" t="s">
        <v>254</v>
      </c>
    </row>
    <row r="10" spans="1:17">
      <c r="A10" s="13">
        <f t="shared" si="5"/>
        <v>46119</v>
      </c>
      <c r="B10" s="42">
        <v>48043</v>
      </c>
      <c r="C10" s="36">
        <v>39729</v>
      </c>
      <c r="D10" s="44">
        <v>45314.6</v>
      </c>
      <c r="E10" s="44">
        <v>44640</v>
      </c>
      <c r="F10" s="88">
        <f t="shared" si="0"/>
        <v>0.12361247451483803</v>
      </c>
      <c r="G10" s="2">
        <f t="shared" si="1"/>
        <v>0.18881083333333332</v>
      </c>
      <c r="H10" s="2">
        <f t="shared" si="2"/>
        <v>0.25174777777777779</v>
      </c>
      <c r="I10" s="43">
        <v>5.84</v>
      </c>
      <c r="J10" s="44">
        <v>6.42</v>
      </c>
      <c r="K10" s="88">
        <f t="shared" si="3"/>
        <v>9.9315068493150693E-2</v>
      </c>
      <c r="L10" s="40">
        <f t="shared" si="4"/>
        <v>0.70583489096573204</v>
      </c>
      <c r="M10" s="48">
        <v>1</v>
      </c>
      <c r="N10" s="48">
        <v>0.95489999999999997</v>
      </c>
      <c r="O10" s="44">
        <v>3420</v>
      </c>
      <c r="P10" s="44">
        <v>0</v>
      </c>
      <c r="Q10" s="44" t="s">
        <v>254</v>
      </c>
    </row>
    <row r="11" spans="1:17">
      <c r="A11" s="13">
        <f t="shared" si="5"/>
        <v>46120</v>
      </c>
      <c r="B11" s="42">
        <v>48043</v>
      </c>
      <c r="C11" s="36">
        <v>39729</v>
      </c>
      <c r="D11" s="44">
        <v>44858.3</v>
      </c>
      <c r="E11" s="44">
        <v>44080</v>
      </c>
      <c r="F11" s="88">
        <f t="shared" si="0"/>
        <v>0.1095169775227164</v>
      </c>
      <c r="G11" s="2">
        <f t="shared" si="1"/>
        <v>0.18690958333333335</v>
      </c>
      <c r="H11" s="2">
        <f t="shared" si="2"/>
        <v>0.24921277777777778</v>
      </c>
      <c r="I11" s="43">
        <v>5.84</v>
      </c>
      <c r="J11" s="44">
        <v>6.75</v>
      </c>
      <c r="K11" s="88">
        <f t="shared" si="3"/>
        <v>0.15582191780821922</v>
      </c>
      <c r="L11" s="40">
        <f t="shared" si="4"/>
        <v>0.6645674074074075</v>
      </c>
      <c r="M11" s="48">
        <v>1</v>
      </c>
      <c r="N11" s="48">
        <v>0.91349999999999998</v>
      </c>
      <c r="O11" s="44">
        <v>6068</v>
      </c>
      <c r="P11" s="44">
        <v>0</v>
      </c>
      <c r="Q11" s="44" t="s">
        <v>254</v>
      </c>
    </row>
    <row r="12" spans="1:17">
      <c r="A12" s="13">
        <f t="shared" si="5"/>
        <v>46121</v>
      </c>
      <c r="B12" s="42">
        <v>48043</v>
      </c>
      <c r="C12" s="36">
        <v>39729</v>
      </c>
      <c r="D12" s="44">
        <v>40708.9</v>
      </c>
      <c r="E12" s="44">
        <v>40080</v>
      </c>
      <c r="F12" s="88">
        <f t="shared" si="0"/>
        <v>8.8348561504190889E-3</v>
      </c>
      <c r="G12" s="2">
        <f t="shared" si="1"/>
        <v>0.16962041666666666</v>
      </c>
      <c r="H12" s="2">
        <f t="shared" si="2"/>
        <v>0.22616055555555556</v>
      </c>
      <c r="I12" s="43">
        <v>5.84</v>
      </c>
      <c r="J12" s="44">
        <v>6.04</v>
      </c>
      <c r="K12" s="88">
        <f t="shared" si="3"/>
        <v>3.4246575342465786E-2</v>
      </c>
      <c r="L12" s="40">
        <f t="shared" si="4"/>
        <v>0.67398841059602654</v>
      </c>
      <c r="M12" s="48">
        <v>1</v>
      </c>
      <c r="N12" s="48">
        <v>0.95350000000000001</v>
      </c>
      <c r="O12" s="44">
        <v>3552</v>
      </c>
      <c r="P12" s="44">
        <v>0</v>
      </c>
      <c r="Q12" s="44" t="s">
        <v>254</v>
      </c>
    </row>
    <row r="13" spans="1:17">
      <c r="A13" s="13">
        <f t="shared" si="5"/>
        <v>46122</v>
      </c>
      <c r="B13" s="42">
        <v>48043</v>
      </c>
      <c r="C13" s="36">
        <v>39729</v>
      </c>
      <c r="D13" s="44">
        <v>42582.1</v>
      </c>
      <c r="E13" s="44">
        <v>41920</v>
      </c>
      <c r="F13" s="88">
        <f t="shared" si="0"/>
        <v>5.5148631981675855E-2</v>
      </c>
      <c r="G13" s="2">
        <f t="shared" si="1"/>
        <v>0.17742541666666667</v>
      </c>
      <c r="H13" s="2">
        <f t="shared" si="2"/>
        <v>0.23656722222222221</v>
      </c>
      <c r="I13" s="43">
        <v>5.84</v>
      </c>
      <c r="J13" s="44">
        <v>6.14</v>
      </c>
      <c r="K13" s="88">
        <f t="shared" si="3"/>
        <v>5.13698630136986E-2</v>
      </c>
      <c r="L13" s="40">
        <f t="shared" si="4"/>
        <v>0.69351954397394133</v>
      </c>
      <c r="M13" s="48">
        <v>1</v>
      </c>
      <c r="N13" s="48">
        <v>0.95679999999999998</v>
      </c>
      <c r="O13" s="44">
        <v>3300</v>
      </c>
      <c r="P13" s="44">
        <v>0</v>
      </c>
      <c r="Q13" s="44" t="s">
        <v>254</v>
      </c>
    </row>
    <row r="14" spans="1:17">
      <c r="A14" s="13">
        <f t="shared" si="5"/>
        <v>46123</v>
      </c>
      <c r="B14" s="42">
        <v>48043</v>
      </c>
      <c r="C14" s="36">
        <v>39729</v>
      </c>
      <c r="D14" s="44">
        <v>42420</v>
      </c>
      <c r="E14" s="44">
        <v>41840</v>
      </c>
      <c r="F14" s="88">
        <f t="shared" si="0"/>
        <v>5.3134989554229906E-2</v>
      </c>
      <c r="G14" s="2">
        <f t="shared" si="1"/>
        <v>0.17674999999999999</v>
      </c>
      <c r="H14" s="2">
        <f t="shared" si="2"/>
        <v>0.23566666666666666</v>
      </c>
      <c r="I14" s="43">
        <v>5.84</v>
      </c>
      <c r="J14" s="44">
        <v>5.87</v>
      </c>
      <c r="K14" s="88">
        <f t="shared" si="3"/>
        <v>5.1369863013699061E-3</v>
      </c>
      <c r="L14" s="40">
        <f t="shared" si="4"/>
        <v>0.72265758091993182</v>
      </c>
      <c r="M14" s="48">
        <v>1</v>
      </c>
      <c r="N14" s="48">
        <v>0.95750000000000002</v>
      </c>
      <c r="O14" s="44">
        <v>3000</v>
      </c>
      <c r="P14" s="44">
        <v>0</v>
      </c>
      <c r="Q14" s="44" t="s">
        <v>254</v>
      </c>
    </row>
    <row r="15" spans="1:17">
      <c r="A15" s="13">
        <f t="shared" si="5"/>
        <v>46124</v>
      </c>
      <c r="B15" s="42">
        <v>48043</v>
      </c>
      <c r="C15" s="36">
        <v>39729</v>
      </c>
      <c r="D15" s="44">
        <v>48410.1</v>
      </c>
      <c r="E15" s="44">
        <v>47600</v>
      </c>
      <c r="F15" s="88">
        <f t="shared" si="0"/>
        <v>0.19811724433033803</v>
      </c>
      <c r="G15" s="2">
        <f t="shared" si="1"/>
        <v>0.20170874999999999</v>
      </c>
      <c r="H15" s="2">
        <f t="shared" si="2"/>
        <v>0.26894499999999999</v>
      </c>
      <c r="I15" s="43">
        <v>5.84</v>
      </c>
      <c r="J15" s="44">
        <v>7.03</v>
      </c>
      <c r="K15" s="88">
        <f t="shared" si="3"/>
        <v>0.2037671232876713</v>
      </c>
      <c r="L15" s="40">
        <f t="shared" si="4"/>
        <v>0.68862162162162155</v>
      </c>
      <c r="M15" s="48">
        <v>1</v>
      </c>
      <c r="N15" s="48">
        <v>0.95150000000000001</v>
      </c>
      <c r="O15" s="44">
        <v>3750</v>
      </c>
      <c r="P15" s="44">
        <v>0</v>
      </c>
      <c r="Q15" s="44" t="s">
        <v>254</v>
      </c>
    </row>
    <row r="16" spans="1:17">
      <c r="A16" s="13">
        <f t="shared" si="5"/>
        <v>46125</v>
      </c>
      <c r="B16" s="42">
        <v>48043</v>
      </c>
      <c r="C16" s="36">
        <v>39729</v>
      </c>
      <c r="D16" s="44">
        <v>45051.7</v>
      </c>
      <c r="E16" s="44">
        <v>44320</v>
      </c>
      <c r="F16" s="88">
        <f t="shared" si="0"/>
        <v>0.11555790480505425</v>
      </c>
      <c r="G16" s="2">
        <f t="shared" si="1"/>
        <v>0.18771541666666666</v>
      </c>
      <c r="H16" s="2">
        <f t="shared" si="2"/>
        <v>0.25028722222222222</v>
      </c>
      <c r="I16" s="43">
        <v>5.84</v>
      </c>
      <c r="J16" s="44">
        <v>6.23</v>
      </c>
      <c r="K16" s="88">
        <f t="shared" si="3"/>
        <v>6.678082191780832E-2</v>
      </c>
      <c r="L16" s="40">
        <f t="shared" si="4"/>
        <v>0.72314125200642043</v>
      </c>
      <c r="M16" s="48">
        <v>1</v>
      </c>
      <c r="N16" s="48">
        <v>0.9607</v>
      </c>
      <c r="O16" s="44">
        <v>2880</v>
      </c>
      <c r="P16" s="44">
        <v>0</v>
      </c>
      <c r="Q16" s="44" t="s">
        <v>254</v>
      </c>
    </row>
    <row r="17" spans="1:17">
      <c r="A17" s="13">
        <f t="shared" si="5"/>
        <v>46126</v>
      </c>
      <c r="B17" s="42">
        <v>48043</v>
      </c>
      <c r="C17" s="36">
        <v>39729</v>
      </c>
      <c r="D17" s="44">
        <v>43830.1</v>
      </c>
      <c r="E17" s="44">
        <v>43200</v>
      </c>
      <c r="F17" s="88">
        <f t="shared" si="0"/>
        <v>8.7366910820810995E-2</v>
      </c>
      <c r="G17" s="2">
        <f t="shared" si="1"/>
        <v>0.18262541666666665</v>
      </c>
      <c r="H17" s="2">
        <f t="shared" si="2"/>
        <v>0.24350055555555555</v>
      </c>
      <c r="I17" s="43">
        <v>5.84</v>
      </c>
      <c r="J17" s="44">
        <v>6.75</v>
      </c>
      <c r="K17" s="88">
        <f t="shared" si="3"/>
        <v>0.15582191780821922</v>
      </c>
      <c r="L17" s="40">
        <f t="shared" si="4"/>
        <v>0.64933481481481481</v>
      </c>
      <c r="M17" s="48">
        <v>1</v>
      </c>
      <c r="N17" s="48">
        <v>0.95320000000000005</v>
      </c>
      <c r="O17" s="44">
        <v>3510</v>
      </c>
      <c r="P17" s="44">
        <v>0</v>
      </c>
      <c r="Q17" s="44" t="s">
        <v>254</v>
      </c>
    </row>
    <row r="18" spans="1:17">
      <c r="A18" s="13">
        <f t="shared" si="5"/>
        <v>46127</v>
      </c>
      <c r="B18" s="42">
        <v>48043</v>
      </c>
      <c r="C18" s="36">
        <v>39729</v>
      </c>
      <c r="D18" s="44">
        <v>43410.6</v>
      </c>
      <c r="E18" s="44">
        <v>42640</v>
      </c>
      <c r="F18" s="88">
        <f t="shared" si="0"/>
        <v>7.3271413828689375E-2</v>
      </c>
      <c r="G18" s="2">
        <f t="shared" si="1"/>
        <v>0.1808775</v>
      </c>
      <c r="H18" s="2">
        <f t="shared" si="2"/>
        <v>0.24117</v>
      </c>
      <c r="I18" s="43">
        <v>5.84</v>
      </c>
      <c r="J18" s="44">
        <v>6.75</v>
      </c>
      <c r="K18" s="88">
        <f t="shared" si="3"/>
        <v>0.15582191780821922</v>
      </c>
      <c r="L18" s="40">
        <f t="shared" si="4"/>
        <v>0.64312000000000002</v>
      </c>
      <c r="M18" s="48">
        <v>1</v>
      </c>
      <c r="N18" s="48">
        <v>0.9103</v>
      </c>
      <c r="O18" s="44">
        <v>6975</v>
      </c>
      <c r="P18" s="44">
        <v>0</v>
      </c>
      <c r="Q18" s="44" t="s">
        <v>254</v>
      </c>
    </row>
    <row r="19" spans="1:17">
      <c r="A19" s="13">
        <f t="shared" si="5"/>
        <v>46128</v>
      </c>
      <c r="B19" s="42">
        <v>48043</v>
      </c>
      <c r="C19" s="36">
        <v>39729</v>
      </c>
      <c r="D19" s="44">
        <v>43718.400000000001</v>
      </c>
      <c r="E19" s="44">
        <v>43040</v>
      </c>
      <c r="F19" s="88">
        <f t="shared" si="0"/>
        <v>8.3339625965919095E-2</v>
      </c>
      <c r="G19" s="2">
        <f t="shared" si="1"/>
        <v>0.18216000000000002</v>
      </c>
      <c r="H19" s="2">
        <f t="shared" si="2"/>
        <v>0.24288000000000001</v>
      </c>
      <c r="I19" s="43">
        <v>5.84</v>
      </c>
      <c r="J19" s="44">
        <v>6.24</v>
      </c>
      <c r="K19" s="88">
        <f t="shared" si="3"/>
        <v>6.8493150684931572E-2</v>
      </c>
      <c r="L19" s="40">
        <f t="shared" si="4"/>
        <v>0.70061538461538464</v>
      </c>
      <c r="M19" s="48">
        <v>1</v>
      </c>
      <c r="N19" s="48">
        <v>0.9587</v>
      </c>
      <c r="O19" s="44">
        <v>3198</v>
      </c>
      <c r="P19" s="44">
        <v>0</v>
      </c>
      <c r="Q19" s="44" t="s">
        <v>254</v>
      </c>
    </row>
    <row r="20" spans="1:17">
      <c r="A20" s="13">
        <f t="shared" si="5"/>
        <v>46129</v>
      </c>
      <c r="B20" s="42">
        <v>48043</v>
      </c>
      <c r="C20" s="36">
        <v>39729</v>
      </c>
      <c r="D20" s="44">
        <v>42337.9</v>
      </c>
      <c r="E20" s="44">
        <v>41840</v>
      </c>
      <c r="F20" s="88">
        <f t="shared" si="0"/>
        <v>5.3134989554229906E-2</v>
      </c>
      <c r="G20" s="2">
        <f t="shared" si="1"/>
        <v>0.17640791666666666</v>
      </c>
      <c r="H20" s="2">
        <f t="shared" si="2"/>
        <v>0.23521055555555556</v>
      </c>
      <c r="I20" s="43">
        <v>5.84</v>
      </c>
      <c r="J20" s="44">
        <v>6.02</v>
      </c>
      <c r="K20" s="88">
        <f t="shared" si="3"/>
        <v>3.0821917808219131E-2</v>
      </c>
      <c r="L20" s="40">
        <f t="shared" si="4"/>
        <v>0.70328737541528252</v>
      </c>
      <c r="M20" s="48">
        <v>1</v>
      </c>
      <c r="N20" s="48">
        <v>0.95440000000000003</v>
      </c>
      <c r="O20" s="44">
        <v>3626</v>
      </c>
      <c r="P20" s="44">
        <v>0</v>
      </c>
      <c r="Q20" s="44" t="s">
        <v>254</v>
      </c>
    </row>
    <row r="21" spans="1:17">
      <c r="A21" s="13">
        <f t="shared" si="5"/>
        <v>46130</v>
      </c>
      <c r="B21" s="42">
        <v>48043</v>
      </c>
      <c r="C21" s="36">
        <v>39729</v>
      </c>
      <c r="D21" s="44">
        <v>44238.1</v>
      </c>
      <c r="E21" s="44">
        <v>43520</v>
      </c>
      <c r="F21" s="88">
        <f t="shared" si="0"/>
        <v>9.5421480530594779E-2</v>
      </c>
      <c r="G21" s="2">
        <f t="shared" si="1"/>
        <v>0.18432541666666666</v>
      </c>
      <c r="H21" s="2">
        <f t="shared" si="2"/>
        <v>0.24576722222222222</v>
      </c>
      <c r="I21" s="43">
        <v>5.84</v>
      </c>
      <c r="J21" s="44">
        <v>6.36</v>
      </c>
      <c r="K21" s="88">
        <f t="shared" si="3"/>
        <v>8.9041095890411037E-2</v>
      </c>
      <c r="L21" s="40">
        <f t="shared" si="4"/>
        <v>0.69556761006289303</v>
      </c>
      <c r="M21" s="48">
        <v>1</v>
      </c>
      <c r="N21" s="48">
        <v>0.95599999999999996</v>
      </c>
      <c r="O21" s="44">
        <v>3312</v>
      </c>
      <c r="P21" s="44">
        <v>0</v>
      </c>
      <c r="Q21" s="44" t="s">
        <v>254</v>
      </c>
    </row>
    <row r="22" spans="1:17">
      <c r="A22" s="13">
        <f t="shared" si="5"/>
        <v>46131</v>
      </c>
      <c r="B22" s="42">
        <v>48043</v>
      </c>
      <c r="C22" s="36">
        <v>39729</v>
      </c>
      <c r="D22" s="44">
        <v>47436.2</v>
      </c>
      <c r="E22" s="44">
        <v>46720</v>
      </c>
      <c r="F22" s="88">
        <f t="shared" si="0"/>
        <v>0.17596717762843264</v>
      </c>
      <c r="G22" s="2">
        <f t="shared" si="1"/>
        <v>0.19765083333333333</v>
      </c>
      <c r="H22" s="2">
        <f t="shared" si="2"/>
        <v>0.2635344444444444</v>
      </c>
      <c r="I22" s="43">
        <v>5.84</v>
      </c>
      <c r="J22" s="44">
        <v>6.74</v>
      </c>
      <c r="K22" s="88">
        <f t="shared" si="3"/>
        <v>0.15410958904109595</v>
      </c>
      <c r="L22" s="40">
        <f t="shared" si="4"/>
        <v>0.70380118694362015</v>
      </c>
      <c r="M22" s="48">
        <v>1</v>
      </c>
      <c r="N22" s="48">
        <v>0.95450000000000002</v>
      </c>
      <c r="O22" s="44">
        <v>3330</v>
      </c>
      <c r="P22" s="44">
        <v>0</v>
      </c>
      <c r="Q22" s="44" t="s">
        <v>254</v>
      </c>
    </row>
    <row r="23" spans="1:17">
      <c r="A23" s="13">
        <f t="shared" si="5"/>
        <v>46132</v>
      </c>
      <c r="B23" s="42">
        <v>48043</v>
      </c>
      <c r="C23" s="36">
        <v>39729</v>
      </c>
      <c r="D23" s="44">
        <v>46116.4</v>
      </c>
      <c r="E23" s="44">
        <v>45360</v>
      </c>
      <c r="F23" s="88">
        <f t="shared" si="0"/>
        <v>0.14173525636185155</v>
      </c>
      <c r="G23" s="2">
        <f t="shared" si="1"/>
        <v>0.19215166666666667</v>
      </c>
      <c r="H23" s="2">
        <f t="shared" si="2"/>
        <v>0.25620222222222222</v>
      </c>
      <c r="I23" s="43">
        <v>5.84</v>
      </c>
      <c r="J23" s="44">
        <v>6.68</v>
      </c>
      <c r="K23" s="88">
        <f t="shared" si="3"/>
        <v>0.14383561643835616</v>
      </c>
      <c r="L23" s="40">
        <f t="shared" si="4"/>
        <v>0.6903652694610779</v>
      </c>
      <c r="M23" s="48">
        <v>1</v>
      </c>
      <c r="N23" s="48">
        <v>0.95509999999999995</v>
      </c>
      <c r="O23" s="44">
        <v>3384</v>
      </c>
      <c r="P23" s="44">
        <v>0</v>
      </c>
      <c r="Q23" s="44" t="s">
        <v>255</v>
      </c>
    </row>
    <row r="24" spans="1:17">
      <c r="A24" s="13">
        <f t="shared" si="5"/>
        <v>46133</v>
      </c>
      <c r="B24" s="42">
        <v>48043</v>
      </c>
      <c r="C24" s="36">
        <v>39729</v>
      </c>
      <c r="D24" s="44">
        <v>45998.400000000001</v>
      </c>
      <c r="E24" s="44">
        <v>45120</v>
      </c>
      <c r="F24" s="88">
        <f t="shared" si="0"/>
        <v>0.1356943290795137</v>
      </c>
      <c r="G24" s="2">
        <f t="shared" si="1"/>
        <v>0.19166</v>
      </c>
      <c r="H24" s="2">
        <f t="shared" si="2"/>
        <v>0.2555466666666667</v>
      </c>
      <c r="I24" s="43">
        <v>5.84</v>
      </c>
      <c r="J24" s="44">
        <v>6.97</v>
      </c>
      <c r="K24" s="88">
        <f t="shared" si="3"/>
        <v>0.1934931506849315</v>
      </c>
      <c r="L24" s="40">
        <f t="shared" si="4"/>
        <v>0.65994835007173602</v>
      </c>
      <c r="M24" s="48">
        <v>1</v>
      </c>
      <c r="N24" s="48">
        <v>0.82420000000000004</v>
      </c>
      <c r="O24" s="44">
        <v>6004</v>
      </c>
      <c r="P24" s="44">
        <v>0</v>
      </c>
      <c r="Q24" s="44" t="s">
        <v>254</v>
      </c>
    </row>
    <row r="25" spans="1:17">
      <c r="A25" s="13">
        <f t="shared" si="5"/>
        <v>46134</v>
      </c>
      <c r="B25" s="42">
        <v>48043</v>
      </c>
      <c r="C25" s="36">
        <v>39729</v>
      </c>
      <c r="D25" s="44">
        <v>46507</v>
      </c>
      <c r="E25" s="44">
        <v>45840</v>
      </c>
      <c r="F25" s="88">
        <f t="shared" si="0"/>
        <v>0.15381711092652722</v>
      </c>
      <c r="G25" s="2">
        <f t="shared" si="1"/>
        <v>0.19377916666666667</v>
      </c>
      <c r="H25" s="2">
        <f t="shared" si="2"/>
        <v>0.25837222222222223</v>
      </c>
      <c r="I25" s="43">
        <v>5.84</v>
      </c>
      <c r="J25" s="44">
        <v>6.77</v>
      </c>
      <c r="K25" s="88">
        <f t="shared" si="3"/>
        <v>0.1592465753424657</v>
      </c>
      <c r="L25" s="40">
        <f t="shared" si="4"/>
        <v>0.68695716395864104</v>
      </c>
      <c r="M25" s="48">
        <v>1</v>
      </c>
      <c r="N25" s="48">
        <v>0.95589999999999997</v>
      </c>
      <c r="O25" s="44">
        <v>3672</v>
      </c>
      <c r="P25" s="44">
        <v>0</v>
      </c>
      <c r="Q25" s="44" t="s">
        <v>254</v>
      </c>
    </row>
    <row r="26" spans="1:17">
      <c r="A26" s="13">
        <f t="shared" si="5"/>
        <v>46135</v>
      </c>
      <c r="B26" s="42">
        <v>48043</v>
      </c>
      <c r="C26" s="36">
        <v>39729</v>
      </c>
      <c r="D26" s="44">
        <v>44681.7</v>
      </c>
      <c r="E26" s="44">
        <v>44000</v>
      </c>
      <c r="F26" s="88">
        <f t="shared" si="0"/>
        <v>0.10750333509527046</v>
      </c>
      <c r="G26" s="2">
        <f t="shared" si="1"/>
        <v>0.18617375</v>
      </c>
      <c r="H26" s="2">
        <f t="shared" si="2"/>
        <v>0.24823166666666666</v>
      </c>
      <c r="I26" s="43">
        <v>5.84</v>
      </c>
      <c r="J26" s="44">
        <v>6.46</v>
      </c>
      <c r="K26" s="88">
        <f t="shared" si="3"/>
        <v>0.10616438356164386</v>
      </c>
      <c r="L26" s="40">
        <f t="shared" si="4"/>
        <v>0.69166718266253868</v>
      </c>
      <c r="M26" s="48">
        <v>1</v>
      </c>
      <c r="N26" s="48">
        <v>0.9587</v>
      </c>
      <c r="O26" s="44">
        <v>3456</v>
      </c>
      <c r="P26" s="44">
        <v>0</v>
      </c>
      <c r="Q26" s="44" t="s">
        <v>254</v>
      </c>
    </row>
    <row r="27" spans="1:17">
      <c r="A27" s="13">
        <f t="shared" si="5"/>
        <v>46136</v>
      </c>
      <c r="B27" s="42">
        <v>48043</v>
      </c>
      <c r="C27" s="36">
        <v>39729</v>
      </c>
      <c r="D27" s="44">
        <v>44479</v>
      </c>
      <c r="E27" s="44">
        <v>43840</v>
      </c>
      <c r="F27" s="88">
        <f t="shared" si="0"/>
        <v>0.10347605024037856</v>
      </c>
      <c r="G27" s="2">
        <f t="shared" si="1"/>
        <v>0.18532916666666666</v>
      </c>
      <c r="H27" s="2">
        <f t="shared" si="2"/>
        <v>0.24710555555555555</v>
      </c>
      <c r="I27" s="43">
        <v>5.84</v>
      </c>
      <c r="J27" s="44">
        <v>6.43</v>
      </c>
      <c r="K27" s="88">
        <f t="shared" si="3"/>
        <v>0.10102739726027395</v>
      </c>
      <c r="L27" s="40">
        <f t="shared" si="4"/>
        <v>0.6917418351477449</v>
      </c>
      <c r="M27" s="48">
        <v>1</v>
      </c>
      <c r="N27" s="48">
        <v>0.95740000000000003</v>
      </c>
      <c r="O27" s="44">
        <v>3465</v>
      </c>
      <c r="P27" s="44">
        <v>0</v>
      </c>
      <c r="Q27" s="44" t="s">
        <v>254</v>
      </c>
    </row>
    <row r="28" spans="1:17">
      <c r="A28" s="13">
        <f t="shared" si="5"/>
        <v>46137</v>
      </c>
      <c r="B28" s="42">
        <v>48043</v>
      </c>
      <c r="C28" s="36">
        <v>39729</v>
      </c>
      <c r="D28" s="6">
        <v>43307.4</v>
      </c>
      <c r="E28" s="6">
        <v>42720</v>
      </c>
      <c r="F28" s="88">
        <f t="shared" ref="F28:F33" si="6">(IF(ISBLANK(E28),0,E28-C28))/C28</f>
        <v>7.528505625613531E-2</v>
      </c>
      <c r="G28" s="2">
        <f t="shared" si="1"/>
        <v>0.18044750000000001</v>
      </c>
      <c r="H28" s="2">
        <f t="shared" si="2"/>
        <v>0.24059666666666668</v>
      </c>
      <c r="I28" s="43">
        <v>5.84</v>
      </c>
      <c r="J28" s="6">
        <v>6.16</v>
      </c>
      <c r="K28" s="88">
        <f t="shared" ref="K28:K34" si="7">(IF(ISBLANK(J28),0,J28-I28))/I28</f>
        <v>5.4794520547945258E-2</v>
      </c>
      <c r="L28" s="40">
        <f t="shared" si="4"/>
        <v>0.70304220779220783</v>
      </c>
      <c r="M28" s="25">
        <v>1</v>
      </c>
      <c r="N28" s="25">
        <v>0.95879999999999999</v>
      </c>
      <c r="O28" s="6">
        <v>2952</v>
      </c>
      <c r="P28" s="44">
        <v>0</v>
      </c>
      <c r="Q28" s="44" t="s">
        <v>254</v>
      </c>
    </row>
    <row r="29" spans="1:17">
      <c r="A29" s="13">
        <f t="shared" si="5"/>
        <v>46138</v>
      </c>
      <c r="B29" s="42">
        <v>48043</v>
      </c>
      <c r="C29" s="36">
        <v>39729</v>
      </c>
      <c r="D29" s="6">
        <v>42506.1</v>
      </c>
      <c r="E29" s="6">
        <v>41920</v>
      </c>
      <c r="F29" s="88">
        <f t="shared" si="6"/>
        <v>5.5148631981675855E-2</v>
      </c>
      <c r="G29" s="2">
        <f t="shared" si="1"/>
        <v>0.17710874999999998</v>
      </c>
      <c r="H29" s="2">
        <f t="shared" si="2"/>
        <v>0.23614499999999999</v>
      </c>
      <c r="I29" s="43">
        <v>5.84</v>
      </c>
      <c r="J29" s="6">
        <v>6.19</v>
      </c>
      <c r="K29" s="88">
        <f t="shared" si="7"/>
        <v>5.9931506849315162E-2</v>
      </c>
      <c r="L29" s="40">
        <f t="shared" si="4"/>
        <v>0.68668982229402253</v>
      </c>
      <c r="M29" s="25">
        <v>1</v>
      </c>
      <c r="N29" s="25">
        <v>0.95720000000000005</v>
      </c>
      <c r="O29" s="6">
        <v>3108</v>
      </c>
      <c r="P29" s="44">
        <v>0</v>
      </c>
      <c r="Q29" s="44" t="s">
        <v>254</v>
      </c>
    </row>
    <row r="30" spans="1:17">
      <c r="A30" s="13">
        <f t="shared" si="5"/>
        <v>46139</v>
      </c>
      <c r="B30" s="42">
        <v>48043</v>
      </c>
      <c r="C30" s="36">
        <v>39729</v>
      </c>
      <c r="D30" s="6">
        <v>45532.4</v>
      </c>
      <c r="E30" s="6">
        <v>44800</v>
      </c>
      <c r="F30" s="88">
        <f t="shared" si="6"/>
        <v>0.12763975936972993</v>
      </c>
      <c r="G30" s="2">
        <f t="shared" si="1"/>
        <v>0.18971833333333335</v>
      </c>
      <c r="H30" s="2">
        <f t="shared" si="2"/>
        <v>0.25295777777777778</v>
      </c>
      <c r="I30" s="43">
        <v>5.84</v>
      </c>
      <c r="J30" s="6">
        <v>6.57</v>
      </c>
      <c r="K30" s="88">
        <f t="shared" si="7"/>
        <v>0.12500000000000008</v>
      </c>
      <c r="L30" s="40">
        <f t="shared" si="4"/>
        <v>0.69303500761035008</v>
      </c>
      <c r="M30" s="25">
        <v>1</v>
      </c>
      <c r="N30" s="25">
        <v>0.95689999999999997</v>
      </c>
      <c r="O30" s="6">
        <v>3344</v>
      </c>
      <c r="P30" s="44">
        <v>0</v>
      </c>
      <c r="Q30" s="44" t="s">
        <v>254</v>
      </c>
    </row>
    <row r="31" spans="1:17">
      <c r="A31" s="13">
        <f t="shared" si="5"/>
        <v>46140</v>
      </c>
      <c r="B31" s="42">
        <v>48043</v>
      </c>
      <c r="C31" s="36">
        <v>39729</v>
      </c>
      <c r="D31" s="6">
        <v>37788.9</v>
      </c>
      <c r="E31" s="6">
        <v>37360</v>
      </c>
      <c r="F31" s="88">
        <f t="shared" si="6"/>
        <v>-5.9628986382743082E-2</v>
      </c>
      <c r="G31" s="2">
        <f t="shared" si="1"/>
        <v>0.15745375</v>
      </c>
      <c r="H31" s="2">
        <f t="shared" si="2"/>
        <v>0.20993833333333334</v>
      </c>
      <c r="I31" s="43">
        <v>5.84</v>
      </c>
      <c r="J31" s="6">
        <v>5.47</v>
      </c>
      <c r="K31" s="88">
        <f t="shared" si="7"/>
        <v>-6.3356164383561661E-2</v>
      </c>
      <c r="L31" s="40">
        <f t="shared" si="4"/>
        <v>0.69083912248628887</v>
      </c>
      <c r="M31" s="25">
        <v>1</v>
      </c>
      <c r="N31" s="25">
        <v>0.9556</v>
      </c>
      <c r="O31" s="6">
        <v>3300</v>
      </c>
      <c r="P31" s="44">
        <v>0</v>
      </c>
      <c r="Q31" s="44" t="s">
        <v>254</v>
      </c>
    </row>
    <row r="32" spans="1:17">
      <c r="A32" s="13">
        <f t="shared" si="5"/>
        <v>46141</v>
      </c>
      <c r="B32" s="42">
        <v>48043</v>
      </c>
      <c r="C32" s="36">
        <v>39729</v>
      </c>
      <c r="D32" s="6">
        <v>38370.400000000001</v>
      </c>
      <c r="E32" s="6">
        <v>37920</v>
      </c>
      <c r="F32" s="88">
        <f t="shared" si="6"/>
        <v>-4.5533489390621462E-2</v>
      </c>
      <c r="G32" s="2">
        <f t="shared" si="1"/>
        <v>0.15987666666666667</v>
      </c>
      <c r="H32" s="2">
        <f t="shared" si="2"/>
        <v>0.21316888888888891</v>
      </c>
      <c r="I32" s="43">
        <v>5.84</v>
      </c>
      <c r="J32" s="6">
        <v>5.5</v>
      </c>
      <c r="K32" s="88">
        <f t="shared" si="7"/>
        <v>-5.8219178082191757E-2</v>
      </c>
      <c r="L32" s="40">
        <f t="shared" si="4"/>
        <v>0.69764363636363635</v>
      </c>
      <c r="M32" s="25">
        <v>1</v>
      </c>
      <c r="N32" s="25">
        <v>0.95830000000000004</v>
      </c>
      <c r="O32" s="6">
        <v>3290</v>
      </c>
      <c r="P32" s="6">
        <v>0</v>
      </c>
      <c r="Q32" s="44" t="s">
        <v>254</v>
      </c>
    </row>
    <row r="33" spans="1:17">
      <c r="A33" s="13">
        <f t="shared" si="5"/>
        <v>46142</v>
      </c>
      <c r="B33" s="42">
        <v>48043</v>
      </c>
      <c r="C33" s="36">
        <v>39729</v>
      </c>
      <c r="D33" s="6">
        <v>42927.6</v>
      </c>
      <c r="E33" s="6">
        <v>42240</v>
      </c>
      <c r="F33" s="88">
        <f t="shared" si="6"/>
        <v>6.320320169145964E-2</v>
      </c>
      <c r="G33" s="2">
        <f t="shared" si="1"/>
        <v>0.178865</v>
      </c>
      <c r="H33" s="2">
        <f t="shared" si="2"/>
        <v>0.23848666666666665</v>
      </c>
      <c r="I33" s="43">
        <v>5.84</v>
      </c>
      <c r="J33" s="6">
        <v>6.03</v>
      </c>
      <c r="K33" s="88">
        <f t="shared" si="7"/>
        <v>3.2534246575342533E-2</v>
      </c>
      <c r="L33" s="40">
        <f t="shared" si="4"/>
        <v>0.71190049751243778</v>
      </c>
      <c r="M33" s="25">
        <v>1</v>
      </c>
      <c r="N33" s="25">
        <v>0.95689999999999997</v>
      </c>
      <c r="O33" s="6">
        <v>3256</v>
      </c>
      <c r="P33" s="6">
        <v>0</v>
      </c>
      <c r="Q33" s="44" t="s">
        <v>254</v>
      </c>
    </row>
    <row r="34" spans="1:17">
      <c r="A34" s="349">
        <v>46113</v>
      </c>
      <c r="B34" s="89">
        <f>SUM(B4:B33)</f>
        <v>1441290</v>
      </c>
      <c r="C34" s="89">
        <f>SUM(C4:C33)</f>
        <v>1191870</v>
      </c>
      <c r="D34" s="89">
        <f>SUM(D4:D33)</f>
        <v>1300330.4999999995</v>
      </c>
      <c r="E34" s="89">
        <f>SUM(E4:E33)</f>
        <v>1280640</v>
      </c>
      <c r="F34" s="92">
        <f t="shared" ref="F34:F58" si="8">(IF(ISBLANK(E34),0,E34-C34))/C34</f>
        <v>7.4479599285156933E-2</v>
      </c>
      <c r="G34" s="90">
        <f>AVERAGE(G4:G33)</f>
        <v>0.18060145833333335</v>
      </c>
      <c r="H34" s="90">
        <f>AVERAGE(H4:H33)</f>
        <v>0.24080194444444442</v>
      </c>
      <c r="I34" s="89">
        <f>SUM(I4:I33)</f>
        <v>175.20000000000007</v>
      </c>
      <c r="J34" s="89">
        <f>SUM(J4:J33)</f>
        <v>188.93</v>
      </c>
      <c r="K34" s="92">
        <f t="shared" si="7"/>
        <v>7.8367579908675378E-2</v>
      </c>
      <c r="L34" s="93">
        <f t="shared" si="4"/>
        <v>0.68826046683956998</v>
      </c>
      <c r="M34" s="90">
        <f>AVERAGE(M4:M33)</f>
        <v>1</v>
      </c>
      <c r="N34" s="90">
        <f>AVERAGE(N4:N33)</f>
        <v>0.94625000000000015</v>
      </c>
      <c r="O34" s="89">
        <f>SUM(O4:O33)</f>
        <v>114903</v>
      </c>
      <c r="P34" s="89">
        <f>SUM(P4:P33)</f>
        <v>0</v>
      </c>
      <c r="Q34" s="91"/>
    </row>
    <row r="35" spans="1:17">
      <c r="A35" s="13">
        <v>46143</v>
      </c>
      <c r="B35" s="42">
        <v>45684</v>
      </c>
      <c r="C35" s="36">
        <v>37778</v>
      </c>
      <c r="D35" s="37">
        <v>32756.6</v>
      </c>
      <c r="E35" s="37">
        <v>32560</v>
      </c>
      <c r="F35" s="88">
        <f t="shared" si="8"/>
        <v>-0.13812271692519457</v>
      </c>
      <c r="G35" s="2">
        <f t="shared" ref="G35:G65" si="9">D35/($D$2*24)</f>
        <v>0.13648583333333333</v>
      </c>
      <c r="H35" s="2">
        <f t="shared" ref="H35:H65" si="10">D35/($H$2*24)</f>
        <v>0.18198111111111109</v>
      </c>
      <c r="I35" s="352">
        <v>5.54</v>
      </c>
      <c r="J35" s="37">
        <v>4.78</v>
      </c>
      <c r="K35" s="88">
        <f t="shared" ref="K35:K58" si="11">(IF(ISBLANK(J35),0,J35-I35))/I35</f>
        <v>-0.13718411552346566</v>
      </c>
      <c r="L35" s="40">
        <f t="shared" si="4"/>
        <v>0.68528451882845187</v>
      </c>
      <c r="M35" s="41">
        <v>1</v>
      </c>
      <c r="N35" s="41">
        <v>0.95589999999999997</v>
      </c>
      <c r="O35" s="37">
        <v>3312</v>
      </c>
      <c r="P35" s="37">
        <v>0</v>
      </c>
      <c r="Q35" s="37" t="s">
        <v>254</v>
      </c>
    </row>
    <row r="36" spans="1:17">
      <c r="A36" s="13">
        <f>A35+1</f>
        <v>46144</v>
      </c>
      <c r="B36" s="42">
        <v>45684</v>
      </c>
      <c r="C36" s="36">
        <v>37778</v>
      </c>
      <c r="D36" s="44">
        <v>40432.1</v>
      </c>
      <c r="E36" s="44">
        <v>39840</v>
      </c>
      <c r="F36" s="88">
        <f t="shared" si="8"/>
        <v>5.4582031870400761E-2</v>
      </c>
      <c r="G36" s="2">
        <f t="shared" si="9"/>
        <v>0.16846708333333332</v>
      </c>
      <c r="H36" s="2">
        <f t="shared" si="10"/>
        <v>0.22462277777777778</v>
      </c>
      <c r="I36" s="352">
        <v>5.54</v>
      </c>
      <c r="J36" s="44">
        <v>5.57</v>
      </c>
      <c r="K36" s="88">
        <f t="shared" si="11"/>
        <v>5.4151624548736911E-3</v>
      </c>
      <c r="L36" s="40">
        <f t="shared" ref="L36:L66" si="12">D36/($D$2*J36)</f>
        <v>0.72589048473967677</v>
      </c>
      <c r="M36" s="48">
        <v>1</v>
      </c>
      <c r="N36" s="48">
        <v>0.95379999999999998</v>
      </c>
      <c r="O36" s="44">
        <v>3404</v>
      </c>
      <c r="P36" s="44">
        <v>0</v>
      </c>
      <c r="Q36" s="37" t="s">
        <v>254</v>
      </c>
    </row>
    <row r="37" spans="1:17">
      <c r="A37" s="13">
        <f t="shared" ref="A37:A65" si="13">A36+1</f>
        <v>46145</v>
      </c>
      <c r="B37" s="42">
        <v>45684</v>
      </c>
      <c r="C37" s="36">
        <v>37778</v>
      </c>
      <c r="D37" s="44">
        <v>44215.199999999997</v>
      </c>
      <c r="E37" s="44">
        <v>43600</v>
      </c>
      <c r="F37" s="88">
        <f t="shared" si="8"/>
        <v>0.15411085817142253</v>
      </c>
      <c r="G37" s="2">
        <f t="shared" si="9"/>
        <v>0.18422999999999998</v>
      </c>
      <c r="H37" s="2">
        <f t="shared" si="10"/>
        <v>0.24564</v>
      </c>
      <c r="I37" s="352">
        <v>5.54</v>
      </c>
      <c r="J37" s="44">
        <v>6.29</v>
      </c>
      <c r="K37" s="88">
        <f t="shared" si="11"/>
        <v>0.13537906137184116</v>
      </c>
      <c r="L37" s="40">
        <f t="shared" si="12"/>
        <v>0.70294435612082662</v>
      </c>
      <c r="M37" s="48">
        <v>1</v>
      </c>
      <c r="N37" s="48">
        <v>0.95740000000000003</v>
      </c>
      <c r="O37" s="44">
        <v>3096</v>
      </c>
      <c r="P37" s="44">
        <v>0</v>
      </c>
      <c r="Q37" s="37" t="s">
        <v>254</v>
      </c>
    </row>
    <row r="38" spans="1:17">
      <c r="A38" s="13">
        <f t="shared" si="13"/>
        <v>46146</v>
      </c>
      <c r="B38" s="42">
        <v>45684</v>
      </c>
      <c r="C38" s="36">
        <v>37778</v>
      </c>
      <c r="D38" s="44">
        <v>29734.6</v>
      </c>
      <c r="E38" s="44">
        <v>29440</v>
      </c>
      <c r="F38" s="88">
        <f t="shared" si="8"/>
        <v>-0.22071046640902112</v>
      </c>
      <c r="G38" s="2">
        <f t="shared" si="9"/>
        <v>0.12389416666666667</v>
      </c>
      <c r="H38" s="2">
        <f t="shared" si="10"/>
        <v>0.16519222222222221</v>
      </c>
      <c r="I38" s="43">
        <v>5.54</v>
      </c>
      <c r="J38" s="44">
        <v>4.42</v>
      </c>
      <c r="K38" s="88">
        <f t="shared" si="11"/>
        <v>-0.20216606498194947</v>
      </c>
      <c r="L38" s="40">
        <f t="shared" si="12"/>
        <v>0.67272850678733032</v>
      </c>
      <c r="M38" s="48">
        <v>1</v>
      </c>
      <c r="N38" s="48">
        <v>0.95720000000000005</v>
      </c>
      <c r="O38" s="44">
        <v>3404</v>
      </c>
      <c r="P38" s="44">
        <v>0</v>
      </c>
      <c r="Q38" s="44" t="s">
        <v>256</v>
      </c>
    </row>
    <row r="39" spans="1:17">
      <c r="A39" s="13">
        <f t="shared" si="13"/>
        <v>46147</v>
      </c>
      <c r="B39" s="42">
        <v>45684</v>
      </c>
      <c r="C39" s="36">
        <v>37778</v>
      </c>
      <c r="D39" s="44">
        <v>29882.6</v>
      </c>
      <c r="E39" s="44">
        <v>29600</v>
      </c>
      <c r="F39" s="88">
        <f t="shared" si="8"/>
        <v>-0.21647519720472233</v>
      </c>
      <c r="G39" s="2">
        <f t="shared" si="9"/>
        <v>0.12451083333333332</v>
      </c>
      <c r="H39" s="2">
        <f t="shared" si="10"/>
        <v>0.16601444444444444</v>
      </c>
      <c r="I39" s="43">
        <v>5.54</v>
      </c>
      <c r="J39" s="44">
        <v>4.26</v>
      </c>
      <c r="K39" s="88">
        <f t="shared" si="11"/>
        <v>-0.23104693140794227</v>
      </c>
      <c r="L39" s="40">
        <f t="shared" si="12"/>
        <v>0.70146948356807504</v>
      </c>
      <c r="M39" s="48">
        <v>1</v>
      </c>
      <c r="N39" s="48">
        <v>0.91769999999999996</v>
      </c>
      <c r="O39" s="44">
        <v>2881</v>
      </c>
      <c r="P39" s="44">
        <v>0</v>
      </c>
      <c r="Q39" s="44" t="s">
        <v>257</v>
      </c>
    </row>
    <row r="40" spans="1:17">
      <c r="A40" s="13">
        <f t="shared" si="13"/>
        <v>46148</v>
      </c>
      <c r="B40" s="42">
        <v>45684</v>
      </c>
      <c r="C40" s="36">
        <v>37778</v>
      </c>
      <c r="D40" s="44">
        <v>45720.1</v>
      </c>
      <c r="E40" s="44">
        <v>44920</v>
      </c>
      <c r="F40" s="88">
        <f t="shared" si="8"/>
        <v>0.18905182910688761</v>
      </c>
      <c r="G40" s="2">
        <f t="shared" si="9"/>
        <v>0.19050041666666667</v>
      </c>
      <c r="H40" s="2">
        <f t="shared" si="10"/>
        <v>0.25400055555555556</v>
      </c>
      <c r="I40" s="43">
        <v>5.54</v>
      </c>
      <c r="J40" s="44">
        <v>6.37</v>
      </c>
      <c r="K40" s="88">
        <f t="shared" si="11"/>
        <v>0.14981949458483756</v>
      </c>
      <c r="L40" s="40">
        <f t="shared" si="12"/>
        <v>0.71774097331240183</v>
      </c>
      <c r="M40" s="48">
        <v>1</v>
      </c>
      <c r="N40" s="48">
        <v>0.93710000000000004</v>
      </c>
      <c r="O40" s="44">
        <v>3630</v>
      </c>
      <c r="P40" s="44">
        <v>0</v>
      </c>
      <c r="Q40" s="44" t="s">
        <v>258</v>
      </c>
    </row>
    <row r="41" spans="1:17">
      <c r="A41" s="13">
        <f t="shared" si="13"/>
        <v>46149</v>
      </c>
      <c r="B41" s="42"/>
      <c r="C41" s="43"/>
      <c r="D41" s="44"/>
      <c r="E41" s="44"/>
      <c r="F41" s="88" t="e">
        <f t="shared" si="8"/>
        <v>#DIV/0!</v>
      </c>
      <c r="G41" s="2">
        <f t="shared" si="9"/>
        <v>0</v>
      </c>
      <c r="H41" s="2">
        <f t="shared" si="10"/>
        <v>0</v>
      </c>
      <c r="I41" s="43"/>
      <c r="J41" s="44"/>
      <c r="K41" s="88" t="e">
        <f t="shared" si="11"/>
        <v>#DIV/0!</v>
      </c>
      <c r="L41" s="40" t="e">
        <f t="shared" si="12"/>
        <v>#DIV/0!</v>
      </c>
      <c r="M41" s="48"/>
      <c r="N41" s="48"/>
      <c r="O41" s="44"/>
      <c r="P41" s="44"/>
      <c r="Q41" s="44"/>
    </row>
    <row r="42" spans="1:17">
      <c r="A42" s="13">
        <f t="shared" si="13"/>
        <v>46150</v>
      </c>
      <c r="B42" s="42"/>
      <c r="C42" s="43"/>
      <c r="D42" s="44"/>
      <c r="E42" s="44"/>
      <c r="F42" s="88" t="e">
        <f t="shared" si="8"/>
        <v>#DIV/0!</v>
      </c>
      <c r="G42" s="2">
        <f t="shared" si="9"/>
        <v>0</v>
      </c>
      <c r="H42" s="2">
        <f t="shared" si="10"/>
        <v>0</v>
      </c>
      <c r="I42" s="43"/>
      <c r="J42" s="44"/>
      <c r="K42" s="88" t="e">
        <f t="shared" si="11"/>
        <v>#DIV/0!</v>
      </c>
      <c r="L42" s="40" t="e">
        <f t="shared" si="12"/>
        <v>#DIV/0!</v>
      </c>
      <c r="M42" s="48"/>
      <c r="N42" s="48"/>
      <c r="O42" s="44"/>
      <c r="P42" s="44"/>
      <c r="Q42" s="44"/>
    </row>
    <row r="43" spans="1:17">
      <c r="A43" s="13">
        <f t="shared" si="13"/>
        <v>46151</v>
      </c>
      <c r="B43" s="42"/>
      <c r="C43" s="43"/>
      <c r="D43" s="44"/>
      <c r="E43" s="44"/>
      <c r="F43" s="88" t="e">
        <f t="shared" si="8"/>
        <v>#DIV/0!</v>
      </c>
      <c r="G43" s="2">
        <f t="shared" si="9"/>
        <v>0</v>
      </c>
      <c r="H43" s="2">
        <f t="shared" si="10"/>
        <v>0</v>
      </c>
      <c r="I43" s="43"/>
      <c r="J43" s="44"/>
      <c r="K43" s="88" t="e">
        <f t="shared" si="11"/>
        <v>#DIV/0!</v>
      </c>
      <c r="L43" s="40" t="e">
        <f t="shared" si="12"/>
        <v>#DIV/0!</v>
      </c>
      <c r="M43" s="48"/>
      <c r="N43" s="48"/>
      <c r="O43" s="44"/>
      <c r="P43" s="44"/>
      <c r="Q43" s="44"/>
    </row>
    <row r="44" spans="1:17">
      <c r="A44" s="13">
        <f t="shared" si="13"/>
        <v>46152</v>
      </c>
      <c r="B44" s="42"/>
      <c r="C44" s="43"/>
      <c r="D44" s="44"/>
      <c r="E44" s="44"/>
      <c r="F44" s="88" t="e">
        <f t="shared" si="8"/>
        <v>#DIV/0!</v>
      </c>
      <c r="G44" s="2">
        <f t="shared" si="9"/>
        <v>0</v>
      </c>
      <c r="H44" s="2">
        <f t="shared" si="10"/>
        <v>0</v>
      </c>
      <c r="I44" s="43"/>
      <c r="J44" s="44"/>
      <c r="K44" s="88" t="e">
        <f t="shared" si="11"/>
        <v>#DIV/0!</v>
      </c>
      <c r="L44" s="40" t="e">
        <f t="shared" si="12"/>
        <v>#DIV/0!</v>
      </c>
      <c r="M44" s="48"/>
      <c r="N44" s="48"/>
      <c r="O44" s="44"/>
      <c r="P44" s="44"/>
      <c r="Q44" s="44"/>
    </row>
    <row r="45" spans="1:17">
      <c r="A45" s="13">
        <f t="shared" si="13"/>
        <v>46153</v>
      </c>
      <c r="B45" s="42"/>
      <c r="C45" s="43"/>
      <c r="D45" s="44"/>
      <c r="E45" s="44"/>
      <c r="F45" s="88" t="e">
        <f t="shared" si="8"/>
        <v>#DIV/0!</v>
      </c>
      <c r="G45" s="2">
        <f t="shared" si="9"/>
        <v>0</v>
      </c>
      <c r="H45" s="2">
        <f t="shared" si="10"/>
        <v>0</v>
      </c>
      <c r="I45" s="43"/>
      <c r="J45" s="44"/>
      <c r="K45" s="88" t="e">
        <f t="shared" si="11"/>
        <v>#DIV/0!</v>
      </c>
      <c r="L45" s="40" t="e">
        <f t="shared" si="12"/>
        <v>#DIV/0!</v>
      </c>
      <c r="M45" s="48"/>
      <c r="N45" s="48"/>
      <c r="O45" s="44"/>
      <c r="P45" s="44"/>
      <c r="Q45" s="44"/>
    </row>
    <row r="46" spans="1:17">
      <c r="A46" s="13">
        <f t="shared" si="13"/>
        <v>46154</v>
      </c>
      <c r="B46" s="42"/>
      <c r="C46" s="43"/>
      <c r="D46" s="44"/>
      <c r="E46" s="44"/>
      <c r="F46" s="88" t="e">
        <f t="shared" si="8"/>
        <v>#DIV/0!</v>
      </c>
      <c r="G46" s="2">
        <f t="shared" si="9"/>
        <v>0</v>
      </c>
      <c r="H46" s="2">
        <f t="shared" si="10"/>
        <v>0</v>
      </c>
      <c r="I46" s="43"/>
      <c r="J46" s="44"/>
      <c r="K46" s="88" t="e">
        <f t="shared" si="11"/>
        <v>#DIV/0!</v>
      </c>
      <c r="L46" s="40" t="e">
        <f t="shared" si="12"/>
        <v>#DIV/0!</v>
      </c>
      <c r="M46" s="48"/>
      <c r="N46" s="48"/>
      <c r="O46" s="44"/>
      <c r="P46" s="44"/>
      <c r="Q46" s="44"/>
    </row>
    <row r="47" spans="1:17">
      <c r="A47" s="13">
        <f t="shared" si="13"/>
        <v>46155</v>
      </c>
      <c r="B47" s="42"/>
      <c r="C47" s="43"/>
      <c r="D47" s="44"/>
      <c r="E47" s="44"/>
      <c r="F47" s="88" t="e">
        <f t="shared" si="8"/>
        <v>#DIV/0!</v>
      </c>
      <c r="G47" s="2">
        <f t="shared" si="9"/>
        <v>0</v>
      </c>
      <c r="H47" s="2">
        <f t="shared" si="10"/>
        <v>0</v>
      </c>
      <c r="I47" s="43"/>
      <c r="J47" s="44"/>
      <c r="K47" s="88" t="e">
        <f t="shared" si="11"/>
        <v>#DIV/0!</v>
      </c>
      <c r="L47" s="40" t="e">
        <f t="shared" si="12"/>
        <v>#DIV/0!</v>
      </c>
      <c r="M47" s="48"/>
      <c r="N47" s="48"/>
      <c r="O47" s="44"/>
      <c r="P47" s="44"/>
      <c r="Q47" s="44"/>
    </row>
    <row r="48" spans="1:17">
      <c r="A48" s="13">
        <f t="shared" si="13"/>
        <v>46156</v>
      </c>
      <c r="B48" s="42"/>
      <c r="C48" s="43"/>
      <c r="D48" s="44"/>
      <c r="E48" s="44"/>
      <c r="F48" s="88" t="e">
        <f t="shared" si="8"/>
        <v>#DIV/0!</v>
      </c>
      <c r="G48" s="2">
        <f t="shared" si="9"/>
        <v>0</v>
      </c>
      <c r="H48" s="2">
        <f t="shared" si="10"/>
        <v>0</v>
      </c>
      <c r="I48" s="43"/>
      <c r="J48" s="44"/>
      <c r="K48" s="88" t="e">
        <f t="shared" si="11"/>
        <v>#DIV/0!</v>
      </c>
      <c r="L48" s="40" t="e">
        <f t="shared" si="12"/>
        <v>#DIV/0!</v>
      </c>
      <c r="M48" s="48"/>
      <c r="N48" s="48"/>
      <c r="O48" s="44"/>
      <c r="P48" s="44"/>
      <c r="Q48" s="44"/>
    </row>
    <row r="49" spans="1:17">
      <c r="A49" s="13">
        <f t="shared" si="13"/>
        <v>46157</v>
      </c>
      <c r="B49" s="42"/>
      <c r="C49" s="43"/>
      <c r="D49" s="44"/>
      <c r="E49" s="44"/>
      <c r="F49" s="88" t="e">
        <f t="shared" si="8"/>
        <v>#DIV/0!</v>
      </c>
      <c r="G49" s="2">
        <f t="shared" si="9"/>
        <v>0</v>
      </c>
      <c r="H49" s="2">
        <f t="shared" si="10"/>
        <v>0</v>
      </c>
      <c r="I49" s="43"/>
      <c r="J49" s="44"/>
      <c r="K49" s="88" t="e">
        <f t="shared" si="11"/>
        <v>#DIV/0!</v>
      </c>
      <c r="L49" s="40" t="e">
        <f t="shared" si="12"/>
        <v>#DIV/0!</v>
      </c>
      <c r="M49" s="48"/>
      <c r="N49" s="48"/>
      <c r="O49" s="44"/>
      <c r="P49" s="44"/>
      <c r="Q49" s="44"/>
    </row>
    <row r="50" spans="1:17">
      <c r="A50" s="13">
        <f t="shared" si="13"/>
        <v>46158</v>
      </c>
      <c r="B50" s="42"/>
      <c r="C50" s="43"/>
      <c r="D50" s="44"/>
      <c r="E50" s="44"/>
      <c r="F50" s="88" t="e">
        <f t="shared" si="8"/>
        <v>#DIV/0!</v>
      </c>
      <c r="G50" s="2">
        <f t="shared" si="9"/>
        <v>0</v>
      </c>
      <c r="H50" s="2">
        <f t="shared" si="10"/>
        <v>0</v>
      </c>
      <c r="I50" s="43"/>
      <c r="J50" s="44"/>
      <c r="K50" s="88" t="e">
        <f t="shared" si="11"/>
        <v>#DIV/0!</v>
      </c>
      <c r="L50" s="40" t="e">
        <f t="shared" si="12"/>
        <v>#DIV/0!</v>
      </c>
      <c r="M50" s="48"/>
      <c r="N50" s="48"/>
      <c r="O50" s="44"/>
      <c r="P50" s="44"/>
      <c r="Q50" s="44"/>
    </row>
    <row r="51" spans="1:17">
      <c r="A51" s="13">
        <f t="shared" si="13"/>
        <v>46159</v>
      </c>
      <c r="B51" s="42"/>
      <c r="C51" s="43"/>
      <c r="D51" s="44"/>
      <c r="E51" s="44"/>
      <c r="F51" s="88" t="e">
        <f t="shared" si="8"/>
        <v>#DIV/0!</v>
      </c>
      <c r="G51" s="2">
        <f t="shared" si="9"/>
        <v>0</v>
      </c>
      <c r="H51" s="2">
        <f t="shared" si="10"/>
        <v>0</v>
      </c>
      <c r="I51" s="43"/>
      <c r="J51" s="44"/>
      <c r="K51" s="88" t="e">
        <f t="shared" si="11"/>
        <v>#DIV/0!</v>
      </c>
      <c r="L51" s="40" t="e">
        <f t="shared" si="12"/>
        <v>#DIV/0!</v>
      </c>
      <c r="M51" s="48"/>
      <c r="N51" s="48"/>
      <c r="O51" s="44"/>
      <c r="P51" s="44"/>
      <c r="Q51" s="44"/>
    </row>
    <row r="52" spans="1:17">
      <c r="A52" s="13">
        <f t="shared" si="13"/>
        <v>46160</v>
      </c>
      <c r="B52" s="42"/>
      <c r="C52" s="43"/>
      <c r="D52" s="44"/>
      <c r="E52" s="44"/>
      <c r="F52" s="88" t="e">
        <f t="shared" si="8"/>
        <v>#DIV/0!</v>
      </c>
      <c r="G52" s="2">
        <f t="shared" si="9"/>
        <v>0</v>
      </c>
      <c r="H52" s="2">
        <f t="shared" si="10"/>
        <v>0</v>
      </c>
      <c r="I52" s="43"/>
      <c r="J52" s="44"/>
      <c r="K52" s="88" t="e">
        <f t="shared" si="11"/>
        <v>#DIV/0!</v>
      </c>
      <c r="L52" s="40" t="e">
        <f t="shared" si="12"/>
        <v>#DIV/0!</v>
      </c>
      <c r="M52" s="48"/>
      <c r="N52" s="48"/>
      <c r="O52" s="44"/>
      <c r="P52" s="44"/>
      <c r="Q52" s="44"/>
    </row>
    <row r="53" spans="1:17">
      <c r="A53" s="13">
        <f t="shared" si="13"/>
        <v>46161</v>
      </c>
      <c r="B53" s="42"/>
      <c r="C53" s="43"/>
      <c r="D53" s="44"/>
      <c r="E53" s="44"/>
      <c r="F53" s="88" t="e">
        <f t="shared" si="8"/>
        <v>#DIV/0!</v>
      </c>
      <c r="G53" s="2">
        <f t="shared" si="9"/>
        <v>0</v>
      </c>
      <c r="H53" s="2">
        <f t="shared" si="10"/>
        <v>0</v>
      </c>
      <c r="I53" s="43"/>
      <c r="J53" s="44"/>
      <c r="K53" s="88" t="e">
        <f t="shared" si="11"/>
        <v>#DIV/0!</v>
      </c>
      <c r="L53" s="40" t="e">
        <f t="shared" si="12"/>
        <v>#DIV/0!</v>
      </c>
      <c r="M53" s="48"/>
      <c r="N53" s="48"/>
      <c r="O53" s="44"/>
      <c r="P53" s="44"/>
      <c r="Q53" s="44"/>
    </row>
    <row r="54" spans="1:17">
      <c r="A54" s="13">
        <f t="shared" si="13"/>
        <v>46162</v>
      </c>
      <c r="B54" s="42"/>
      <c r="C54" s="43"/>
      <c r="D54" s="44"/>
      <c r="E54" s="44"/>
      <c r="F54" s="88" t="e">
        <f t="shared" si="8"/>
        <v>#DIV/0!</v>
      </c>
      <c r="G54" s="2">
        <f t="shared" si="9"/>
        <v>0</v>
      </c>
      <c r="H54" s="2">
        <f t="shared" si="10"/>
        <v>0</v>
      </c>
      <c r="I54" s="43"/>
      <c r="J54" s="44"/>
      <c r="K54" s="88" t="e">
        <f t="shared" si="11"/>
        <v>#DIV/0!</v>
      </c>
      <c r="L54" s="40" t="e">
        <f t="shared" si="12"/>
        <v>#DIV/0!</v>
      </c>
      <c r="M54" s="48"/>
      <c r="N54" s="48"/>
      <c r="O54" s="44"/>
      <c r="P54" s="44"/>
      <c r="Q54" s="44"/>
    </row>
    <row r="55" spans="1:17">
      <c r="A55" s="13">
        <f t="shared" si="13"/>
        <v>46163</v>
      </c>
      <c r="B55" s="42"/>
      <c r="C55" s="43"/>
      <c r="D55" s="44"/>
      <c r="E55" s="44"/>
      <c r="F55" s="88" t="e">
        <f t="shared" si="8"/>
        <v>#DIV/0!</v>
      </c>
      <c r="G55" s="2">
        <f t="shared" si="9"/>
        <v>0</v>
      </c>
      <c r="H55" s="2">
        <f t="shared" si="10"/>
        <v>0</v>
      </c>
      <c r="I55" s="43"/>
      <c r="J55" s="44"/>
      <c r="K55" s="88" t="e">
        <f t="shared" si="11"/>
        <v>#DIV/0!</v>
      </c>
      <c r="L55" s="40" t="e">
        <f t="shared" si="12"/>
        <v>#DIV/0!</v>
      </c>
      <c r="M55" s="48"/>
      <c r="N55" s="48"/>
      <c r="O55" s="44"/>
      <c r="P55" s="44"/>
      <c r="Q55" s="44"/>
    </row>
    <row r="56" spans="1:17">
      <c r="A56" s="13">
        <f t="shared" si="13"/>
        <v>46164</v>
      </c>
      <c r="B56" s="42"/>
      <c r="C56" s="43"/>
      <c r="D56" s="44"/>
      <c r="E56" s="44"/>
      <c r="F56" s="88" t="e">
        <f t="shared" si="8"/>
        <v>#DIV/0!</v>
      </c>
      <c r="G56" s="2">
        <f t="shared" si="9"/>
        <v>0</v>
      </c>
      <c r="H56" s="2">
        <f t="shared" si="10"/>
        <v>0</v>
      </c>
      <c r="I56" s="43"/>
      <c r="J56" s="44"/>
      <c r="K56" s="88" t="e">
        <f t="shared" si="11"/>
        <v>#DIV/0!</v>
      </c>
      <c r="L56" s="40" t="e">
        <f t="shared" si="12"/>
        <v>#DIV/0!</v>
      </c>
      <c r="M56" s="48"/>
      <c r="N56" s="48"/>
      <c r="O56" s="44"/>
      <c r="P56" s="44"/>
      <c r="Q56" s="44"/>
    </row>
    <row r="57" spans="1:17">
      <c r="A57" s="13">
        <f t="shared" si="13"/>
        <v>46165</v>
      </c>
      <c r="B57" s="42"/>
      <c r="C57" s="43"/>
      <c r="D57" s="44"/>
      <c r="E57" s="44"/>
      <c r="F57" s="88" t="e">
        <f t="shared" si="8"/>
        <v>#DIV/0!</v>
      </c>
      <c r="G57" s="2">
        <f t="shared" si="9"/>
        <v>0</v>
      </c>
      <c r="H57" s="2">
        <f t="shared" si="10"/>
        <v>0</v>
      </c>
      <c r="I57" s="43"/>
      <c r="J57" s="44"/>
      <c r="K57" s="88" t="e">
        <f t="shared" si="11"/>
        <v>#DIV/0!</v>
      </c>
      <c r="L57" s="40" t="e">
        <f t="shared" si="12"/>
        <v>#DIV/0!</v>
      </c>
      <c r="M57" s="48"/>
      <c r="N57" s="48"/>
      <c r="O57" s="44"/>
      <c r="P57" s="44"/>
      <c r="Q57" s="44"/>
    </row>
    <row r="58" spans="1:17">
      <c r="A58" s="13">
        <f t="shared" si="13"/>
        <v>46166</v>
      </c>
      <c r="B58" s="42"/>
      <c r="C58" s="43"/>
      <c r="D58" s="44"/>
      <c r="E58" s="44"/>
      <c r="F58" s="88" t="e">
        <f t="shared" si="8"/>
        <v>#DIV/0!</v>
      </c>
      <c r="G58" s="2">
        <f t="shared" si="9"/>
        <v>0</v>
      </c>
      <c r="H58" s="2">
        <f t="shared" si="10"/>
        <v>0</v>
      </c>
      <c r="I58" s="43"/>
      <c r="J58" s="44"/>
      <c r="K58" s="88" t="e">
        <f t="shared" si="11"/>
        <v>#DIV/0!</v>
      </c>
      <c r="L58" s="40" t="e">
        <f t="shared" si="12"/>
        <v>#DIV/0!</v>
      </c>
      <c r="M58" s="48"/>
      <c r="N58" s="48"/>
      <c r="O58" s="44"/>
      <c r="P58" s="44"/>
      <c r="Q58" s="44"/>
    </row>
    <row r="59" spans="1:17">
      <c r="A59" s="13">
        <f t="shared" si="13"/>
        <v>46167</v>
      </c>
      <c r="B59" s="42"/>
      <c r="C59" s="43"/>
      <c r="D59" s="6"/>
      <c r="E59" s="6"/>
      <c r="F59" s="88" t="e">
        <f t="shared" ref="F59:F64" si="14">(IF(ISBLANK(E59),0,E59-C59))/C59</f>
        <v>#DIV/0!</v>
      </c>
      <c r="G59" s="2">
        <f t="shared" si="9"/>
        <v>0</v>
      </c>
      <c r="H59" s="2">
        <f t="shared" si="10"/>
        <v>0</v>
      </c>
      <c r="I59" s="43"/>
      <c r="J59" s="6"/>
      <c r="K59" s="88" t="e">
        <f t="shared" ref="K59:K64" si="15">(IF(ISBLANK(J59),0,J59-I59))/I59</f>
        <v>#DIV/0!</v>
      </c>
      <c r="L59" s="40" t="e">
        <f t="shared" si="12"/>
        <v>#DIV/0!</v>
      </c>
      <c r="M59" s="25"/>
      <c r="N59" s="25"/>
      <c r="O59" s="6"/>
      <c r="P59" s="44"/>
      <c r="Q59" s="44"/>
    </row>
    <row r="60" spans="1:17">
      <c r="A60" s="13">
        <f t="shared" si="13"/>
        <v>46168</v>
      </c>
      <c r="B60" s="42"/>
      <c r="C60" s="43"/>
      <c r="D60" s="6"/>
      <c r="E60" s="6"/>
      <c r="F60" s="88" t="e">
        <f t="shared" si="14"/>
        <v>#DIV/0!</v>
      </c>
      <c r="G60" s="2">
        <f t="shared" si="9"/>
        <v>0</v>
      </c>
      <c r="H60" s="2">
        <f t="shared" si="10"/>
        <v>0</v>
      </c>
      <c r="I60" s="43"/>
      <c r="J60" s="6"/>
      <c r="K60" s="88" t="e">
        <f t="shared" si="15"/>
        <v>#DIV/0!</v>
      </c>
      <c r="L60" s="40" t="e">
        <f t="shared" si="12"/>
        <v>#DIV/0!</v>
      </c>
      <c r="M60" s="25"/>
      <c r="N60" s="25"/>
      <c r="O60" s="6"/>
      <c r="P60" s="44"/>
      <c r="Q60" s="44"/>
    </row>
    <row r="61" spans="1:17">
      <c r="A61" s="13">
        <f t="shared" si="13"/>
        <v>46169</v>
      </c>
      <c r="B61" s="42"/>
      <c r="C61" s="43"/>
      <c r="D61" s="6"/>
      <c r="E61" s="6"/>
      <c r="F61" s="88" t="e">
        <f t="shared" si="14"/>
        <v>#DIV/0!</v>
      </c>
      <c r="G61" s="2">
        <f t="shared" si="9"/>
        <v>0</v>
      </c>
      <c r="H61" s="2">
        <f t="shared" si="10"/>
        <v>0</v>
      </c>
      <c r="I61" s="43"/>
      <c r="J61" s="6"/>
      <c r="K61" s="88" t="e">
        <f t="shared" si="15"/>
        <v>#DIV/0!</v>
      </c>
      <c r="L61" s="40" t="e">
        <f t="shared" si="12"/>
        <v>#DIV/0!</v>
      </c>
      <c r="M61" s="25"/>
      <c r="N61" s="25"/>
      <c r="O61" s="6"/>
      <c r="P61" s="44"/>
      <c r="Q61" s="44"/>
    </row>
    <row r="62" spans="1:17">
      <c r="A62" s="13">
        <f t="shared" si="13"/>
        <v>46170</v>
      </c>
      <c r="B62" s="42"/>
      <c r="C62" s="43"/>
      <c r="D62" s="6"/>
      <c r="E62" s="6"/>
      <c r="F62" s="88" t="e">
        <f t="shared" si="14"/>
        <v>#DIV/0!</v>
      </c>
      <c r="G62" s="2">
        <f t="shared" si="9"/>
        <v>0</v>
      </c>
      <c r="H62" s="2">
        <f t="shared" si="10"/>
        <v>0</v>
      </c>
      <c r="I62" s="43"/>
      <c r="J62" s="6"/>
      <c r="K62" s="88" t="e">
        <f t="shared" si="15"/>
        <v>#DIV/0!</v>
      </c>
      <c r="L62" s="40" t="e">
        <f t="shared" si="12"/>
        <v>#DIV/0!</v>
      </c>
      <c r="M62" s="25"/>
      <c r="N62" s="25"/>
      <c r="O62" s="6"/>
      <c r="P62" s="44"/>
      <c r="Q62" s="44"/>
    </row>
    <row r="63" spans="1:17">
      <c r="A63" s="13">
        <f t="shared" si="13"/>
        <v>46171</v>
      </c>
      <c r="B63" s="42"/>
      <c r="C63" s="43"/>
      <c r="D63" s="6"/>
      <c r="E63" s="6"/>
      <c r="F63" s="88" t="e">
        <f t="shared" si="14"/>
        <v>#DIV/0!</v>
      </c>
      <c r="G63" s="2">
        <f t="shared" si="9"/>
        <v>0</v>
      </c>
      <c r="H63" s="2">
        <f t="shared" si="10"/>
        <v>0</v>
      </c>
      <c r="I63" s="43"/>
      <c r="J63" s="6"/>
      <c r="K63" s="88" t="e">
        <f t="shared" si="15"/>
        <v>#DIV/0!</v>
      </c>
      <c r="L63" s="40" t="e">
        <f t="shared" si="12"/>
        <v>#DIV/0!</v>
      </c>
      <c r="M63" s="25"/>
      <c r="N63" s="25"/>
      <c r="O63" s="6"/>
      <c r="P63" s="6"/>
      <c r="Q63" s="44"/>
    </row>
    <row r="64" spans="1:17">
      <c r="A64" s="13">
        <f t="shared" si="13"/>
        <v>46172</v>
      </c>
      <c r="B64" s="42"/>
      <c r="C64" s="43"/>
      <c r="D64" s="6"/>
      <c r="E64" s="6"/>
      <c r="F64" s="88" t="e">
        <f t="shared" si="14"/>
        <v>#DIV/0!</v>
      </c>
      <c r="G64" s="2">
        <f t="shared" si="9"/>
        <v>0</v>
      </c>
      <c r="H64" s="2">
        <f t="shared" si="10"/>
        <v>0</v>
      </c>
      <c r="I64" s="43"/>
      <c r="J64" s="6"/>
      <c r="K64" s="88" t="e">
        <f t="shared" si="15"/>
        <v>#DIV/0!</v>
      </c>
      <c r="L64" s="40" t="e">
        <f t="shared" si="12"/>
        <v>#DIV/0!</v>
      </c>
      <c r="M64" s="25"/>
      <c r="N64" s="25"/>
      <c r="O64" s="6"/>
      <c r="P64" s="6"/>
      <c r="Q64" s="44"/>
    </row>
    <row r="65" spans="1:17">
      <c r="A65" s="13">
        <f t="shared" si="13"/>
        <v>46173</v>
      </c>
      <c r="B65" s="42"/>
      <c r="C65" s="43"/>
      <c r="D65" s="6"/>
      <c r="E65" s="6"/>
      <c r="F65" s="88" t="e">
        <f t="shared" ref="F65" si="16">(IF(ISBLANK(E65),0,E65-C65))/C65</f>
        <v>#DIV/0!</v>
      </c>
      <c r="G65" s="2">
        <f t="shared" si="9"/>
        <v>0</v>
      </c>
      <c r="H65" s="2">
        <f t="shared" si="10"/>
        <v>0</v>
      </c>
      <c r="I65" s="43"/>
      <c r="J65" s="6"/>
      <c r="K65" s="88" t="e">
        <f t="shared" ref="K65:K66" si="17">(IF(ISBLANK(J65),0,J65-I65))/I65</f>
        <v>#DIV/0!</v>
      </c>
      <c r="L65" s="40" t="e">
        <f t="shared" si="12"/>
        <v>#DIV/0!</v>
      </c>
      <c r="M65" s="25"/>
      <c r="N65" s="25"/>
      <c r="O65" s="6"/>
      <c r="P65" s="6"/>
      <c r="Q65" s="44"/>
    </row>
    <row r="66" spans="1:17">
      <c r="A66" s="349">
        <v>46143</v>
      </c>
      <c r="B66" s="89">
        <f>SUM(B35:B65)</f>
        <v>274104</v>
      </c>
      <c r="C66" s="89">
        <f>SUM(C35:C65)</f>
        <v>226668</v>
      </c>
      <c r="D66" s="89">
        <f>SUM(D35:D65)</f>
        <v>222741.2</v>
      </c>
      <c r="E66" s="89">
        <f>SUM(E35:E65)</f>
        <v>219960</v>
      </c>
      <c r="F66" s="92">
        <f>(IF(ISBLANK(E66),0,E66-C66))/C66</f>
        <v>-2.9593943565037854E-2</v>
      </c>
      <c r="G66" s="90">
        <f>AVERAGE(G35:G65)</f>
        <v>2.9938333333333334E-2</v>
      </c>
      <c r="H66" s="90">
        <f>AVERAGE(H35:H65)</f>
        <v>3.9917777777777774E-2</v>
      </c>
      <c r="I66" s="89">
        <f>SUM(I35:I65)</f>
        <v>33.24</v>
      </c>
      <c r="J66" s="89">
        <f>SUM(J35:J65)</f>
        <v>31.69</v>
      </c>
      <c r="K66" s="92">
        <f t="shared" si="17"/>
        <v>-4.6630565583634195E-2</v>
      </c>
      <c r="L66" s="93">
        <f t="shared" si="12"/>
        <v>0.70287535500157783</v>
      </c>
      <c r="M66" s="90">
        <f>AVERAGE(M35:M65)</f>
        <v>1</v>
      </c>
      <c r="N66" s="90">
        <f>AVERAGE(N35:N65)</f>
        <v>0.94651666666666667</v>
      </c>
      <c r="O66" s="89">
        <f>SUM(O35:O65)</f>
        <v>19727</v>
      </c>
      <c r="P66" s="89">
        <f>SUM(P35:P65)</f>
        <v>0</v>
      </c>
      <c r="Q66" s="91"/>
    </row>
  </sheetData>
  <mergeCells count="4">
    <mergeCell ref="A1:Q1"/>
    <mergeCell ref="B2:C2"/>
    <mergeCell ref="E2:G2"/>
    <mergeCell ref="I2:J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C99AB-D445-4987-B6ED-8C24B0791005}">
  <dimension ref="A1:Q66"/>
  <sheetViews>
    <sheetView workbookViewId="0">
      <pane xSplit="2" ySplit="3" topLeftCell="I32" activePane="bottomRight" state="frozen"/>
      <selection pane="topRight"/>
      <selection pane="bottomLeft"/>
      <selection pane="bottomRight" activeCell="Q40" sqref="Q40"/>
    </sheetView>
  </sheetViews>
  <sheetFormatPr defaultRowHeight="14.5"/>
  <cols>
    <col min="1" max="1" width="10.81640625" bestFit="1" customWidth="1"/>
    <col min="2" max="2" width="9.7265625" bestFit="1" customWidth="1"/>
    <col min="3" max="3" width="10.1796875" bestFit="1" customWidth="1"/>
    <col min="4" max="4" width="10.26953125" bestFit="1" customWidth="1"/>
    <col min="5" max="5" width="9.7265625" bestFit="1" customWidth="1"/>
    <col min="6" max="6" width="11.1796875" bestFit="1" customWidth="1"/>
    <col min="7" max="8" width="7.1796875" bestFit="1" customWidth="1"/>
    <col min="9" max="10" width="9.7265625" bestFit="1" customWidth="1"/>
    <col min="11" max="11" width="9"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259</v>
      </c>
      <c r="B1" s="406"/>
      <c r="C1" s="406"/>
      <c r="D1" s="406"/>
      <c r="E1" s="406"/>
      <c r="F1" s="406"/>
      <c r="G1" s="406"/>
      <c r="H1" s="406"/>
      <c r="I1" s="406"/>
      <c r="J1" s="406"/>
      <c r="K1" s="406"/>
      <c r="L1" s="406"/>
      <c r="M1" s="406"/>
      <c r="N1" s="406"/>
      <c r="O1" s="406"/>
      <c r="P1" s="406"/>
      <c r="Q1" s="406"/>
    </row>
    <row r="2" spans="1:17" ht="18.5">
      <c r="A2" s="7">
        <v>46113</v>
      </c>
      <c r="B2" s="407" t="s">
        <v>172</v>
      </c>
      <c r="C2" s="408"/>
      <c r="D2" s="8">
        <v>10000</v>
      </c>
      <c r="E2" s="407" t="s">
        <v>173</v>
      </c>
      <c r="F2" s="407"/>
      <c r="G2" s="408"/>
      <c r="H2" s="8">
        <v>7500</v>
      </c>
      <c r="I2" s="409" t="s">
        <v>174</v>
      </c>
      <c r="J2" s="410"/>
      <c r="K2" s="9" t="s">
        <v>260</v>
      </c>
      <c r="L2" s="10" t="s">
        <v>175</v>
      </c>
      <c r="M2" s="10" t="s">
        <v>175</v>
      </c>
      <c r="N2" s="10" t="s">
        <v>175</v>
      </c>
      <c r="O2" s="10" t="s">
        <v>175</v>
      </c>
      <c r="P2" s="10" t="s">
        <v>175</v>
      </c>
      <c r="Q2" s="11" t="s">
        <v>175</v>
      </c>
    </row>
    <row r="3" spans="1:17" ht="52">
      <c r="A3" s="12" t="s">
        <v>2</v>
      </c>
      <c r="B3" s="12" t="s">
        <v>3</v>
      </c>
      <c r="C3" s="12" t="s">
        <v>4</v>
      </c>
      <c r="D3" s="12" t="s">
        <v>5</v>
      </c>
      <c r="E3" s="12" t="s">
        <v>6</v>
      </c>
      <c r="F3" s="195" t="s">
        <v>154</v>
      </c>
      <c r="G3" s="12" t="s">
        <v>8</v>
      </c>
      <c r="H3" s="12" t="s">
        <v>9</v>
      </c>
      <c r="I3" s="12" t="s">
        <v>10</v>
      </c>
      <c r="J3" s="12" t="s">
        <v>11</v>
      </c>
      <c r="K3" s="195" t="s">
        <v>155</v>
      </c>
      <c r="L3" s="12" t="s">
        <v>13</v>
      </c>
      <c r="M3" s="12" t="s">
        <v>14</v>
      </c>
      <c r="N3" s="12" t="s">
        <v>15</v>
      </c>
      <c r="O3" s="12" t="s">
        <v>16</v>
      </c>
      <c r="P3" s="12" t="s">
        <v>17</v>
      </c>
      <c r="Q3" s="194" t="s">
        <v>156</v>
      </c>
    </row>
    <row r="4" spans="1:17">
      <c r="A4" s="13">
        <f>A2</f>
        <v>46113</v>
      </c>
      <c r="B4" s="35">
        <v>47529</v>
      </c>
      <c r="C4" s="36">
        <v>39808</v>
      </c>
      <c r="D4" s="37">
        <v>47801.2</v>
      </c>
      <c r="E4" s="37">
        <v>46900</v>
      </c>
      <c r="F4" s="88">
        <f t="shared" ref="F4:F27" si="0">(IF(ISBLANK(E4),0,E4-C4))/C4</f>
        <v>0.17815514469453375</v>
      </c>
      <c r="G4" s="2">
        <f t="shared" ref="G4:G33" si="1">D4/($D$2*24)</f>
        <v>0.19917166666666666</v>
      </c>
      <c r="H4" s="2">
        <f t="shared" ref="H4:H33" si="2">D4/($H$2*24)</f>
        <v>0.2655622222222222</v>
      </c>
      <c r="I4" s="36">
        <v>5.84</v>
      </c>
      <c r="J4" s="37">
        <v>7.02</v>
      </c>
      <c r="K4" s="88">
        <f t="shared" ref="K4:K27" si="3">(IF(ISBLANK(J4),0,J4-I4))/I4</f>
        <v>0.20205479452054789</v>
      </c>
      <c r="L4" s="40">
        <f t="shared" ref="L4:L35" si="4">D4/($D$2*J4)</f>
        <v>0.6809287749287749</v>
      </c>
      <c r="M4" s="41">
        <v>1</v>
      </c>
      <c r="N4" s="41">
        <v>0.95199999999999996</v>
      </c>
      <c r="O4" s="37">
        <v>3888</v>
      </c>
      <c r="P4" s="37">
        <v>0</v>
      </c>
      <c r="Q4" s="37" t="s">
        <v>261</v>
      </c>
    </row>
    <row r="5" spans="1:17">
      <c r="A5" s="13">
        <f>A4+1</f>
        <v>46114</v>
      </c>
      <c r="B5" s="35">
        <v>47529</v>
      </c>
      <c r="C5" s="36">
        <v>39808</v>
      </c>
      <c r="D5" s="44">
        <v>49481.9</v>
      </c>
      <c r="E5" s="44">
        <v>48500</v>
      </c>
      <c r="F5" s="88">
        <f t="shared" si="0"/>
        <v>0.21834807073954984</v>
      </c>
      <c r="G5" s="2">
        <f t="shared" si="1"/>
        <v>0.20617458333333333</v>
      </c>
      <c r="H5" s="2">
        <f t="shared" si="2"/>
        <v>0.27489944444444447</v>
      </c>
      <c r="I5" s="43">
        <v>5.84</v>
      </c>
      <c r="J5" s="44">
        <v>7.14</v>
      </c>
      <c r="K5" s="88">
        <f t="shared" si="3"/>
        <v>0.22260273972602737</v>
      </c>
      <c r="L5" s="40">
        <f t="shared" si="4"/>
        <v>0.6930238095238096</v>
      </c>
      <c r="M5" s="48">
        <v>1</v>
      </c>
      <c r="N5" s="48">
        <v>0.95350000000000001</v>
      </c>
      <c r="O5" s="44">
        <v>3726</v>
      </c>
      <c r="P5" s="44">
        <v>0</v>
      </c>
      <c r="Q5" s="44" t="s">
        <v>261</v>
      </c>
    </row>
    <row r="6" spans="1:17">
      <c r="A6" s="13">
        <f t="shared" ref="A6:A33" si="5">A5+1</f>
        <v>46115</v>
      </c>
      <c r="B6" s="35">
        <v>47529</v>
      </c>
      <c r="C6" s="36">
        <v>39808</v>
      </c>
      <c r="D6" s="44">
        <v>43363</v>
      </c>
      <c r="E6" s="44">
        <v>42700</v>
      </c>
      <c r="F6" s="88">
        <f t="shared" si="0"/>
        <v>7.2648713826366562E-2</v>
      </c>
      <c r="G6" s="2">
        <f t="shared" si="1"/>
        <v>0.18067916666666667</v>
      </c>
      <c r="H6" s="2">
        <f t="shared" si="2"/>
        <v>0.24090555555555557</v>
      </c>
      <c r="I6" s="43">
        <v>5.84</v>
      </c>
      <c r="J6" s="44">
        <v>5.95</v>
      </c>
      <c r="K6" s="88">
        <f t="shared" si="3"/>
        <v>1.8835616438356219E-2</v>
      </c>
      <c r="L6" s="40">
        <f t="shared" si="4"/>
        <v>0.72878991596638654</v>
      </c>
      <c r="M6" s="48">
        <v>1</v>
      </c>
      <c r="N6" s="48">
        <v>0.9859</v>
      </c>
      <c r="O6" s="44">
        <v>1184</v>
      </c>
      <c r="P6" s="44">
        <v>0</v>
      </c>
      <c r="Q6" s="44" t="s">
        <v>261</v>
      </c>
    </row>
    <row r="7" spans="1:17">
      <c r="A7" s="13">
        <f t="shared" si="5"/>
        <v>46116</v>
      </c>
      <c r="B7" s="35">
        <v>47529</v>
      </c>
      <c r="C7" s="36">
        <v>39808</v>
      </c>
      <c r="D7" s="44">
        <v>38031.9</v>
      </c>
      <c r="E7" s="44">
        <v>37300</v>
      </c>
      <c r="F7" s="88">
        <f t="shared" si="0"/>
        <v>-6.3002411575562703E-2</v>
      </c>
      <c r="G7" s="2">
        <f t="shared" si="1"/>
        <v>0.15846625</v>
      </c>
      <c r="H7" s="2">
        <f t="shared" si="2"/>
        <v>0.21128833333333333</v>
      </c>
      <c r="I7" s="43">
        <v>5.84</v>
      </c>
      <c r="J7" s="44">
        <v>5.57</v>
      </c>
      <c r="K7" s="88">
        <f t="shared" si="3"/>
        <v>-4.6232876712328695E-2</v>
      </c>
      <c r="L7" s="40">
        <f t="shared" si="4"/>
        <v>0.68279892280071819</v>
      </c>
      <c r="M7" s="48">
        <v>1</v>
      </c>
      <c r="N7" s="48">
        <v>0.96220000000000006</v>
      </c>
      <c r="O7" s="44">
        <v>2886</v>
      </c>
      <c r="P7" s="44">
        <v>0</v>
      </c>
      <c r="Q7" s="44" t="s">
        <v>261</v>
      </c>
    </row>
    <row r="8" spans="1:17">
      <c r="A8" s="13">
        <f t="shared" si="5"/>
        <v>46117</v>
      </c>
      <c r="B8" s="35">
        <v>47529</v>
      </c>
      <c r="C8" s="36">
        <v>39808</v>
      </c>
      <c r="D8" s="44">
        <v>42376.9</v>
      </c>
      <c r="E8" s="44">
        <v>41700</v>
      </c>
      <c r="F8" s="88">
        <f t="shared" si="0"/>
        <v>4.7528135048231508E-2</v>
      </c>
      <c r="G8" s="2">
        <f t="shared" si="1"/>
        <v>0.17657041666666667</v>
      </c>
      <c r="H8" s="2">
        <f t="shared" si="2"/>
        <v>0.23542722222222223</v>
      </c>
      <c r="I8" s="43">
        <v>5.84</v>
      </c>
      <c r="J8" s="44">
        <v>6.16</v>
      </c>
      <c r="K8" s="88">
        <f t="shared" si="3"/>
        <v>5.4794520547945258E-2</v>
      </c>
      <c r="L8" s="40">
        <f t="shared" si="4"/>
        <v>0.6879366883116883</v>
      </c>
      <c r="M8" s="48">
        <v>1</v>
      </c>
      <c r="N8" s="48">
        <v>0.95379999999999998</v>
      </c>
      <c r="O8" s="44">
        <v>3528</v>
      </c>
      <c r="P8" s="44">
        <v>0</v>
      </c>
      <c r="Q8" s="44" t="s">
        <v>261</v>
      </c>
    </row>
    <row r="9" spans="1:17">
      <c r="A9" s="13">
        <f t="shared" si="5"/>
        <v>46118</v>
      </c>
      <c r="B9" s="35">
        <v>47529</v>
      </c>
      <c r="C9" s="36">
        <v>39808</v>
      </c>
      <c r="D9" s="44">
        <v>34378.400000000001</v>
      </c>
      <c r="E9" s="44">
        <v>33900</v>
      </c>
      <c r="F9" s="88">
        <f t="shared" si="0"/>
        <v>-0.14841237942122187</v>
      </c>
      <c r="G9" s="2">
        <f t="shared" si="1"/>
        <v>0.14324333333333333</v>
      </c>
      <c r="H9" s="2">
        <f t="shared" si="2"/>
        <v>0.19099111111111111</v>
      </c>
      <c r="I9" s="43">
        <v>5.84</v>
      </c>
      <c r="J9" s="44">
        <v>4.22</v>
      </c>
      <c r="K9" s="88">
        <f t="shared" si="3"/>
        <v>-0.2773972602739726</v>
      </c>
      <c r="L9" s="40">
        <f t="shared" si="4"/>
        <v>0.81465402843601897</v>
      </c>
      <c r="M9" s="48">
        <v>1</v>
      </c>
      <c r="N9" s="48">
        <v>1</v>
      </c>
      <c r="O9" s="44">
        <v>0</v>
      </c>
      <c r="P9" s="44">
        <v>0</v>
      </c>
      <c r="Q9" s="44" t="s">
        <v>175</v>
      </c>
    </row>
    <row r="10" spans="1:17">
      <c r="A10" s="13">
        <f t="shared" si="5"/>
        <v>46119</v>
      </c>
      <c r="B10" s="35">
        <v>47529</v>
      </c>
      <c r="C10" s="36">
        <v>39808</v>
      </c>
      <c r="D10" s="44">
        <v>44865.5</v>
      </c>
      <c r="E10" s="44">
        <v>44200</v>
      </c>
      <c r="F10" s="88">
        <f t="shared" si="0"/>
        <v>0.11032958199356913</v>
      </c>
      <c r="G10" s="2">
        <f t="shared" si="1"/>
        <v>0.18693958333333333</v>
      </c>
      <c r="H10" s="2">
        <f t="shared" si="2"/>
        <v>0.24925277777777777</v>
      </c>
      <c r="I10" s="43">
        <v>5.84</v>
      </c>
      <c r="J10" s="44">
        <v>6.45</v>
      </c>
      <c r="K10" s="88">
        <f t="shared" si="3"/>
        <v>0.1044520547945206</v>
      </c>
      <c r="L10" s="40">
        <f t="shared" si="4"/>
        <v>0.69558914728682175</v>
      </c>
      <c r="M10" s="48">
        <v>1</v>
      </c>
      <c r="N10" s="48">
        <v>0.95489999999999997</v>
      </c>
      <c r="O10" s="44">
        <v>3404</v>
      </c>
      <c r="P10" s="44">
        <v>0</v>
      </c>
      <c r="Q10" s="44" t="s">
        <v>261</v>
      </c>
    </row>
    <row r="11" spans="1:17">
      <c r="A11" s="13">
        <f t="shared" si="5"/>
        <v>46120</v>
      </c>
      <c r="B11" s="35">
        <v>47529</v>
      </c>
      <c r="C11" s="36">
        <v>39808</v>
      </c>
      <c r="D11" s="44">
        <v>46206.8</v>
      </c>
      <c r="E11" s="44">
        <v>45400</v>
      </c>
      <c r="F11" s="88">
        <f t="shared" si="0"/>
        <v>0.14047427652733119</v>
      </c>
      <c r="G11" s="2">
        <f t="shared" si="1"/>
        <v>0.19252833333333336</v>
      </c>
      <c r="H11" s="2">
        <f t="shared" si="2"/>
        <v>0.25670444444444446</v>
      </c>
      <c r="I11" s="43">
        <v>5.84</v>
      </c>
      <c r="J11" s="44">
        <v>6.75</v>
      </c>
      <c r="K11" s="88">
        <f t="shared" si="3"/>
        <v>0.15582191780821922</v>
      </c>
      <c r="L11" s="40">
        <f t="shared" si="4"/>
        <v>0.68454518518518526</v>
      </c>
      <c r="M11" s="48">
        <v>1</v>
      </c>
      <c r="N11" s="48">
        <v>0.95269999999999999</v>
      </c>
      <c r="O11" s="44">
        <v>3744</v>
      </c>
      <c r="P11" s="44">
        <v>0</v>
      </c>
      <c r="Q11" s="44" t="s">
        <v>261</v>
      </c>
    </row>
    <row r="12" spans="1:17">
      <c r="A12" s="13">
        <f t="shared" si="5"/>
        <v>46121</v>
      </c>
      <c r="B12" s="35">
        <v>47529</v>
      </c>
      <c r="C12" s="36">
        <v>39808</v>
      </c>
      <c r="D12" s="44">
        <v>40052.300000000003</v>
      </c>
      <c r="E12" s="44">
        <v>39400</v>
      </c>
      <c r="F12" s="88">
        <f t="shared" si="0"/>
        <v>-1.02491961414791E-2</v>
      </c>
      <c r="G12" s="2">
        <f t="shared" si="1"/>
        <v>0.16688458333333334</v>
      </c>
      <c r="H12" s="2">
        <f t="shared" si="2"/>
        <v>0.22251277777777778</v>
      </c>
      <c r="I12" s="43">
        <v>5.84</v>
      </c>
      <c r="J12" s="44">
        <v>6.04</v>
      </c>
      <c r="K12" s="88">
        <f t="shared" si="3"/>
        <v>3.4246575342465786E-2</v>
      </c>
      <c r="L12" s="40">
        <f t="shared" si="4"/>
        <v>0.66311754966887426</v>
      </c>
      <c r="M12" s="48">
        <v>1</v>
      </c>
      <c r="N12" s="48">
        <v>0.95320000000000005</v>
      </c>
      <c r="O12" s="44">
        <v>3600</v>
      </c>
      <c r="P12" s="44">
        <v>0</v>
      </c>
      <c r="Q12" s="44" t="s">
        <v>261</v>
      </c>
    </row>
    <row r="13" spans="1:17">
      <c r="A13" s="13">
        <f t="shared" si="5"/>
        <v>46122</v>
      </c>
      <c r="B13" s="35">
        <v>47529</v>
      </c>
      <c r="C13" s="36">
        <v>39808</v>
      </c>
      <c r="D13" s="44">
        <v>45405</v>
      </c>
      <c r="E13" s="44">
        <v>44600</v>
      </c>
      <c r="F13" s="88">
        <f t="shared" si="0"/>
        <v>0.12037781350482316</v>
      </c>
      <c r="G13" s="2">
        <f t="shared" si="1"/>
        <v>0.18918750000000001</v>
      </c>
      <c r="H13" s="2">
        <f t="shared" si="2"/>
        <v>0.25224999999999997</v>
      </c>
      <c r="I13" s="43">
        <v>5.84</v>
      </c>
      <c r="J13" s="44">
        <v>6.14</v>
      </c>
      <c r="K13" s="88">
        <f t="shared" si="3"/>
        <v>5.13698630136986E-2</v>
      </c>
      <c r="L13" s="40">
        <f t="shared" si="4"/>
        <v>0.73949511400651469</v>
      </c>
      <c r="M13" s="48">
        <v>1</v>
      </c>
      <c r="N13" s="48">
        <v>1</v>
      </c>
      <c r="O13" s="44">
        <v>0</v>
      </c>
      <c r="P13" s="44">
        <v>0</v>
      </c>
      <c r="Q13" s="44" t="s">
        <v>175</v>
      </c>
    </row>
    <row r="14" spans="1:17">
      <c r="A14" s="13">
        <f t="shared" si="5"/>
        <v>46123</v>
      </c>
      <c r="B14" s="35">
        <v>47529</v>
      </c>
      <c r="C14" s="36">
        <v>39808</v>
      </c>
      <c r="D14" s="44">
        <v>42770.1</v>
      </c>
      <c r="E14" s="44">
        <v>42200</v>
      </c>
      <c r="F14" s="88">
        <f t="shared" si="0"/>
        <v>6.0088424437299039E-2</v>
      </c>
      <c r="G14" s="2">
        <f t="shared" si="1"/>
        <v>0.17820875</v>
      </c>
      <c r="H14" s="2">
        <f t="shared" si="2"/>
        <v>0.23761166666666667</v>
      </c>
      <c r="I14" s="43">
        <v>5.84</v>
      </c>
      <c r="J14" s="44">
        <v>5.87</v>
      </c>
      <c r="K14" s="88">
        <f t="shared" si="3"/>
        <v>5.1369863013699061E-3</v>
      </c>
      <c r="L14" s="40">
        <f t="shared" si="4"/>
        <v>0.72862180579216351</v>
      </c>
      <c r="M14" s="48">
        <v>1</v>
      </c>
      <c r="N14" s="48">
        <v>0.96699999999999997</v>
      </c>
      <c r="O14" s="44">
        <v>2176</v>
      </c>
      <c r="P14" s="44">
        <v>0</v>
      </c>
      <c r="Q14" s="44" t="s">
        <v>261</v>
      </c>
    </row>
    <row r="15" spans="1:17">
      <c r="A15" s="13">
        <f t="shared" si="5"/>
        <v>46124</v>
      </c>
      <c r="B15" s="35">
        <v>47529</v>
      </c>
      <c r="C15" s="36">
        <v>39808</v>
      </c>
      <c r="D15" s="44">
        <v>47476.6</v>
      </c>
      <c r="E15" s="44">
        <v>46500</v>
      </c>
      <c r="F15" s="88">
        <f t="shared" si="0"/>
        <v>0.16810691318327975</v>
      </c>
      <c r="G15" s="2">
        <f t="shared" si="1"/>
        <v>0.19781916666666666</v>
      </c>
      <c r="H15" s="2">
        <f t="shared" si="2"/>
        <v>0.26375888888888888</v>
      </c>
      <c r="I15" s="43">
        <v>5.84</v>
      </c>
      <c r="J15" s="44">
        <v>7.03</v>
      </c>
      <c r="K15" s="88">
        <f t="shared" si="3"/>
        <v>0.2037671232876713</v>
      </c>
      <c r="L15" s="40">
        <f t="shared" si="4"/>
        <v>0.67534281650071126</v>
      </c>
      <c r="M15" s="48">
        <v>1</v>
      </c>
      <c r="N15" s="48">
        <v>0.95140000000000002</v>
      </c>
      <c r="O15" s="44">
        <v>3740</v>
      </c>
      <c r="P15" s="44">
        <v>0</v>
      </c>
      <c r="Q15" s="44" t="s">
        <v>261</v>
      </c>
    </row>
    <row r="16" spans="1:17">
      <c r="A16" s="13">
        <f t="shared" si="5"/>
        <v>46125</v>
      </c>
      <c r="B16" s="35">
        <v>47529</v>
      </c>
      <c r="C16" s="36">
        <v>39808</v>
      </c>
      <c r="D16" s="44">
        <v>41685.4</v>
      </c>
      <c r="E16" s="44">
        <v>41000</v>
      </c>
      <c r="F16" s="88">
        <f t="shared" si="0"/>
        <v>2.9943729903536977E-2</v>
      </c>
      <c r="G16" s="2">
        <f t="shared" si="1"/>
        <v>0.17368916666666667</v>
      </c>
      <c r="H16" s="2">
        <f t="shared" si="2"/>
        <v>0.23158555555555557</v>
      </c>
      <c r="I16" s="43">
        <v>5.84</v>
      </c>
      <c r="J16" s="44">
        <v>6.23</v>
      </c>
      <c r="K16" s="88">
        <f t="shared" si="3"/>
        <v>6.678082191780832E-2</v>
      </c>
      <c r="L16" s="40">
        <f t="shared" si="4"/>
        <v>0.66910754414125195</v>
      </c>
      <c r="M16" s="48">
        <v>1</v>
      </c>
      <c r="N16" s="48">
        <v>0.95499999999999996</v>
      </c>
      <c r="O16" s="44">
        <v>3600</v>
      </c>
      <c r="P16" s="44">
        <v>0</v>
      </c>
      <c r="Q16" s="44" t="s">
        <v>261</v>
      </c>
    </row>
    <row r="17" spans="1:17">
      <c r="A17" s="13">
        <f t="shared" si="5"/>
        <v>46126</v>
      </c>
      <c r="B17" s="35">
        <v>47529</v>
      </c>
      <c r="C17" s="36">
        <v>39808</v>
      </c>
      <c r="D17" s="44">
        <v>43061.2</v>
      </c>
      <c r="E17" s="44">
        <v>42500</v>
      </c>
      <c r="F17" s="88">
        <f t="shared" si="0"/>
        <v>6.7624598070739547E-2</v>
      </c>
      <c r="G17" s="2">
        <f t="shared" si="1"/>
        <v>0.17942166666666665</v>
      </c>
      <c r="H17" s="2">
        <f t="shared" si="2"/>
        <v>0.23922888888888888</v>
      </c>
      <c r="I17" s="43">
        <v>5.84</v>
      </c>
      <c r="J17" s="44">
        <v>6.75</v>
      </c>
      <c r="K17" s="88">
        <f t="shared" si="3"/>
        <v>0.15582191780821922</v>
      </c>
      <c r="L17" s="40">
        <f t="shared" si="4"/>
        <v>0.63794370370370368</v>
      </c>
      <c r="M17" s="48">
        <v>1</v>
      </c>
      <c r="N17" s="48">
        <v>0.95699999999999996</v>
      </c>
      <c r="O17" s="44">
        <v>2940</v>
      </c>
      <c r="P17" s="44">
        <v>0</v>
      </c>
      <c r="Q17" s="44" t="s">
        <v>261</v>
      </c>
    </row>
    <row r="18" spans="1:17">
      <c r="A18" s="13">
        <f t="shared" si="5"/>
        <v>46127</v>
      </c>
      <c r="B18" s="35">
        <v>47529</v>
      </c>
      <c r="C18" s="36">
        <v>39808</v>
      </c>
      <c r="D18" s="44">
        <v>46410.1</v>
      </c>
      <c r="E18" s="44">
        <v>45500</v>
      </c>
      <c r="F18" s="88">
        <f t="shared" si="0"/>
        <v>0.14298633440514469</v>
      </c>
      <c r="G18" s="2">
        <f t="shared" si="1"/>
        <v>0.19337541666666666</v>
      </c>
      <c r="H18" s="2">
        <f t="shared" si="2"/>
        <v>0.25783388888888886</v>
      </c>
      <c r="I18" s="43">
        <v>5.84</v>
      </c>
      <c r="J18" s="44">
        <v>6.75</v>
      </c>
      <c r="K18" s="88">
        <f t="shared" si="3"/>
        <v>0.15582191780821922</v>
      </c>
      <c r="L18" s="40">
        <f t="shared" si="4"/>
        <v>0.68755703703703697</v>
      </c>
      <c r="M18" s="48">
        <v>1</v>
      </c>
      <c r="N18" s="48">
        <v>0.95830000000000004</v>
      </c>
      <c r="O18" s="44">
        <v>3420</v>
      </c>
      <c r="P18" s="44">
        <v>0</v>
      </c>
      <c r="Q18" s="44" t="s">
        <v>261</v>
      </c>
    </row>
    <row r="19" spans="1:17">
      <c r="A19" s="13">
        <f t="shared" si="5"/>
        <v>46128</v>
      </c>
      <c r="B19" s="35">
        <v>47529</v>
      </c>
      <c r="C19" s="36">
        <v>39808</v>
      </c>
      <c r="D19" s="44">
        <v>42974.7</v>
      </c>
      <c r="E19" s="44">
        <v>42200</v>
      </c>
      <c r="F19" s="88">
        <f t="shared" si="0"/>
        <v>6.0088424437299039E-2</v>
      </c>
      <c r="G19" s="2">
        <f t="shared" si="1"/>
        <v>0.17906124999999998</v>
      </c>
      <c r="H19" s="2">
        <f t="shared" si="2"/>
        <v>0.23874833333333331</v>
      </c>
      <c r="I19" s="43">
        <v>5.84</v>
      </c>
      <c r="J19" s="44">
        <v>6.24</v>
      </c>
      <c r="K19" s="88">
        <f t="shared" si="3"/>
        <v>6.8493150684931572E-2</v>
      </c>
      <c r="L19" s="40">
        <f t="shared" si="4"/>
        <v>0.68869711538461531</v>
      </c>
      <c r="M19" s="48">
        <v>1</v>
      </c>
      <c r="N19" s="48">
        <v>0.95279999999999998</v>
      </c>
      <c r="O19" s="44">
        <v>3075</v>
      </c>
      <c r="P19" s="44">
        <v>0</v>
      </c>
      <c r="Q19" s="44" t="s">
        <v>261</v>
      </c>
    </row>
    <row r="20" spans="1:17">
      <c r="A20" s="13">
        <f t="shared" si="5"/>
        <v>46129</v>
      </c>
      <c r="B20" s="35">
        <v>47529</v>
      </c>
      <c r="C20" s="36">
        <v>39808</v>
      </c>
      <c r="D20" s="44">
        <v>45514.2</v>
      </c>
      <c r="E20" s="44">
        <v>44900</v>
      </c>
      <c r="F20" s="88">
        <f t="shared" si="0"/>
        <v>0.12791398713826366</v>
      </c>
      <c r="G20" s="2">
        <f t="shared" si="1"/>
        <v>0.18964249999999999</v>
      </c>
      <c r="H20" s="2">
        <f t="shared" si="2"/>
        <v>0.25285666666666667</v>
      </c>
      <c r="I20" s="43">
        <v>5.84</v>
      </c>
      <c r="J20" s="44">
        <v>6.02</v>
      </c>
      <c r="K20" s="88">
        <f t="shared" si="3"/>
        <v>3.0821917808219131E-2</v>
      </c>
      <c r="L20" s="40">
        <f t="shared" si="4"/>
        <v>0.75604983388704328</v>
      </c>
      <c r="M20" s="48">
        <v>1</v>
      </c>
      <c r="N20" s="48">
        <v>1</v>
      </c>
      <c r="O20" s="44">
        <v>0</v>
      </c>
      <c r="P20" s="44">
        <v>0</v>
      </c>
      <c r="Q20" s="44" t="s">
        <v>175</v>
      </c>
    </row>
    <row r="21" spans="1:17">
      <c r="A21" s="13">
        <f t="shared" si="5"/>
        <v>46130</v>
      </c>
      <c r="B21" s="35">
        <v>47529</v>
      </c>
      <c r="C21" s="36">
        <v>39808</v>
      </c>
      <c r="D21" s="44">
        <v>47828.6</v>
      </c>
      <c r="E21" s="44">
        <v>47000</v>
      </c>
      <c r="F21" s="88">
        <f t="shared" si="0"/>
        <v>0.18066720257234728</v>
      </c>
      <c r="G21" s="2">
        <f t="shared" si="1"/>
        <v>0.19928583333333333</v>
      </c>
      <c r="H21" s="2">
        <f t="shared" si="2"/>
        <v>0.26571444444444442</v>
      </c>
      <c r="I21" s="43">
        <v>5.84</v>
      </c>
      <c r="J21" s="44">
        <v>6.36</v>
      </c>
      <c r="K21" s="88">
        <f t="shared" si="3"/>
        <v>8.9041095890411037E-2</v>
      </c>
      <c r="L21" s="40">
        <f t="shared" si="4"/>
        <v>0.75202201257861634</v>
      </c>
      <c r="M21" s="48">
        <v>1</v>
      </c>
      <c r="N21" s="48">
        <v>1</v>
      </c>
      <c r="O21" s="44">
        <v>0</v>
      </c>
      <c r="P21" s="44">
        <v>0</v>
      </c>
      <c r="Q21" s="44" t="s">
        <v>175</v>
      </c>
    </row>
    <row r="22" spans="1:17">
      <c r="A22" s="13">
        <f t="shared" si="5"/>
        <v>46131</v>
      </c>
      <c r="B22" s="35">
        <v>47529</v>
      </c>
      <c r="C22" s="36">
        <v>39808</v>
      </c>
      <c r="D22" s="44">
        <v>46291</v>
      </c>
      <c r="E22" s="44">
        <v>45500</v>
      </c>
      <c r="F22" s="88">
        <f t="shared" si="0"/>
        <v>0.14298633440514469</v>
      </c>
      <c r="G22" s="2">
        <f t="shared" si="1"/>
        <v>0.19287916666666666</v>
      </c>
      <c r="H22" s="2">
        <f t="shared" si="2"/>
        <v>0.25717222222222225</v>
      </c>
      <c r="I22" s="43">
        <v>5.84</v>
      </c>
      <c r="J22" s="44">
        <v>6.74</v>
      </c>
      <c r="K22" s="88">
        <f t="shared" si="3"/>
        <v>0.15410958904109595</v>
      </c>
      <c r="L22" s="40">
        <f t="shared" si="4"/>
        <v>0.68681008902077156</v>
      </c>
      <c r="M22" s="48">
        <v>1</v>
      </c>
      <c r="N22" s="48">
        <v>0.95599999999999996</v>
      </c>
      <c r="O22" s="44">
        <v>2628</v>
      </c>
      <c r="P22" s="44">
        <v>0</v>
      </c>
      <c r="Q22" s="44" t="s">
        <v>261</v>
      </c>
    </row>
    <row r="23" spans="1:17">
      <c r="A23" s="13">
        <f t="shared" si="5"/>
        <v>46132</v>
      </c>
      <c r="B23" s="35">
        <v>47529</v>
      </c>
      <c r="C23" s="36">
        <v>39808</v>
      </c>
      <c r="D23" s="44">
        <v>45603.8</v>
      </c>
      <c r="E23" s="44">
        <v>44800</v>
      </c>
      <c r="F23" s="88">
        <f t="shared" si="0"/>
        <v>0.12540192926045016</v>
      </c>
      <c r="G23" s="2">
        <f t="shared" si="1"/>
        <v>0.19001583333333336</v>
      </c>
      <c r="H23" s="2">
        <f t="shared" si="2"/>
        <v>0.25335444444444444</v>
      </c>
      <c r="I23" s="43">
        <v>5.84</v>
      </c>
      <c r="J23" s="44">
        <v>6.68</v>
      </c>
      <c r="K23" s="88">
        <f t="shared" si="3"/>
        <v>0.14383561643835616</v>
      </c>
      <c r="L23" s="40">
        <f t="shared" si="4"/>
        <v>0.68269161676646706</v>
      </c>
      <c r="M23" s="48">
        <v>1</v>
      </c>
      <c r="N23" s="48">
        <v>0.95760000000000001</v>
      </c>
      <c r="O23" s="44">
        <v>3195</v>
      </c>
      <c r="P23" s="44">
        <v>0</v>
      </c>
      <c r="Q23" s="44" t="s">
        <v>261</v>
      </c>
    </row>
    <row r="24" spans="1:17">
      <c r="A24" s="13">
        <f t="shared" si="5"/>
        <v>46133</v>
      </c>
      <c r="B24" s="35">
        <v>47529</v>
      </c>
      <c r="C24" s="36">
        <v>39808</v>
      </c>
      <c r="D24" s="44">
        <v>45587.7</v>
      </c>
      <c r="E24" s="44">
        <v>44700</v>
      </c>
      <c r="F24" s="88">
        <f t="shared" si="0"/>
        <v>0.12288987138263666</v>
      </c>
      <c r="G24" s="2">
        <f t="shared" si="1"/>
        <v>0.18994875</v>
      </c>
      <c r="H24" s="2">
        <f t="shared" si="2"/>
        <v>0.25326499999999996</v>
      </c>
      <c r="I24" s="43">
        <v>5.84</v>
      </c>
      <c r="J24" s="44">
        <v>6.97</v>
      </c>
      <c r="K24" s="88">
        <f t="shared" si="3"/>
        <v>0.1934931506849315</v>
      </c>
      <c r="L24" s="40">
        <f t="shared" si="4"/>
        <v>0.65405595408895256</v>
      </c>
      <c r="M24" s="48">
        <v>1</v>
      </c>
      <c r="N24" s="48">
        <v>0.93769999999999998</v>
      </c>
      <c r="O24" s="44">
        <v>4350</v>
      </c>
      <c r="P24" s="44">
        <v>0</v>
      </c>
      <c r="Q24" s="44" t="s">
        <v>261</v>
      </c>
    </row>
    <row r="25" spans="1:17">
      <c r="A25" s="13">
        <f t="shared" si="5"/>
        <v>46134</v>
      </c>
      <c r="B25" s="35">
        <v>47529</v>
      </c>
      <c r="C25" s="36">
        <v>39808</v>
      </c>
      <c r="D25" s="44">
        <v>48891.5</v>
      </c>
      <c r="E25" s="44">
        <v>48100</v>
      </c>
      <c r="F25" s="88">
        <f t="shared" si="0"/>
        <v>0.20829983922829581</v>
      </c>
      <c r="G25" s="2">
        <f t="shared" si="1"/>
        <v>0.20371458333333334</v>
      </c>
      <c r="H25" s="2">
        <f t="shared" si="2"/>
        <v>0.27161944444444447</v>
      </c>
      <c r="I25" s="43">
        <v>5.84</v>
      </c>
      <c r="J25" s="44">
        <v>6.77</v>
      </c>
      <c r="K25" s="88">
        <f t="shared" si="3"/>
        <v>0.1592465753424657</v>
      </c>
      <c r="L25" s="40">
        <f t="shared" si="4"/>
        <v>0.72217872968980801</v>
      </c>
      <c r="M25" s="48">
        <v>1</v>
      </c>
      <c r="N25" s="48">
        <v>1</v>
      </c>
      <c r="O25" s="44">
        <v>0</v>
      </c>
      <c r="P25" s="44">
        <v>0</v>
      </c>
      <c r="Q25" s="44" t="s">
        <v>175</v>
      </c>
    </row>
    <row r="26" spans="1:17">
      <c r="A26" s="13">
        <f t="shared" si="5"/>
        <v>46135</v>
      </c>
      <c r="B26" s="35">
        <v>47529</v>
      </c>
      <c r="C26" s="36">
        <v>39808</v>
      </c>
      <c r="D26" s="44">
        <v>43118.5</v>
      </c>
      <c r="E26" s="44">
        <v>42400</v>
      </c>
      <c r="F26" s="88">
        <f t="shared" si="0"/>
        <v>6.5112540192926047E-2</v>
      </c>
      <c r="G26" s="2">
        <f t="shared" si="1"/>
        <v>0.17966041666666666</v>
      </c>
      <c r="H26" s="2">
        <f t="shared" si="2"/>
        <v>0.23954722222222222</v>
      </c>
      <c r="I26" s="43">
        <v>5.84</v>
      </c>
      <c r="J26" s="44">
        <v>6.46</v>
      </c>
      <c r="K26" s="88">
        <f t="shared" si="3"/>
        <v>0.10616438356164386</v>
      </c>
      <c r="L26" s="40">
        <f t="shared" si="4"/>
        <v>0.66746904024767806</v>
      </c>
      <c r="M26" s="48">
        <v>1</v>
      </c>
      <c r="N26" s="48">
        <v>0.95409999999999995</v>
      </c>
      <c r="O26" s="44">
        <v>3600</v>
      </c>
      <c r="P26" s="44">
        <v>0</v>
      </c>
      <c r="Q26" s="44" t="s">
        <v>261</v>
      </c>
    </row>
    <row r="27" spans="1:17">
      <c r="A27" s="13">
        <f t="shared" si="5"/>
        <v>46136</v>
      </c>
      <c r="B27" s="35">
        <v>47529</v>
      </c>
      <c r="C27" s="36">
        <v>39808</v>
      </c>
      <c r="D27" s="44">
        <v>48021.4</v>
      </c>
      <c r="E27" s="44">
        <v>47300</v>
      </c>
      <c r="F27" s="88">
        <f t="shared" si="0"/>
        <v>0.18820337620578778</v>
      </c>
      <c r="G27" s="2">
        <f t="shared" si="1"/>
        <v>0.20008916666666668</v>
      </c>
      <c r="H27" s="2">
        <f t="shared" si="2"/>
        <v>0.26678555555555555</v>
      </c>
      <c r="I27" s="43">
        <v>5.84</v>
      </c>
      <c r="J27" s="44">
        <v>6.43</v>
      </c>
      <c r="K27" s="88">
        <f t="shared" si="3"/>
        <v>0.10102739726027395</v>
      </c>
      <c r="L27" s="40">
        <f t="shared" si="4"/>
        <v>0.74683359253499226</v>
      </c>
      <c r="M27" s="48">
        <v>1</v>
      </c>
      <c r="N27" s="48">
        <v>1</v>
      </c>
      <c r="O27" s="44">
        <v>0</v>
      </c>
      <c r="P27" s="44">
        <v>0</v>
      </c>
      <c r="Q27" s="44" t="s">
        <v>175</v>
      </c>
    </row>
    <row r="28" spans="1:17">
      <c r="A28" s="13">
        <f t="shared" si="5"/>
        <v>46137</v>
      </c>
      <c r="B28" s="35">
        <v>47529</v>
      </c>
      <c r="C28" s="36">
        <v>39808</v>
      </c>
      <c r="D28" s="6">
        <v>43673.599999999999</v>
      </c>
      <c r="E28" s="6">
        <v>43000</v>
      </c>
      <c r="F28" s="88">
        <f t="shared" ref="F28:F33" si="6">(IF(ISBLANK(E28),0,E28-C28))/C28</f>
        <v>8.0184887459807078E-2</v>
      </c>
      <c r="G28" s="2">
        <f t="shared" si="1"/>
        <v>0.18197333333333332</v>
      </c>
      <c r="H28" s="2">
        <f t="shared" si="2"/>
        <v>0.2426311111111111</v>
      </c>
      <c r="I28" s="43">
        <v>5.84</v>
      </c>
      <c r="J28" s="6">
        <v>6.16</v>
      </c>
      <c r="K28" s="88">
        <f t="shared" ref="K28:K34" si="7">(IF(ISBLANK(J28),0,J28-I28))/I28</f>
        <v>5.4794520547945258E-2</v>
      </c>
      <c r="L28" s="40">
        <f t="shared" si="4"/>
        <v>0.70898701298701294</v>
      </c>
      <c r="M28" s="25">
        <v>0.98799999999999999</v>
      </c>
      <c r="N28" s="25">
        <v>1</v>
      </c>
      <c r="O28" s="6">
        <v>0</v>
      </c>
      <c r="P28" s="6">
        <v>1236</v>
      </c>
      <c r="Q28" s="6" t="s">
        <v>262</v>
      </c>
    </row>
    <row r="29" spans="1:17">
      <c r="A29" s="13">
        <f t="shared" si="5"/>
        <v>46138</v>
      </c>
      <c r="B29" s="35">
        <v>47529</v>
      </c>
      <c r="C29" s="36">
        <v>39808</v>
      </c>
      <c r="D29" s="6">
        <v>43219.3</v>
      </c>
      <c r="E29" s="6">
        <v>42600</v>
      </c>
      <c r="F29" s="88">
        <f t="shared" si="6"/>
        <v>7.0136655948553048E-2</v>
      </c>
      <c r="G29" s="2">
        <f t="shared" si="1"/>
        <v>0.18008041666666669</v>
      </c>
      <c r="H29" s="2">
        <f t="shared" si="2"/>
        <v>0.24010722222222225</v>
      </c>
      <c r="I29" s="43">
        <v>5.84</v>
      </c>
      <c r="J29" s="6">
        <v>6.19</v>
      </c>
      <c r="K29" s="88">
        <f t="shared" si="7"/>
        <v>5.9931506849315162E-2</v>
      </c>
      <c r="L29" s="40">
        <f t="shared" si="4"/>
        <v>0.69821163166397415</v>
      </c>
      <c r="M29" s="25">
        <v>1</v>
      </c>
      <c r="N29" s="25">
        <v>0.96109999999999995</v>
      </c>
      <c r="O29" s="6">
        <v>2952</v>
      </c>
      <c r="P29" s="6">
        <v>0</v>
      </c>
      <c r="Q29" s="44" t="s">
        <v>261</v>
      </c>
    </row>
    <row r="30" spans="1:17">
      <c r="A30" s="13">
        <f t="shared" si="5"/>
        <v>46139</v>
      </c>
      <c r="B30" s="35">
        <v>47529</v>
      </c>
      <c r="C30" s="36">
        <v>39808</v>
      </c>
      <c r="D30" s="6">
        <v>48623.6</v>
      </c>
      <c r="E30" s="6">
        <v>47700</v>
      </c>
      <c r="F30" s="88">
        <f t="shared" si="6"/>
        <v>0.19825160771704181</v>
      </c>
      <c r="G30" s="2">
        <f t="shared" si="1"/>
        <v>0.20259833333333332</v>
      </c>
      <c r="H30" s="2">
        <f t="shared" si="2"/>
        <v>0.2701311111111111</v>
      </c>
      <c r="I30" s="43">
        <v>5.84</v>
      </c>
      <c r="J30" s="6">
        <v>6.57</v>
      </c>
      <c r="K30" s="88">
        <f t="shared" si="7"/>
        <v>0.12500000000000008</v>
      </c>
      <c r="L30" s="40">
        <f t="shared" si="4"/>
        <v>0.74008523592085229</v>
      </c>
      <c r="M30" s="25">
        <v>1</v>
      </c>
      <c r="N30" s="25">
        <v>1</v>
      </c>
      <c r="O30" s="6">
        <v>0</v>
      </c>
      <c r="P30" s="6">
        <v>0</v>
      </c>
      <c r="Q30" s="6"/>
    </row>
    <row r="31" spans="1:17">
      <c r="A31" s="13">
        <f t="shared" si="5"/>
        <v>46140</v>
      </c>
      <c r="B31" s="35">
        <v>47529</v>
      </c>
      <c r="C31" s="36">
        <v>39808</v>
      </c>
      <c r="D31" s="6">
        <v>40951</v>
      </c>
      <c r="E31" s="6">
        <v>40400</v>
      </c>
      <c r="F31" s="88">
        <f t="shared" si="6"/>
        <v>1.4871382636655949E-2</v>
      </c>
      <c r="G31" s="2">
        <f t="shared" si="1"/>
        <v>0.17062916666666667</v>
      </c>
      <c r="H31" s="2">
        <f t="shared" si="2"/>
        <v>0.22750555555555554</v>
      </c>
      <c r="I31" s="43">
        <v>5.84</v>
      </c>
      <c r="J31" s="6">
        <v>5.47</v>
      </c>
      <c r="K31" s="88">
        <f t="shared" si="7"/>
        <v>-6.3356164383561661E-2</v>
      </c>
      <c r="L31" s="40">
        <f t="shared" si="4"/>
        <v>0.74864716636197437</v>
      </c>
      <c r="M31" s="25">
        <v>1</v>
      </c>
      <c r="N31" s="25">
        <v>1</v>
      </c>
      <c r="O31" s="6">
        <v>0</v>
      </c>
      <c r="P31" s="6">
        <v>0</v>
      </c>
      <c r="Q31" s="6"/>
    </row>
    <row r="32" spans="1:17">
      <c r="A32" s="13">
        <f t="shared" si="5"/>
        <v>46141</v>
      </c>
      <c r="B32" s="35">
        <v>47529</v>
      </c>
      <c r="C32" s="36">
        <v>39808</v>
      </c>
      <c r="D32" s="6">
        <v>41331.4</v>
      </c>
      <c r="E32" s="6">
        <v>40800</v>
      </c>
      <c r="F32" s="88">
        <f>(IF(ISBLANK(E32),0,E32-C32))/C32</f>
        <v>2.4919614147909969E-2</v>
      </c>
      <c r="G32" s="2">
        <f t="shared" si="1"/>
        <v>0.17221416666666667</v>
      </c>
      <c r="H32" s="2">
        <f t="shared" si="2"/>
        <v>0.2296188888888889</v>
      </c>
      <c r="I32" s="43">
        <v>5.84</v>
      </c>
      <c r="J32" s="6">
        <v>5.5</v>
      </c>
      <c r="K32" s="88">
        <f>(IF(ISBLANK(J32),0,J32-I32))/I32</f>
        <v>-5.8219178082191757E-2</v>
      </c>
      <c r="L32" s="40">
        <f t="shared" si="4"/>
        <v>0.75148000000000004</v>
      </c>
      <c r="M32" s="25">
        <v>1</v>
      </c>
      <c r="N32" s="25">
        <v>1</v>
      </c>
      <c r="O32" s="6">
        <v>0</v>
      </c>
      <c r="P32" s="6">
        <v>0</v>
      </c>
      <c r="Q32" s="6"/>
    </row>
    <row r="33" spans="1:17">
      <c r="A33" s="13">
        <f t="shared" si="5"/>
        <v>46142</v>
      </c>
      <c r="B33" s="35">
        <v>47529</v>
      </c>
      <c r="C33" s="36">
        <v>39808</v>
      </c>
      <c r="D33" s="6">
        <v>45507.6</v>
      </c>
      <c r="E33" s="6">
        <v>44700</v>
      </c>
      <c r="F33" s="88">
        <f t="shared" si="6"/>
        <v>0.12288987138263666</v>
      </c>
      <c r="G33" s="2">
        <f t="shared" si="1"/>
        <v>0.18961500000000001</v>
      </c>
      <c r="H33" s="2">
        <f t="shared" si="2"/>
        <v>0.25281999999999999</v>
      </c>
      <c r="I33" s="43">
        <v>5.84</v>
      </c>
      <c r="J33" s="6">
        <v>6.03</v>
      </c>
      <c r="K33" s="88">
        <f t="shared" si="7"/>
        <v>3.2534246575342533E-2</v>
      </c>
      <c r="L33" s="40">
        <f t="shared" si="4"/>
        <v>0.75468656716417903</v>
      </c>
      <c r="M33" s="25">
        <v>1</v>
      </c>
      <c r="N33" s="25">
        <v>1</v>
      </c>
      <c r="O33" s="6">
        <v>0</v>
      </c>
      <c r="P33" s="6">
        <v>0</v>
      </c>
      <c r="Q33" s="6"/>
    </row>
    <row r="34" spans="1:17">
      <c r="A34" s="349">
        <v>46113</v>
      </c>
      <c r="B34" s="89">
        <f>SUM(B4:B33)</f>
        <v>1425870</v>
      </c>
      <c r="C34" s="89">
        <f>SUM(C4:C33)</f>
        <v>1194240</v>
      </c>
      <c r="D34" s="89">
        <f>SUM(D4:D33)</f>
        <v>1330504.2</v>
      </c>
      <c r="E34" s="89">
        <f>SUM(E4:E33)</f>
        <v>1308400</v>
      </c>
      <c r="F34" s="92">
        <f t="shared" ref="F34:F58" si="8">(IF(ISBLANK(E34),0,E34-C34))/C34</f>
        <v>9.5592175777063235E-2</v>
      </c>
      <c r="G34" s="90">
        <f>AVERAGE(G4:G33)</f>
        <v>0.18479225000000002</v>
      </c>
      <c r="H34" s="90">
        <f>AVERAGE(H4:H33)</f>
        <v>0.24638966666666662</v>
      </c>
      <c r="I34" s="89">
        <f>SUM(I4:I33)</f>
        <v>175.20000000000007</v>
      </c>
      <c r="J34" s="89">
        <f>SUM(J4:J33)</f>
        <v>188.66</v>
      </c>
      <c r="K34" s="92">
        <f t="shared" si="7"/>
        <v>7.6826484018264363E-2</v>
      </c>
      <c r="L34" s="93">
        <f t="shared" si="4"/>
        <v>0.70523916039436019</v>
      </c>
      <c r="M34" s="90">
        <f>AVERAGE(M4:M33)</f>
        <v>0.99959999999999993</v>
      </c>
      <c r="N34" s="90">
        <f>AVERAGE(N4:N33)</f>
        <v>0.97253999999999996</v>
      </c>
      <c r="O34" s="89">
        <f>SUM(O4:O33)</f>
        <v>61636</v>
      </c>
      <c r="P34" s="89">
        <f>SUM(P4:P33)</f>
        <v>1236</v>
      </c>
      <c r="Q34" s="91"/>
    </row>
    <row r="35" spans="1:17">
      <c r="A35" s="13">
        <v>46143</v>
      </c>
      <c r="B35" s="35">
        <v>45123</v>
      </c>
      <c r="C35" s="36">
        <v>37793</v>
      </c>
      <c r="D35" s="37">
        <v>36284.400000000001</v>
      </c>
      <c r="E35" s="37">
        <v>35700</v>
      </c>
      <c r="F35" s="88">
        <f t="shared" si="8"/>
        <v>-5.5380626041859601E-2</v>
      </c>
      <c r="G35" s="2">
        <f t="shared" ref="G35:G65" si="9">D35/($D$2*24)</f>
        <v>0.15118500000000001</v>
      </c>
      <c r="H35" s="2">
        <f t="shared" ref="H35:H65" si="10">D35/($H$2*24)</f>
        <v>0.20158000000000001</v>
      </c>
      <c r="I35" s="36">
        <v>5.54</v>
      </c>
      <c r="J35" s="37">
        <v>4.78</v>
      </c>
      <c r="K35" s="88">
        <f t="shared" ref="K35:K58" si="11">(IF(ISBLANK(J35),0,J35-I35))/I35</f>
        <v>-0.13718411552346566</v>
      </c>
      <c r="L35" s="40">
        <f t="shared" si="4"/>
        <v>0.75908786610878665</v>
      </c>
      <c r="M35" s="41">
        <v>1</v>
      </c>
      <c r="N35" s="41">
        <v>1</v>
      </c>
      <c r="O35" s="37">
        <v>0</v>
      </c>
      <c r="P35" s="37">
        <v>0</v>
      </c>
      <c r="Q35" s="37"/>
    </row>
    <row r="36" spans="1:17">
      <c r="A36" s="13">
        <f>A35+1</f>
        <v>46144</v>
      </c>
      <c r="B36" s="35">
        <v>45123</v>
      </c>
      <c r="C36" s="36">
        <v>37793</v>
      </c>
      <c r="D36" s="44">
        <v>44243.3</v>
      </c>
      <c r="E36" s="44">
        <v>43500</v>
      </c>
      <c r="F36" s="88">
        <f t="shared" si="8"/>
        <v>0.15100680020109544</v>
      </c>
      <c r="G36" s="2">
        <f t="shared" si="9"/>
        <v>0.18434708333333336</v>
      </c>
      <c r="H36" s="2">
        <f t="shared" si="10"/>
        <v>0.24579611111111113</v>
      </c>
      <c r="I36" s="36">
        <v>5.54</v>
      </c>
      <c r="J36" s="44">
        <v>5.57</v>
      </c>
      <c r="K36" s="88">
        <f t="shared" si="11"/>
        <v>5.4151624548736911E-3</v>
      </c>
      <c r="L36" s="40">
        <f t="shared" ref="L36:L66" si="12">D36/($D$2*J36)</f>
        <v>0.79431418312387791</v>
      </c>
      <c r="M36" s="48">
        <v>1</v>
      </c>
      <c r="N36" s="48">
        <v>1</v>
      </c>
      <c r="O36" s="44">
        <v>0</v>
      </c>
      <c r="P36" s="44">
        <v>0</v>
      </c>
      <c r="Q36" s="44"/>
    </row>
    <row r="37" spans="1:17">
      <c r="A37" s="13">
        <f t="shared" ref="A37:A65" si="13">A36+1</f>
        <v>46145</v>
      </c>
      <c r="B37" s="35">
        <v>45123</v>
      </c>
      <c r="C37" s="36">
        <v>37793</v>
      </c>
      <c r="D37" s="44">
        <v>43308.6</v>
      </c>
      <c r="E37" s="44">
        <v>42700</v>
      </c>
      <c r="F37" s="88">
        <f t="shared" si="8"/>
        <v>0.12983885904797185</v>
      </c>
      <c r="G37" s="2">
        <f t="shared" si="9"/>
        <v>0.18045249999999999</v>
      </c>
      <c r="H37" s="2">
        <f t="shared" si="10"/>
        <v>0.24060333333333334</v>
      </c>
      <c r="I37" s="36">
        <v>5.54</v>
      </c>
      <c r="J37" s="44">
        <v>6.29</v>
      </c>
      <c r="K37" s="88">
        <f t="shared" si="11"/>
        <v>0.13537906137184116</v>
      </c>
      <c r="L37" s="40">
        <f t="shared" si="12"/>
        <v>0.68853100158982505</v>
      </c>
      <c r="M37" s="48">
        <v>1</v>
      </c>
      <c r="N37" s="48">
        <v>0.95440000000000003</v>
      </c>
      <c r="O37" s="44">
        <v>3290</v>
      </c>
      <c r="P37" s="44">
        <v>0</v>
      </c>
      <c r="Q37" s="44" t="s">
        <v>261</v>
      </c>
    </row>
    <row r="38" spans="1:17">
      <c r="A38" s="13">
        <f t="shared" si="13"/>
        <v>46146</v>
      </c>
      <c r="B38" s="35">
        <v>45123</v>
      </c>
      <c r="C38" s="36">
        <v>37793</v>
      </c>
      <c r="D38" s="44">
        <v>33171.1</v>
      </c>
      <c r="E38" s="44">
        <v>32800</v>
      </c>
      <c r="F38" s="88">
        <f t="shared" si="8"/>
        <v>-0.13211441272193264</v>
      </c>
      <c r="G38" s="2">
        <f t="shared" si="9"/>
        <v>0.13821291666666666</v>
      </c>
      <c r="H38" s="2">
        <f t="shared" si="10"/>
        <v>0.18428388888888889</v>
      </c>
      <c r="I38" s="43">
        <v>5.54</v>
      </c>
      <c r="J38" s="44">
        <v>4.42</v>
      </c>
      <c r="K38" s="88">
        <f t="shared" si="11"/>
        <v>-0.20216606498194947</v>
      </c>
      <c r="L38" s="40">
        <f t="shared" si="12"/>
        <v>0.75047737556561078</v>
      </c>
      <c r="M38" s="48">
        <v>1</v>
      </c>
      <c r="N38" s="48">
        <v>1</v>
      </c>
      <c r="O38" s="44">
        <v>0</v>
      </c>
      <c r="P38" s="44">
        <v>0</v>
      </c>
      <c r="Q38" s="44" t="s">
        <v>263</v>
      </c>
    </row>
    <row r="39" spans="1:17">
      <c r="A39" s="13">
        <f t="shared" si="13"/>
        <v>46147</v>
      </c>
      <c r="B39" s="35">
        <v>45123</v>
      </c>
      <c r="C39" s="36">
        <v>37793</v>
      </c>
      <c r="D39" s="44">
        <v>32013.4</v>
      </c>
      <c r="E39" s="44">
        <v>31700</v>
      </c>
      <c r="F39" s="88">
        <f t="shared" si="8"/>
        <v>-0.16122033180747758</v>
      </c>
      <c r="G39" s="2">
        <f t="shared" si="9"/>
        <v>0.13338916666666667</v>
      </c>
      <c r="H39" s="2">
        <f t="shared" si="10"/>
        <v>0.17785222222222222</v>
      </c>
      <c r="I39" s="43">
        <v>5.54</v>
      </c>
      <c r="J39" s="44">
        <v>4.26</v>
      </c>
      <c r="K39" s="88">
        <f t="shared" si="11"/>
        <v>-0.23104693140794227</v>
      </c>
      <c r="L39" s="40">
        <f t="shared" si="12"/>
        <v>0.75148826291079818</v>
      </c>
      <c r="M39" s="48">
        <v>1</v>
      </c>
      <c r="N39" s="48">
        <v>0.96350000000000002</v>
      </c>
      <c r="O39" s="44">
        <v>280</v>
      </c>
      <c r="P39" s="44">
        <v>0</v>
      </c>
      <c r="Q39" s="44" t="s">
        <v>264</v>
      </c>
    </row>
    <row r="40" spans="1:17">
      <c r="A40" s="13">
        <f t="shared" si="13"/>
        <v>46148</v>
      </c>
      <c r="B40" s="35">
        <v>45123</v>
      </c>
      <c r="C40" s="36">
        <v>37793</v>
      </c>
      <c r="D40" s="44"/>
      <c r="E40" s="44"/>
      <c r="F40" s="88">
        <f t="shared" si="8"/>
        <v>0</v>
      </c>
      <c r="G40" s="2">
        <f t="shared" si="9"/>
        <v>0</v>
      </c>
      <c r="H40" s="2">
        <f t="shared" si="10"/>
        <v>0</v>
      </c>
      <c r="I40" s="43"/>
      <c r="J40" s="44"/>
      <c r="K40" s="88" t="e">
        <f t="shared" si="11"/>
        <v>#DIV/0!</v>
      </c>
      <c r="L40" s="40" t="e">
        <f t="shared" si="12"/>
        <v>#DIV/0!</v>
      </c>
      <c r="M40" s="48">
        <v>1</v>
      </c>
      <c r="N40" s="48">
        <v>0.93799999999999994</v>
      </c>
      <c r="O40" s="44">
        <v>3250</v>
      </c>
      <c r="P40" s="44">
        <v>0</v>
      </c>
      <c r="Q40" s="44" t="s">
        <v>258</v>
      </c>
    </row>
    <row r="41" spans="1:17">
      <c r="A41" s="13">
        <f t="shared" si="13"/>
        <v>46149</v>
      </c>
      <c r="B41" s="35"/>
      <c r="C41" s="43"/>
      <c r="D41" s="44"/>
      <c r="E41" s="44"/>
      <c r="F41" s="88" t="e">
        <f t="shared" si="8"/>
        <v>#DIV/0!</v>
      </c>
      <c r="G41" s="2">
        <f t="shared" si="9"/>
        <v>0</v>
      </c>
      <c r="H41" s="2">
        <f t="shared" si="10"/>
        <v>0</v>
      </c>
      <c r="I41" s="43"/>
      <c r="J41" s="44"/>
      <c r="K41" s="88" t="e">
        <f t="shared" si="11"/>
        <v>#DIV/0!</v>
      </c>
      <c r="L41" s="40" t="e">
        <f t="shared" si="12"/>
        <v>#DIV/0!</v>
      </c>
      <c r="M41" s="48"/>
      <c r="N41" s="48"/>
      <c r="O41" s="44"/>
      <c r="P41" s="44"/>
      <c r="Q41" s="44"/>
    </row>
    <row r="42" spans="1:17">
      <c r="A42" s="13">
        <f t="shared" si="13"/>
        <v>46150</v>
      </c>
      <c r="B42" s="35"/>
      <c r="C42" s="43"/>
      <c r="D42" s="44"/>
      <c r="E42" s="44"/>
      <c r="F42" s="88" t="e">
        <f t="shared" si="8"/>
        <v>#DIV/0!</v>
      </c>
      <c r="G42" s="2">
        <f t="shared" si="9"/>
        <v>0</v>
      </c>
      <c r="H42" s="2">
        <f t="shared" si="10"/>
        <v>0</v>
      </c>
      <c r="I42" s="43"/>
      <c r="J42" s="44"/>
      <c r="K42" s="88" t="e">
        <f t="shared" si="11"/>
        <v>#DIV/0!</v>
      </c>
      <c r="L42" s="40" t="e">
        <f t="shared" si="12"/>
        <v>#DIV/0!</v>
      </c>
      <c r="M42" s="48"/>
      <c r="N42" s="48"/>
      <c r="O42" s="44"/>
      <c r="P42" s="44"/>
      <c r="Q42" s="44"/>
    </row>
    <row r="43" spans="1:17">
      <c r="A43" s="13">
        <f t="shared" si="13"/>
        <v>46151</v>
      </c>
      <c r="B43" s="35"/>
      <c r="C43" s="43"/>
      <c r="D43" s="44"/>
      <c r="E43" s="44"/>
      <c r="F43" s="88" t="e">
        <f t="shared" si="8"/>
        <v>#DIV/0!</v>
      </c>
      <c r="G43" s="2">
        <f t="shared" si="9"/>
        <v>0</v>
      </c>
      <c r="H43" s="2">
        <f t="shared" si="10"/>
        <v>0</v>
      </c>
      <c r="I43" s="43"/>
      <c r="J43" s="44"/>
      <c r="K43" s="88" t="e">
        <f t="shared" si="11"/>
        <v>#DIV/0!</v>
      </c>
      <c r="L43" s="40" t="e">
        <f t="shared" si="12"/>
        <v>#DIV/0!</v>
      </c>
      <c r="M43" s="48"/>
      <c r="N43" s="48"/>
      <c r="O43" s="44"/>
      <c r="P43" s="44"/>
      <c r="Q43" s="44"/>
    </row>
    <row r="44" spans="1:17">
      <c r="A44" s="13">
        <f t="shared" si="13"/>
        <v>46152</v>
      </c>
      <c r="B44" s="35"/>
      <c r="C44" s="43"/>
      <c r="D44" s="44"/>
      <c r="E44" s="44"/>
      <c r="F44" s="88" t="e">
        <f t="shared" si="8"/>
        <v>#DIV/0!</v>
      </c>
      <c r="G44" s="2">
        <f t="shared" si="9"/>
        <v>0</v>
      </c>
      <c r="H44" s="2">
        <f t="shared" si="10"/>
        <v>0</v>
      </c>
      <c r="I44" s="43"/>
      <c r="J44" s="44"/>
      <c r="K44" s="88" t="e">
        <f t="shared" si="11"/>
        <v>#DIV/0!</v>
      </c>
      <c r="L44" s="40" t="e">
        <f t="shared" si="12"/>
        <v>#DIV/0!</v>
      </c>
      <c r="M44" s="48"/>
      <c r="N44" s="48"/>
      <c r="O44" s="44"/>
      <c r="P44" s="44"/>
      <c r="Q44" s="44"/>
    </row>
    <row r="45" spans="1:17">
      <c r="A45" s="13">
        <f t="shared" si="13"/>
        <v>46153</v>
      </c>
      <c r="B45" s="35"/>
      <c r="C45" s="43"/>
      <c r="D45" s="44"/>
      <c r="E45" s="44"/>
      <c r="F45" s="88" t="e">
        <f t="shared" si="8"/>
        <v>#DIV/0!</v>
      </c>
      <c r="G45" s="2">
        <f t="shared" si="9"/>
        <v>0</v>
      </c>
      <c r="H45" s="2">
        <f t="shared" si="10"/>
        <v>0</v>
      </c>
      <c r="I45" s="43"/>
      <c r="J45" s="44"/>
      <c r="K45" s="88" t="e">
        <f t="shared" si="11"/>
        <v>#DIV/0!</v>
      </c>
      <c r="L45" s="40" t="e">
        <f t="shared" si="12"/>
        <v>#DIV/0!</v>
      </c>
      <c r="M45" s="48"/>
      <c r="N45" s="48"/>
      <c r="O45" s="44"/>
      <c r="P45" s="44"/>
      <c r="Q45" s="44"/>
    </row>
    <row r="46" spans="1:17">
      <c r="A46" s="13">
        <f t="shared" si="13"/>
        <v>46154</v>
      </c>
      <c r="B46" s="35"/>
      <c r="C46" s="43"/>
      <c r="D46" s="44"/>
      <c r="E46" s="44"/>
      <c r="F46" s="88" t="e">
        <f t="shared" si="8"/>
        <v>#DIV/0!</v>
      </c>
      <c r="G46" s="2">
        <f t="shared" si="9"/>
        <v>0</v>
      </c>
      <c r="H46" s="2">
        <f t="shared" si="10"/>
        <v>0</v>
      </c>
      <c r="I46" s="43"/>
      <c r="J46" s="44"/>
      <c r="K46" s="88" t="e">
        <f t="shared" si="11"/>
        <v>#DIV/0!</v>
      </c>
      <c r="L46" s="40" t="e">
        <f t="shared" si="12"/>
        <v>#DIV/0!</v>
      </c>
      <c r="M46" s="48"/>
      <c r="N46" s="48"/>
      <c r="O46" s="44"/>
      <c r="P46" s="44"/>
      <c r="Q46" s="44"/>
    </row>
    <row r="47" spans="1:17">
      <c r="A47" s="13">
        <f t="shared" si="13"/>
        <v>46155</v>
      </c>
      <c r="B47" s="35"/>
      <c r="C47" s="43"/>
      <c r="D47" s="44"/>
      <c r="E47" s="44"/>
      <c r="F47" s="88" t="e">
        <f t="shared" si="8"/>
        <v>#DIV/0!</v>
      </c>
      <c r="G47" s="2">
        <f t="shared" si="9"/>
        <v>0</v>
      </c>
      <c r="H47" s="2">
        <f t="shared" si="10"/>
        <v>0</v>
      </c>
      <c r="I47" s="43"/>
      <c r="J47" s="44"/>
      <c r="K47" s="88" t="e">
        <f t="shared" si="11"/>
        <v>#DIV/0!</v>
      </c>
      <c r="L47" s="40" t="e">
        <f t="shared" si="12"/>
        <v>#DIV/0!</v>
      </c>
      <c r="M47" s="48"/>
      <c r="N47" s="48"/>
      <c r="O47" s="44"/>
      <c r="P47" s="44"/>
      <c r="Q47" s="44"/>
    </row>
    <row r="48" spans="1:17">
      <c r="A48" s="13">
        <f t="shared" si="13"/>
        <v>46156</v>
      </c>
      <c r="B48" s="35"/>
      <c r="C48" s="43"/>
      <c r="D48" s="44"/>
      <c r="E48" s="44"/>
      <c r="F48" s="88" t="e">
        <f t="shared" si="8"/>
        <v>#DIV/0!</v>
      </c>
      <c r="G48" s="2">
        <f t="shared" si="9"/>
        <v>0</v>
      </c>
      <c r="H48" s="2">
        <f t="shared" si="10"/>
        <v>0</v>
      </c>
      <c r="I48" s="43"/>
      <c r="J48" s="44"/>
      <c r="K48" s="88" t="e">
        <f t="shared" si="11"/>
        <v>#DIV/0!</v>
      </c>
      <c r="L48" s="40" t="e">
        <f t="shared" si="12"/>
        <v>#DIV/0!</v>
      </c>
      <c r="M48" s="48"/>
      <c r="N48" s="48"/>
      <c r="O48" s="44"/>
      <c r="P48" s="44"/>
      <c r="Q48" s="44"/>
    </row>
    <row r="49" spans="1:17">
      <c r="A49" s="13">
        <f t="shared" si="13"/>
        <v>46157</v>
      </c>
      <c r="B49" s="35"/>
      <c r="C49" s="43"/>
      <c r="D49" s="44"/>
      <c r="E49" s="44"/>
      <c r="F49" s="88" t="e">
        <f t="shared" si="8"/>
        <v>#DIV/0!</v>
      </c>
      <c r="G49" s="2">
        <f t="shared" si="9"/>
        <v>0</v>
      </c>
      <c r="H49" s="2">
        <f t="shared" si="10"/>
        <v>0</v>
      </c>
      <c r="I49" s="43"/>
      <c r="J49" s="44"/>
      <c r="K49" s="88" t="e">
        <f t="shared" si="11"/>
        <v>#DIV/0!</v>
      </c>
      <c r="L49" s="40" t="e">
        <f t="shared" si="12"/>
        <v>#DIV/0!</v>
      </c>
      <c r="M49" s="48"/>
      <c r="N49" s="48"/>
      <c r="O49" s="44"/>
      <c r="P49" s="44"/>
      <c r="Q49" s="44"/>
    </row>
    <row r="50" spans="1:17">
      <c r="A50" s="13">
        <f t="shared" si="13"/>
        <v>46158</v>
      </c>
      <c r="B50" s="35"/>
      <c r="C50" s="43"/>
      <c r="D50" s="44"/>
      <c r="E50" s="44"/>
      <c r="F50" s="88" t="e">
        <f t="shared" si="8"/>
        <v>#DIV/0!</v>
      </c>
      <c r="G50" s="2">
        <f t="shared" si="9"/>
        <v>0</v>
      </c>
      <c r="H50" s="2">
        <f t="shared" si="10"/>
        <v>0</v>
      </c>
      <c r="I50" s="43"/>
      <c r="J50" s="44"/>
      <c r="K50" s="88" t="e">
        <f t="shared" si="11"/>
        <v>#DIV/0!</v>
      </c>
      <c r="L50" s="40" t="e">
        <f t="shared" si="12"/>
        <v>#DIV/0!</v>
      </c>
      <c r="M50" s="48"/>
      <c r="N50" s="48"/>
      <c r="O50" s="44"/>
      <c r="P50" s="44"/>
      <c r="Q50" s="44"/>
    </row>
    <row r="51" spans="1:17">
      <c r="A51" s="13">
        <f t="shared" si="13"/>
        <v>46159</v>
      </c>
      <c r="B51" s="35"/>
      <c r="C51" s="43"/>
      <c r="D51" s="44"/>
      <c r="E51" s="44"/>
      <c r="F51" s="88" t="e">
        <f t="shared" si="8"/>
        <v>#DIV/0!</v>
      </c>
      <c r="G51" s="2">
        <f t="shared" si="9"/>
        <v>0</v>
      </c>
      <c r="H51" s="2">
        <f t="shared" si="10"/>
        <v>0</v>
      </c>
      <c r="I51" s="43"/>
      <c r="J51" s="44"/>
      <c r="K51" s="88" t="e">
        <f t="shared" si="11"/>
        <v>#DIV/0!</v>
      </c>
      <c r="L51" s="40" t="e">
        <f t="shared" si="12"/>
        <v>#DIV/0!</v>
      </c>
      <c r="M51" s="48"/>
      <c r="N51" s="48"/>
      <c r="O51" s="44"/>
      <c r="P51" s="44"/>
      <c r="Q51" s="44"/>
    </row>
    <row r="52" spans="1:17">
      <c r="A52" s="13">
        <f t="shared" si="13"/>
        <v>46160</v>
      </c>
      <c r="B52" s="35"/>
      <c r="C52" s="43"/>
      <c r="D52" s="44"/>
      <c r="E52" s="44"/>
      <c r="F52" s="88" t="e">
        <f t="shared" si="8"/>
        <v>#DIV/0!</v>
      </c>
      <c r="G52" s="2">
        <f t="shared" si="9"/>
        <v>0</v>
      </c>
      <c r="H52" s="2">
        <f t="shared" si="10"/>
        <v>0</v>
      </c>
      <c r="I52" s="43"/>
      <c r="J52" s="44"/>
      <c r="K52" s="88" t="e">
        <f t="shared" si="11"/>
        <v>#DIV/0!</v>
      </c>
      <c r="L52" s="40" t="e">
        <f t="shared" si="12"/>
        <v>#DIV/0!</v>
      </c>
      <c r="M52" s="48"/>
      <c r="N52" s="48"/>
      <c r="O52" s="44"/>
      <c r="P52" s="44"/>
      <c r="Q52" s="44"/>
    </row>
    <row r="53" spans="1:17">
      <c r="A53" s="13">
        <f t="shared" si="13"/>
        <v>46161</v>
      </c>
      <c r="B53" s="35"/>
      <c r="C53" s="43"/>
      <c r="D53" s="44"/>
      <c r="E53" s="44"/>
      <c r="F53" s="88" t="e">
        <f t="shared" si="8"/>
        <v>#DIV/0!</v>
      </c>
      <c r="G53" s="2">
        <f t="shared" si="9"/>
        <v>0</v>
      </c>
      <c r="H53" s="2">
        <f t="shared" si="10"/>
        <v>0</v>
      </c>
      <c r="I53" s="43"/>
      <c r="J53" s="44"/>
      <c r="K53" s="88" t="e">
        <f t="shared" si="11"/>
        <v>#DIV/0!</v>
      </c>
      <c r="L53" s="40" t="e">
        <f t="shared" si="12"/>
        <v>#DIV/0!</v>
      </c>
      <c r="M53" s="48"/>
      <c r="N53" s="48"/>
      <c r="O53" s="44"/>
      <c r="P53" s="44"/>
      <c r="Q53" s="44"/>
    </row>
    <row r="54" spans="1:17">
      <c r="A54" s="13">
        <f t="shared" si="13"/>
        <v>46162</v>
      </c>
      <c r="B54" s="35"/>
      <c r="C54" s="43"/>
      <c r="D54" s="44"/>
      <c r="E54" s="44"/>
      <c r="F54" s="88" t="e">
        <f t="shared" si="8"/>
        <v>#DIV/0!</v>
      </c>
      <c r="G54" s="2">
        <f t="shared" si="9"/>
        <v>0</v>
      </c>
      <c r="H54" s="2">
        <f t="shared" si="10"/>
        <v>0</v>
      </c>
      <c r="I54" s="43"/>
      <c r="J54" s="44"/>
      <c r="K54" s="88" t="e">
        <f t="shared" si="11"/>
        <v>#DIV/0!</v>
      </c>
      <c r="L54" s="40" t="e">
        <f t="shared" si="12"/>
        <v>#DIV/0!</v>
      </c>
      <c r="M54" s="48"/>
      <c r="N54" s="48"/>
      <c r="O54" s="44"/>
      <c r="P54" s="44"/>
      <c r="Q54" s="44"/>
    </row>
    <row r="55" spans="1:17">
      <c r="A55" s="13">
        <f t="shared" si="13"/>
        <v>46163</v>
      </c>
      <c r="B55" s="35"/>
      <c r="C55" s="43"/>
      <c r="D55" s="44"/>
      <c r="E55" s="44"/>
      <c r="F55" s="88" t="e">
        <f t="shared" si="8"/>
        <v>#DIV/0!</v>
      </c>
      <c r="G55" s="2">
        <f t="shared" si="9"/>
        <v>0</v>
      </c>
      <c r="H55" s="2">
        <f t="shared" si="10"/>
        <v>0</v>
      </c>
      <c r="I55" s="43"/>
      <c r="J55" s="44"/>
      <c r="K55" s="88" t="e">
        <f t="shared" si="11"/>
        <v>#DIV/0!</v>
      </c>
      <c r="L55" s="40" t="e">
        <f t="shared" si="12"/>
        <v>#DIV/0!</v>
      </c>
      <c r="M55" s="48"/>
      <c r="N55" s="48"/>
      <c r="O55" s="44"/>
      <c r="P55" s="44"/>
      <c r="Q55" s="44"/>
    </row>
    <row r="56" spans="1:17">
      <c r="A56" s="13">
        <f t="shared" si="13"/>
        <v>46164</v>
      </c>
      <c r="B56" s="35"/>
      <c r="C56" s="43"/>
      <c r="D56" s="44"/>
      <c r="E56" s="44"/>
      <c r="F56" s="88" t="e">
        <f t="shared" si="8"/>
        <v>#DIV/0!</v>
      </c>
      <c r="G56" s="2">
        <f t="shared" si="9"/>
        <v>0</v>
      </c>
      <c r="H56" s="2">
        <f t="shared" si="10"/>
        <v>0</v>
      </c>
      <c r="I56" s="43"/>
      <c r="J56" s="44"/>
      <c r="K56" s="88" t="e">
        <f t="shared" si="11"/>
        <v>#DIV/0!</v>
      </c>
      <c r="L56" s="40" t="e">
        <f t="shared" si="12"/>
        <v>#DIV/0!</v>
      </c>
      <c r="M56" s="48"/>
      <c r="N56" s="48"/>
      <c r="O56" s="44"/>
      <c r="P56" s="44"/>
      <c r="Q56" s="44"/>
    </row>
    <row r="57" spans="1:17">
      <c r="A57" s="13">
        <f t="shared" si="13"/>
        <v>46165</v>
      </c>
      <c r="B57" s="35"/>
      <c r="C57" s="43"/>
      <c r="D57" s="44"/>
      <c r="E57" s="44"/>
      <c r="F57" s="88" t="e">
        <f t="shared" si="8"/>
        <v>#DIV/0!</v>
      </c>
      <c r="G57" s="2">
        <f t="shared" si="9"/>
        <v>0</v>
      </c>
      <c r="H57" s="2">
        <f t="shared" si="10"/>
        <v>0</v>
      </c>
      <c r="I57" s="43"/>
      <c r="J57" s="44"/>
      <c r="K57" s="88" t="e">
        <f t="shared" si="11"/>
        <v>#DIV/0!</v>
      </c>
      <c r="L57" s="40" t="e">
        <f t="shared" si="12"/>
        <v>#DIV/0!</v>
      </c>
      <c r="M57" s="48"/>
      <c r="N57" s="48"/>
      <c r="O57" s="44"/>
      <c r="P57" s="44"/>
      <c r="Q57" s="44"/>
    </row>
    <row r="58" spans="1:17">
      <c r="A58" s="13">
        <f t="shared" si="13"/>
        <v>46166</v>
      </c>
      <c r="B58" s="35"/>
      <c r="C58" s="43"/>
      <c r="D58" s="44"/>
      <c r="E58" s="44"/>
      <c r="F58" s="88" t="e">
        <f t="shared" si="8"/>
        <v>#DIV/0!</v>
      </c>
      <c r="G58" s="2">
        <f t="shared" si="9"/>
        <v>0</v>
      </c>
      <c r="H58" s="2">
        <f t="shared" si="10"/>
        <v>0</v>
      </c>
      <c r="I58" s="43"/>
      <c r="J58" s="44"/>
      <c r="K58" s="88" t="e">
        <f t="shared" si="11"/>
        <v>#DIV/0!</v>
      </c>
      <c r="L58" s="40" t="e">
        <f t="shared" si="12"/>
        <v>#DIV/0!</v>
      </c>
      <c r="M58" s="48"/>
      <c r="N58" s="48"/>
      <c r="O58" s="44"/>
      <c r="P58" s="44"/>
      <c r="Q58" s="44"/>
    </row>
    <row r="59" spans="1:17">
      <c r="A59" s="13">
        <f t="shared" si="13"/>
        <v>46167</v>
      </c>
      <c r="B59" s="35"/>
      <c r="C59" s="43"/>
      <c r="D59" s="6"/>
      <c r="E59" s="6"/>
      <c r="F59" s="88" t="e">
        <f t="shared" ref="F59:F62" si="14">(IF(ISBLANK(E59),0,E59-C59))/C59</f>
        <v>#DIV/0!</v>
      </c>
      <c r="G59" s="2">
        <f t="shared" si="9"/>
        <v>0</v>
      </c>
      <c r="H59" s="2">
        <f t="shared" si="10"/>
        <v>0</v>
      </c>
      <c r="I59" s="43"/>
      <c r="J59" s="6"/>
      <c r="K59" s="88" t="e">
        <f t="shared" ref="K59:K62" si="15">(IF(ISBLANK(J59),0,J59-I59))/I59</f>
        <v>#DIV/0!</v>
      </c>
      <c r="L59" s="40" t="e">
        <f t="shared" si="12"/>
        <v>#DIV/0!</v>
      </c>
      <c r="M59" s="25"/>
      <c r="N59" s="25"/>
      <c r="O59" s="6"/>
      <c r="P59" s="6"/>
      <c r="Q59" s="6"/>
    </row>
    <row r="60" spans="1:17">
      <c r="A60" s="13">
        <f t="shared" si="13"/>
        <v>46168</v>
      </c>
      <c r="B60" s="35"/>
      <c r="C60" s="43"/>
      <c r="D60" s="6"/>
      <c r="E60" s="6"/>
      <c r="F60" s="88" t="e">
        <f t="shared" si="14"/>
        <v>#DIV/0!</v>
      </c>
      <c r="G60" s="2">
        <f t="shared" si="9"/>
        <v>0</v>
      </c>
      <c r="H60" s="2">
        <f t="shared" si="10"/>
        <v>0</v>
      </c>
      <c r="I60" s="43"/>
      <c r="J60" s="6"/>
      <c r="K60" s="88" t="e">
        <f t="shared" si="15"/>
        <v>#DIV/0!</v>
      </c>
      <c r="L60" s="40" t="e">
        <f t="shared" si="12"/>
        <v>#DIV/0!</v>
      </c>
      <c r="M60" s="25"/>
      <c r="N60" s="25"/>
      <c r="O60" s="6"/>
      <c r="P60" s="6"/>
      <c r="Q60" s="44"/>
    </row>
    <row r="61" spans="1:17">
      <c r="A61" s="13">
        <f t="shared" si="13"/>
        <v>46169</v>
      </c>
      <c r="B61" s="35"/>
      <c r="C61" s="43"/>
      <c r="D61" s="6"/>
      <c r="E61" s="6"/>
      <c r="F61" s="88" t="e">
        <f t="shared" si="14"/>
        <v>#DIV/0!</v>
      </c>
      <c r="G61" s="2">
        <f t="shared" si="9"/>
        <v>0</v>
      </c>
      <c r="H61" s="2">
        <f t="shared" si="10"/>
        <v>0</v>
      </c>
      <c r="I61" s="43"/>
      <c r="J61" s="6"/>
      <c r="K61" s="88" t="e">
        <f t="shared" si="15"/>
        <v>#DIV/0!</v>
      </c>
      <c r="L61" s="40" t="e">
        <f t="shared" si="12"/>
        <v>#DIV/0!</v>
      </c>
      <c r="M61" s="25"/>
      <c r="N61" s="25"/>
      <c r="O61" s="6"/>
      <c r="P61" s="6"/>
      <c r="Q61" s="6"/>
    </row>
    <row r="62" spans="1:17">
      <c r="A62" s="13">
        <f t="shared" si="13"/>
        <v>46170</v>
      </c>
      <c r="B62" s="35"/>
      <c r="C62" s="43"/>
      <c r="D62" s="6"/>
      <c r="E62" s="6"/>
      <c r="F62" s="88" t="e">
        <f t="shared" si="14"/>
        <v>#DIV/0!</v>
      </c>
      <c r="G62" s="2">
        <f t="shared" si="9"/>
        <v>0</v>
      </c>
      <c r="H62" s="2">
        <f t="shared" si="10"/>
        <v>0</v>
      </c>
      <c r="I62" s="43"/>
      <c r="J62" s="6"/>
      <c r="K62" s="88" t="e">
        <f t="shared" si="15"/>
        <v>#DIV/0!</v>
      </c>
      <c r="L62" s="40" t="e">
        <f t="shared" si="12"/>
        <v>#DIV/0!</v>
      </c>
      <c r="M62" s="25"/>
      <c r="N62" s="25"/>
      <c r="O62" s="6"/>
      <c r="P62" s="6"/>
      <c r="Q62" s="6"/>
    </row>
    <row r="63" spans="1:17">
      <c r="A63" s="13">
        <f t="shared" si="13"/>
        <v>46171</v>
      </c>
      <c r="B63" s="35"/>
      <c r="C63" s="43"/>
      <c r="D63" s="6"/>
      <c r="E63" s="6"/>
      <c r="F63" s="88" t="e">
        <f>(IF(ISBLANK(E63),0,E63-C63))/C63</f>
        <v>#DIV/0!</v>
      </c>
      <c r="G63" s="2">
        <f t="shared" si="9"/>
        <v>0</v>
      </c>
      <c r="H63" s="2">
        <f t="shared" si="10"/>
        <v>0</v>
      </c>
      <c r="I63" s="43"/>
      <c r="J63" s="6"/>
      <c r="K63" s="88" t="e">
        <f>(IF(ISBLANK(J63),0,J63-I63))/I63</f>
        <v>#DIV/0!</v>
      </c>
      <c r="L63" s="40" t="e">
        <f t="shared" si="12"/>
        <v>#DIV/0!</v>
      </c>
      <c r="M63" s="25"/>
      <c r="N63" s="25"/>
      <c r="O63" s="6"/>
      <c r="P63" s="6"/>
      <c r="Q63" s="6"/>
    </row>
    <row r="64" spans="1:17">
      <c r="A64" s="13">
        <f t="shared" si="13"/>
        <v>46172</v>
      </c>
      <c r="B64" s="35"/>
      <c r="C64" s="43"/>
      <c r="D64" s="6"/>
      <c r="E64" s="6"/>
      <c r="F64" s="88" t="e">
        <f t="shared" ref="F64" si="16">(IF(ISBLANK(E64),0,E64-C64))/C64</f>
        <v>#DIV/0!</v>
      </c>
      <c r="G64" s="2">
        <f t="shared" si="9"/>
        <v>0</v>
      </c>
      <c r="H64" s="2">
        <f t="shared" si="10"/>
        <v>0</v>
      </c>
      <c r="I64" s="43"/>
      <c r="J64" s="6"/>
      <c r="K64" s="88" t="e">
        <f t="shared" ref="K64" si="17">(IF(ISBLANK(J64),0,J64-I64))/I64</f>
        <v>#DIV/0!</v>
      </c>
      <c r="L64" s="40" t="e">
        <f t="shared" si="12"/>
        <v>#DIV/0!</v>
      </c>
      <c r="M64" s="25"/>
      <c r="N64" s="25"/>
      <c r="O64" s="6"/>
      <c r="P64" s="6"/>
      <c r="Q64" s="6"/>
    </row>
    <row r="65" spans="1:17">
      <c r="A65" s="13">
        <f t="shared" si="13"/>
        <v>46173</v>
      </c>
      <c r="B65" s="35"/>
      <c r="C65" s="43"/>
      <c r="D65" s="6"/>
      <c r="E65" s="6"/>
      <c r="F65" s="88" t="e">
        <f t="shared" ref="F65" si="18">(IF(ISBLANK(E65),0,E65-C65))/C65</f>
        <v>#DIV/0!</v>
      </c>
      <c r="G65" s="2">
        <f t="shared" si="9"/>
        <v>0</v>
      </c>
      <c r="H65" s="2">
        <f t="shared" si="10"/>
        <v>0</v>
      </c>
      <c r="I65" s="43"/>
      <c r="J65" s="6"/>
      <c r="K65" s="88" t="e">
        <f t="shared" ref="K65:K66" si="19">(IF(ISBLANK(J65),0,J65-I65))/I65</f>
        <v>#DIV/0!</v>
      </c>
      <c r="L65" s="40" t="e">
        <f t="shared" si="12"/>
        <v>#DIV/0!</v>
      </c>
      <c r="M65" s="25"/>
      <c r="N65" s="25"/>
      <c r="O65" s="6"/>
      <c r="P65" s="6"/>
      <c r="Q65" s="6"/>
    </row>
    <row r="66" spans="1:17">
      <c r="A66" s="349">
        <v>46143</v>
      </c>
      <c r="B66" s="89">
        <f>SUM(B35:B65)</f>
        <v>270738</v>
      </c>
      <c r="C66" s="89">
        <f>SUM(C35:C65)</f>
        <v>226758</v>
      </c>
      <c r="D66" s="89">
        <f>SUM(D35:D65)</f>
        <v>189020.80000000002</v>
      </c>
      <c r="E66" s="89">
        <f>SUM(E35:E65)</f>
        <v>186400</v>
      </c>
      <c r="F66" s="92">
        <f>(IF(ISBLANK(E66),0,E66-C66))/C66</f>
        <v>-0.1779782852203671</v>
      </c>
      <c r="G66" s="90">
        <f>AVERAGE(G35:G65)</f>
        <v>2.5406021505376346E-2</v>
      </c>
      <c r="H66" s="90">
        <f>AVERAGE(H35:H65)</f>
        <v>3.3874695340501797E-2</v>
      </c>
      <c r="I66" s="89">
        <f>SUM(I35:I65)</f>
        <v>27.7</v>
      </c>
      <c r="J66" s="89">
        <f>SUM(J35:J65)</f>
        <v>25.32</v>
      </c>
      <c r="K66" s="92">
        <f t="shared" si="19"/>
        <v>-8.5920577617328492E-2</v>
      </c>
      <c r="L66" s="93">
        <f t="shared" si="12"/>
        <v>0.74652764612954192</v>
      </c>
      <c r="M66" s="90">
        <f>AVERAGE(M35:M65)</f>
        <v>1</v>
      </c>
      <c r="N66" s="90">
        <f>AVERAGE(N35:N65)</f>
        <v>0.97598333333333331</v>
      </c>
      <c r="O66" s="89">
        <f>SUM(O35:O65)</f>
        <v>6820</v>
      </c>
      <c r="P66" s="89">
        <f>SUM(P35:P65)</f>
        <v>0</v>
      </c>
      <c r="Q66" s="91"/>
    </row>
  </sheetData>
  <mergeCells count="4">
    <mergeCell ref="A1:Q1"/>
    <mergeCell ref="B2:C2"/>
    <mergeCell ref="E2:G2"/>
    <mergeCell ref="I2:J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0ADA-92A8-43F3-A876-9AE4C42CE7C9}">
  <dimension ref="A1:Q66"/>
  <sheetViews>
    <sheetView workbookViewId="0">
      <pane xSplit="2" ySplit="3" topLeftCell="C37" activePane="bottomRight" state="frozen"/>
      <selection pane="topRight"/>
      <selection pane="bottomLeft"/>
      <selection pane="bottomRight" activeCell="D67" sqref="D6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265</v>
      </c>
      <c r="B1" s="406"/>
      <c r="C1" s="406"/>
      <c r="D1" s="406"/>
      <c r="E1" s="406"/>
      <c r="F1" s="406"/>
      <c r="G1" s="406"/>
      <c r="H1" s="406"/>
      <c r="I1" s="406"/>
      <c r="J1" s="406"/>
      <c r="K1" s="406"/>
      <c r="L1" s="406"/>
      <c r="M1" s="406"/>
      <c r="N1" s="406"/>
      <c r="O1" s="406"/>
      <c r="P1" s="406"/>
      <c r="Q1" s="406"/>
    </row>
    <row r="2" spans="1:17" ht="18.5">
      <c r="A2" s="7">
        <v>46113</v>
      </c>
      <c r="B2" s="407" t="s">
        <v>172</v>
      </c>
      <c r="C2" s="408"/>
      <c r="D2" s="136">
        <v>9998</v>
      </c>
      <c r="E2" s="407" t="s">
        <v>173</v>
      </c>
      <c r="F2" s="407"/>
      <c r="G2" s="408"/>
      <c r="H2" s="136">
        <v>7670</v>
      </c>
      <c r="I2" s="409" t="s">
        <v>174</v>
      </c>
      <c r="J2" s="410"/>
      <c r="K2" s="137">
        <v>45111</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26">
        <v>48782</v>
      </c>
      <c r="C4" s="39">
        <v>40640</v>
      </c>
      <c r="D4" s="200">
        <v>52972</v>
      </c>
      <c r="E4" s="200">
        <v>51120</v>
      </c>
      <c r="F4" s="20">
        <f>(IF(ISBLANK(E4),0,E4-C4))/C4</f>
        <v>0.25787401574803148</v>
      </c>
      <c r="G4" s="2">
        <f t="shared" ref="G4:G23" si="0">D4/($D$2*24)</f>
        <v>0.22076081883043275</v>
      </c>
      <c r="H4" s="2">
        <f t="shared" ref="H4:H21" si="1">D4/($H$2*24)</f>
        <v>0.28776618861364622</v>
      </c>
      <c r="I4" s="3">
        <v>5.98</v>
      </c>
      <c r="J4" s="201">
        <v>7.2220000000000004</v>
      </c>
      <c r="K4" s="20">
        <f>(IF(ISBLANK(J4),0,J4-I4))/I4</f>
        <v>0.20769230769230768</v>
      </c>
      <c r="L4" s="4">
        <f t="shared" ref="L4:L35" si="2">D4/($D$2*J4)</f>
        <v>0.73362775573669137</v>
      </c>
      <c r="M4" s="5">
        <v>1</v>
      </c>
      <c r="N4" s="5">
        <v>1</v>
      </c>
      <c r="O4" s="14">
        <v>0</v>
      </c>
      <c r="P4" s="14">
        <v>0</v>
      </c>
      <c r="Q4" s="6"/>
    </row>
    <row r="5" spans="1:17">
      <c r="A5" s="13">
        <f>A4+1</f>
        <v>46114</v>
      </c>
      <c r="B5" s="26">
        <v>48782</v>
      </c>
      <c r="C5" s="39">
        <v>40640</v>
      </c>
      <c r="D5" s="200">
        <v>49703</v>
      </c>
      <c r="E5" s="200">
        <v>48060</v>
      </c>
      <c r="F5" s="20">
        <f t="shared" ref="F5:F33" si="3">(IF(ISBLANK(E5),0,E5-C5))/C5</f>
        <v>0.18257874015748032</v>
      </c>
      <c r="G5" s="2">
        <f t="shared" si="0"/>
        <v>0.20713726078549044</v>
      </c>
      <c r="H5" s="2">
        <f t="shared" si="1"/>
        <v>0.27000760538896135</v>
      </c>
      <c r="I5" s="3">
        <v>5.98</v>
      </c>
      <c r="J5" s="201">
        <v>6.3769999999999998</v>
      </c>
      <c r="K5" s="20">
        <f t="shared" ref="K5:K34" si="4">(IF(ISBLANK(J5),0,J5-I5))/I5</f>
        <v>6.6387959866220619E-2</v>
      </c>
      <c r="L5" s="4">
        <f t="shared" si="2"/>
        <v>0.7795662943157865</v>
      </c>
      <c r="M5" s="5">
        <v>1</v>
      </c>
      <c r="N5" s="5">
        <v>1</v>
      </c>
      <c r="O5" s="14">
        <v>0</v>
      </c>
      <c r="P5" s="14">
        <v>0</v>
      </c>
      <c r="Q5" s="6"/>
    </row>
    <row r="6" spans="1:17">
      <c r="A6" s="13">
        <f t="shared" ref="A6:A33" si="5">A5+1</f>
        <v>46115</v>
      </c>
      <c r="B6" s="26">
        <v>48782</v>
      </c>
      <c r="C6" s="39">
        <v>40640</v>
      </c>
      <c r="D6" s="200">
        <v>36851</v>
      </c>
      <c r="E6" s="200">
        <v>35730</v>
      </c>
      <c r="F6" s="20">
        <f t="shared" si="3"/>
        <v>-0.12081692913385826</v>
      </c>
      <c r="G6" s="2">
        <f t="shared" si="0"/>
        <v>0.15357654864306194</v>
      </c>
      <c r="H6" s="2">
        <f t="shared" si="1"/>
        <v>0.20019013472403302</v>
      </c>
      <c r="I6" s="3">
        <v>5.98</v>
      </c>
      <c r="J6" s="201">
        <v>4.9059999999999997</v>
      </c>
      <c r="K6" s="20">
        <f t="shared" si="4"/>
        <v>-0.17959866220735796</v>
      </c>
      <c r="L6" s="4">
        <f t="shared" si="2"/>
        <v>0.75129171778097981</v>
      </c>
      <c r="M6" s="5">
        <v>1</v>
      </c>
      <c r="N6" s="5">
        <v>1</v>
      </c>
      <c r="O6" s="14">
        <v>0</v>
      </c>
      <c r="P6" s="14">
        <v>0</v>
      </c>
      <c r="Q6" s="6"/>
    </row>
    <row r="7" spans="1:17">
      <c r="A7" s="13">
        <f t="shared" si="5"/>
        <v>46116</v>
      </c>
      <c r="B7" s="26">
        <v>48782</v>
      </c>
      <c r="C7" s="39">
        <v>40640</v>
      </c>
      <c r="D7" s="200">
        <v>42522</v>
      </c>
      <c r="E7" s="200">
        <v>41220</v>
      </c>
      <c r="F7" s="20">
        <f t="shared" si="3"/>
        <v>1.4271653543307087E-2</v>
      </c>
      <c r="G7" s="2">
        <f t="shared" si="0"/>
        <v>0.17721044208841769</v>
      </c>
      <c r="H7" s="2">
        <f t="shared" si="1"/>
        <v>0.23099739243807041</v>
      </c>
      <c r="I7" s="3">
        <v>5.98</v>
      </c>
      <c r="J7" s="201">
        <v>5.4269999999999996</v>
      </c>
      <c r="K7" s="20">
        <f t="shared" si="4"/>
        <v>-9.2474916387960002E-2</v>
      </c>
      <c r="L7" s="4">
        <f t="shared" si="2"/>
        <v>0.78368354710190247</v>
      </c>
      <c r="M7" s="5">
        <v>1</v>
      </c>
      <c r="N7" s="5">
        <v>1</v>
      </c>
      <c r="O7" s="14">
        <v>0</v>
      </c>
      <c r="P7" s="14">
        <v>0</v>
      </c>
      <c r="Q7" s="14"/>
    </row>
    <row r="8" spans="1:17">
      <c r="A8" s="13">
        <f t="shared" si="5"/>
        <v>46117</v>
      </c>
      <c r="B8" s="26">
        <v>48782</v>
      </c>
      <c r="C8" s="39">
        <v>40640</v>
      </c>
      <c r="D8" s="200">
        <v>43763.3</v>
      </c>
      <c r="E8" s="200">
        <v>42300</v>
      </c>
      <c r="F8" s="20">
        <f t="shared" si="3"/>
        <v>4.0846456692913383E-2</v>
      </c>
      <c r="G8" s="2">
        <f t="shared" si="0"/>
        <v>0.18238356004534242</v>
      </c>
      <c r="H8" s="2">
        <f t="shared" si="1"/>
        <v>0.23774065623641896</v>
      </c>
      <c r="I8" s="3">
        <v>5.98</v>
      </c>
      <c r="J8" s="201">
        <v>5.8150000000000004</v>
      </c>
      <c r="K8" s="20">
        <f t="shared" si="4"/>
        <v>-2.759197324414716E-2</v>
      </c>
      <c r="L8" s="4">
        <f t="shared" si="2"/>
        <v>0.75274384197561783</v>
      </c>
      <c r="M8" s="5">
        <v>1</v>
      </c>
      <c r="N8" s="5">
        <v>1</v>
      </c>
      <c r="O8" s="14">
        <v>0</v>
      </c>
      <c r="P8" s="14">
        <v>0</v>
      </c>
      <c r="Q8" s="14"/>
    </row>
    <row r="9" spans="1:17">
      <c r="A9" s="13">
        <f t="shared" si="5"/>
        <v>46118</v>
      </c>
      <c r="B9" s="26">
        <v>48782</v>
      </c>
      <c r="C9" s="39">
        <v>40640</v>
      </c>
      <c r="D9" s="200">
        <v>37780</v>
      </c>
      <c r="E9" s="200">
        <v>36720</v>
      </c>
      <c r="F9" s="20">
        <f t="shared" si="3"/>
        <v>-9.6456692913385822E-2</v>
      </c>
      <c r="G9" s="2">
        <f t="shared" si="0"/>
        <v>0.15744815629792625</v>
      </c>
      <c r="H9" s="2">
        <f t="shared" si="1"/>
        <v>0.2052368535419383</v>
      </c>
      <c r="I9" s="3">
        <v>5.98</v>
      </c>
      <c r="J9" s="201">
        <v>4.79</v>
      </c>
      <c r="K9" s="20">
        <f t="shared" si="4"/>
        <v>-0.19899665551839471</v>
      </c>
      <c r="L9" s="4">
        <f t="shared" si="2"/>
        <v>0.78888429042802299</v>
      </c>
      <c r="M9" s="5">
        <v>1</v>
      </c>
      <c r="N9" s="5">
        <v>1</v>
      </c>
      <c r="O9" s="14">
        <v>0</v>
      </c>
      <c r="P9" s="14">
        <v>0</v>
      </c>
      <c r="Q9" s="14"/>
    </row>
    <row r="10" spans="1:17">
      <c r="A10" s="13">
        <f t="shared" si="5"/>
        <v>46119</v>
      </c>
      <c r="B10" s="26">
        <v>48782</v>
      </c>
      <c r="C10" s="39">
        <v>40640</v>
      </c>
      <c r="D10" s="200">
        <v>45209.3</v>
      </c>
      <c r="E10" s="200">
        <v>43740</v>
      </c>
      <c r="F10" s="20">
        <f t="shared" si="3"/>
        <v>7.6279527559055121E-2</v>
      </c>
      <c r="G10" s="2">
        <f t="shared" si="0"/>
        <v>0.18840976528639061</v>
      </c>
      <c r="H10" s="2">
        <f t="shared" si="1"/>
        <v>0.2455959365493264</v>
      </c>
      <c r="I10" s="3">
        <v>5.98</v>
      </c>
      <c r="J10" s="201">
        <v>6.0510000000000002</v>
      </c>
      <c r="K10" s="20">
        <f t="shared" si="4"/>
        <v>1.187290969899661E-2</v>
      </c>
      <c r="L10" s="4">
        <f t="shared" si="2"/>
        <v>0.74728712062029001</v>
      </c>
      <c r="M10" s="5">
        <v>1</v>
      </c>
      <c r="N10" s="5">
        <v>1</v>
      </c>
      <c r="O10" s="14">
        <v>0</v>
      </c>
      <c r="P10" s="14">
        <v>0</v>
      </c>
      <c r="Q10" s="202"/>
    </row>
    <row r="11" spans="1:17">
      <c r="A11" s="13">
        <f t="shared" si="5"/>
        <v>46120</v>
      </c>
      <c r="B11" s="26">
        <v>48782</v>
      </c>
      <c r="C11" s="39">
        <v>40640</v>
      </c>
      <c r="D11" s="200">
        <v>46110.2</v>
      </c>
      <c r="E11" s="200">
        <v>44640</v>
      </c>
      <c r="F11" s="20">
        <f t="shared" si="3"/>
        <v>9.8425196850393706E-2</v>
      </c>
      <c r="G11" s="2">
        <f t="shared" si="0"/>
        <v>0.19216426618657065</v>
      </c>
      <c r="H11" s="2">
        <f t="shared" si="1"/>
        <v>0.25049000434593655</v>
      </c>
      <c r="I11" s="3">
        <v>5.98</v>
      </c>
      <c r="J11" s="201">
        <v>6.2560000000000002</v>
      </c>
      <c r="K11" s="20">
        <f t="shared" si="4"/>
        <v>4.6153846153846115E-2</v>
      </c>
      <c r="L11" s="4">
        <f t="shared" si="2"/>
        <v>0.73720306721190776</v>
      </c>
      <c r="M11" s="15">
        <v>0.96099999999999997</v>
      </c>
      <c r="N11" s="5">
        <v>1</v>
      </c>
      <c r="O11" s="14">
        <v>0</v>
      </c>
      <c r="P11" s="14">
        <v>1458</v>
      </c>
      <c r="Q11" s="14" t="s">
        <v>266</v>
      </c>
    </row>
    <row r="12" spans="1:17">
      <c r="A12" s="13">
        <f t="shared" si="5"/>
        <v>46121</v>
      </c>
      <c r="B12" s="26">
        <v>48782</v>
      </c>
      <c r="C12" s="39">
        <v>40640</v>
      </c>
      <c r="D12" s="200">
        <v>40268</v>
      </c>
      <c r="E12" s="200">
        <v>39060</v>
      </c>
      <c r="F12" s="20">
        <f t="shared" si="3"/>
        <v>-3.8877952755905512E-2</v>
      </c>
      <c r="G12" s="2">
        <f t="shared" si="0"/>
        <v>0.16781689671267586</v>
      </c>
      <c r="H12" s="2">
        <f t="shared" si="1"/>
        <v>0.21875271621034334</v>
      </c>
      <c r="I12" s="3">
        <v>5.98</v>
      </c>
      <c r="J12" s="201">
        <v>5.3220000000000001</v>
      </c>
      <c r="K12" s="20">
        <f t="shared" si="4"/>
        <v>-0.11003344481605357</v>
      </c>
      <c r="L12" s="4">
        <f t="shared" si="2"/>
        <v>0.75678420163551685</v>
      </c>
      <c r="M12" s="5">
        <v>1</v>
      </c>
      <c r="N12" s="5">
        <v>1</v>
      </c>
      <c r="O12" s="14">
        <v>0</v>
      </c>
      <c r="P12" s="14">
        <v>0</v>
      </c>
      <c r="Q12" s="6"/>
    </row>
    <row r="13" spans="1:17">
      <c r="A13" s="13">
        <f t="shared" si="5"/>
        <v>46122</v>
      </c>
      <c r="B13" s="26">
        <v>48782</v>
      </c>
      <c r="C13" s="39">
        <v>40640</v>
      </c>
      <c r="D13" s="200">
        <v>48449.9</v>
      </c>
      <c r="E13" s="200">
        <v>46890</v>
      </c>
      <c r="F13" s="20">
        <f t="shared" si="3"/>
        <v>0.15378937007874016</v>
      </c>
      <c r="G13" s="2">
        <f t="shared" si="0"/>
        <v>0.20191496632659867</v>
      </c>
      <c r="H13" s="2">
        <f t="shared" si="1"/>
        <v>0.26320023902651024</v>
      </c>
      <c r="I13" s="3">
        <v>5.98</v>
      </c>
      <c r="J13" s="201">
        <v>6.4870000000000001</v>
      </c>
      <c r="K13" s="20">
        <f t="shared" si="4"/>
        <v>8.4782608695652115E-2</v>
      </c>
      <c r="L13" s="4">
        <f t="shared" si="2"/>
        <v>0.7470262358314117</v>
      </c>
      <c r="M13" s="5">
        <v>1</v>
      </c>
      <c r="N13" s="5">
        <v>1</v>
      </c>
      <c r="O13" s="14">
        <v>0</v>
      </c>
      <c r="P13" s="14">
        <v>0</v>
      </c>
      <c r="Q13" s="16"/>
    </row>
    <row r="14" spans="1:17">
      <c r="A14" s="13">
        <f t="shared" si="5"/>
        <v>46123</v>
      </c>
      <c r="B14" s="26">
        <v>48782</v>
      </c>
      <c r="C14" s="39">
        <v>40640</v>
      </c>
      <c r="D14" s="200">
        <v>49492</v>
      </c>
      <c r="E14" s="200">
        <v>47880</v>
      </c>
      <c r="F14" s="20">
        <f t="shared" si="3"/>
        <v>0.17814960629921259</v>
      </c>
      <c r="G14" s="2">
        <f t="shared" si="0"/>
        <v>0.20625791825031672</v>
      </c>
      <c r="H14" s="2">
        <f t="shared" si="1"/>
        <v>0.2688613646240765</v>
      </c>
      <c r="I14" s="3">
        <v>5.98</v>
      </c>
      <c r="J14" s="201">
        <v>6.6760000000000002</v>
      </c>
      <c r="K14" s="20">
        <f t="shared" si="4"/>
        <v>0.11638795986622068</v>
      </c>
      <c r="L14" s="4">
        <f t="shared" si="2"/>
        <v>0.74149041911438007</v>
      </c>
      <c r="M14" s="5">
        <v>1</v>
      </c>
      <c r="N14" s="5">
        <v>1</v>
      </c>
      <c r="O14" s="14">
        <v>0</v>
      </c>
      <c r="P14" s="14">
        <v>0</v>
      </c>
      <c r="Q14" s="6"/>
    </row>
    <row r="15" spans="1:17">
      <c r="A15" s="13">
        <f t="shared" si="5"/>
        <v>46124</v>
      </c>
      <c r="B15" s="26">
        <v>48782</v>
      </c>
      <c r="C15" s="39">
        <v>40640</v>
      </c>
      <c r="D15" s="200">
        <v>48039</v>
      </c>
      <c r="E15" s="200">
        <v>46440</v>
      </c>
      <c r="F15" s="20">
        <f t="shared" si="3"/>
        <v>0.14271653543307086</v>
      </c>
      <c r="G15" s="2">
        <f t="shared" si="0"/>
        <v>0.20020254050810163</v>
      </c>
      <c r="H15" s="2">
        <f t="shared" si="1"/>
        <v>0.26096805736636247</v>
      </c>
      <c r="I15" s="3">
        <v>5.98</v>
      </c>
      <c r="J15" s="201">
        <v>6.4080000000000004</v>
      </c>
      <c r="K15" s="20">
        <f t="shared" si="4"/>
        <v>7.1571906354515033E-2</v>
      </c>
      <c r="L15" s="4">
        <f t="shared" si="2"/>
        <v>0.74982224909401352</v>
      </c>
      <c r="M15" s="5">
        <v>1</v>
      </c>
      <c r="N15" s="5">
        <v>1</v>
      </c>
      <c r="O15" s="14">
        <v>0</v>
      </c>
      <c r="P15" s="14">
        <v>0</v>
      </c>
      <c r="Q15" s="6"/>
    </row>
    <row r="16" spans="1:17">
      <c r="A16" s="13">
        <f t="shared" si="5"/>
        <v>46125</v>
      </c>
      <c r="B16" s="26">
        <v>48782</v>
      </c>
      <c r="C16" s="39">
        <v>40640</v>
      </c>
      <c r="D16" s="200">
        <v>49136</v>
      </c>
      <c r="E16" s="200">
        <v>47520</v>
      </c>
      <c r="F16" s="20">
        <f t="shared" si="3"/>
        <v>0.16929133858267717</v>
      </c>
      <c r="G16" s="2">
        <f t="shared" si="0"/>
        <v>0.20477428819097152</v>
      </c>
      <c r="H16" s="2">
        <f t="shared" si="1"/>
        <v>0.26692742285962623</v>
      </c>
      <c r="I16" s="3">
        <v>5.98</v>
      </c>
      <c r="J16" s="201">
        <v>6.6070000000000002</v>
      </c>
      <c r="K16" s="20">
        <f t="shared" si="4"/>
        <v>0.10484949832775915</v>
      </c>
      <c r="L16" s="4">
        <f t="shared" si="2"/>
        <v>0.74384484888501834</v>
      </c>
      <c r="M16" s="5">
        <v>1</v>
      </c>
      <c r="N16" s="5">
        <v>1</v>
      </c>
      <c r="O16" s="14">
        <v>0</v>
      </c>
      <c r="P16" s="14">
        <v>0</v>
      </c>
      <c r="Q16" s="14"/>
    </row>
    <row r="17" spans="1:17">
      <c r="A17" s="13">
        <f t="shared" si="5"/>
        <v>46126</v>
      </c>
      <c r="B17" s="26">
        <v>48782</v>
      </c>
      <c r="C17" s="39">
        <v>40640</v>
      </c>
      <c r="D17" s="200">
        <v>48112</v>
      </c>
      <c r="E17" s="200">
        <v>46530</v>
      </c>
      <c r="F17" s="20">
        <f t="shared" si="3"/>
        <v>0.14493110236220472</v>
      </c>
      <c r="G17" s="2">
        <f t="shared" si="0"/>
        <v>0.20050676802027073</v>
      </c>
      <c r="H17" s="2">
        <f t="shared" si="1"/>
        <v>0.26136462407648847</v>
      </c>
      <c r="I17" s="3">
        <v>5.98</v>
      </c>
      <c r="J17" s="201">
        <v>6.5389999999999997</v>
      </c>
      <c r="K17" s="20">
        <f t="shared" si="4"/>
        <v>9.3478260869565094E-2</v>
      </c>
      <c r="L17" s="4">
        <f t="shared" si="2"/>
        <v>0.73591717884791208</v>
      </c>
      <c r="M17" s="5">
        <v>1</v>
      </c>
      <c r="N17" s="5">
        <v>1</v>
      </c>
      <c r="O17" s="14">
        <v>0</v>
      </c>
      <c r="P17" s="14">
        <v>0</v>
      </c>
      <c r="Q17" s="203"/>
    </row>
    <row r="18" spans="1:17">
      <c r="A18" s="13">
        <f t="shared" si="5"/>
        <v>46127</v>
      </c>
      <c r="B18" s="26">
        <v>48782</v>
      </c>
      <c r="C18" s="39">
        <v>40640</v>
      </c>
      <c r="D18" s="200">
        <v>49984.800000000003</v>
      </c>
      <c r="E18" s="200">
        <v>48330</v>
      </c>
      <c r="F18" s="20">
        <f t="shared" si="3"/>
        <v>0.18922244094488189</v>
      </c>
      <c r="G18" s="2">
        <f t="shared" si="0"/>
        <v>0.20831166233246651</v>
      </c>
      <c r="H18" s="2">
        <f t="shared" si="1"/>
        <v>0.27153846153846156</v>
      </c>
      <c r="I18" s="3">
        <v>5.98</v>
      </c>
      <c r="J18" s="201">
        <v>6.9539999999999997</v>
      </c>
      <c r="K18" s="20">
        <f t="shared" si="4"/>
        <v>0.16287625418060189</v>
      </c>
      <c r="L18" s="4">
        <f t="shared" si="2"/>
        <v>0.71893584929237786</v>
      </c>
      <c r="M18" s="5">
        <v>1</v>
      </c>
      <c r="N18" s="5">
        <v>1</v>
      </c>
      <c r="O18" s="14">
        <v>0</v>
      </c>
      <c r="P18" s="14">
        <v>0</v>
      </c>
      <c r="Q18" s="14"/>
    </row>
    <row r="19" spans="1:17">
      <c r="A19" s="13">
        <f t="shared" si="5"/>
        <v>46128</v>
      </c>
      <c r="B19" s="26">
        <v>48782</v>
      </c>
      <c r="C19" s="39">
        <v>40640</v>
      </c>
      <c r="D19" s="200">
        <v>48405</v>
      </c>
      <c r="E19" s="200">
        <v>46890</v>
      </c>
      <c r="F19" s="20">
        <f t="shared" si="3"/>
        <v>0.15378937007874016</v>
      </c>
      <c r="G19" s="2">
        <f t="shared" si="0"/>
        <v>0.20172784556911383</v>
      </c>
      <c r="H19" s="2">
        <f t="shared" si="1"/>
        <v>0.26295632333767927</v>
      </c>
      <c r="I19" s="3">
        <v>5.98</v>
      </c>
      <c r="J19" s="201">
        <v>6.5949999999999998</v>
      </c>
      <c r="K19" s="20">
        <f t="shared" si="4"/>
        <v>0.10284280936454837</v>
      </c>
      <c r="L19" s="4">
        <f t="shared" si="2"/>
        <v>0.73411194748426567</v>
      </c>
      <c r="M19" s="5">
        <v>1</v>
      </c>
      <c r="N19" s="5">
        <v>1</v>
      </c>
      <c r="O19" s="14">
        <v>0</v>
      </c>
      <c r="P19" s="14">
        <v>0</v>
      </c>
      <c r="Q19" s="14"/>
    </row>
    <row r="20" spans="1:17">
      <c r="A20" s="13">
        <f t="shared" si="5"/>
        <v>46129</v>
      </c>
      <c r="B20" s="26">
        <v>48782</v>
      </c>
      <c r="C20" s="39">
        <v>40640</v>
      </c>
      <c r="D20" s="200">
        <v>38075</v>
      </c>
      <c r="E20" s="200">
        <v>36900</v>
      </c>
      <c r="F20" s="20">
        <f t="shared" si="3"/>
        <v>-9.2027559055118113E-2</v>
      </c>
      <c r="G20" s="2">
        <f t="shared" si="0"/>
        <v>0.15867756884710274</v>
      </c>
      <c r="H20" s="2">
        <f t="shared" si="1"/>
        <v>0.20683941764450239</v>
      </c>
      <c r="I20" s="3">
        <v>5.98</v>
      </c>
      <c r="J20" s="201">
        <v>4.9800000000000004</v>
      </c>
      <c r="K20" s="20">
        <f t="shared" si="4"/>
        <v>-0.16722408026755853</v>
      </c>
      <c r="L20" s="4">
        <f t="shared" si="2"/>
        <v>0.76471117516676024</v>
      </c>
      <c r="M20" s="5">
        <v>1</v>
      </c>
      <c r="N20" s="5">
        <v>1</v>
      </c>
      <c r="O20" s="14">
        <v>0</v>
      </c>
      <c r="P20" s="14">
        <v>0</v>
      </c>
      <c r="Q20" s="6"/>
    </row>
    <row r="21" spans="1:17">
      <c r="A21" s="13">
        <f t="shared" si="5"/>
        <v>46130</v>
      </c>
      <c r="B21" s="26">
        <v>48782</v>
      </c>
      <c r="C21" s="39">
        <v>40640</v>
      </c>
      <c r="D21" s="200">
        <v>47536.800000000003</v>
      </c>
      <c r="E21" s="200">
        <v>45990</v>
      </c>
      <c r="F21" s="20">
        <f t="shared" si="3"/>
        <v>0.13164370078740156</v>
      </c>
      <c r="G21" s="2">
        <f t="shared" si="0"/>
        <v>0.19810962192438489</v>
      </c>
      <c r="H21" s="2">
        <f t="shared" si="1"/>
        <v>0.25823989569752281</v>
      </c>
      <c r="I21" s="3">
        <v>5.98</v>
      </c>
      <c r="J21" s="201">
        <v>6.4809999999999999</v>
      </c>
      <c r="K21" s="20">
        <f t="shared" si="4"/>
        <v>8.3779264214046731E-2</v>
      </c>
      <c r="L21" s="4">
        <f t="shared" si="2"/>
        <v>0.73362612655226622</v>
      </c>
      <c r="M21" s="5">
        <v>1</v>
      </c>
      <c r="N21" s="5">
        <v>1</v>
      </c>
      <c r="O21" s="14">
        <v>0</v>
      </c>
      <c r="P21" s="14">
        <v>0</v>
      </c>
      <c r="Q21" s="14"/>
    </row>
    <row r="22" spans="1:17">
      <c r="A22" s="13">
        <f t="shared" si="5"/>
        <v>46131</v>
      </c>
      <c r="B22" s="26">
        <v>48782</v>
      </c>
      <c r="C22" s="39">
        <v>40640</v>
      </c>
      <c r="D22" s="200">
        <v>48969.599999999999</v>
      </c>
      <c r="E22" s="200">
        <v>47430</v>
      </c>
      <c r="F22" s="20">
        <f t="shared" si="3"/>
        <v>0.16707677165354332</v>
      </c>
      <c r="G22" s="2">
        <f t="shared" si="0"/>
        <v>0.20408081616323265</v>
      </c>
      <c r="H22" s="2">
        <f>E22/($D$2*24)</f>
        <v>0.19766453290658131</v>
      </c>
      <c r="I22" s="3">
        <v>5.98</v>
      </c>
      <c r="J22" s="201">
        <v>6.4349999999999996</v>
      </c>
      <c r="K22" s="20">
        <f t="shared" si="4"/>
        <v>7.6086956521738983E-2</v>
      </c>
      <c r="L22" s="4">
        <f t="shared" si="2"/>
        <v>0.76114057310296557</v>
      </c>
      <c r="M22" s="5">
        <v>1</v>
      </c>
      <c r="N22" s="5">
        <v>1</v>
      </c>
      <c r="O22" s="14">
        <v>0</v>
      </c>
      <c r="P22" s="14">
        <v>0</v>
      </c>
      <c r="Q22" s="14"/>
    </row>
    <row r="23" spans="1:17">
      <c r="A23" s="13">
        <f t="shared" si="5"/>
        <v>46132</v>
      </c>
      <c r="B23" s="26">
        <v>48782</v>
      </c>
      <c r="C23" s="39">
        <v>40640</v>
      </c>
      <c r="D23" s="200">
        <v>47660.6</v>
      </c>
      <c r="E23" s="200">
        <v>46080</v>
      </c>
      <c r="F23" s="20">
        <f t="shared" si="3"/>
        <v>0.13385826771653545</v>
      </c>
      <c r="G23" s="2">
        <f t="shared" si="0"/>
        <v>0.19862555844502233</v>
      </c>
      <c r="H23" s="2">
        <f>E23/($D$2*24)</f>
        <v>0.19203840768153629</v>
      </c>
      <c r="I23" s="3">
        <v>5.98</v>
      </c>
      <c r="J23" s="201">
        <v>6.1970000000000001</v>
      </c>
      <c r="K23" s="20">
        <f t="shared" si="4"/>
        <v>3.6287625418060139E-2</v>
      </c>
      <c r="L23" s="4">
        <f t="shared" si="2"/>
        <v>0.76924534495409647</v>
      </c>
      <c r="M23" s="5">
        <v>1</v>
      </c>
      <c r="N23" s="5">
        <v>1</v>
      </c>
      <c r="O23" s="14">
        <v>0</v>
      </c>
      <c r="P23" s="14">
        <v>0</v>
      </c>
      <c r="Q23" s="14"/>
    </row>
    <row r="24" spans="1:17">
      <c r="A24" s="13">
        <f t="shared" si="5"/>
        <v>46133</v>
      </c>
      <c r="B24" s="26">
        <v>48782</v>
      </c>
      <c r="C24" s="39">
        <v>40640</v>
      </c>
      <c r="D24" s="14">
        <v>41456.199999999997</v>
      </c>
      <c r="E24" s="14">
        <v>40230</v>
      </c>
      <c r="F24" s="20">
        <f>(IF(ISBLANK(E24),0,E24-C24))/C24</f>
        <v>-1.0088582677165354E-2</v>
      </c>
      <c r="G24" s="2">
        <f t="shared" ref="G24:G33" si="6">D24/($D$2*24)</f>
        <v>0.17276872041074881</v>
      </c>
      <c r="H24" s="2">
        <f t="shared" ref="H24:H33" si="7">E24/($D$2*24)</f>
        <v>0.16765853170634126</v>
      </c>
      <c r="I24" s="3">
        <v>5.98</v>
      </c>
      <c r="J24" s="14">
        <v>5.3760000000000003</v>
      </c>
      <c r="K24" s="20">
        <f>(IF(ISBLANK(J24),0,J24-I24))/I24</f>
        <v>-0.10100334448160536</v>
      </c>
      <c r="L24" s="4">
        <f t="shared" si="2"/>
        <v>0.77128893040512847</v>
      </c>
      <c r="M24" s="5">
        <v>1</v>
      </c>
      <c r="N24" s="5">
        <v>1</v>
      </c>
      <c r="O24" s="14">
        <v>0</v>
      </c>
      <c r="P24" s="14">
        <v>0</v>
      </c>
      <c r="Q24" s="6"/>
    </row>
    <row r="25" spans="1:17">
      <c r="A25" s="13">
        <f t="shared" si="5"/>
        <v>46134</v>
      </c>
      <c r="B25" s="26">
        <v>48782</v>
      </c>
      <c r="C25" s="39">
        <v>40640</v>
      </c>
      <c r="D25" s="14">
        <v>45858.400000000001</v>
      </c>
      <c r="E25" s="14">
        <v>44370</v>
      </c>
      <c r="F25" s="20">
        <f t="shared" si="3"/>
        <v>9.1781496062992129E-2</v>
      </c>
      <c r="G25" s="2">
        <f t="shared" si="6"/>
        <v>0.19111488964459558</v>
      </c>
      <c r="H25" s="2">
        <f t="shared" si="7"/>
        <v>0.1849119823964793</v>
      </c>
      <c r="I25" s="3">
        <v>5.98</v>
      </c>
      <c r="J25" s="14">
        <v>5.9859999999999998</v>
      </c>
      <c r="K25" s="20">
        <f t="shared" si="4"/>
        <v>1.0033444816052407E-3</v>
      </c>
      <c r="L25" s="4">
        <f t="shared" si="2"/>
        <v>0.76624746934017618</v>
      </c>
      <c r="M25" s="5">
        <v>1</v>
      </c>
      <c r="N25" s="5">
        <v>1</v>
      </c>
      <c r="O25" s="14">
        <v>0</v>
      </c>
      <c r="P25" s="14">
        <v>0</v>
      </c>
      <c r="Q25" s="6"/>
    </row>
    <row r="26" spans="1:17">
      <c r="A26" s="13">
        <f t="shared" si="5"/>
        <v>46135</v>
      </c>
      <c r="B26" s="26">
        <v>48782</v>
      </c>
      <c r="C26" s="39">
        <v>40640</v>
      </c>
      <c r="D26" s="14">
        <v>44974.8</v>
      </c>
      <c r="E26" s="14">
        <v>43560</v>
      </c>
      <c r="F26" s="20">
        <f t="shared" si="3"/>
        <v>7.1850393700787399E-2</v>
      </c>
      <c r="G26" s="2">
        <f t="shared" si="6"/>
        <v>0.18743248649729946</v>
      </c>
      <c r="H26" s="2">
        <f t="shared" si="7"/>
        <v>0.18153630726145228</v>
      </c>
      <c r="I26" s="3">
        <v>5.98</v>
      </c>
      <c r="J26" s="14">
        <v>5.7729999999999997</v>
      </c>
      <c r="K26" s="20">
        <f t="shared" si="4"/>
        <v>-3.4615384615384735E-2</v>
      </c>
      <c r="L26" s="4">
        <f t="shared" si="2"/>
        <v>0.77921005992294945</v>
      </c>
      <c r="M26" s="5">
        <v>1</v>
      </c>
      <c r="N26" s="5">
        <v>1</v>
      </c>
      <c r="O26" s="14">
        <v>0</v>
      </c>
      <c r="P26" s="14">
        <v>0</v>
      </c>
      <c r="Q26" s="6"/>
    </row>
    <row r="27" spans="1:17">
      <c r="A27" s="13">
        <f t="shared" si="5"/>
        <v>46136</v>
      </c>
      <c r="B27" s="26">
        <v>48782</v>
      </c>
      <c r="C27" s="39">
        <v>40640</v>
      </c>
      <c r="D27" s="14">
        <v>43864.5</v>
      </c>
      <c r="E27" s="14">
        <v>42390</v>
      </c>
      <c r="F27" s="20">
        <f t="shared" si="3"/>
        <v>4.3061023622047244E-2</v>
      </c>
      <c r="G27" s="2">
        <f t="shared" si="6"/>
        <v>0.18280531106221246</v>
      </c>
      <c r="H27" s="2">
        <f t="shared" si="7"/>
        <v>0.17666033206641329</v>
      </c>
      <c r="I27" s="3">
        <v>5.98</v>
      </c>
      <c r="J27" s="14">
        <v>5.67</v>
      </c>
      <c r="K27" s="20">
        <f t="shared" si="4"/>
        <v>-5.183946488294322E-2</v>
      </c>
      <c r="L27" s="4">
        <f t="shared" si="2"/>
        <v>0.77377909444322734</v>
      </c>
      <c r="M27" s="5">
        <v>1</v>
      </c>
      <c r="N27" s="5">
        <v>1</v>
      </c>
      <c r="O27" s="14">
        <v>0</v>
      </c>
      <c r="P27" s="14">
        <v>0</v>
      </c>
      <c r="Q27" s="6"/>
    </row>
    <row r="28" spans="1:17">
      <c r="A28" s="13">
        <f t="shared" si="5"/>
        <v>46137</v>
      </c>
      <c r="B28" s="26">
        <v>48782</v>
      </c>
      <c r="C28" s="39">
        <v>40640</v>
      </c>
      <c r="D28" s="14">
        <v>51078.7</v>
      </c>
      <c r="E28" s="14">
        <v>49410</v>
      </c>
      <c r="F28" s="20">
        <f t="shared" si="3"/>
        <v>0.21579724409448819</v>
      </c>
      <c r="G28" s="2">
        <f t="shared" si="6"/>
        <v>0.21287049076481962</v>
      </c>
      <c r="H28" s="2">
        <f t="shared" si="7"/>
        <v>0.20591618323664734</v>
      </c>
      <c r="I28" s="3">
        <v>5.98</v>
      </c>
      <c r="J28" s="14">
        <v>6.4550000000000001</v>
      </c>
      <c r="K28" s="20">
        <f t="shared" si="4"/>
        <v>7.9431438127090234E-2</v>
      </c>
      <c r="L28" s="4">
        <f t="shared" si="2"/>
        <v>0.79146270772357408</v>
      </c>
      <c r="M28" s="5">
        <v>1</v>
      </c>
      <c r="N28" s="5">
        <v>1</v>
      </c>
      <c r="O28" s="14">
        <v>0</v>
      </c>
      <c r="P28" s="14">
        <v>0</v>
      </c>
      <c r="Q28" s="6"/>
    </row>
    <row r="29" spans="1:17">
      <c r="A29" s="13">
        <f t="shared" si="5"/>
        <v>46138</v>
      </c>
      <c r="B29" s="26">
        <v>48782</v>
      </c>
      <c r="C29" s="39">
        <v>40640</v>
      </c>
      <c r="D29" s="14">
        <v>42452</v>
      </c>
      <c r="E29" s="14">
        <v>41130</v>
      </c>
      <c r="F29" s="20">
        <f t="shared" si="3"/>
        <v>1.2057086614173228E-2</v>
      </c>
      <c r="G29" s="2">
        <f t="shared" si="6"/>
        <v>0.17691871707674869</v>
      </c>
      <c r="H29" s="2">
        <f t="shared" si="7"/>
        <v>0.17140928185637128</v>
      </c>
      <c r="I29" s="3">
        <v>5.98</v>
      </c>
      <c r="J29" s="14">
        <v>5.5860000000000003</v>
      </c>
      <c r="K29" s="20">
        <f t="shared" si="4"/>
        <v>-6.588628762541808E-2</v>
      </c>
      <c r="L29" s="4">
        <f t="shared" si="2"/>
        <v>0.76012338164016613</v>
      </c>
      <c r="M29" s="5">
        <v>1</v>
      </c>
      <c r="N29" s="5">
        <v>1</v>
      </c>
      <c r="O29" s="14">
        <v>0</v>
      </c>
      <c r="P29" s="14">
        <v>0</v>
      </c>
      <c r="Q29" s="6"/>
    </row>
    <row r="30" spans="1:17">
      <c r="A30" s="13">
        <f t="shared" si="5"/>
        <v>46139</v>
      </c>
      <c r="B30" s="26">
        <v>48782</v>
      </c>
      <c r="C30" s="39">
        <v>40640</v>
      </c>
      <c r="D30" s="14">
        <v>41432.300000000003</v>
      </c>
      <c r="E30" s="14">
        <v>40050</v>
      </c>
      <c r="F30" s="20">
        <f t="shared" si="3"/>
        <v>-1.4517716535433071E-2</v>
      </c>
      <c r="G30" s="2">
        <f t="shared" si="6"/>
        <v>0.1726691171567647</v>
      </c>
      <c r="H30" s="2">
        <f t="shared" si="7"/>
        <v>0.16690838167633526</v>
      </c>
      <c r="I30" s="3">
        <v>5.98</v>
      </c>
      <c r="J30" s="14">
        <v>5.3319999999999999</v>
      </c>
      <c r="K30" s="20">
        <f t="shared" si="4"/>
        <v>-0.10836120401337801</v>
      </c>
      <c r="L30" s="4">
        <f t="shared" si="2"/>
        <v>0.77720532853757562</v>
      </c>
      <c r="M30" s="5">
        <v>1</v>
      </c>
      <c r="N30" s="5">
        <v>1</v>
      </c>
      <c r="O30" s="14">
        <v>0</v>
      </c>
      <c r="P30" s="14">
        <v>0</v>
      </c>
      <c r="Q30" s="6"/>
    </row>
    <row r="31" spans="1:17">
      <c r="A31" s="13">
        <f t="shared" si="5"/>
        <v>46140</v>
      </c>
      <c r="B31" s="26">
        <v>48782</v>
      </c>
      <c r="C31" s="39">
        <v>40640</v>
      </c>
      <c r="D31" s="14">
        <v>38259.699999999997</v>
      </c>
      <c r="E31" s="14">
        <v>37170</v>
      </c>
      <c r="F31" s="20">
        <f t="shared" si="3"/>
        <v>-8.5383858267716536E-2</v>
      </c>
      <c r="G31" s="2">
        <f t="shared" si="6"/>
        <v>0.15944730612789224</v>
      </c>
      <c r="H31" s="2">
        <f t="shared" si="7"/>
        <v>0.15490598119623925</v>
      </c>
      <c r="I31" s="3">
        <v>5.98</v>
      </c>
      <c r="J31" s="14">
        <v>4.8550000000000004</v>
      </c>
      <c r="K31" s="20">
        <f t="shared" si="4"/>
        <v>-0.18812709030100333</v>
      </c>
      <c r="L31" s="4">
        <f t="shared" si="2"/>
        <v>0.78820501484436944</v>
      </c>
      <c r="M31" s="5">
        <v>1</v>
      </c>
      <c r="N31" s="5">
        <v>1</v>
      </c>
      <c r="O31" s="14">
        <v>0</v>
      </c>
      <c r="P31" s="14">
        <v>0</v>
      </c>
      <c r="Q31" s="6"/>
    </row>
    <row r="32" spans="1:17">
      <c r="A32" s="13">
        <f t="shared" si="5"/>
        <v>46141</v>
      </c>
      <c r="B32" s="26">
        <v>48782</v>
      </c>
      <c r="C32" s="39">
        <v>40640</v>
      </c>
      <c r="D32" s="14">
        <v>29076.6</v>
      </c>
      <c r="E32" s="14">
        <v>28170</v>
      </c>
      <c r="F32" s="20">
        <f t="shared" si="3"/>
        <v>-0.30684055118110237</v>
      </c>
      <c r="G32" s="2">
        <f t="shared" si="6"/>
        <v>0.12117673534706941</v>
      </c>
      <c r="H32" s="2">
        <f t="shared" si="7"/>
        <v>0.11739847969593918</v>
      </c>
      <c r="I32" s="3">
        <v>5.98</v>
      </c>
      <c r="J32" s="14">
        <v>3.718</v>
      </c>
      <c r="K32" s="20">
        <f t="shared" si="4"/>
        <v>-0.37826086956521743</v>
      </c>
      <c r="L32" s="4">
        <f t="shared" si="2"/>
        <v>0.78220593015859763</v>
      </c>
      <c r="M32" s="5">
        <v>1</v>
      </c>
      <c r="N32" s="5">
        <v>1</v>
      </c>
      <c r="O32" s="14">
        <v>0</v>
      </c>
      <c r="P32" s="14">
        <v>0</v>
      </c>
      <c r="Q32" s="6"/>
    </row>
    <row r="33" spans="1:17">
      <c r="A33" s="13">
        <f t="shared" si="5"/>
        <v>46142</v>
      </c>
      <c r="B33" s="26">
        <v>48782</v>
      </c>
      <c r="C33" s="39">
        <v>40640</v>
      </c>
      <c r="D33" s="14">
        <v>44596.2</v>
      </c>
      <c r="E33" s="14">
        <v>43200</v>
      </c>
      <c r="F33" s="20">
        <f t="shared" si="3"/>
        <v>6.2992125984251968E-2</v>
      </c>
      <c r="G33" s="2">
        <f t="shared" si="6"/>
        <v>0.18585467093418684</v>
      </c>
      <c r="H33" s="2">
        <f t="shared" si="7"/>
        <v>0.18003600720144028</v>
      </c>
      <c r="I33" s="3">
        <v>5.98</v>
      </c>
      <c r="J33" s="14">
        <v>5.601</v>
      </c>
      <c r="K33" s="20">
        <f t="shared" si="4"/>
        <v>-6.3377926421404759E-2</v>
      </c>
      <c r="L33" s="4">
        <f t="shared" si="2"/>
        <v>0.79637780796652091</v>
      </c>
      <c r="M33" s="5">
        <v>1</v>
      </c>
      <c r="N33" s="5">
        <v>1</v>
      </c>
      <c r="O33" s="14">
        <v>0</v>
      </c>
      <c r="P33" s="14">
        <v>0</v>
      </c>
      <c r="Q33" s="6"/>
    </row>
    <row r="34" spans="1:17">
      <c r="A34" s="349">
        <v>46113</v>
      </c>
      <c r="B34" s="89">
        <f>SUM(B4:B33)</f>
        <v>1463460</v>
      </c>
      <c r="C34" s="89">
        <f>SUM(C4:C33)</f>
        <v>1219200</v>
      </c>
      <c r="D34" s="89">
        <f>SUM(D4:D33)</f>
        <v>1342088.8999999999</v>
      </c>
      <c r="E34" s="89">
        <f>SUM(E4:E33)</f>
        <v>1299150</v>
      </c>
      <c r="F34" s="92">
        <f>(IF(ISBLANK(E34),0,E34-C34))/C34</f>
        <v>6.5575787401574798E-2</v>
      </c>
      <c r="G34" s="90">
        <f>AVERAGE(G4:G33)</f>
        <v>0.18643852381587436</v>
      </c>
      <c r="H34" s="90">
        <f>AVERAGE(H4:H33)</f>
        <v>0.21882392343672277</v>
      </c>
      <c r="I34" s="89">
        <f>SUM(I4:I33)</f>
        <v>179.39999999999998</v>
      </c>
      <c r="J34" s="89">
        <f>SUM(J4:J33)</f>
        <v>176.87699999999998</v>
      </c>
      <c r="K34" s="92">
        <f t="shared" si="4"/>
        <v>-1.4063545150501653E-2</v>
      </c>
      <c r="L34" s="93">
        <f t="shared" si="2"/>
        <v>0.75892138122779951</v>
      </c>
      <c r="M34" s="90">
        <f>AVERAGE(M4:M33)</f>
        <v>0.99869999999999992</v>
      </c>
      <c r="N34" s="90">
        <f>AVERAGE(N4:N33)</f>
        <v>1</v>
      </c>
      <c r="O34" s="89">
        <f>SUM(O4:O33)</f>
        <v>0</v>
      </c>
      <c r="P34" s="89">
        <f>SUM(P4:P33)</f>
        <v>1458</v>
      </c>
      <c r="Q34" s="19"/>
    </row>
    <row r="35" spans="1:17">
      <c r="A35" s="13">
        <v>46143</v>
      </c>
      <c r="B35" s="26">
        <v>45310</v>
      </c>
      <c r="C35" s="39">
        <v>37695</v>
      </c>
      <c r="D35" s="200">
        <v>46273</v>
      </c>
      <c r="E35" s="200">
        <v>44820</v>
      </c>
      <c r="F35" s="20">
        <f>(IF(ISBLANK(E35),0,E35-C35))/C35</f>
        <v>0.18901711102268207</v>
      </c>
      <c r="G35" s="2">
        <f t="shared" ref="G35:G54" si="8">D35/($D$2*24)</f>
        <v>0.1928427352137094</v>
      </c>
      <c r="H35" s="2">
        <f t="shared" ref="H35:H52" si="9">D35/($H$2*24)</f>
        <v>0.25137440243372444</v>
      </c>
      <c r="I35" s="3">
        <v>5.52</v>
      </c>
      <c r="J35" s="201">
        <v>5.8520000000000003</v>
      </c>
      <c r="K35" s="20">
        <f>(IF(ISBLANK(J35),0,J35-I35))/I35</f>
        <v>6.0144927536232025E-2</v>
      </c>
      <c r="L35" s="4">
        <f t="shared" si="2"/>
        <v>0.79087929684364755</v>
      </c>
      <c r="M35" s="5">
        <v>1</v>
      </c>
      <c r="N35" s="5">
        <v>1</v>
      </c>
      <c r="O35" s="14">
        <v>0</v>
      </c>
      <c r="P35" s="14">
        <v>0</v>
      </c>
      <c r="Q35" s="6"/>
    </row>
    <row r="36" spans="1:17">
      <c r="A36" s="13">
        <f>A35+1</f>
        <v>46144</v>
      </c>
      <c r="B36" s="26">
        <v>45310</v>
      </c>
      <c r="C36" s="39">
        <v>37695</v>
      </c>
      <c r="D36" s="200">
        <v>43482</v>
      </c>
      <c r="E36" s="200">
        <v>42120</v>
      </c>
      <c r="F36" s="20">
        <f t="shared" ref="F36:F54" si="10">(IF(ISBLANK(E36),0,E36-C36))/C36</f>
        <v>0.11738957421408674</v>
      </c>
      <c r="G36" s="2">
        <f t="shared" si="8"/>
        <v>0.1812112422484497</v>
      </c>
      <c r="H36" s="2">
        <f t="shared" si="9"/>
        <v>0.23621251629726206</v>
      </c>
      <c r="I36" s="3">
        <v>5.52</v>
      </c>
      <c r="J36" s="201">
        <v>5.4829999999999997</v>
      </c>
      <c r="K36" s="20">
        <f t="shared" ref="K36:K54" si="11">(IF(ISBLANK(J36),0,J36-I36))/I36</f>
        <v>-6.7028985507246244E-3</v>
      </c>
      <c r="L36" s="4">
        <f t="shared" ref="L36:L66" si="12">D36/($D$2*J36)</f>
        <v>0.79319164945518739</v>
      </c>
      <c r="M36" s="5">
        <v>1</v>
      </c>
      <c r="N36" s="5">
        <v>1</v>
      </c>
      <c r="O36" s="14">
        <v>0</v>
      </c>
      <c r="P36" s="14">
        <v>0</v>
      </c>
      <c r="Q36" s="6"/>
    </row>
    <row r="37" spans="1:17">
      <c r="A37" s="13">
        <f t="shared" ref="A37:A65" si="13">A36+1</f>
        <v>46145</v>
      </c>
      <c r="B37" s="26">
        <v>45310</v>
      </c>
      <c r="C37" s="39">
        <v>37695</v>
      </c>
      <c r="D37" s="200">
        <v>33986</v>
      </c>
      <c r="E37" s="200">
        <v>33030</v>
      </c>
      <c r="F37" s="20">
        <f t="shared" si="10"/>
        <v>-0.12375646637485077</v>
      </c>
      <c r="G37" s="2">
        <f t="shared" si="8"/>
        <v>0.14163666066546643</v>
      </c>
      <c r="H37" s="2">
        <f t="shared" si="9"/>
        <v>0.18462624945675793</v>
      </c>
      <c r="I37" s="3">
        <v>5.52</v>
      </c>
      <c r="J37" s="201">
        <v>4.2530000000000001</v>
      </c>
      <c r="K37" s="20">
        <f t="shared" si="11"/>
        <v>-0.22952898550724629</v>
      </c>
      <c r="L37" s="4">
        <f t="shared" si="12"/>
        <v>0.79926636632287662</v>
      </c>
      <c r="M37" s="5">
        <v>1</v>
      </c>
      <c r="N37" s="5">
        <v>1</v>
      </c>
      <c r="O37" s="14">
        <v>0</v>
      </c>
      <c r="P37" s="14">
        <v>0</v>
      </c>
      <c r="Q37" s="6"/>
    </row>
    <row r="38" spans="1:17">
      <c r="A38" s="13">
        <f t="shared" si="13"/>
        <v>46146</v>
      </c>
      <c r="B38" s="26">
        <v>45310</v>
      </c>
      <c r="C38" s="39">
        <v>37695</v>
      </c>
      <c r="D38" s="200">
        <v>40620</v>
      </c>
      <c r="E38" s="200">
        <v>39420</v>
      </c>
      <c r="F38" s="20">
        <f t="shared" si="10"/>
        <v>4.5762037405491444E-2</v>
      </c>
      <c r="G38" s="2">
        <f t="shared" si="8"/>
        <v>0.16928385677135427</v>
      </c>
      <c r="H38" s="2">
        <f t="shared" si="9"/>
        <v>0.22066492829204692</v>
      </c>
      <c r="I38" s="3">
        <v>5.52</v>
      </c>
      <c r="J38" s="201">
        <v>5.1040000000000001</v>
      </c>
      <c r="K38" s="20">
        <f t="shared" si="11"/>
        <v>-7.5362318840579617E-2</v>
      </c>
      <c r="L38" s="4">
        <f t="shared" si="12"/>
        <v>0.79600559610354671</v>
      </c>
      <c r="M38" s="5">
        <v>1</v>
      </c>
      <c r="N38" s="5">
        <v>1</v>
      </c>
      <c r="O38" s="14">
        <v>0</v>
      </c>
      <c r="P38" s="14">
        <v>0</v>
      </c>
      <c r="Q38" s="14"/>
    </row>
    <row r="39" spans="1:17">
      <c r="A39" s="13">
        <f t="shared" si="13"/>
        <v>46147</v>
      </c>
      <c r="B39" s="26"/>
      <c r="C39" s="39"/>
      <c r="D39" s="200"/>
      <c r="E39" s="200"/>
      <c r="F39" s="20" t="e">
        <f t="shared" si="10"/>
        <v>#DIV/0!</v>
      </c>
      <c r="G39" s="2">
        <f t="shared" si="8"/>
        <v>0</v>
      </c>
      <c r="H39" s="2">
        <f t="shared" si="9"/>
        <v>0</v>
      </c>
      <c r="I39" s="3"/>
      <c r="J39" s="201"/>
      <c r="K39" s="20" t="e">
        <f t="shared" si="11"/>
        <v>#DIV/0!</v>
      </c>
      <c r="L39" s="4" t="e">
        <f t="shared" si="12"/>
        <v>#DIV/0!</v>
      </c>
      <c r="M39" s="5"/>
      <c r="N39" s="5"/>
      <c r="O39" s="14"/>
      <c r="P39" s="14"/>
      <c r="Q39" s="14"/>
    </row>
    <row r="40" spans="1:17">
      <c r="A40" s="13">
        <f t="shared" si="13"/>
        <v>46148</v>
      </c>
      <c r="B40" s="26"/>
      <c r="C40" s="39"/>
      <c r="D40" s="200"/>
      <c r="E40" s="200"/>
      <c r="F40" s="20" t="e">
        <f t="shared" si="10"/>
        <v>#DIV/0!</v>
      </c>
      <c r="G40" s="2">
        <f t="shared" si="8"/>
        <v>0</v>
      </c>
      <c r="H40" s="2">
        <f t="shared" si="9"/>
        <v>0</v>
      </c>
      <c r="I40" s="3"/>
      <c r="J40" s="201"/>
      <c r="K40" s="20" t="e">
        <f t="shared" si="11"/>
        <v>#DIV/0!</v>
      </c>
      <c r="L40" s="4" t="e">
        <f t="shared" si="12"/>
        <v>#DIV/0!</v>
      </c>
      <c r="M40" s="5"/>
      <c r="N40" s="5"/>
      <c r="O40" s="14"/>
      <c r="P40" s="14"/>
      <c r="Q40" s="14"/>
    </row>
    <row r="41" spans="1:17">
      <c r="A41" s="13">
        <f t="shared" si="13"/>
        <v>46149</v>
      </c>
      <c r="B41" s="26"/>
      <c r="C41" s="39"/>
      <c r="D41" s="200"/>
      <c r="E41" s="200"/>
      <c r="F41" s="20" t="e">
        <f t="shared" si="10"/>
        <v>#DIV/0!</v>
      </c>
      <c r="G41" s="2">
        <f t="shared" si="8"/>
        <v>0</v>
      </c>
      <c r="H41" s="2">
        <f t="shared" si="9"/>
        <v>0</v>
      </c>
      <c r="I41" s="3"/>
      <c r="J41" s="201"/>
      <c r="K41" s="20" t="e">
        <f t="shared" si="11"/>
        <v>#DIV/0!</v>
      </c>
      <c r="L41" s="4" t="e">
        <f t="shared" si="12"/>
        <v>#DIV/0!</v>
      </c>
      <c r="M41" s="5"/>
      <c r="N41" s="5"/>
      <c r="O41" s="14"/>
      <c r="P41" s="14"/>
      <c r="Q41" s="202"/>
    </row>
    <row r="42" spans="1:17">
      <c r="A42" s="13">
        <f t="shared" si="13"/>
        <v>46150</v>
      </c>
      <c r="B42" s="26"/>
      <c r="C42" s="39"/>
      <c r="D42" s="200"/>
      <c r="E42" s="200"/>
      <c r="F42" s="20" t="e">
        <f t="shared" si="10"/>
        <v>#DIV/0!</v>
      </c>
      <c r="G42" s="2">
        <f t="shared" si="8"/>
        <v>0</v>
      </c>
      <c r="H42" s="2">
        <f t="shared" si="9"/>
        <v>0</v>
      </c>
      <c r="I42" s="3"/>
      <c r="J42" s="201"/>
      <c r="K42" s="20" t="e">
        <f t="shared" si="11"/>
        <v>#DIV/0!</v>
      </c>
      <c r="L42" s="4" t="e">
        <f t="shared" si="12"/>
        <v>#DIV/0!</v>
      </c>
      <c r="M42" s="15"/>
      <c r="N42" s="5"/>
      <c r="O42" s="14"/>
      <c r="P42" s="14"/>
      <c r="Q42" s="14"/>
    </row>
    <row r="43" spans="1:17">
      <c r="A43" s="13">
        <f t="shared" si="13"/>
        <v>46151</v>
      </c>
      <c r="B43" s="26"/>
      <c r="C43" s="39"/>
      <c r="D43" s="200"/>
      <c r="E43" s="200"/>
      <c r="F43" s="20" t="e">
        <f t="shared" si="10"/>
        <v>#DIV/0!</v>
      </c>
      <c r="G43" s="2">
        <f t="shared" si="8"/>
        <v>0</v>
      </c>
      <c r="H43" s="2">
        <f t="shared" si="9"/>
        <v>0</v>
      </c>
      <c r="I43" s="3"/>
      <c r="J43" s="201"/>
      <c r="K43" s="20" t="e">
        <f t="shared" si="11"/>
        <v>#DIV/0!</v>
      </c>
      <c r="L43" s="4" t="e">
        <f t="shared" si="12"/>
        <v>#DIV/0!</v>
      </c>
      <c r="M43" s="5"/>
      <c r="N43" s="5"/>
      <c r="O43" s="14"/>
      <c r="P43" s="14"/>
      <c r="Q43" s="6"/>
    </row>
    <row r="44" spans="1:17">
      <c r="A44" s="13">
        <f t="shared" si="13"/>
        <v>46152</v>
      </c>
      <c r="B44" s="26"/>
      <c r="C44" s="39"/>
      <c r="D44" s="200"/>
      <c r="E44" s="200"/>
      <c r="F44" s="20" t="e">
        <f t="shared" si="10"/>
        <v>#DIV/0!</v>
      </c>
      <c r="G44" s="2">
        <f t="shared" si="8"/>
        <v>0</v>
      </c>
      <c r="H44" s="2">
        <f t="shared" si="9"/>
        <v>0</v>
      </c>
      <c r="I44" s="3"/>
      <c r="J44" s="201"/>
      <c r="K44" s="20" t="e">
        <f t="shared" si="11"/>
        <v>#DIV/0!</v>
      </c>
      <c r="L44" s="4" t="e">
        <f t="shared" si="12"/>
        <v>#DIV/0!</v>
      </c>
      <c r="M44" s="5"/>
      <c r="N44" s="5"/>
      <c r="O44" s="14"/>
      <c r="P44" s="14"/>
      <c r="Q44" s="16"/>
    </row>
    <row r="45" spans="1:17">
      <c r="A45" s="13">
        <f t="shared" si="13"/>
        <v>46153</v>
      </c>
      <c r="B45" s="26"/>
      <c r="C45" s="39"/>
      <c r="D45" s="200"/>
      <c r="E45" s="200"/>
      <c r="F45" s="20" t="e">
        <f t="shared" si="10"/>
        <v>#DIV/0!</v>
      </c>
      <c r="G45" s="2">
        <f t="shared" si="8"/>
        <v>0</v>
      </c>
      <c r="H45" s="2">
        <f t="shared" si="9"/>
        <v>0</v>
      </c>
      <c r="I45" s="3"/>
      <c r="J45" s="201"/>
      <c r="K45" s="20" t="e">
        <f t="shared" si="11"/>
        <v>#DIV/0!</v>
      </c>
      <c r="L45" s="4" t="e">
        <f t="shared" si="12"/>
        <v>#DIV/0!</v>
      </c>
      <c r="M45" s="5"/>
      <c r="N45" s="5"/>
      <c r="O45" s="14"/>
      <c r="P45" s="14"/>
      <c r="Q45" s="6"/>
    </row>
    <row r="46" spans="1:17">
      <c r="A46" s="13">
        <f t="shared" si="13"/>
        <v>46154</v>
      </c>
      <c r="B46" s="26"/>
      <c r="C46" s="39"/>
      <c r="D46" s="200"/>
      <c r="E46" s="200"/>
      <c r="F46" s="20" t="e">
        <f t="shared" si="10"/>
        <v>#DIV/0!</v>
      </c>
      <c r="G46" s="2">
        <f t="shared" si="8"/>
        <v>0</v>
      </c>
      <c r="H46" s="2">
        <f t="shared" si="9"/>
        <v>0</v>
      </c>
      <c r="I46" s="3"/>
      <c r="J46" s="201"/>
      <c r="K46" s="20" t="e">
        <f t="shared" si="11"/>
        <v>#DIV/0!</v>
      </c>
      <c r="L46" s="4" t="e">
        <f t="shared" si="12"/>
        <v>#DIV/0!</v>
      </c>
      <c r="M46" s="5"/>
      <c r="N46" s="5"/>
      <c r="O46" s="14"/>
      <c r="P46" s="14"/>
      <c r="Q46" s="6"/>
    </row>
    <row r="47" spans="1:17">
      <c r="A47" s="13">
        <f t="shared" si="13"/>
        <v>46155</v>
      </c>
      <c r="B47" s="26"/>
      <c r="C47" s="39"/>
      <c r="D47" s="200"/>
      <c r="E47" s="200"/>
      <c r="F47" s="20" t="e">
        <f t="shared" si="10"/>
        <v>#DIV/0!</v>
      </c>
      <c r="G47" s="2">
        <f t="shared" si="8"/>
        <v>0</v>
      </c>
      <c r="H47" s="2">
        <f t="shared" si="9"/>
        <v>0</v>
      </c>
      <c r="I47" s="3"/>
      <c r="J47" s="201"/>
      <c r="K47" s="20" t="e">
        <f t="shared" si="11"/>
        <v>#DIV/0!</v>
      </c>
      <c r="L47" s="4" t="e">
        <f t="shared" si="12"/>
        <v>#DIV/0!</v>
      </c>
      <c r="M47" s="5"/>
      <c r="N47" s="5"/>
      <c r="O47" s="14"/>
      <c r="P47" s="14"/>
      <c r="Q47" s="14"/>
    </row>
    <row r="48" spans="1:17">
      <c r="A48" s="13">
        <f t="shared" si="13"/>
        <v>46156</v>
      </c>
      <c r="B48" s="26"/>
      <c r="C48" s="39"/>
      <c r="D48" s="200"/>
      <c r="E48" s="200"/>
      <c r="F48" s="20" t="e">
        <f t="shared" si="10"/>
        <v>#DIV/0!</v>
      </c>
      <c r="G48" s="2">
        <f t="shared" si="8"/>
        <v>0</v>
      </c>
      <c r="H48" s="2">
        <f t="shared" si="9"/>
        <v>0</v>
      </c>
      <c r="I48" s="3"/>
      <c r="J48" s="201"/>
      <c r="K48" s="20" t="e">
        <f t="shared" si="11"/>
        <v>#DIV/0!</v>
      </c>
      <c r="L48" s="4" t="e">
        <f t="shared" si="12"/>
        <v>#DIV/0!</v>
      </c>
      <c r="M48" s="5"/>
      <c r="N48" s="5"/>
      <c r="O48" s="14"/>
      <c r="P48" s="14"/>
      <c r="Q48" s="203"/>
    </row>
    <row r="49" spans="1:17">
      <c r="A49" s="13">
        <f t="shared" si="13"/>
        <v>46157</v>
      </c>
      <c r="B49" s="26"/>
      <c r="C49" s="39"/>
      <c r="D49" s="200"/>
      <c r="E49" s="200"/>
      <c r="F49" s="20" t="e">
        <f t="shared" si="10"/>
        <v>#DIV/0!</v>
      </c>
      <c r="G49" s="2">
        <f t="shared" si="8"/>
        <v>0</v>
      </c>
      <c r="H49" s="2">
        <f t="shared" si="9"/>
        <v>0</v>
      </c>
      <c r="I49" s="3"/>
      <c r="J49" s="201"/>
      <c r="K49" s="20" t="e">
        <f t="shared" si="11"/>
        <v>#DIV/0!</v>
      </c>
      <c r="L49" s="4" t="e">
        <f t="shared" si="12"/>
        <v>#DIV/0!</v>
      </c>
      <c r="M49" s="5"/>
      <c r="N49" s="5"/>
      <c r="O49" s="14"/>
      <c r="P49" s="14"/>
      <c r="Q49" s="14"/>
    </row>
    <row r="50" spans="1:17">
      <c r="A50" s="13">
        <f t="shared" si="13"/>
        <v>46158</v>
      </c>
      <c r="B50" s="26"/>
      <c r="C50" s="39"/>
      <c r="D50" s="200"/>
      <c r="E50" s="200"/>
      <c r="F50" s="20" t="e">
        <f t="shared" si="10"/>
        <v>#DIV/0!</v>
      </c>
      <c r="G50" s="2">
        <f t="shared" si="8"/>
        <v>0</v>
      </c>
      <c r="H50" s="2">
        <f t="shared" si="9"/>
        <v>0</v>
      </c>
      <c r="I50" s="3"/>
      <c r="J50" s="201"/>
      <c r="K50" s="20" t="e">
        <f t="shared" si="11"/>
        <v>#DIV/0!</v>
      </c>
      <c r="L50" s="4" t="e">
        <f t="shared" si="12"/>
        <v>#DIV/0!</v>
      </c>
      <c r="M50" s="5"/>
      <c r="N50" s="5"/>
      <c r="O50" s="14"/>
      <c r="P50" s="14"/>
      <c r="Q50" s="14"/>
    </row>
    <row r="51" spans="1:17">
      <c r="A51" s="13">
        <f t="shared" si="13"/>
        <v>46159</v>
      </c>
      <c r="B51" s="26"/>
      <c r="C51" s="39"/>
      <c r="D51" s="200"/>
      <c r="E51" s="200"/>
      <c r="F51" s="20" t="e">
        <f t="shared" si="10"/>
        <v>#DIV/0!</v>
      </c>
      <c r="G51" s="2">
        <f t="shared" si="8"/>
        <v>0</v>
      </c>
      <c r="H51" s="2">
        <f t="shared" si="9"/>
        <v>0</v>
      </c>
      <c r="I51" s="3"/>
      <c r="J51" s="201"/>
      <c r="K51" s="20" t="e">
        <f t="shared" si="11"/>
        <v>#DIV/0!</v>
      </c>
      <c r="L51" s="4" t="e">
        <f t="shared" si="12"/>
        <v>#DIV/0!</v>
      </c>
      <c r="M51" s="5"/>
      <c r="N51" s="5"/>
      <c r="O51" s="14"/>
      <c r="P51" s="14"/>
      <c r="Q51" s="6"/>
    </row>
    <row r="52" spans="1:17">
      <c r="A52" s="13">
        <f t="shared" si="13"/>
        <v>46160</v>
      </c>
      <c r="B52" s="26"/>
      <c r="C52" s="39"/>
      <c r="D52" s="200"/>
      <c r="E52" s="200"/>
      <c r="F52" s="20" t="e">
        <f t="shared" si="10"/>
        <v>#DIV/0!</v>
      </c>
      <c r="G52" s="2">
        <f t="shared" si="8"/>
        <v>0</v>
      </c>
      <c r="H52" s="2">
        <f t="shared" si="9"/>
        <v>0</v>
      </c>
      <c r="I52" s="3"/>
      <c r="J52" s="201"/>
      <c r="K52" s="20" t="e">
        <f t="shared" si="11"/>
        <v>#DIV/0!</v>
      </c>
      <c r="L52" s="4" t="e">
        <f t="shared" si="12"/>
        <v>#DIV/0!</v>
      </c>
      <c r="M52" s="5"/>
      <c r="N52" s="5"/>
      <c r="O52" s="14"/>
      <c r="P52" s="14"/>
      <c r="Q52" s="14"/>
    </row>
    <row r="53" spans="1:17">
      <c r="A53" s="13">
        <f t="shared" si="13"/>
        <v>46161</v>
      </c>
      <c r="B53" s="26"/>
      <c r="C53" s="39"/>
      <c r="D53" s="200"/>
      <c r="E53" s="200"/>
      <c r="F53" s="20" t="e">
        <f t="shared" si="10"/>
        <v>#DIV/0!</v>
      </c>
      <c r="G53" s="2">
        <f t="shared" si="8"/>
        <v>0</v>
      </c>
      <c r="H53" s="2">
        <f>E53/($D$2*24)</f>
        <v>0</v>
      </c>
      <c r="I53" s="3"/>
      <c r="J53" s="201"/>
      <c r="K53" s="20" t="e">
        <f t="shared" si="11"/>
        <v>#DIV/0!</v>
      </c>
      <c r="L53" s="4" t="e">
        <f t="shared" si="12"/>
        <v>#DIV/0!</v>
      </c>
      <c r="M53" s="5"/>
      <c r="N53" s="5"/>
      <c r="O53" s="14"/>
      <c r="P53" s="14"/>
      <c r="Q53" s="14"/>
    </row>
    <row r="54" spans="1:17">
      <c r="A54" s="13">
        <f t="shared" si="13"/>
        <v>46162</v>
      </c>
      <c r="B54" s="26"/>
      <c r="C54" s="39"/>
      <c r="D54" s="200"/>
      <c r="E54" s="200"/>
      <c r="F54" s="20" t="e">
        <f t="shared" si="10"/>
        <v>#DIV/0!</v>
      </c>
      <c r="G54" s="2">
        <f t="shared" si="8"/>
        <v>0</v>
      </c>
      <c r="H54" s="2">
        <f>E54/($D$2*24)</f>
        <v>0</v>
      </c>
      <c r="I54" s="3"/>
      <c r="J54" s="201"/>
      <c r="K54" s="20" t="e">
        <f t="shared" si="11"/>
        <v>#DIV/0!</v>
      </c>
      <c r="L54" s="4" t="e">
        <f t="shared" si="12"/>
        <v>#DIV/0!</v>
      </c>
      <c r="M54" s="5"/>
      <c r="N54" s="5"/>
      <c r="O54" s="14"/>
      <c r="P54" s="14"/>
      <c r="Q54" s="14"/>
    </row>
    <row r="55" spans="1:17">
      <c r="A55" s="13">
        <f t="shared" si="13"/>
        <v>46163</v>
      </c>
      <c r="B55" s="26"/>
      <c r="C55" s="39"/>
      <c r="D55" s="14"/>
      <c r="E55" s="14"/>
      <c r="F55" s="20" t="e">
        <f>(IF(ISBLANK(E55),0,E55-C55))/C55</f>
        <v>#DIV/0!</v>
      </c>
      <c r="G55" s="2">
        <f t="shared" ref="G55:G64" si="14">D55/($D$2*24)</f>
        <v>0</v>
      </c>
      <c r="H55" s="2">
        <f t="shared" ref="H55:H64" si="15">E55/($D$2*24)</f>
        <v>0</v>
      </c>
      <c r="I55" s="3"/>
      <c r="J55" s="14"/>
      <c r="K55" s="20" t="e">
        <f>(IF(ISBLANK(J55),0,J55-I55))/I55</f>
        <v>#DIV/0!</v>
      </c>
      <c r="L55" s="4" t="e">
        <f t="shared" si="12"/>
        <v>#DIV/0!</v>
      </c>
      <c r="M55" s="5"/>
      <c r="N55" s="5"/>
      <c r="O55" s="14"/>
      <c r="P55" s="14"/>
      <c r="Q55" s="6"/>
    </row>
    <row r="56" spans="1:17">
      <c r="A56" s="13">
        <f t="shared" si="13"/>
        <v>46164</v>
      </c>
      <c r="B56" s="26"/>
      <c r="C56" s="39"/>
      <c r="D56" s="14"/>
      <c r="E56" s="14"/>
      <c r="F56" s="20" t="e">
        <f t="shared" ref="F56:F64" si="16">(IF(ISBLANK(E56),0,E56-C56))/C56</f>
        <v>#DIV/0!</v>
      </c>
      <c r="G56" s="2">
        <f t="shared" si="14"/>
        <v>0</v>
      </c>
      <c r="H56" s="2">
        <f t="shared" si="15"/>
        <v>0</v>
      </c>
      <c r="I56" s="3"/>
      <c r="J56" s="14"/>
      <c r="K56" s="20" t="e">
        <f t="shared" ref="K56:K64" si="17">(IF(ISBLANK(J56),0,J56-I56))/I56</f>
        <v>#DIV/0!</v>
      </c>
      <c r="L56" s="4" t="e">
        <f t="shared" si="12"/>
        <v>#DIV/0!</v>
      </c>
      <c r="M56" s="5"/>
      <c r="N56" s="5"/>
      <c r="O56" s="14"/>
      <c r="P56" s="14"/>
      <c r="Q56" s="6"/>
    </row>
    <row r="57" spans="1:17">
      <c r="A57" s="13">
        <f t="shared" si="13"/>
        <v>46165</v>
      </c>
      <c r="B57" s="26"/>
      <c r="C57" s="39"/>
      <c r="D57" s="14"/>
      <c r="E57" s="14"/>
      <c r="F57" s="20" t="e">
        <f t="shared" si="16"/>
        <v>#DIV/0!</v>
      </c>
      <c r="G57" s="2">
        <f t="shared" si="14"/>
        <v>0</v>
      </c>
      <c r="H57" s="2">
        <f t="shared" si="15"/>
        <v>0</v>
      </c>
      <c r="I57" s="3"/>
      <c r="J57" s="14"/>
      <c r="K57" s="20" t="e">
        <f t="shared" si="17"/>
        <v>#DIV/0!</v>
      </c>
      <c r="L57" s="4" t="e">
        <f t="shared" si="12"/>
        <v>#DIV/0!</v>
      </c>
      <c r="M57" s="5"/>
      <c r="N57" s="5"/>
      <c r="O57" s="14"/>
      <c r="P57" s="14"/>
      <c r="Q57" s="6"/>
    </row>
    <row r="58" spans="1:17">
      <c r="A58" s="13">
        <f t="shared" si="13"/>
        <v>46166</v>
      </c>
      <c r="B58" s="26"/>
      <c r="C58" s="39"/>
      <c r="D58" s="14"/>
      <c r="E58" s="14"/>
      <c r="F58" s="20" t="e">
        <f t="shared" si="16"/>
        <v>#DIV/0!</v>
      </c>
      <c r="G58" s="2">
        <f t="shared" si="14"/>
        <v>0</v>
      </c>
      <c r="H58" s="2">
        <f t="shared" si="15"/>
        <v>0</v>
      </c>
      <c r="I58" s="3"/>
      <c r="J58" s="14"/>
      <c r="K58" s="20" t="e">
        <f t="shared" si="17"/>
        <v>#DIV/0!</v>
      </c>
      <c r="L58" s="4" t="e">
        <f t="shared" si="12"/>
        <v>#DIV/0!</v>
      </c>
      <c r="M58" s="5"/>
      <c r="N58" s="5"/>
      <c r="O58" s="14"/>
      <c r="P58" s="14"/>
      <c r="Q58" s="6"/>
    </row>
    <row r="59" spans="1:17">
      <c r="A59" s="13">
        <f t="shared" si="13"/>
        <v>46167</v>
      </c>
      <c r="B59" s="26"/>
      <c r="C59" s="39"/>
      <c r="D59" s="14"/>
      <c r="E59" s="14"/>
      <c r="F59" s="20" t="e">
        <f t="shared" si="16"/>
        <v>#DIV/0!</v>
      </c>
      <c r="G59" s="2">
        <f t="shared" si="14"/>
        <v>0</v>
      </c>
      <c r="H59" s="2">
        <f t="shared" si="15"/>
        <v>0</v>
      </c>
      <c r="I59" s="3"/>
      <c r="J59" s="14"/>
      <c r="K59" s="20" t="e">
        <f t="shared" si="17"/>
        <v>#DIV/0!</v>
      </c>
      <c r="L59" s="4" t="e">
        <f t="shared" si="12"/>
        <v>#DIV/0!</v>
      </c>
      <c r="M59" s="5"/>
      <c r="N59" s="5"/>
      <c r="O59" s="14"/>
      <c r="P59" s="14"/>
      <c r="Q59" s="6"/>
    </row>
    <row r="60" spans="1:17">
      <c r="A60" s="13">
        <f t="shared" si="13"/>
        <v>46168</v>
      </c>
      <c r="B60" s="26"/>
      <c r="C60" s="39"/>
      <c r="D60" s="14"/>
      <c r="E60" s="14"/>
      <c r="F60" s="20" t="e">
        <f t="shared" si="16"/>
        <v>#DIV/0!</v>
      </c>
      <c r="G60" s="2">
        <f t="shared" si="14"/>
        <v>0</v>
      </c>
      <c r="H60" s="2">
        <f t="shared" si="15"/>
        <v>0</v>
      </c>
      <c r="I60" s="3"/>
      <c r="J60" s="14"/>
      <c r="K60" s="20" t="e">
        <f t="shared" si="17"/>
        <v>#DIV/0!</v>
      </c>
      <c r="L60" s="4" t="e">
        <f t="shared" si="12"/>
        <v>#DIV/0!</v>
      </c>
      <c r="M60" s="5"/>
      <c r="N60" s="5"/>
      <c r="O60" s="14"/>
      <c r="P60" s="14"/>
      <c r="Q60" s="6"/>
    </row>
    <row r="61" spans="1:17">
      <c r="A61" s="13">
        <f t="shared" si="13"/>
        <v>46169</v>
      </c>
      <c r="B61" s="26"/>
      <c r="C61" s="39"/>
      <c r="D61" s="14"/>
      <c r="E61" s="14"/>
      <c r="F61" s="20" t="e">
        <f t="shared" si="16"/>
        <v>#DIV/0!</v>
      </c>
      <c r="G61" s="2">
        <f t="shared" si="14"/>
        <v>0</v>
      </c>
      <c r="H61" s="2">
        <f t="shared" si="15"/>
        <v>0</v>
      </c>
      <c r="I61" s="3"/>
      <c r="J61" s="14"/>
      <c r="K61" s="20" t="e">
        <f t="shared" si="17"/>
        <v>#DIV/0!</v>
      </c>
      <c r="L61" s="4" t="e">
        <f t="shared" si="12"/>
        <v>#DIV/0!</v>
      </c>
      <c r="M61" s="5"/>
      <c r="N61" s="5"/>
      <c r="O61" s="14"/>
      <c r="P61" s="14"/>
      <c r="Q61" s="6"/>
    </row>
    <row r="62" spans="1:17">
      <c r="A62" s="13">
        <f t="shared" si="13"/>
        <v>46170</v>
      </c>
      <c r="B62" s="26"/>
      <c r="C62" s="39"/>
      <c r="D62" s="14"/>
      <c r="E62" s="14"/>
      <c r="F62" s="20" t="e">
        <f t="shared" si="16"/>
        <v>#DIV/0!</v>
      </c>
      <c r="G62" s="2">
        <f t="shared" si="14"/>
        <v>0</v>
      </c>
      <c r="H62" s="2">
        <f t="shared" si="15"/>
        <v>0</v>
      </c>
      <c r="I62" s="3"/>
      <c r="J62" s="14"/>
      <c r="K62" s="20" t="e">
        <f t="shared" si="17"/>
        <v>#DIV/0!</v>
      </c>
      <c r="L62" s="4" t="e">
        <f t="shared" si="12"/>
        <v>#DIV/0!</v>
      </c>
      <c r="M62" s="5"/>
      <c r="N62" s="5"/>
      <c r="O62" s="14"/>
      <c r="P62" s="14"/>
      <c r="Q62" s="6"/>
    </row>
    <row r="63" spans="1:17">
      <c r="A63" s="13">
        <f t="shared" si="13"/>
        <v>46171</v>
      </c>
      <c r="B63" s="26"/>
      <c r="C63" s="39"/>
      <c r="D63" s="14"/>
      <c r="E63" s="14"/>
      <c r="F63" s="20" t="e">
        <f t="shared" si="16"/>
        <v>#DIV/0!</v>
      </c>
      <c r="G63" s="2">
        <f t="shared" si="14"/>
        <v>0</v>
      </c>
      <c r="H63" s="2">
        <f t="shared" si="15"/>
        <v>0</v>
      </c>
      <c r="I63" s="3"/>
      <c r="J63" s="14"/>
      <c r="K63" s="20" t="e">
        <f t="shared" si="17"/>
        <v>#DIV/0!</v>
      </c>
      <c r="L63" s="4" t="e">
        <f t="shared" si="12"/>
        <v>#DIV/0!</v>
      </c>
      <c r="M63" s="5"/>
      <c r="N63" s="5"/>
      <c r="O63" s="14"/>
      <c r="P63" s="14"/>
      <c r="Q63" s="6"/>
    </row>
    <row r="64" spans="1:17">
      <c r="A64" s="13">
        <f t="shared" si="13"/>
        <v>46172</v>
      </c>
      <c r="B64" s="26"/>
      <c r="C64" s="39"/>
      <c r="D64" s="14"/>
      <c r="E64" s="14"/>
      <c r="F64" s="20" t="e">
        <f t="shared" si="16"/>
        <v>#DIV/0!</v>
      </c>
      <c r="G64" s="2">
        <f t="shared" si="14"/>
        <v>0</v>
      </c>
      <c r="H64" s="2">
        <f t="shared" si="15"/>
        <v>0</v>
      </c>
      <c r="I64" s="3"/>
      <c r="J64" s="14"/>
      <c r="K64" s="20" t="e">
        <f t="shared" si="17"/>
        <v>#DIV/0!</v>
      </c>
      <c r="L64" s="4" t="e">
        <f t="shared" si="12"/>
        <v>#DIV/0!</v>
      </c>
      <c r="M64" s="5"/>
      <c r="N64" s="5"/>
      <c r="O64" s="14"/>
      <c r="P64" s="14"/>
      <c r="Q64" s="6"/>
    </row>
    <row r="65" spans="1:17">
      <c r="A65" s="13">
        <f t="shared" si="13"/>
        <v>46173</v>
      </c>
      <c r="B65" s="26"/>
      <c r="C65" s="39"/>
      <c r="D65" s="14"/>
      <c r="E65" s="14"/>
      <c r="F65" s="20" t="e">
        <f t="shared" ref="F65" si="18">(IF(ISBLANK(E65),0,E65-C65))/C65</f>
        <v>#DIV/0!</v>
      </c>
      <c r="G65" s="2">
        <f t="shared" ref="G65" si="19">D65/($D$2*24)</f>
        <v>0</v>
      </c>
      <c r="H65" s="2">
        <f t="shared" ref="H65" si="20">E65/($D$2*24)</f>
        <v>0</v>
      </c>
      <c r="I65" s="3"/>
      <c r="J65" s="14"/>
      <c r="K65" s="20" t="e">
        <f t="shared" ref="K65:K66" si="21">(IF(ISBLANK(J65),0,J65-I65))/I65</f>
        <v>#DIV/0!</v>
      </c>
      <c r="L65" s="4" t="e">
        <f t="shared" si="12"/>
        <v>#DIV/0!</v>
      </c>
      <c r="M65" s="5"/>
      <c r="N65" s="5"/>
      <c r="O65" s="14"/>
      <c r="P65" s="14"/>
      <c r="Q65" s="6"/>
    </row>
    <row r="66" spans="1:17">
      <c r="A66" s="349">
        <v>46143</v>
      </c>
      <c r="B66" s="89">
        <f>SUM(B35:B65)</f>
        <v>181240</v>
      </c>
      <c r="C66" s="89">
        <f>SUM(C35:C65)</f>
        <v>150780</v>
      </c>
      <c r="D66" s="89">
        <f>SUM(D35:D65)</f>
        <v>164361</v>
      </c>
      <c r="E66" s="89">
        <f>SUM(E35:E65)</f>
        <v>159390</v>
      </c>
      <c r="F66" s="92">
        <f>(IF(ISBLANK(E66),0,E66-C66))/C66</f>
        <v>5.7103064066852366E-2</v>
      </c>
      <c r="G66" s="90">
        <f>AVERAGE(G35:G65)</f>
        <v>2.2095951448354186E-2</v>
      </c>
      <c r="H66" s="90">
        <f>AVERAGE(H35:H65)</f>
        <v>2.8802519241283592E-2</v>
      </c>
      <c r="I66" s="89">
        <f>SUM(I35:I65)</f>
        <v>22.08</v>
      </c>
      <c r="J66" s="89">
        <f>SUM(J35:J65)</f>
        <v>20.692</v>
      </c>
      <c r="K66" s="92">
        <f t="shared" si="21"/>
        <v>-6.2862318840579634E-2</v>
      </c>
      <c r="L66" s="93">
        <f t="shared" si="12"/>
        <v>0.79448037297387952</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4016-046D-4633-AB42-F9CEB25AC8C7}">
  <dimension ref="A1:Q66"/>
  <sheetViews>
    <sheetView workbookViewId="0">
      <pane xSplit="2" ySplit="3" topLeftCell="C22" activePane="bottomRight" state="frozen"/>
      <selection pane="topRight"/>
      <selection pane="bottomLeft"/>
      <selection pane="bottomRight" activeCell="P66" sqref="P66"/>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267</v>
      </c>
      <c r="B1" s="406"/>
      <c r="C1" s="406"/>
      <c r="D1" s="406"/>
      <c r="E1" s="406"/>
      <c r="F1" s="406"/>
      <c r="G1" s="406"/>
      <c r="H1" s="406"/>
      <c r="I1" s="406"/>
      <c r="J1" s="406"/>
      <c r="K1" s="406"/>
      <c r="L1" s="406"/>
      <c r="M1" s="406"/>
      <c r="N1" s="406"/>
      <c r="O1" s="406"/>
      <c r="P1" s="406"/>
      <c r="Q1" s="406"/>
    </row>
    <row r="2" spans="1:17" ht="18.5">
      <c r="A2" s="7">
        <v>46113</v>
      </c>
      <c r="B2" s="407" t="s">
        <v>172</v>
      </c>
      <c r="C2" s="408"/>
      <c r="D2" s="136">
        <v>15000</v>
      </c>
      <c r="E2" s="407" t="s">
        <v>173</v>
      </c>
      <c r="F2" s="407"/>
      <c r="G2" s="408"/>
      <c r="H2" s="136">
        <v>12095</v>
      </c>
      <c r="I2" s="409" t="s">
        <v>174</v>
      </c>
      <c r="J2" s="410"/>
      <c r="K2" s="137">
        <v>45111</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26">
        <v>70946</v>
      </c>
      <c r="C4" s="39">
        <v>69829</v>
      </c>
      <c r="D4" s="200">
        <v>77310</v>
      </c>
      <c r="E4" s="200">
        <v>76050</v>
      </c>
      <c r="F4" s="20">
        <f>(IF(ISBLANK(E4),0,E4-C4))/C4</f>
        <v>8.9089060419023619E-2</v>
      </c>
      <c r="G4" s="2">
        <f t="shared" ref="G4:G23" si="0">D4/($D$2*24)</f>
        <v>0.21475</v>
      </c>
      <c r="H4" s="2">
        <f t="shared" ref="H4:H21" si="1">D4/($H$2*24)</f>
        <v>0.26632906159570069</v>
      </c>
      <c r="I4" s="3">
        <v>5.98</v>
      </c>
      <c r="J4" s="201">
        <v>6.5039999999999996</v>
      </c>
      <c r="K4" s="20">
        <f>(IF(ISBLANK(J4),0,J4-I4))/I4</f>
        <v>8.7625418060200522E-2</v>
      </c>
      <c r="L4" s="4">
        <f t="shared" ref="L4:L35" si="2">D4/($D$2*J4)</f>
        <v>0.79243542435424352</v>
      </c>
      <c r="M4" s="5">
        <v>1</v>
      </c>
      <c r="N4" s="5">
        <v>1</v>
      </c>
      <c r="O4" s="14">
        <v>0</v>
      </c>
      <c r="P4" s="14">
        <v>0</v>
      </c>
      <c r="Q4" s="6"/>
    </row>
    <row r="5" spans="1:17">
      <c r="A5" s="13">
        <f>A4+1</f>
        <v>46114</v>
      </c>
      <c r="B5" s="26">
        <v>70946</v>
      </c>
      <c r="C5" s="39">
        <v>69829</v>
      </c>
      <c r="D5" s="200">
        <v>73131</v>
      </c>
      <c r="E5" s="200">
        <v>72000</v>
      </c>
      <c r="F5" s="20">
        <f t="shared" ref="F5:F33" si="3">(IF(ISBLANK(E5),0,E5-C5))/C5</f>
        <v>3.1090234716235374E-2</v>
      </c>
      <c r="G5" s="2">
        <f t="shared" si="0"/>
        <v>0.20314166666666666</v>
      </c>
      <c r="H5" s="2">
        <f t="shared" si="1"/>
        <v>0.25193261678379497</v>
      </c>
      <c r="I5" s="3">
        <v>5.98</v>
      </c>
      <c r="J5" s="201">
        <v>6.1390000000000002</v>
      </c>
      <c r="K5" s="20">
        <f t="shared" ref="K5:K34" si="4">(IF(ISBLANK(J5),0,J5-I5))/I5</f>
        <v>2.6588628762541772E-2</v>
      </c>
      <c r="L5" s="4">
        <f t="shared" si="2"/>
        <v>0.79416843134060922</v>
      </c>
      <c r="M5" s="5">
        <v>1</v>
      </c>
      <c r="N5" s="5">
        <v>1</v>
      </c>
      <c r="O5" s="14">
        <v>0</v>
      </c>
      <c r="P5" s="14">
        <v>0</v>
      </c>
      <c r="Q5" s="6"/>
    </row>
    <row r="6" spans="1:17">
      <c r="A6" s="13">
        <f t="shared" ref="A6:A33" si="5">A5+1</f>
        <v>46115</v>
      </c>
      <c r="B6" s="26">
        <v>70946</v>
      </c>
      <c r="C6" s="39">
        <v>69829</v>
      </c>
      <c r="D6" s="200">
        <v>53778</v>
      </c>
      <c r="E6" s="200">
        <v>52950</v>
      </c>
      <c r="F6" s="20">
        <f t="shared" si="3"/>
        <v>-0.24171905655243522</v>
      </c>
      <c r="G6" s="2">
        <f t="shared" si="0"/>
        <v>0.14938333333333334</v>
      </c>
      <c r="H6" s="2">
        <f t="shared" si="1"/>
        <v>0.18526250516742457</v>
      </c>
      <c r="I6" s="3">
        <v>5.98</v>
      </c>
      <c r="J6" s="201">
        <v>4.5</v>
      </c>
      <c r="K6" s="20">
        <f t="shared" si="4"/>
        <v>-0.24749163879598668</v>
      </c>
      <c r="L6" s="4">
        <f t="shared" si="2"/>
        <v>0.79671111111111115</v>
      </c>
      <c r="M6" s="5">
        <v>1</v>
      </c>
      <c r="N6" s="5">
        <v>1</v>
      </c>
      <c r="O6" s="14">
        <v>0</v>
      </c>
      <c r="P6" s="14">
        <v>0</v>
      </c>
      <c r="Q6" s="6"/>
    </row>
    <row r="7" spans="1:17">
      <c r="A7" s="13">
        <f t="shared" si="5"/>
        <v>46116</v>
      </c>
      <c r="B7" s="26">
        <v>70946</v>
      </c>
      <c r="C7" s="39">
        <v>69829</v>
      </c>
      <c r="D7" s="200">
        <v>62802</v>
      </c>
      <c r="E7" s="200">
        <v>61950</v>
      </c>
      <c r="F7" s="20">
        <f t="shared" si="3"/>
        <v>-0.11283277721290581</v>
      </c>
      <c r="G7" s="2">
        <f t="shared" si="0"/>
        <v>0.17444999999999999</v>
      </c>
      <c r="H7" s="2">
        <f t="shared" si="1"/>
        <v>0.2163497312939231</v>
      </c>
      <c r="I7" s="3">
        <v>5.98</v>
      </c>
      <c r="J7" s="201">
        <v>5.2480000000000002</v>
      </c>
      <c r="K7" s="20">
        <f t="shared" si="4"/>
        <v>-0.12240802675585287</v>
      </c>
      <c r="L7" s="4">
        <f t="shared" si="2"/>
        <v>0.79778963414634141</v>
      </c>
      <c r="M7" s="5">
        <v>1</v>
      </c>
      <c r="N7" s="5">
        <v>1</v>
      </c>
      <c r="O7" s="14">
        <v>0</v>
      </c>
      <c r="P7" s="14">
        <v>0</v>
      </c>
      <c r="Q7" s="14"/>
    </row>
    <row r="8" spans="1:17">
      <c r="A8" s="13">
        <f t="shared" si="5"/>
        <v>46117</v>
      </c>
      <c r="B8" s="26">
        <v>70946</v>
      </c>
      <c r="C8" s="39">
        <v>69829</v>
      </c>
      <c r="D8" s="200">
        <v>63904</v>
      </c>
      <c r="E8" s="200">
        <v>62850</v>
      </c>
      <c r="F8" s="20">
        <f t="shared" si="3"/>
        <v>-9.9944149278952871E-2</v>
      </c>
      <c r="G8" s="2">
        <f t="shared" si="0"/>
        <v>0.17751111111111112</v>
      </c>
      <c r="H8" s="2">
        <f t="shared" si="1"/>
        <v>0.22014606586743835</v>
      </c>
      <c r="I8" s="3">
        <v>5.98</v>
      </c>
      <c r="J8" s="201">
        <v>5.44</v>
      </c>
      <c r="K8" s="20">
        <f t="shared" si="4"/>
        <v>-9.0301003344481601E-2</v>
      </c>
      <c r="L8" s="4">
        <f t="shared" si="2"/>
        <v>0.78313725490196073</v>
      </c>
      <c r="M8" s="5">
        <v>1</v>
      </c>
      <c r="N8" s="5">
        <v>1</v>
      </c>
      <c r="O8" s="14">
        <v>0</v>
      </c>
      <c r="P8" s="14">
        <v>0</v>
      </c>
      <c r="Q8" s="14"/>
    </row>
    <row r="9" spans="1:17">
      <c r="A9" s="13">
        <f t="shared" si="5"/>
        <v>46118</v>
      </c>
      <c r="B9" s="26">
        <v>70946</v>
      </c>
      <c r="C9" s="39">
        <v>69829</v>
      </c>
      <c r="D9" s="200">
        <v>54723</v>
      </c>
      <c r="E9" s="200">
        <v>54150</v>
      </c>
      <c r="F9" s="20">
        <f t="shared" si="3"/>
        <v>-0.22453421930716463</v>
      </c>
      <c r="G9" s="2">
        <f t="shared" si="0"/>
        <v>0.15200833333333333</v>
      </c>
      <c r="H9" s="2">
        <f t="shared" si="1"/>
        <v>0.18851798263745348</v>
      </c>
      <c r="I9" s="3">
        <v>5.98</v>
      </c>
      <c r="J9" s="201">
        <v>4.5830000000000002</v>
      </c>
      <c r="K9" s="20">
        <f t="shared" si="4"/>
        <v>-0.23361204013377929</v>
      </c>
      <c r="L9" s="4">
        <f t="shared" si="2"/>
        <v>0.79602880209469784</v>
      </c>
      <c r="M9" s="5">
        <v>1</v>
      </c>
      <c r="N9" s="5">
        <v>1</v>
      </c>
      <c r="O9" s="14">
        <v>0</v>
      </c>
      <c r="P9" s="14">
        <v>0</v>
      </c>
      <c r="Q9" s="14"/>
    </row>
    <row r="10" spans="1:17">
      <c r="A10" s="13">
        <f t="shared" si="5"/>
        <v>46119</v>
      </c>
      <c r="B10" s="26">
        <v>70946</v>
      </c>
      <c r="C10" s="39">
        <v>69829</v>
      </c>
      <c r="D10" s="200">
        <v>64841</v>
      </c>
      <c r="E10" s="200">
        <v>63900</v>
      </c>
      <c r="F10" s="20">
        <f t="shared" si="3"/>
        <v>-8.4907416689341111E-2</v>
      </c>
      <c r="G10" s="2">
        <f t="shared" si="0"/>
        <v>0.18011388888888888</v>
      </c>
      <c r="H10" s="2">
        <f t="shared" si="1"/>
        <v>0.22337398373983741</v>
      </c>
      <c r="I10" s="3">
        <v>5.98</v>
      </c>
      <c r="J10" s="201">
        <v>5.43</v>
      </c>
      <c r="K10" s="20">
        <f t="shared" si="4"/>
        <v>-9.197324414715731E-2</v>
      </c>
      <c r="L10" s="4">
        <f t="shared" si="2"/>
        <v>0.79608348680171881</v>
      </c>
      <c r="M10" s="5">
        <v>1</v>
      </c>
      <c r="N10" s="15">
        <v>1</v>
      </c>
      <c r="O10" s="14">
        <v>0</v>
      </c>
      <c r="P10" s="14">
        <v>0</v>
      </c>
      <c r="Q10" s="202"/>
    </row>
    <row r="11" spans="1:17">
      <c r="A11" s="13">
        <f t="shared" si="5"/>
        <v>46120</v>
      </c>
      <c r="B11" s="26">
        <v>70946</v>
      </c>
      <c r="C11" s="39">
        <v>69829</v>
      </c>
      <c r="D11" s="200">
        <v>69469</v>
      </c>
      <c r="E11" s="200">
        <v>68400</v>
      </c>
      <c r="F11" s="20">
        <f t="shared" si="3"/>
        <v>-2.0464277019576392E-2</v>
      </c>
      <c r="G11" s="2">
        <f t="shared" si="0"/>
        <v>0.19296944444444444</v>
      </c>
      <c r="H11" s="2">
        <f t="shared" si="1"/>
        <v>0.23931721096871986</v>
      </c>
      <c r="I11" s="3">
        <v>5.98</v>
      </c>
      <c r="J11" s="201">
        <v>5.774</v>
      </c>
      <c r="K11" s="20">
        <f t="shared" si="4"/>
        <v>-3.4448160535117123E-2</v>
      </c>
      <c r="L11" s="4">
        <f t="shared" si="2"/>
        <v>0.80208982796443828</v>
      </c>
      <c r="M11" s="5">
        <v>1</v>
      </c>
      <c r="N11" s="15">
        <v>1</v>
      </c>
      <c r="O11" s="14">
        <v>0</v>
      </c>
      <c r="P11" s="14">
        <v>0</v>
      </c>
      <c r="Q11" s="14"/>
    </row>
    <row r="12" spans="1:17">
      <c r="A12" s="13">
        <f t="shared" si="5"/>
        <v>46121</v>
      </c>
      <c r="B12" s="26">
        <v>70946</v>
      </c>
      <c r="C12" s="39">
        <v>69829</v>
      </c>
      <c r="D12" s="200">
        <v>58001</v>
      </c>
      <c r="E12" s="200">
        <v>57150</v>
      </c>
      <c r="F12" s="20">
        <f t="shared" si="3"/>
        <v>-0.18157212619398816</v>
      </c>
      <c r="G12" s="2">
        <f t="shared" si="0"/>
        <v>0.16111388888888889</v>
      </c>
      <c r="H12" s="2">
        <f t="shared" si="1"/>
        <v>0.1998105277662946</v>
      </c>
      <c r="I12" s="3">
        <v>5.98</v>
      </c>
      <c r="J12" s="201">
        <v>4.8769999999999998</v>
      </c>
      <c r="K12" s="20">
        <f t="shared" si="4"/>
        <v>-0.18444816053511714</v>
      </c>
      <c r="L12" s="4">
        <f t="shared" si="2"/>
        <v>0.79285079625452803</v>
      </c>
      <c r="M12" s="5">
        <v>1</v>
      </c>
      <c r="N12" s="5">
        <v>1</v>
      </c>
      <c r="O12" s="14">
        <v>0</v>
      </c>
      <c r="P12" s="14">
        <v>0</v>
      </c>
      <c r="Q12" s="6"/>
    </row>
    <row r="13" spans="1:17">
      <c r="A13" s="13">
        <f t="shared" si="5"/>
        <v>46122</v>
      </c>
      <c r="B13" s="26">
        <v>70946</v>
      </c>
      <c r="C13" s="39">
        <v>69829</v>
      </c>
      <c r="D13" s="200">
        <v>70681</v>
      </c>
      <c r="E13" s="200">
        <v>68850</v>
      </c>
      <c r="F13" s="20">
        <f t="shared" si="3"/>
        <v>-1.4019963052599923E-2</v>
      </c>
      <c r="G13" s="2">
        <f t="shared" si="0"/>
        <v>0.1963361111111111</v>
      </c>
      <c r="H13" s="2">
        <f t="shared" si="1"/>
        <v>0.24349249000964585</v>
      </c>
      <c r="I13" s="3">
        <v>5.98</v>
      </c>
      <c r="J13" s="201">
        <v>5.8869999999999996</v>
      </c>
      <c r="K13" s="20">
        <f t="shared" si="4"/>
        <v>-1.5551839464883086E-2</v>
      </c>
      <c r="L13" s="4">
        <f t="shared" si="2"/>
        <v>0.80041900232149932</v>
      </c>
      <c r="M13" s="5">
        <v>1</v>
      </c>
      <c r="N13" s="15">
        <v>1</v>
      </c>
      <c r="O13" s="14">
        <v>0</v>
      </c>
      <c r="P13" s="14">
        <v>0</v>
      </c>
      <c r="Q13" s="16"/>
    </row>
    <row r="14" spans="1:17">
      <c r="A14" s="13">
        <f t="shared" si="5"/>
        <v>46123</v>
      </c>
      <c r="B14" s="26">
        <v>70946</v>
      </c>
      <c r="C14" s="39">
        <v>69829</v>
      </c>
      <c r="D14" s="200">
        <v>71990</v>
      </c>
      <c r="E14" s="200">
        <v>71700</v>
      </c>
      <c r="F14" s="20">
        <f t="shared" si="3"/>
        <v>2.6794025404917727E-2</v>
      </c>
      <c r="G14" s="2">
        <f t="shared" si="0"/>
        <v>0.19997222222222222</v>
      </c>
      <c r="H14" s="2">
        <f t="shared" si="1"/>
        <v>0.24800192917183408</v>
      </c>
      <c r="I14" s="3">
        <v>5.98</v>
      </c>
      <c r="J14" s="201">
        <v>6.0060000000000002</v>
      </c>
      <c r="K14" s="20">
        <f t="shared" si="4"/>
        <v>4.347826086956488E-3</v>
      </c>
      <c r="L14" s="4">
        <f t="shared" si="2"/>
        <v>0.79908979908979905</v>
      </c>
      <c r="M14" s="5">
        <v>1</v>
      </c>
      <c r="N14" s="15">
        <v>1</v>
      </c>
      <c r="O14" s="14">
        <v>0</v>
      </c>
      <c r="P14" s="14">
        <v>0</v>
      </c>
      <c r="Q14" s="6"/>
    </row>
    <row r="15" spans="1:17">
      <c r="A15" s="13">
        <f t="shared" si="5"/>
        <v>46124</v>
      </c>
      <c r="B15" s="26">
        <v>70946</v>
      </c>
      <c r="C15" s="39">
        <v>69829</v>
      </c>
      <c r="D15" s="200">
        <v>68579</v>
      </c>
      <c r="E15" s="200">
        <v>67500</v>
      </c>
      <c r="F15" s="20">
        <f t="shared" si="3"/>
        <v>-3.3352904953529335E-2</v>
      </c>
      <c r="G15" s="2">
        <f t="shared" si="0"/>
        <v>0.19049722222222223</v>
      </c>
      <c r="H15" s="2">
        <f t="shared" si="1"/>
        <v>0.2362512057323963</v>
      </c>
      <c r="I15" s="3">
        <v>5.98</v>
      </c>
      <c r="J15" s="201">
        <v>5.7720000000000002</v>
      </c>
      <c r="K15" s="20">
        <f t="shared" si="4"/>
        <v>-3.4782608695652202E-2</v>
      </c>
      <c r="L15" s="4">
        <f t="shared" si="2"/>
        <v>0.79208824208824213</v>
      </c>
      <c r="M15" s="5">
        <v>1</v>
      </c>
      <c r="N15" s="15">
        <v>1</v>
      </c>
      <c r="O15" s="14">
        <v>0</v>
      </c>
      <c r="P15" s="14">
        <v>0</v>
      </c>
      <c r="Q15" s="6"/>
    </row>
    <row r="16" spans="1:17">
      <c r="A16" s="13">
        <f t="shared" si="5"/>
        <v>46125</v>
      </c>
      <c r="B16" s="26">
        <v>70946</v>
      </c>
      <c r="C16" s="39">
        <v>69829</v>
      </c>
      <c r="D16" s="200">
        <v>70722</v>
      </c>
      <c r="E16" s="200">
        <v>69750</v>
      </c>
      <c r="F16" s="20">
        <f t="shared" si="3"/>
        <v>-1.1313351186469805E-3</v>
      </c>
      <c r="G16" s="2">
        <f t="shared" si="0"/>
        <v>0.19645000000000001</v>
      </c>
      <c r="H16" s="2">
        <f t="shared" si="1"/>
        <v>0.24363373294749896</v>
      </c>
      <c r="I16" s="3">
        <v>5.98</v>
      </c>
      <c r="J16" s="201">
        <v>5.8559999999999999</v>
      </c>
      <c r="K16" s="20">
        <f t="shared" si="4"/>
        <v>-2.0735785953177349E-2</v>
      </c>
      <c r="L16" s="4">
        <f t="shared" si="2"/>
        <v>0.80512295081967211</v>
      </c>
      <c r="M16" s="5">
        <v>1</v>
      </c>
      <c r="N16" s="15">
        <v>1</v>
      </c>
      <c r="O16" s="14">
        <v>0</v>
      </c>
      <c r="P16" s="14">
        <v>0</v>
      </c>
      <c r="Q16" s="14"/>
    </row>
    <row r="17" spans="1:17">
      <c r="A17" s="13">
        <f t="shared" si="5"/>
        <v>46126</v>
      </c>
      <c r="B17" s="26">
        <v>70946</v>
      </c>
      <c r="C17" s="39">
        <v>69829</v>
      </c>
      <c r="D17" s="200">
        <v>68012</v>
      </c>
      <c r="E17" s="200">
        <v>66900</v>
      </c>
      <c r="F17" s="20">
        <f t="shared" si="3"/>
        <v>-4.194532357616463E-2</v>
      </c>
      <c r="G17" s="2">
        <f t="shared" si="0"/>
        <v>0.18892222222222221</v>
      </c>
      <c r="H17" s="2">
        <f t="shared" si="1"/>
        <v>0.23429791925037893</v>
      </c>
      <c r="I17" s="3">
        <v>5.98</v>
      </c>
      <c r="J17" s="201">
        <v>5.5970000000000004</v>
      </c>
      <c r="K17" s="20">
        <f t="shared" si="4"/>
        <v>-6.4046822742474918E-2</v>
      </c>
      <c r="L17" s="4">
        <f t="shared" si="2"/>
        <v>0.81010064915728663</v>
      </c>
      <c r="M17" s="5">
        <v>1</v>
      </c>
      <c r="N17" s="15">
        <v>1</v>
      </c>
      <c r="O17" s="14">
        <v>0</v>
      </c>
      <c r="P17" s="14">
        <v>0</v>
      </c>
      <c r="Q17" s="203"/>
    </row>
    <row r="18" spans="1:17">
      <c r="A18" s="13">
        <f t="shared" si="5"/>
        <v>46127</v>
      </c>
      <c r="B18" s="26">
        <v>70946</v>
      </c>
      <c r="C18" s="39">
        <v>69829</v>
      </c>
      <c r="D18" s="200">
        <v>72113</v>
      </c>
      <c r="E18" s="200">
        <v>71100</v>
      </c>
      <c r="F18" s="20">
        <f t="shared" si="3"/>
        <v>1.8201606782282432E-2</v>
      </c>
      <c r="G18" s="2">
        <f t="shared" si="0"/>
        <v>0.2003138888888889</v>
      </c>
      <c r="H18" s="2">
        <f t="shared" si="1"/>
        <v>0.2484256579853934</v>
      </c>
      <c r="I18" s="3">
        <v>5.98</v>
      </c>
      <c r="J18" s="201">
        <v>5.9420000000000002</v>
      </c>
      <c r="K18" s="20">
        <f t="shared" si="4"/>
        <v>-6.354515050167266E-3</v>
      </c>
      <c r="L18" s="4">
        <f t="shared" si="2"/>
        <v>0.80907662964209581</v>
      </c>
      <c r="M18" s="5">
        <v>1</v>
      </c>
      <c r="N18" s="15">
        <v>1</v>
      </c>
      <c r="O18" s="14">
        <v>0</v>
      </c>
      <c r="P18" s="14">
        <v>0</v>
      </c>
      <c r="Q18" s="14"/>
    </row>
    <row r="19" spans="1:17">
      <c r="A19" s="13">
        <f t="shared" si="5"/>
        <v>46128</v>
      </c>
      <c r="B19" s="26">
        <v>70946</v>
      </c>
      <c r="C19" s="39">
        <v>69829</v>
      </c>
      <c r="D19" s="200">
        <v>70495</v>
      </c>
      <c r="E19" s="200">
        <v>69450</v>
      </c>
      <c r="F19" s="20">
        <f t="shared" si="3"/>
        <v>-5.4275444299646276E-3</v>
      </c>
      <c r="G19" s="2">
        <f t="shared" si="0"/>
        <v>0.19581944444444443</v>
      </c>
      <c r="H19" s="2">
        <f t="shared" si="1"/>
        <v>0.24285172936475127</v>
      </c>
      <c r="I19" s="3">
        <v>5.98</v>
      </c>
      <c r="J19" s="201">
        <v>5.9119999999999999</v>
      </c>
      <c r="K19" s="20">
        <f t="shared" si="4"/>
        <v>-1.1371237458194064E-2</v>
      </c>
      <c r="L19" s="4">
        <f t="shared" si="2"/>
        <v>0.79493685160126293</v>
      </c>
      <c r="M19" s="5">
        <v>1</v>
      </c>
      <c r="N19" s="15">
        <v>1</v>
      </c>
      <c r="O19" s="14">
        <v>0</v>
      </c>
      <c r="P19" s="14">
        <v>0</v>
      </c>
      <c r="Q19" s="14"/>
    </row>
    <row r="20" spans="1:17">
      <c r="A20" s="13">
        <f t="shared" si="5"/>
        <v>46129</v>
      </c>
      <c r="B20" s="26">
        <v>70946</v>
      </c>
      <c r="C20" s="39">
        <v>69829</v>
      </c>
      <c r="D20" s="200">
        <v>54702</v>
      </c>
      <c r="E20" s="200">
        <v>54000</v>
      </c>
      <c r="F20" s="20">
        <f t="shared" si="3"/>
        <v>-0.22668232396282348</v>
      </c>
      <c r="G20" s="2">
        <f t="shared" si="0"/>
        <v>0.15195</v>
      </c>
      <c r="H20" s="2">
        <f t="shared" si="1"/>
        <v>0.18844563869367506</v>
      </c>
      <c r="I20" s="3">
        <v>5.98</v>
      </c>
      <c r="J20" s="201">
        <v>4.5810000000000004</v>
      </c>
      <c r="K20" s="20">
        <f t="shared" si="4"/>
        <v>-0.23394648829431436</v>
      </c>
      <c r="L20" s="4">
        <f t="shared" si="2"/>
        <v>0.79607072691552061</v>
      </c>
      <c r="M20" s="5">
        <v>1</v>
      </c>
      <c r="N20" s="15">
        <v>1</v>
      </c>
      <c r="O20" s="14">
        <v>0</v>
      </c>
      <c r="P20" s="14">
        <v>0</v>
      </c>
      <c r="Q20" s="6"/>
    </row>
    <row r="21" spans="1:17">
      <c r="A21" s="13">
        <f t="shared" si="5"/>
        <v>46130</v>
      </c>
      <c r="B21" s="26">
        <v>70946</v>
      </c>
      <c r="C21" s="39">
        <v>69829</v>
      </c>
      <c r="D21" s="200">
        <v>67869</v>
      </c>
      <c r="E21" s="200">
        <v>66900</v>
      </c>
      <c r="F21" s="20">
        <f t="shared" si="3"/>
        <v>-4.194532357616463E-2</v>
      </c>
      <c r="G21" s="2">
        <f t="shared" si="0"/>
        <v>0.188525</v>
      </c>
      <c r="H21" s="2">
        <f t="shared" si="1"/>
        <v>0.23380529144274492</v>
      </c>
      <c r="I21" s="3">
        <v>5.98</v>
      </c>
      <c r="J21" s="201">
        <v>5.681</v>
      </c>
      <c r="K21" s="20">
        <f t="shared" si="4"/>
        <v>-5.0000000000000058E-2</v>
      </c>
      <c r="L21" s="4">
        <f t="shared" si="2"/>
        <v>0.7964442879774688</v>
      </c>
      <c r="M21" s="5">
        <v>1</v>
      </c>
      <c r="N21" s="15">
        <v>1</v>
      </c>
      <c r="O21" s="14">
        <v>0</v>
      </c>
      <c r="P21" s="14">
        <v>0</v>
      </c>
      <c r="Q21" s="14"/>
    </row>
    <row r="22" spans="1:17">
      <c r="A22" s="13">
        <f t="shared" si="5"/>
        <v>46131</v>
      </c>
      <c r="B22" s="26">
        <v>70946</v>
      </c>
      <c r="C22" s="39">
        <v>69829</v>
      </c>
      <c r="D22" s="200">
        <v>71332</v>
      </c>
      <c r="E22" s="200">
        <v>70200</v>
      </c>
      <c r="F22" s="20">
        <f t="shared" si="3"/>
        <v>5.3129788483294903E-3</v>
      </c>
      <c r="G22" s="2">
        <f t="shared" si="0"/>
        <v>0.19814444444444446</v>
      </c>
      <c r="H22" s="2">
        <f>E22/($D$2*24)</f>
        <v>0.19500000000000001</v>
      </c>
      <c r="I22" s="3">
        <v>5.98</v>
      </c>
      <c r="J22" s="201">
        <v>5.9</v>
      </c>
      <c r="K22" s="20">
        <f t="shared" si="4"/>
        <v>-1.3377926421404692E-2</v>
      </c>
      <c r="L22" s="4">
        <f t="shared" si="2"/>
        <v>0.80601129943502825</v>
      </c>
      <c r="M22" s="5">
        <v>1</v>
      </c>
      <c r="N22" s="15">
        <v>1</v>
      </c>
      <c r="O22" s="14">
        <v>0</v>
      </c>
      <c r="P22" s="14">
        <v>0</v>
      </c>
      <c r="Q22" s="14"/>
    </row>
    <row r="23" spans="1:17">
      <c r="A23" s="13">
        <f t="shared" si="5"/>
        <v>46132</v>
      </c>
      <c r="B23" s="26">
        <v>70946</v>
      </c>
      <c r="C23" s="39">
        <v>69829</v>
      </c>
      <c r="D23" s="200">
        <v>69618</v>
      </c>
      <c r="E23" s="200">
        <v>68700</v>
      </c>
      <c r="F23" s="20">
        <f t="shared" si="3"/>
        <v>-1.6168067708258748E-2</v>
      </c>
      <c r="G23" s="2">
        <f t="shared" si="0"/>
        <v>0.19338333333333332</v>
      </c>
      <c r="H23" s="2">
        <f>E23/($D$2*24)</f>
        <v>0.19083333333333333</v>
      </c>
      <c r="I23" s="3">
        <v>5.98</v>
      </c>
      <c r="J23" s="201">
        <v>5.7290000000000001</v>
      </c>
      <c r="K23" s="20">
        <f t="shared" si="4"/>
        <v>-4.1973244147157245E-2</v>
      </c>
      <c r="L23" s="4">
        <f t="shared" si="2"/>
        <v>0.81012393087798917</v>
      </c>
      <c r="M23" s="5">
        <v>1</v>
      </c>
      <c r="N23" s="15">
        <v>1</v>
      </c>
      <c r="O23" s="14">
        <v>0</v>
      </c>
      <c r="P23" s="14">
        <v>0</v>
      </c>
      <c r="Q23" s="14"/>
    </row>
    <row r="24" spans="1:17">
      <c r="A24" s="13">
        <f t="shared" si="5"/>
        <v>46133</v>
      </c>
      <c r="B24" s="26">
        <v>70946</v>
      </c>
      <c r="C24" s="39">
        <v>69829</v>
      </c>
      <c r="D24" s="14">
        <v>58207</v>
      </c>
      <c r="E24" s="14">
        <v>57300</v>
      </c>
      <c r="F24" s="20">
        <f>(IF(ISBLANK(E24),0,E24-C24))/C24</f>
        <v>-0.17942402153832934</v>
      </c>
      <c r="G24" s="2">
        <f t="shared" ref="G24:G33" si="6">D24/($D$2*24)</f>
        <v>0.16168611111111111</v>
      </c>
      <c r="H24" s="2">
        <f t="shared" ref="H24:H33" si="7">E24/($D$2*24)</f>
        <v>0.15916666666666668</v>
      </c>
      <c r="I24" s="3">
        <v>5.98</v>
      </c>
      <c r="J24" s="14">
        <v>4.7960000000000003</v>
      </c>
      <c r="K24" s="20">
        <f>(IF(ISBLANK(J24),0,J24-I24))/I24</f>
        <v>-0.1979933110367893</v>
      </c>
      <c r="L24" s="4">
        <f t="shared" si="2"/>
        <v>0.80910480956352515</v>
      </c>
      <c r="M24" s="25">
        <v>1</v>
      </c>
      <c r="N24" s="25">
        <v>1</v>
      </c>
      <c r="O24" s="14">
        <v>0</v>
      </c>
      <c r="P24" s="14">
        <v>0</v>
      </c>
      <c r="Q24" s="6"/>
    </row>
    <row r="25" spans="1:17">
      <c r="A25" s="13">
        <f t="shared" si="5"/>
        <v>46134</v>
      </c>
      <c r="B25" s="26">
        <v>70946</v>
      </c>
      <c r="C25" s="39">
        <v>69829</v>
      </c>
      <c r="D25" s="14">
        <v>65702</v>
      </c>
      <c r="E25" s="14">
        <v>64800</v>
      </c>
      <c r="F25" s="20">
        <f t="shared" si="3"/>
        <v>-7.2018788755388169E-2</v>
      </c>
      <c r="G25" s="2">
        <f t="shared" si="6"/>
        <v>0.18250555555555556</v>
      </c>
      <c r="H25" s="2">
        <f t="shared" si="7"/>
        <v>0.18</v>
      </c>
      <c r="I25" s="3">
        <v>5.98</v>
      </c>
      <c r="J25" s="14">
        <v>5.4</v>
      </c>
      <c r="K25" s="20">
        <f t="shared" si="4"/>
        <v>-9.6989966555183951E-2</v>
      </c>
      <c r="L25" s="4">
        <f t="shared" si="2"/>
        <v>0.81113580246913575</v>
      </c>
      <c r="M25" s="25">
        <v>1</v>
      </c>
      <c r="N25" s="25">
        <v>1</v>
      </c>
      <c r="O25" s="14">
        <v>0</v>
      </c>
      <c r="P25" s="14">
        <v>0</v>
      </c>
      <c r="Q25" s="6"/>
    </row>
    <row r="26" spans="1:17">
      <c r="A26" s="13">
        <f t="shared" si="5"/>
        <v>46135</v>
      </c>
      <c r="B26" s="26">
        <v>70946</v>
      </c>
      <c r="C26" s="39">
        <v>69829</v>
      </c>
      <c r="D26" s="14">
        <v>64791</v>
      </c>
      <c r="E26" s="14">
        <v>63750</v>
      </c>
      <c r="F26" s="20">
        <f t="shared" si="3"/>
        <v>-8.7055521344999928E-2</v>
      </c>
      <c r="G26" s="2">
        <f t="shared" si="6"/>
        <v>0.179975</v>
      </c>
      <c r="H26" s="2">
        <f t="shared" si="7"/>
        <v>0.17708333333333334</v>
      </c>
      <c r="I26" s="3">
        <v>5.98</v>
      </c>
      <c r="J26" s="14">
        <v>5.2729999999999997</v>
      </c>
      <c r="K26" s="20">
        <f t="shared" si="4"/>
        <v>-0.11822742474916399</v>
      </c>
      <c r="L26" s="4">
        <f t="shared" si="2"/>
        <v>0.81915418168025789</v>
      </c>
      <c r="M26" s="25">
        <v>1</v>
      </c>
      <c r="N26" s="25">
        <v>1</v>
      </c>
      <c r="O26" s="14">
        <v>0</v>
      </c>
      <c r="P26" s="14">
        <v>0</v>
      </c>
      <c r="Q26" s="6"/>
    </row>
    <row r="27" spans="1:17">
      <c r="A27" s="13">
        <f t="shared" si="5"/>
        <v>46136</v>
      </c>
      <c r="B27" s="26">
        <v>70946</v>
      </c>
      <c r="C27" s="39">
        <v>69829</v>
      </c>
      <c r="D27" s="14">
        <v>62302</v>
      </c>
      <c r="E27" s="14">
        <v>61350</v>
      </c>
      <c r="F27" s="20">
        <f t="shared" si="3"/>
        <v>-0.12142519583554111</v>
      </c>
      <c r="G27" s="2">
        <f t="shared" si="6"/>
        <v>0.17306111111111111</v>
      </c>
      <c r="H27" s="2">
        <f t="shared" si="7"/>
        <v>0.17041666666666666</v>
      </c>
      <c r="I27" s="3">
        <v>5.98</v>
      </c>
      <c r="J27" s="14">
        <v>5.17</v>
      </c>
      <c r="K27" s="20">
        <f t="shared" si="4"/>
        <v>-0.13545150501672248</v>
      </c>
      <c r="L27" s="4">
        <f t="shared" si="2"/>
        <v>0.80337846550612513</v>
      </c>
      <c r="M27" s="25">
        <v>1</v>
      </c>
      <c r="N27" s="25">
        <v>1</v>
      </c>
      <c r="O27" s="14">
        <v>0</v>
      </c>
      <c r="P27" s="14">
        <v>0</v>
      </c>
      <c r="Q27" s="6"/>
    </row>
    <row r="28" spans="1:17">
      <c r="A28" s="13">
        <f t="shared" si="5"/>
        <v>46137</v>
      </c>
      <c r="B28" s="26">
        <v>70946</v>
      </c>
      <c r="C28" s="39">
        <v>69829</v>
      </c>
      <c r="D28" s="14">
        <v>73253</v>
      </c>
      <c r="E28" s="14">
        <v>72150</v>
      </c>
      <c r="F28" s="20">
        <f t="shared" si="3"/>
        <v>3.3238339371894202E-2</v>
      </c>
      <c r="G28" s="2">
        <f t="shared" si="6"/>
        <v>0.20348055555555555</v>
      </c>
      <c r="H28" s="2">
        <f t="shared" si="7"/>
        <v>0.20041666666666666</v>
      </c>
      <c r="I28" s="3">
        <v>5.98</v>
      </c>
      <c r="J28" s="14">
        <v>6.1740000000000004</v>
      </c>
      <c r="K28" s="20">
        <f t="shared" si="4"/>
        <v>3.2441471571906341E-2</v>
      </c>
      <c r="L28" s="4">
        <f t="shared" si="2"/>
        <v>0.79098369506532773</v>
      </c>
      <c r="M28" s="25">
        <v>1</v>
      </c>
      <c r="N28" s="25">
        <v>1</v>
      </c>
      <c r="O28" s="14">
        <v>0</v>
      </c>
      <c r="P28" s="14">
        <v>0</v>
      </c>
      <c r="Q28" s="6"/>
    </row>
    <row r="29" spans="1:17">
      <c r="A29" s="13">
        <f t="shared" si="5"/>
        <v>46138</v>
      </c>
      <c r="B29" s="26">
        <v>70946</v>
      </c>
      <c r="C29" s="39">
        <v>69829</v>
      </c>
      <c r="D29" s="14">
        <v>61043</v>
      </c>
      <c r="E29" s="14">
        <v>60150</v>
      </c>
      <c r="F29" s="20">
        <f t="shared" si="3"/>
        <v>-0.13861003308081168</v>
      </c>
      <c r="G29" s="2">
        <f t="shared" si="6"/>
        <v>0.16956388888888888</v>
      </c>
      <c r="H29" s="2">
        <f t="shared" si="7"/>
        <v>0.16708333333333333</v>
      </c>
      <c r="I29" s="3">
        <v>5.98</v>
      </c>
      <c r="J29" s="14">
        <v>5.0810000000000004</v>
      </c>
      <c r="K29" s="20">
        <f t="shared" si="4"/>
        <v>-0.15033444816053512</v>
      </c>
      <c r="L29" s="4">
        <f t="shared" si="2"/>
        <v>0.80093157514924884</v>
      </c>
      <c r="M29" s="25">
        <v>1</v>
      </c>
      <c r="N29" s="25">
        <v>1</v>
      </c>
      <c r="O29" s="14">
        <v>0</v>
      </c>
      <c r="P29" s="14">
        <v>0</v>
      </c>
      <c r="Q29" s="6"/>
    </row>
    <row r="30" spans="1:17">
      <c r="A30" s="13">
        <f t="shared" si="5"/>
        <v>46139</v>
      </c>
      <c r="B30" s="26">
        <v>70946</v>
      </c>
      <c r="C30" s="39">
        <v>69829</v>
      </c>
      <c r="D30" s="14">
        <v>58908</v>
      </c>
      <c r="E30" s="14">
        <v>58050</v>
      </c>
      <c r="F30" s="20">
        <f t="shared" si="3"/>
        <v>-0.16868349826003523</v>
      </c>
      <c r="G30" s="2">
        <f t="shared" si="6"/>
        <v>0.16363333333333333</v>
      </c>
      <c r="H30" s="2">
        <f t="shared" si="7"/>
        <v>0.16125</v>
      </c>
      <c r="I30" s="3">
        <v>5.98</v>
      </c>
      <c r="J30" s="14">
        <v>4.8959999999999999</v>
      </c>
      <c r="K30" s="20">
        <f t="shared" si="4"/>
        <v>-0.18127090301003351</v>
      </c>
      <c r="L30" s="4">
        <f t="shared" si="2"/>
        <v>0.80212418300653598</v>
      </c>
      <c r="M30" s="25">
        <v>1</v>
      </c>
      <c r="N30" s="25">
        <v>1</v>
      </c>
      <c r="O30" s="14">
        <v>0</v>
      </c>
      <c r="P30" s="14">
        <v>0</v>
      </c>
      <c r="Q30" s="6"/>
    </row>
    <row r="31" spans="1:17">
      <c r="A31" s="13">
        <f t="shared" si="5"/>
        <v>46140</v>
      </c>
      <c r="B31" s="26">
        <v>70946</v>
      </c>
      <c r="C31" s="39">
        <v>69829</v>
      </c>
      <c r="D31" s="14">
        <v>54742</v>
      </c>
      <c r="E31" s="14">
        <v>54150</v>
      </c>
      <c r="F31" s="20">
        <f t="shared" si="3"/>
        <v>-0.22453421930716463</v>
      </c>
      <c r="G31" s="2">
        <f t="shared" si="6"/>
        <v>0.15206111111111112</v>
      </c>
      <c r="H31" s="2">
        <f t="shared" si="7"/>
        <v>0.15041666666666667</v>
      </c>
      <c r="I31" s="3">
        <v>5.98</v>
      </c>
      <c r="J31" s="14">
        <v>4.4989999999999997</v>
      </c>
      <c r="K31" s="20">
        <f t="shared" si="4"/>
        <v>-0.2476588628762543</v>
      </c>
      <c r="L31" s="4">
        <f t="shared" si="2"/>
        <v>0.81117285322664301</v>
      </c>
      <c r="M31" s="25">
        <v>1</v>
      </c>
      <c r="N31" s="25">
        <v>1</v>
      </c>
      <c r="O31" s="14">
        <v>0</v>
      </c>
      <c r="P31" s="14">
        <v>0</v>
      </c>
      <c r="Q31" s="6"/>
    </row>
    <row r="32" spans="1:17">
      <c r="A32" s="13">
        <f t="shared" si="5"/>
        <v>46141</v>
      </c>
      <c r="B32" s="26">
        <v>70946</v>
      </c>
      <c r="C32" s="39">
        <v>69829</v>
      </c>
      <c r="D32" s="14">
        <v>42661</v>
      </c>
      <c r="E32" s="14">
        <v>42000</v>
      </c>
      <c r="F32" s="20">
        <f t="shared" si="3"/>
        <v>-0.39853069641552935</v>
      </c>
      <c r="G32" s="2">
        <f t="shared" si="6"/>
        <v>0.11850277777777778</v>
      </c>
      <c r="H32" s="2">
        <f t="shared" si="7"/>
        <v>0.11666666666666667</v>
      </c>
      <c r="I32" s="3">
        <v>5.98</v>
      </c>
      <c r="J32" s="14">
        <v>3.5190000000000001</v>
      </c>
      <c r="K32" s="20">
        <f t="shared" si="4"/>
        <v>-0.41153846153846158</v>
      </c>
      <c r="L32" s="4">
        <f t="shared" si="2"/>
        <v>0.80820308799848439</v>
      </c>
      <c r="M32" s="25">
        <v>1</v>
      </c>
      <c r="N32" s="25">
        <v>1</v>
      </c>
      <c r="O32" s="14">
        <v>0</v>
      </c>
      <c r="P32" s="14">
        <v>0</v>
      </c>
      <c r="Q32" s="6"/>
    </row>
    <row r="33" spans="1:17">
      <c r="A33" s="13">
        <f t="shared" si="5"/>
        <v>46142</v>
      </c>
      <c r="B33" s="26">
        <v>70946</v>
      </c>
      <c r="C33" s="39">
        <v>69829</v>
      </c>
      <c r="D33" s="14">
        <v>63926</v>
      </c>
      <c r="E33" s="14">
        <v>63000</v>
      </c>
      <c r="F33" s="20">
        <f t="shared" si="3"/>
        <v>-9.779604462329404E-2</v>
      </c>
      <c r="G33" s="2">
        <f t="shared" si="6"/>
        <v>0.17757222222222221</v>
      </c>
      <c r="H33" s="2">
        <f t="shared" si="7"/>
        <v>0.17499999999999999</v>
      </c>
      <c r="I33" s="3">
        <v>5.98</v>
      </c>
      <c r="J33" s="14">
        <v>5.35</v>
      </c>
      <c r="K33" s="20">
        <f t="shared" si="4"/>
        <v>-0.105351170568562</v>
      </c>
      <c r="L33" s="4">
        <f t="shared" si="2"/>
        <v>0.79658566978193146</v>
      </c>
      <c r="M33" s="25">
        <v>1</v>
      </c>
      <c r="N33" s="25">
        <v>1</v>
      </c>
      <c r="O33" s="14">
        <v>0</v>
      </c>
      <c r="P33" s="14">
        <v>0</v>
      </c>
      <c r="Q33" s="6"/>
    </row>
    <row r="34" spans="1:17">
      <c r="A34" s="349">
        <v>46113</v>
      </c>
      <c r="B34" s="89">
        <f>SUM(B4:B33)</f>
        <v>2128380</v>
      </c>
      <c r="C34" s="89">
        <f>SUM(C4:C33)</f>
        <v>2094870</v>
      </c>
      <c r="D34" s="89">
        <f>SUM(D4:D33)</f>
        <v>1939607</v>
      </c>
      <c r="E34" s="89">
        <f>SUM(E4:E33)</f>
        <v>1911150</v>
      </c>
      <c r="F34" s="92">
        <f>(IF(ISBLANK(E34),0,E34-C34))/C34</f>
        <v>-8.7699952741697576E-2</v>
      </c>
      <c r="G34" s="90">
        <f>AVERAGE(G4:G33)</f>
        <v>0.17959324074074071</v>
      </c>
      <c r="H34" s="90">
        <f>AVERAGE(H4:H33)</f>
        <v>0.20511928712507463</v>
      </c>
      <c r="I34" s="89">
        <f>SUM(I4:I33)</f>
        <v>179.39999999999998</v>
      </c>
      <c r="J34" s="89">
        <f>SUM(J4:J33)</f>
        <v>161.51599999999999</v>
      </c>
      <c r="K34" s="92">
        <f t="shared" si="4"/>
        <v>-9.9687848383500491E-2</v>
      </c>
      <c r="L34" s="93">
        <f t="shared" si="2"/>
        <v>0.80058404946465567</v>
      </c>
      <c r="M34" s="90">
        <f>AVERAGE(M4:M33)</f>
        <v>1</v>
      </c>
      <c r="N34" s="90">
        <f>AVERAGE(N4:N33)</f>
        <v>1</v>
      </c>
      <c r="O34" s="89">
        <f>SUM(O4:O33)</f>
        <v>0</v>
      </c>
      <c r="P34" s="89">
        <f>SUM(P4:P33)</f>
        <v>0</v>
      </c>
      <c r="Q34" s="19"/>
    </row>
    <row r="35" spans="1:17">
      <c r="A35" s="13">
        <v>46143</v>
      </c>
      <c r="B35" s="26">
        <v>65796</v>
      </c>
      <c r="C35" s="39">
        <v>64761</v>
      </c>
      <c r="D35" s="200">
        <v>66840</v>
      </c>
      <c r="E35" s="200">
        <v>65850</v>
      </c>
      <c r="F35" s="20">
        <f>(IF(ISBLANK(E35),0,E35-C35))/C35</f>
        <v>1.6815676101357299E-2</v>
      </c>
      <c r="G35" s="2">
        <f t="shared" ref="G35:G54" si="8">D35/($D$2*24)</f>
        <v>0.18566666666666667</v>
      </c>
      <c r="H35" s="2">
        <f t="shared" ref="H35:H52" si="9">D35/($H$2*24)</f>
        <v>0.23026043819760231</v>
      </c>
      <c r="I35" s="3">
        <v>5.52</v>
      </c>
      <c r="J35" s="201">
        <v>5.6120000000000001</v>
      </c>
      <c r="K35" s="20">
        <f>(IF(ISBLANK(J35),0,J35-I35))/I35</f>
        <v>1.6666666666666764E-2</v>
      </c>
      <c r="L35" s="4">
        <f t="shared" si="2"/>
        <v>0.79401282965074838</v>
      </c>
      <c r="M35" s="5">
        <v>1</v>
      </c>
      <c r="N35" s="5">
        <v>1</v>
      </c>
      <c r="O35" s="14">
        <v>0</v>
      </c>
      <c r="P35" s="14">
        <v>0</v>
      </c>
      <c r="Q35" s="6"/>
    </row>
    <row r="36" spans="1:17">
      <c r="A36" s="13">
        <f>A35+1</f>
        <v>46144</v>
      </c>
      <c r="B36" s="26">
        <v>65796</v>
      </c>
      <c r="C36" s="39">
        <v>64761</v>
      </c>
      <c r="D36" s="200">
        <v>62044</v>
      </c>
      <c r="E36" s="200">
        <v>61200</v>
      </c>
      <c r="F36" s="20">
        <f t="shared" ref="F36:F54" si="10">(IF(ISBLANK(E36),0,E36-C36))/C36</f>
        <v>-5.498679760967249E-2</v>
      </c>
      <c r="G36" s="2">
        <f t="shared" si="8"/>
        <v>0.17234444444444444</v>
      </c>
      <c r="H36" s="2">
        <f t="shared" si="9"/>
        <v>0.21373845941849248</v>
      </c>
      <c r="I36" s="3">
        <v>5.52</v>
      </c>
      <c r="J36" s="201">
        <v>5.1829999999999998</v>
      </c>
      <c r="K36" s="20">
        <f t="shared" ref="K36:K54" si="11">(IF(ISBLANK(J36),0,J36-I36))/I36</f>
        <v>-6.1050724637681117E-2</v>
      </c>
      <c r="L36" s="4">
        <f t="shared" ref="L36:L66" si="12">D36/($D$2*J36)</f>
        <v>0.79804489034664605</v>
      </c>
      <c r="M36" s="5">
        <v>1</v>
      </c>
      <c r="N36" s="5">
        <v>1</v>
      </c>
      <c r="O36" s="14">
        <v>0</v>
      </c>
      <c r="P36" s="14">
        <v>0</v>
      </c>
      <c r="Q36" s="6"/>
    </row>
    <row r="37" spans="1:17">
      <c r="A37" s="13">
        <f t="shared" ref="A37:A65" si="13">A36+1</f>
        <v>46145</v>
      </c>
      <c r="B37" s="26">
        <v>65796</v>
      </c>
      <c r="C37" s="39">
        <v>64761</v>
      </c>
      <c r="D37" s="200">
        <v>48040</v>
      </c>
      <c r="E37" s="200">
        <v>47400</v>
      </c>
      <c r="F37" s="20">
        <f t="shared" si="10"/>
        <v>-0.26807800991337377</v>
      </c>
      <c r="G37" s="2">
        <f t="shared" si="8"/>
        <v>0.13344444444444445</v>
      </c>
      <c r="H37" s="2">
        <f t="shared" si="9"/>
        <v>0.165495383767397</v>
      </c>
      <c r="I37" s="3">
        <v>5.52</v>
      </c>
      <c r="J37" s="201">
        <v>3.9489999999999998</v>
      </c>
      <c r="K37" s="20">
        <f t="shared" si="11"/>
        <v>-0.28460144927536229</v>
      </c>
      <c r="L37" s="4">
        <f t="shared" si="12"/>
        <v>0.8110070059930784</v>
      </c>
      <c r="M37" s="5">
        <v>1</v>
      </c>
      <c r="N37" s="5">
        <v>1</v>
      </c>
      <c r="O37" s="14">
        <v>0</v>
      </c>
      <c r="P37" s="14">
        <v>0</v>
      </c>
      <c r="Q37" s="6"/>
    </row>
    <row r="38" spans="1:17">
      <c r="A38" s="13">
        <f t="shared" si="13"/>
        <v>46146</v>
      </c>
      <c r="B38" s="26">
        <v>65796</v>
      </c>
      <c r="C38" s="39">
        <v>64761</v>
      </c>
      <c r="D38" s="200">
        <v>57713</v>
      </c>
      <c r="E38" s="200">
        <v>57000</v>
      </c>
      <c r="F38" s="20">
        <f t="shared" si="10"/>
        <v>-0.1198406448325381</v>
      </c>
      <c r="G38" s="2">
        <f t="shared" si="8"/>
        <v>0.16031388888888889</v>
      </c>
      <c r="H38" s="2">
        <f t="shared" si="9"/>
        <v>0.19881838225161913</v>
      </c>
      <c r="I38" s="3">
        <v>5.52</v>
      </c>
      <c r="J38" s="201">
        <v>4.8150000000000004</v>
      </c>
      <c r="K38" s="20">
        <f t="shared" si="11"/>
        <v>-0.1277173913043477</v>
      </c>
      <c r="L38" s="4">
        <f t="shared" si="12"/>
        <v>0.79907234337140876</v>
      </c>
      <c r="M38" s="5">
        <v>1</v>
      </c>
      <c r="N38" s="5">
        <v>1</v>
      </c>
      <c r="O38" s="14">
        <v>0</v>
      </c>
      <c r="P38" s="14">
        <v>0</v>
      </c>
      <c r="Q38" s="14"/>
    </row>
    <row r="39" spans="1:17">
      <c r="A39" s="13">
        <f t="shared" si="13"/>
        <v>46147</v>
      </c>
      <c r="B39" s="27"/>
      <c r="C39" s="46"/>
      <c r="D39" s="200"/>
      <c r="E39" s="200"/>
      <c r="F39" s="20" t="e">
        <f t="shared" si="10"/>
        <v>#DIV/0!</v>
      </c>
      <c r="G39" s="2">
        <f t="shared" si="8"/>
        <v>0</v>
      </c>
      <c r="H39" s="2">
        <f t="shared" si="9"/>
        <v>0</v>
      </c>
      <c r="I39" s="3"/>
      <c r="J39" s="201"/>
      <c r="K39" s="20" t="e">
        <f t="shared" si="11"/>
        <v>#DIV/0!</v>
      </c>
      <c r="L39" s="4" t="e">
        <f t="shared" si="12"/>
        <v>#DIV/0!</v>
      </c>
      <c r="M39" s="5"/>
      <c r="N39" s="5"/>
      <c r="O39" s="14"/>
      <c r="P39" s="14"/>
      <c r="Q39" s="14"/>
    </row>
    <row r="40" spans="1:17">
      <c r="A40" s="13">
        <f t="shared" si="13"/>
        <v>46148</v>
      </c>
      <c r="B40" s="27"/>
      <c r="C40" s="46"/>
      <c r="D40" s="200"/>
      <c r="E40" s="200"/>
      <c r="F40" s="20" t="e">
        <f t="shared" si="10"/>
        <v>#DIV/0!</v>
      </c>
      <c r="G40" s="2">
        <f t="shared" si="8"/>
        <v>0</v>
      </c>
      <c r="H40" s="2">
        <f t="shared" si="9"/>
        <v>0</v>
      </c>
      <c r="I40" s="3"/>
      <c r="J40" s="201"/>
      <c r="K40" s="20" t="e">
        <f t="shared" si="11"/>
        <v>#DIV/0!</v>
      </c>
      <c r="L40" s="4" t="e">
        <f t="shared" si="12"/>
        <v>#DIV/0!</v>
      </c>
      <c r="M40" s="5"/>
      <c r="N40" s="5"/>
      <c r="O40" s="14"/>
      <c r="P40" s="14"/>
      <c r="Q40" s="14"/>
    </row>
    <row r="41" spans="1:17">
      <c r="A41" s="13">
        <f t="shared" si="13"/>
        <v>46149</v>
      </c>
      <c r="B41" s="27"/>
      <c r="C41" s="46"/>
      <c r="D41" s="200"/>
      <c r="E41" s="200"/>
      <c r="F41" s="20" t="e">
        <f t="shared" si="10"/>
        <v>#DIV/0!</v>
      </c>
      <c r="G41" s="2">
        <f t="shared" si="8"/>
        <v>0</v>
      </c>
      <c r="H41" s="2">
        <f t="shared" si="9"/>
        <v>0</v>
      </c>
      <c r="I41" s="3"/>
      <c r="J41" s="201"/>
      <c r="K41" s="20" t="e">
        <f t="shared" si="11"/>
        <v>#DIV/0!</v>
      </c>
      <c r="L41" s="4" t="e">
        <f t="shared" si="12"/>
        <v>#DIV/0!</v>
      </c>
      <c r="M41" s="5"/>
      <c r="N41" s="15"/>
      <c r="O41" s="14"/>
      <c r="P41" s="14"/>
      <c r="Q41" s="202"/>
    </row>
    <row r="42" spans="1:17">
      <c r="A42" s="13">
        <f t="shared" si="13"/>
        <v>46150</v>
      </c>
      <c r="B42" s="27"/>
      <c r="C42" s="46"/>
      <c r="D42" s="200"/>
      <c r="E42" s="200"/>
      <c r="F42" s="20" t="e">
        <f t="shared" si="10"/>
        <v>#DIV/0!</v>
      </c>
      <c r="G42" s="2">
        <f t="shared" si="8"/>
        <v>0</v>
      </c>
      <c r="H42" s="2">
        <f t="shared" si="9"/>
        <v>0</v>
      </c>
      <c r="I42" s="3"/>
      <c r="J42" s="201"/>
      <c r="K42" s="20" t="e">
        <f t="shared" si="11"/>
        <v>#DIV/0!</v>
      </c>
      <c r="L42" s="4" t="e">
        <f t="shared" si="12"/>
        <v>#DIV/0!</v>
      </c>
      <c r="M42" s="5"/>
      <c r="N42" s="15"/>
      <c r="O42" s="14"/>
      <c r="P42" s="14"/>
      <c r="Q42" s="14"/>
    </row>
    <row r="43" spans="1:17">
      <c r="A43" s="13">
        <f t="shared" si="13"/>
        <v>46151</v>
      </c>
      <c r="B43" s="27"/>
      <c r="C43" s="46"/>
      <c r="D43" s="200"/>
      <c r="E43" s="200"/>
      <c r="F43" s="20" t="e">
        <f t="shared" si="10"/>
        <v>#DIV/0!</v>
      </c>
      <c r="G43" s="2">
        <f t="shared" si="8"/>
        <v>0</v>
      </c>
      <c r="H43" s="2">
        <f t="shared" si="9"/>
        <v>0</v>
      </c>
      <c r="I43" s="3"/>
      <c r="J43" s="201"/>
      <c r="K43" s="20" t="e">
        <f t="shared" si="11"/>
        <v>#DIV/0!</v>
      </c>
      <c r="L43" s="4" t="e">
        <f t="shared" si="12"/>
        <v>#DIV/0!</v>
      </c>
      <c r="M43" s="5"/>
      <c r="N43" s="5"/>
      <c r="O43" s="14"/>
      <c r="P43" s="14"/>
      <c r="Q43" s="6"/>
    </row>
    <row r="44" spans="1:17">
      <c r="A44" s="13">
        <f t="shared" si="13"/>
        <v>46152</v>
      </c>
      <c r="B44" s="27"/>
      <c r="C44" s="46"/>
      <c r="D44" s="200"/>
      <c r="E44" s="200"/>
      <c r="F44" s="20" t="e">
        <f t="shared" si="10"/>
        <v>#DIV/0!</v>
      </c>
      <c r="G44" s="2">
        <f t="shared" si="8"/>
        <v>0</v>
      </c>
      <c r="H44" s="2">
        <f t="shared" si="9"/>
        <v>0</v>
      </c>
      <c r="I44" s="3"/>
      <c r="J44" s="201"/>
      <c r="K44" s="20" t="e">
        <f t="shared" si="11"/>
        <v>#DIV/0!</v>
      </c>
      <c r="L44" s="4" t="e">
        <f t="shared" si="12"/>
        <v>#DIV/0!</v>
      </c>
      <c r="M44" s="5"/>
      <c r="N44" s="15"/>
      <c r="O44" s="14"/>
      <c r="P44" s="14"/>
      <c r="Q44" s="16"/>
    </row>
    <row r="45" spans="1:17">
      <c r="A45" s="13">
        <f t="shared" si="13"/>
        <v>46153</v>
      </c>
      <c r="B45" s="27"/>
      <c r="C45" s="46"/>
      <c r="D45" s="200"/>
      <c r="E45" s="200"/>
      <c r="F45" s="20" t="e">
        <f t="shared" si="10"/>
        <v>#DIV/0!</v>
      </c>
      <c r="G45" s="2">
        <f t="shared" si="8"/>
        <v>0</v>
      </c>
      <c r="H45" s="2">
        <f t="shared" si="9"/>
        <v>0</v>
      </c>
      <c r="I45" s="3"/>
      <c r="J45" s="201"/>
      <c r="K45" s="20" t="e">
        <f t="shared" si="11"/>
        <v>#DIV/0!</v>
      </c>
      <c r="L45" s="4" t="e">
        <f t="shared" si="12"/>
        <v>#DIV/0!</v>
      </c>
      <c r="M45" s="5"/>
      <c r="N45" s="15"/>
      <c r="O45" s="14"/>
      <c r="P45" s="14"/>
      <c r="Q45" s="6"/>
    </row>
    <row r="46" spans="1:17">
      <c r="A46" s="13">
        <f t="shared" si="13"/>
        <v>46154</v>
      </c>
      <c r="B46" s="27"/>
      <c r="C46" s="46"/>
      <c r="D46" s="200"/>
      <c r="E46" s="200"/>
      <c r="F46" s="20" t="e">
        <f t="shared" si="10"/>
        <v>#DIV/0!</v>
      </c>
      <c r="G46" s="2">
        <f t="shared" si="8"/>
        <v>0</v>
      </c>
      <c r="H46" s="2">
        <f t="shared" si="9"/>
        <v>0</v>
      </c>
      <c r="I46" s="3"/>
      <c r="J46" s="201"/>
      <c r="K46" s="20" t="e">
        <f t="shared" si="11"/>
        <v>#DIV/0!</v>
      </c>
      <c r="L46" s="4" t="e">
        <f t="shared" si="12"/>
        <v>#DIV/0!</v>
      </c>
      <c r="M46" s="5"/>
      <c r="N46" s="15"/>
      <c r="O46" s="14"/>
      <c r="P46" s="14"/>
      <c r="Q46" s="6"/>
    </row>
    <row r="47" spans="1:17">
      <c r="A47" s="13">
        <f t="shared" si="13"/>
        <v>46155</v>
      </c>
      <c r="B47" s="27"/>
      <c r="C47" s="46"/>
      <c r="D47" s="200"/>
      <c r="E47" s="200"/>
      <c r="F47" s="20" t="e">
        <f t="shared" si="10"/>
        <v>#DIV/0!</v>
      </c>
      <c r="G47" s="2">
        <f t="shared" si="8"/>
        <v>0</v>
      </c>
      <c r="H47" s="2">
        <f t="shared" si="9"/>
        <v>0</v>
      </c>
      <c r="I47" s="3"/>
      <c r="J47" s="201"/>
      <c r="K47" s="20" t="e">
        <f t="shared" si="11"/>
        <v>#DIV/0!</v>
      </c>
      <c r="L47" s="4" t="e">
        <f t="shared" si="12"/>
        <v>#DIV/0!</v>
      </c>
      <c r="M47" s="5"/>
      <c r="N47" s="15"/>
      <c r="O47" s="14"/>
      <c r="P47" s="14"/>
      <c r="Q47" s="14"/>
    </row>
    <row r="48" spans="1:17">
      <c r="A48" s="13">
        <f t="shared" si="13"/>
        <v>46156</v>
      </c>
      <c r="B48" s="27"/>
      <c r="C48" s="46"/>
      <c r="D48" s="200"/>
      <c r="E48" s="200"/>
      <c r="F48" s="20" t="e">
        <f t="shared" si="10"/>
        <v>#DIV/0!</v>
      </c>
      <c r="G48" s="2">
        <f t="shared" si="8"/>
        <v>0</v>
      </c>
      <c r="H48" s="2">
        <f t="shared" si="9"/>
        <v>0</v>
      </c>
      <c r="I48" s="3"/>
      <c r="J48" s="201"/>
      <c r="K48" s="20" t="e">
        <f t="shared" si="11"/>
        <v>#DIV/0!</v>
      </c>
      <c r="L48" s="4" t="e">
        <f t="shared" si="12"/>
        <v>#DIV/0!</v>
      </c>
      <c r="M48" s="5"/>
      <c r="N48" s="15"/>
      <c r="O48" s="14"/>
      <c r="P48" s="14"/>
      <c r="Q48" s="203"/>
    </row>
    <row r="49" spans="1:17">
      <c r="A49" s="13">
        <f t="shared" si="13"/>
        <v>46157</v>
      </c>
      <c r="B49" s="27"/>
      <c r="C49" s="46"/>
      <c r="D49" s="200"/>
      <c r="E49" s="200"/>
      <c r="F49" s="20" t="e">
        <f t="shared" si="10"/>
        <v>#DIV/0!</v>
      </c>
      <c r="G49" s="2">
        <f t="shared" si="8"/>
        <v>0</v>
      </c>
      <c r="H49" s="2">
        <f t="shared" si="9"/>
        <v>0</v>
      </c>
      <c r="I49" s="3"/>
      <c r="J49" s="201"/>
      <c r="K49" s="20" t="e">
        <f t="shared" si="11"/>
        <v>#DIV/0!</v>
      </c>
      <c r="L49" s="4" t="e">
        <f t="shared" si="12"/>
        <v>#DIV/0!</v>
      </c>
      <c r="M49" s="5"/>
      <c r="N49" s="15"/>
      <c r="O49" s="14"/>
      <c r="P49" s="14"/>
      <c r="Q49" s="14"/>
    </row>
    <row r="50" spans="1:17">
      <c r="A50" s="13">
        <f t="shared" si="13"/>
        <v>46158</v>
      </c>
      <c r="B50" s="27"/>
      <c r="C50" s="46"/>
      <c r="D50" s="200"/>
      <c r="E50" s="200"/>
      <c r="F50" s="20" t="e">
        <f t="shared" si="10"/>
        <v>#DIV/0!</v>
      </c>
      <c r="G50" s="2">
        <f t="shared" si="8"/>
        <v>0</v>
      </c>
      <c r="H50" s="2">
        <f t="shared" si="9"/>
        <v>0</v>
      </c>
      <c r="I50" s="3"/>
      <c r="J50" s="201"/>
      <c r="K50" s="20" t="e">
        <f t="shared" si="11"/>
        <v>#DIV/0!</v>
      </c>
      <c r="L50" s="4" t="e">
        <f t="shared" si="12"/>
        <v>#DIV/0!</v>
      </c>
      <c r="M50" s="5"/>
      <c r="N50" s="15"/>
      <c r="O50" s="14"/>
      <c r="P50" s="14"/>
      <c r="Q50" s="14"/>
    </row>
    <row r="51" spans="1:17">
      <c r="A51" s="13">
        <f t="shared" si="13"/>
        <v>46159</v>
      </c>
      <c r="B51" s="27"/>
      <c r="C51" s="46"/>
      <c r="D51" s="200"/>
      <c r="E51" s="200"/>
      <c r="F51" s="20" t="e">
        <f t="shared" si="10"/>
        <v>#DIV/0!</v>
      </c>
      <c r="G51" s="2">
        <f t="shared" si="8"/>
        <v>0</v>
      </c>
      <c r="H51" s="2">
        <f t="shared" si="9"/>
        <v>0</v>
      </c>
      <c r="I51" s="3"/>
      <c r="J51" s="201"/>
      <c r="K51" s="20" t="e">
        <f t="shared" si="11"/>
        <v>#DIV/0!</v>
      </c>
      <c r="L51" s="4" t="e">
        <f t="shared" si="12"/>
        <v>#DIV/0!</v>
      </c>
      <c r="M51" s="5"/>
      <c r="N51" s="15"/>
      <c r="O51" s="14"/>
      <c r="P51" s="14"/>
      <c r="Q51" s="6"/>
    </row>
    <row r="52" spans="1:17">
      <c r="A52" s="13">
        <f t="shared" si="13"/>
        <v>46160</v>
      </c>
      <c r="B52" s="27"/>
      <c r="C52" s="46"/>
      <c r="D52" s="200"/>
      <c r="E52" s="200"/>
      <c r="F52" s="20" t="e">
        <f t="shared" si="10"/>
        <v>#DIV/0!</v>
      </c>
      <c r="G52" s="2">
        <f t="shared" si="8"/>
        <v>0</v>
      </c>
      <c r="H52" s="2">
        <f t="shared" si="9"/>
        <v>0</v>
      </c>
      <c r="I52" s="3"/>
      <c r="J52" s="201"/>
      <c r="K52" s="20" t="e">
        <f t="shared" si="11"/>
        <v>#DIV/0!</v>
      </c>
      <c r="L52" s="4" t="e">
        <f t="shared" si="12"/>
        <v>#DIV/0!</v>
      </c>
      <c r="M52" s="5"/>
      <c r="N52" s="15"/>
      <c r="O52" s="14"/>
      <c r="P52" s="14"/>
      <c r="Q52" s="14"/>
    </row>
    <row r="53" spans="1:17">
      <c r="A53" s="13">
        <f t="shared" si="13"/>
        <v>46161</v>
      </c>
      <c r="B53" s="27"/>
      <c r="C53" s="46"/>
      <c r="D53" s="200"/>
      <c r="E53" s="200"/>
      <c r="F53" s="20" t="e">
        <f t="shared" si="10"/>
        <v>#DIV/0!</v>
      </c>
      <c r="G53" s="2">
        <f t="shared" si="8"/>
        <v>0</v>
      </c>
      <c r="H53" s="2">
        <f>E53/($D$2*24)</f>
        <v>0</v>
      </c>
      <c r="I53" s="3"/>
      <c r="J53" s="201"/>
      <c r="K53" s="20" t="e">
        <f t="shared" si="11"/>
        <v>#DIV/0!</v>
      </c>
      <c r="L53" s="4" t="e">
        <f t="shared" si="12"/>
        <v>#DIV/0!</v>
      </c>
      <c r="M53" s="5"/>
      <c r="N53" s="15"/>
      <c r="O53" s="14"/>
      <c r="P53" s="14"/>
      <c r="Q53" s="14"/>
    </row>
    <row r="54" spans="1:17">
      <c r="A54" s="13">
        <f t="shared" si="13"/>
        <v>46162</v>
      </c>
      <c r="B54" s="27"/>
      <c r="C54" s="46"/>
      <c r="D54" s="200"/>
      <c r="E54" s="200"/>
      <c r="F54" s="20" t="e">
        <f t="shared" si="10"/>
        <v>#DIV/0!</v>
      </c>
      <c r="G54" s="2">
        <f t="shared" si="8"/>
        <v>0</v>
      </c>
      <c r="H54" s="2">
        <f>E54/($D$2*24)</f>
        <v>0</v>
      </c>
      <c r="I54" s="3"/>
      <c r="J54" s="201"/>
      <c r="K54" s="20" t="e">
        <f t="shared" si="11"/>
        <v>#DIV/0!</v>
      </c>
      <c r="L54" s="4" t="e">
        <f t="shared" si="12"/>
        <v>#DIV/0!</v>
      </c>
      <c r="M54" s="5"/>
      <c r="N54" s="15"/>
      <c r="O54" s="14"/>
      <c r="P54" s="14"/>
      <c r="Q54" s="14"/>
    </row>
    <row r="55" spans="1:17">
      <c r="A55" s="13">
        <f t="shared" si="13"/>
        <v>46163</v>
      </c>
      <c r="B55" s="27"/>
      <c r="C55" s="46"/>
      <c r="D55" s="14"/>
      <c r="E55" s="14"/>
      <c r="F55" s="20" t="e">
        <f>(IF(ISBLANK(E55),0,E55-C55))/C55</f>
        <v>#DIV/0!</v>
      </c>
      <c r="G55" s="2">
        <f t="shared" ref="G55:G64" si="14">D55/($D$2*24)</f>
        <v>0</v>
      </c>
      <c r="H55" s="2">
        <f t="shared" ref="H55:H64" si="15">E55/($D$2*24)</f>
        <v>0</v>
      </c>
      <c r="I55" s="3"/>
      <c r="J55" s="14"/>
      <c r="K55" s="20" t="e">
        <f>(IF(ISBLANK(J55),0,J55-I55))/I55</f>
        <v>#DIV/0!</v>
      </c>
      <c r="L55" s="4" t="e">
        <f t="shared" si="12"/>
        <v>#DIV/0!</v>
      </c>
      <c r="M55" s="25"/>
      <c r="N55" s="25"/>
      <c r="O55" s="14"/>
      <c r="P55" s="14"/>
      <c r="Q55" s="6"/>
    </row>
    <row r="56" spans="1:17">
      <c r="A56" s="13">
        <f t="shared" si="13"/>
        <v>46164</v>
      </c>
      <c r="B56" s="27"/>
      <c r="C56" s="46"/>
      <c r="D56" s="14"/>
      <c r="E56" s="14"/>
      <c r="F56" s="20" t="e">
        <f t="shared" ref="F56:F64" si="16">(IF(ISBLANK(E56),0,E56-C56))/C56</f>
        <v>#DIV/0!</v>
      </c>
      <c r="G56" s="2">
        <f t="shared" si="14"/>
        <v>0</v>
      </c>
      <c r="H56" s="2">
        <f t="shared" si="15"/>
        <v>0</v>
      </c>
      <c r="I56" s="3"/>
      <c r="J56" s="14"/>
      <c r="K56" s="20" t="e">
        <f t="shared" ref="K56:K64" si="17">(IF(ISBLANK(J56),0,J56-I56))/I56</f>
        <v>#DIV/0!</v>
      </c>
      <c r="L56" s="4" t="e">
        <f t="shared" si="12"/>
        <v>#DIV/0!</v>
      </c>
      <c r="M56" s="25"/>
      <c r="N56" s="25"/>
      <c r="O56" s="14"/>
      <c r="P56" s="14"/>
      <c r="Q56" s="6"/>
    </row>
    <row r="57" spans="1:17">
      <c r="A57" s="13">
        <f t="shared" si="13"/>
        <v>46165</v>
      </c>
      <c r="B57" s="27"/>
      <c r="C57" s="46"/>
      <c r="D57" s="14"/>
      <c r="E57" s="14"/>
      <c r="F57" s="20" t="e">
        <f t="shared" si="16"/>
        <v>#DIV/0!</v>
      </c>
      <c r="G57" s="2">
        <f t="shared" si="14"/>
        <v>0</v>
      </c>
      <c r="H57" s="2">
        <f t="shared" si="15"/>
        <v>0</v>
      </c>
      <c r="I57" s="3"/>
      <c r="J57" s="14"/>
      <c r="K57" s="20" t="e">
        <f t="shared" si="17"/>
        <v>#DIV/0!</v>
      </c>
      <c r="L57" s="4" t="e">
        <f t="shared" si="12"/>
        <v>#DIV/0!</v>
      </c>
      <c r="M57" s="25"/>
      <c r="N57" s="25"/>
      <c r="O57" s="14"/>
      <c r="P57" s="14"/>
      <c r="Q57" s="6"/>
    </row>
    <row r="58" spans="1:17">
      <c r="A58" s="13">
        <f t="shared" si="13"/>
        <v>46166</v>
      </c>
      <c r="B58" s="27"/>
      <c r="C58" s="46"/>
      <c r="D58" s="14"/>
      <c r="E58" s="14"/>
      <c r="F58" s="20" t="e">
        <f t="shared" si="16"/>
        <v>#DIV/0!</v>
      </c>
      <c r="G58" s="2">
        <f t="shared" si="14"/>
        <v>0</v>
      </c>
      <c r="H58" s="2">
        <f t="shared" si="15"/>
        <v>0</v>
      </c>
      <c r="I58" s="3"/>
      <c r="J58" s="14"/>
      <c r="K58" s="20" t="e">
        <f t="shared" si="17"/>
        <v>#DIV/0!</v>
      </c>
      <c r="L58" s="4" t="e">
        <f t="shared" si="12"/>
        <v>#DIV/0!</v>
      </c>
      <c r="M58" s="25"/>
      <c r="N58" s="25"/>
      <c r="O58" s="14"/>
      <c r="P58" s="14"/>
      <c r="Q58" s="6"/>
    </row>
    <row r="59" spans="1:17">
      <c r="A59" s="13">
        <f t="shared" si="13"/>
        <v>46167</v>
      </c>
      <c r="B59" s="27"/>
      <c r="C59" s="46"/>
      <c r="D59" s="14"/>
      <c r="E59" s="14"/>
      <c r="F59" s="20" t="e">
        <f t="shared" si="16"/>
        <v>#DIV/0!</v>
      </c>
      <c r="G59" s="2">
        <f t="shared" si="14"/>
        <v>0</v>
      </c>
      <c r="H59" s="2">
        <f t="shared" si="15"/>
        <v>0</v>
      </c>
      <c r="I59" s="3"/>
      <c r="J59" s="14"/>
      <c r="K59" s="20" t="e">
        <f t="shared" si="17"/>
        <v>#DIV/0!</v>
      </c>
      <c r="L59" s="4" t="e">
        <f t="shared" si="12"/>
        <v>#DIV/0!</v>
      </c>
      <c r="M59" s="25"/>
      <c r="N59" s="25"/>
      <c r="O59" s="14"/>
      <c r="P59" s="14"/>
      <c r="Q59" s="6"/>
    </row>
    <row r="60" spans="1:17">
      <c r="A60" s="13">
        <f t="shared" si="13"/>
        <v>46168</v>
      </c>
      <c r="B60" s="27"/>
      <c r="C60" s="46"/>
      <c r="D60" s="14"/>
      <c r="E60" s="14"/>
      <c r="F60" s="20" t="e">
        <f t="shared" si="16"/>
        <v>#DIV/0!</v>
      </c>
      <c r="G60" s="2">
        <f t="shared" si="14"/>
        <v>0</v>
      </c>
      <c r="H60" s="2">
        <f t="shared" si="15"/>
        <v>0</v>
      </c>
      <c r="I60" s="3"/>
      <c r="J60" s="14"/>
      <c r="K60" s="20" t="e">
        <f t="shared" si="17"/>
        <v>#DIV/0!</v>
      </c>
      <c r="L60" s="4" t="e">
        <f t="shared" si="12"/>
        <v>#DIV/0!</v>
      </c>
      <c r="M60" s="25"/>
      <c r="N60" s="25"/>
      <c r="O60" s="14"/>
      <c r="P60" s="14"/>
      <c r="Q60" s="6"/>
    </row>
    <row r="61" spans="1:17">
      <c r="A61" s="13">
        <f t="shared" si="13"/>
        <v>46169</v>
      </c>
      <c r="B61" s="27"/>
      <c r="C61" s="46"/>
      <c r="D61" s="14"/>
      <c r="E61" s="14"/>
      <c r="F61" s="20" t="e">
        <f t="shared" si="16"/>
        <v>#DIV/0!</v>
      </c>
      <c r="G61" s="2">
        <f t="shared" si="14"/>
        <v>0</v>
      </c>
      <c r="H61" s="2">
        <f t="shared" si="15"/>
        <v>0</v>
      </c>
      <c r="I61" s="3"/>
      <c r="J61" s="14"/>
      <c r="K61" s="20" t="e">
        <f t="shared" si="17"/>
        <v>#DIV/0!</v>
      </c>
      <c r="L61" s="4" t="e">
        <f t="shared" si="12"/>
        <v>#DIV/0!</v>
      </c>
      <c r="M61" s="25"/>
      <c r="N61" s="25"/>
      <c r="O61" s="14"/>
      <c r="P61" s="14"/>
      <c r="Q61" s="6"/>
    </row>
    <row r="62" spans="1:17">
      <c r="A62" s="13">
        <f t="shared" si="13"/>
        <v>46170</v>
      </c>
      <c r="B62" s="27"/>
      <c r="C62" s="46"/>
      <c r="D62" s="14"/>
      <c r="E62" s="14"/>
      <c r="F62" s="20" t="e">
        <f t="shared" si="16"/>
        <v>#DIV/0!</v>
      </c>
      <c r="G62" s="2">
        <f t="shared" si="14"/>
        <v>0</v>
      </c>
      <c r="H62" s="2">
        <f t="shared" si="15"/>
        <v>0</v>
      </c>
      <c r="I62" s="3"/>
      <c r="J62" s="14"/>
      <c r="K62" s="20" t="e">
        <f t="shared" si="17"/>
        <v>#DIV/0!</v>
      </c>
      <c r="L62" s="4" t="e">
        <f t="shared" si="12"/>
        <v>#DIV/0!</v>
      </c>
      <c r="M62" s="25"/>
      <c r="N62" s="25"/>
      <c r="O62" s="14"/>
      <c r="P62" s="14"/>
      <c r="Q62" s="6"/>
    </row>
    <row r="63" spans="1:17">
      <c r="A63" s="13">
        <f t="shared" si="13"/>
        <v>46171</v>
      </c>
      <c r="B63" s="27"/>
      <c r="C63" s="46"/>
      <c r="D63" s="14"/>
      <c r="E63" s="14"/>
      <c r="F63" s="20" t="e">
        <f t="shared" si="16"/>
        <v>#DIV/0!</v>
      </c>
      <c r="G63" s="2">
        <f t="shared" si="14"/>
        <v>0</v>
      </c>
      <c r="H63" s="2">
        <f t="shared" si="15"/>
        <v>0</v>
      </c>
      <c r="I63" s="3"/>
      <c r="J63" s="14"/>
      <c r="K63" s="20" t="e">
        <f t="shared" si="17"/>
        <v>#DIV/0!</v>
      </c>
      <c r="L63" s="4" t="e">
        <f t="shared" si="12"/>
        <v>#DIV/0!</v>
      </c>
      <c r="M63" s="25"/>
      <c r="N63" s="25"/>
      <c r="O63" s="14"/>
      <c r="P63" s="14"/>
      <c r="Q63" s="6"/>
    </row>
    <row r="64" spans="1:17">
      <c r="A64" s="13">
        <f t="shared" si="13"/>
        <v>46172</v>
      </c>
      <c r="B64" s="27"/>
      <c r="C64" s="46"/>
      <c r="D64" s="14"/>
      <c r="E64" s="14"/>
      <c r="F64" s="20" t="e">
        <f t="shared" si="16"/>
        <v>#DIV/0!</v>
      </c>
      <c r="G64" s="2">
        <f t="shared" si="14"/>
        <v>0</v>
      </c>
      <c r="H64" s="2">
        <f t="shared" si="15"/>
        <v>0</v>
      </c>
      <c r="I64" s="3"/>
      <c r="J64" s="14"/>
      <c r="K64" s="20" t="e">
        <f t="shared" si="17"/>
        <v>#DIV/0!</v>
      </c>
      <c r="L64" s="4" t="e">
        <f t="shared" si="12"/>
        <v>#DIV/0!</v>
      </c>
      <c r="M64" s="25"/>
      <c r="N64" s="25"/>
      <c r="O64" s="14"/>
      <c r="P64" s="14"/>
      <c r="Q64" s="6"/>
    </row>
    <row r="65" spans="1:17">
      <c r="A65" s="13">
        <f t="shared" si="13"/>
        <v>46173</v>
      </c>
      <c r="B65" s="27"/>
      <c r="C65" s="46"/>
      <c r="D65" s="14"/>
      <c r="E65" s="14"/>
      <c r="F65" s="20" t="e">
        <f t="shared" ref="F65" si="18">(IF(ISBLANK(E65),0,E65-C65))/C65</f>
        <v>#DIV/0!</v>
      </c>
      <c r="G65" s="2">
        <f t="shared" ref="G65" si="19">D65/($D$2*24)</f>
        <v>0</v>
      </c>
      <c r="H65" s="2">
        <f t="shared" ref="H65" si="20">E65/($D$2*24)</f>
        <v>0</v>
      </c>
      <c r="I65" s="3"/>
      <c r="J65" s="14"/>
      <c r="K65" s="20" t="e">
        <f t="shared" ref="K65:K66" si="21">(IF(ISBLANK(J65),0,J65-I65))/I65</f>
        <v>#DIV/0!</v>
      </c>
      <c r="L65" s="4" t="e">
        <f t="shared" si="12"/>
        <v>#DIV/0!</v>
      </c>
      <c r="M65" s="25"/>
      <c r="N65" s="25"/>
      <c r="O65" s="14"/>
      <c r="P65" s="14"/>
      <c r="Q65" s="6"/>
    </row>
    <row r="66" spans="1:17">
      <c r="A66" s="349">
        <v>46143</v>
      </c>
      <c r="B66" s="89">
        <f>SUM(B35:B65)</f>
        <v>263184</v>
      </c>
      <c r="C66" s="89">
        <f>SUM(C35:C65)</f>
        <v>259044</v>
      </c>
      <c r="D66" s="89">
        <f>SUM(D35:D65)</f>
        <v>234637</v>
      </c>
      <c r="E66" s="89">
        <f>SUM(E35:E65)</f>
        <v>231450</v>
      </c>
      <c r="F66" s="92">
        <f>(IF(ISBLANK(E66),0,E66-C66))/C66</f>
        <v>-0.10652244406355676</v>
      </c>
      <c r="G66" s="90">
        <f>AVERAGE(G35:G65)</f>
        <v>2.1024820788530466E-2</v>
      </c>
      <c r="H66" s="90">
        <f>AVERAGE(H35:H65)</f>
        <v>2.6074602052745515E-2</v>
      </c>
      <c r="I66" s="89">
        <f>SUM(I35:I65)</f>
        <v>22.08</v>
      </c>
      <c r="J66" s="89">
        <f>SUM(J35:J65)</f>
        <v>19.559000000000001</v>
      </c>
      <c r="K66" s="92">
        <f t="shared" si="21"/>
        <v>-0.11417572463768104</v>
      </c>
      <c r="L66" s="93">
        <f t="shared" si="12"/>
        <v>0.79975799717095286</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8A4AD-D845-48C4-9983-53A661DC9430}">
  <dimension ref="A1:Q66"/>
  <sheetViews>
    <sheetView workbookViewId="0">
      <pane xSplit="2" ySplit="3" topLeftCell="C31" activePane="bottomRight" state="frozen"/>
      <selection pane="topRight"/>
      <selection pane="bottomLeft"/>
      <selection pane="bottomRight" activeCell="A66" sqref="A66"/>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179687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268</v>
      </c>
      <c r="B1" s="406"/>
      <c r="C1" s="406"/>
      <c r="D1" s="406"/>
      <c r="E1" s="406"/>
      <c r="F1" s="406"/>
      <c r="G1" s="406"/>
      <c r="H1" s="406"/>
      <c r="I1" s="406"/>
      <c r="J1" s="406"/>
      <c r="K1" s="406"/>
      <c r="L1" s="406"/>
      <c r="M1" s="406"/>
      <c r="N1" s="406"/>
      <c r="O1" s="406"/>
      <c r="P1" s="406"/>
      <c r="Q1" s="406"/>
    </row>
    <row r="2" spans="1:17" ht="18.5">
      <c r="A2" s="7">
        <v>46113</v>
      </c>
      <c r="B2" s="407" t="s">
        <v>172</v>
      </c>
      <c r="C2" s="408"/>
      <c r="D2" s="136">
        <v>2205</v>
      </c>
      <c r="E2" s="407" t="s">
        <v>173</v>
      </c>
      <c r="F2" s="407"/>
      <c r="G2" s="408"/>
      <c r="H2" s="136">
        <v>1760</v>
      </c>
      <c r="I2" s="409" t="s">
        <v>174</v>
      </c>
      <c r="J2" s="410"/>
      <c r="K2" s="137">
        <v>45638</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11289</v>
      </c>
      <c r="C4" s="1">
        <v>10563</v>
      </c>
      <c r="D4" s="200">
        <v>11305</v>
      </c>
      <c r="E4" s="200">
        <v>11112</v>
      </c>
      <c r="F4" s="20">
        <f>(IF(ISBLANK(E4),0,E4-C4))/C4</f>
        <v>5.1973871059358134E-2</v>
      </c>
      <c r="G4" s="2">
        <f t="shared" ref="G4:G23" si="0">D4/($D$2*24)</f>
        <v>0.21362433862433863</v>
      </c>
      <c r="H4" s="2">
        <f t="shared" ref="H4:H21" si="1">D4/($H$2*24)</f>
        <v>0.26763731060606061</v>
      </c>
      <c r="I4" s="3">
        <v>6.11</v>
      </c>
      <c r="J4" s="201">
        <v>6.3739999999999997</v>
      </c>
      <c r="K4" s="20">
        <f>(IF(ISBLANK(J4),0,J4-I4))/I4</f>
        <v>4.3207855973813311E-2</v>
      </c>
      <c r="L4" s="4">
        <f t="shared" ref="L4:L35" si="2">D4/($D$2*J4)</f>
        <v>0.80435897819016744</v>
      </c>
      <c r="M4" s="5">
        <v>1</v>
      </c>
      <c r="N4" s="5">
        <v>1</v>
      </c>
      <c r="O4" s="14">
        <v>0</v>
      </c>
      <c r="P4" s="14">
        <v>0</v>
      </c>
      <c r="Q4" s="6"/>
    </row>
    <row r="5" spans="1:17">
      <c r="A5" s="13">
        <f>A4+1</f>
        <v>46114</v>
      </c>
      <c r="B5" s="1">
        <v>11289</v>
      </c>
      <c r="C5" s="1">
        <v>10563</v>
      </c>
      <c r="D5" s="200">
        <v>10618</v>
      </c>
      <c r="E5" s="200">
        <v>10464</v>
      </c>
      <c r="F5" s="20">
        <f t="shared" ref="F5:F33" si="3">(IF(ISBLANK(E5),0,E5-C5))/C5</f>
        <v>-9.3723374041465492E-3</v>
      </c>
      <c r="G5" s="2">
        <f t="shared" si="0"/>
        <v>0.20064247921390779</v>
      </c>
      <c r="H5" s="2">
        <f t="shared" si="1"/>
        <v>0.25137310606060603</v>
      </c>
      <c r="I5" s="3">
        <v>6.11</v>
      </c>
      <c r="J5" s="201">
        <v>6.0389999999999997</v>
      </c>
      <c r="K5" s="20">
        <f t="shared" ref="K5:K34" si="4">(IF(ISBLANK(J5),0,J5-I5))/I5</f>
        <v>-1.1620294599018104E-2</v>
      </c>
      <c r="L5" s="4">
        <f t="shared" si="2"/>
        <v>0.79738690199267881</v>
      </c>
      <c r="M5" s="5">
        <v>1</v>
      </c>
      <c r="N5" s="5">
        <v>1</v>
      </c>
      <c r="O5" s="14">
        <v>0</v>
      </c>
      <c r="P5" s="14">
        <v>0</v>
      </c>
      <c r="Q5" s="6"/>
    </row>
    <row r="6" spans="1:17">
      <c r="A6" s="13">
        <f t="shared" ref="A6:A33" si="5">A5+1</f>
        <v>46115</v>
      </c>
      <c r="B6" s="1">
        <v>11289</v>
      </c>
      <c r="C6" s="1">
        <v>10563</v>
      </c>
      <c r="D6" s="200">
        <v>7850</v>
      </c>
      <c r="E6" s="200">
        <v>7728</v>
      </c>
      <c r="F6" s="20">
        <f t="shared" si="3"/>
        <v>-0.26838966202783299</v>
      </c>
      <c r="G6" s="2">
        <f t="shared" si="0"/>
        <v>0.14833711262282692</v>
      </c>
      <c r="H6" s="2">
        <f t="shared" si="1"/>
        <v>0.18584280303030304</v>
      </c>
      <c r="I6" s="3">
        <v>6.11</v>
      </c>
      <c r="J6" s="201">
        <v>4.5</v>
      </c>
      <c r="K6" s="20">
        <f t="shared" si="4"/>
        <v>-0.26350245499181674</v>
      </c>
      <c r="L6" s="4">
        <f t="shared" si="2"/>
        <v>0.79113126732174355</v>
      </c>
      <c r="M6" s="5">
        <v>1</v>
      </c>
      <c r="N6" s="5">
        <v>1</v>
      </c>
      <c r="O6" s="14">
        <v>0</v>
      </c>
      <c r="P6" s="14">
        <v>0</v>
      </c>
      <c r="Q6" s="6"/>
    </row>
    <row r="7" spans="1:17">
      <c r="A7" s="13">
        <f t="shared" si="5"/>
        <v>46116</v>
      </c>
      <c r="B7" s="1">
        <v>11289</v>
      </c>
      <c r="C7" s="1">
        <v>10563</v>
      </c>
      <c r="D7" s="200">
        <v>9239</v>
      </c>
      <c r="E7" s="200">
        <v>9096</v>
      </c>
      <c r="F7" s="20">
        <f t="shared" si="3"/>
        <v>-0.13888099971598977</v>
      </c>
      <c r="G7" s="2">
        <f t="shared" si="0"/>
        <v>0.17458427815570673</v>
      </c>
      <c r="H7" s="2">
        <f t="shared" si="1"/>
        <v>0.21872632575757575</v>
      </c>
      <c r="I7" s="3">
        <v>6.11</v>
      </c>
      <c r="J7" s="201">
        <v>5.2480000000000002</v>
      </c>
      <c r="K7" s="20">
        <f t="shared" si="4"/>
        <v>-0.14108019639934535</v>
      </c>
      <c r="L7" s="4">
        <f t="shared" si="2"/>
        <v>0.79840371107792707</v>
      </c>
      <c r="M7" s="5">
        <v>1</v>
      </c>
      <c r="N7" s="5">
        <v>1</v>
      </c>
      <c r="O7" s="14">
        <v>0</v>
      </c>
      <c r="P7" s="14">
        <v>0</v>
      </c>
      <c r="Q7" s="14"/>
    </row>
    <row r="8" spans="1:17">
      <c r="A8" s="13">
        <f t="shared" si="5"/>
        <v>46117</v>
      </c>
      <c r="B8" s="1">
        <v>11289</v>
      </c>
      <c r="C8" s="1">
        <v>10563</v>
      </c>
      <c r="D8" s="200">
        <v>9468.2000000000007</v>
      </c>
      <c r="E8" s="200">
        <v>9336</v>
      </c>
      <c r="F8" s="20">
        <f t="shared" si="3"/>
        <v>-0.11616018176654359</v>
      </c>
      <c r="G8" s="2">
        <f t="shared" si="0"/>
        <v>0.17891534391534392</v>
      </c>
      <c r="H8" s="2">
        <f t="shared" si="1"/>
        <v>0.22415246212121215</v>
      </c>
      <c r="I8" s="3">
        <v>6.11</v>
      </c>
      <c r="J8" s="201">
        <v>5.39</v>
      </c>
      <c r="K8" s="20">
        <f t="shared" si="4"/>
        <v>-0.11783960720130943</v>
      </c>
      <c r="L8" s="4">
        <f t="shared" si="2"/>
        <v>0.79665459257296001</v>
      </c>
      <c r="M8" s="5">
        <v>1</v>
      </c>
      <c r="N8" s="5">
        <v>1</v>
      </c>
      <c r="O8" s="14">
        <v>0</v>
      </c>
      <c r="P8" s="14">
        <v>0</v>
      </c>
      <c r="Q8" s="14"/>
    </row>
    <row r="9" spans="1:17">
      <c r="A9" s="13">
        <f t="shared" si="5"/>
        <v>46118</v>
      </c>
      <c r="B9" s="1">
        <v>11289</v>
      </c>
      <c r="C9" s="1">
        <v>10563</v>
      </c>
      <c r="D9" s="200">
        <v>7904</v>
      </c>
      <c r="E9" s="200">
        <v>7800</v>
      </c>
      <c r="F9" s="20">
        <f t="shared" si="3"/>
        <v>-0.26157341664299916</v>
      </c>
      <c r="G9" s="2">
        <f t="shared" si="0"/>
        <v>0.14935752078609221</v>
      </c>
      <c r="H9" s="2">
        <f t="shared" si="1"/>
        <v>0.18712121212121213</v>
      </c>
      <c r="I9" s="3">
        <v>6.11</v>
      </c>
      <c r="J9" s="201">
        <v>4.5019999999999998</v>
      </c>
      <c r="K9" s="20">
        <f t="shared" si="4"/>
        <v>-0.26317512274959093</v>
      </c>
      <c r="L9" s="4">
        <f t="shared" si="2"/>
        <v>0.79621956882856804</v>
      </c>
      <c r="M9" s="5">
        <v>1</v>
      </c>
      <c r="N9" s="5">
        <v>1</v>
      </c>
      <c r="O9" s="14">
        <v>0</v>
      </c>
      <c r="P9" s="14">
        <v>0</v>
      </c>
      <c r="Q9" s="14"/>
    </row>
    <row r="10" spans="1:17">
      <c r="A10" s="13">
        <f t="shared" si="5"/>
        <v>46119</v>
      </c>
      <c r="B10" s="1">
        <v>11289</v>
      </c>
      <c r="C10" s="1">
        <v>10563</v>
      </c>
      <c r="D10" s="200">
        <v>9583</v>
      </c>
      <c r="E10" s="200">
        <v>9432</v>
      </c>
      <c r="F10" s="20">
        <f t="shared" si="3"/>
        <v>-0.10707185458676512</v>
      </c>
      <c r="G10" s="2">
        <f t="shared" si="0"/>
        <v>0.1810846560846561</v>
      </c>
      <c r="H10" s="2">
        <f t="shared" si="1"/>
        <v>0.22687026515151515</v>
      </c>
      <c r="I10" s="3">
        <v>6.11</v>
      </c>
      <c r="J10" s="201">
        <v>5.4269999999999996</v>
      </c>
      <c r="K10" s="20">
        <f t="shared" si="4"/>
        <v>-0.11178396072013104</v>
      </c>
      <c r="L10" s="4">
        <f t="shared" si="2"/>
        <v>0.80081661065630105</v>
      </c>
      <c r="M10" s="5">
        <v>1</v>
      </c>
      <c r="N10" s="5">
        <v>1</v>
      </c>
      <c r="O10" s="14">
        <v>0</v>
      </c>
      <c r="P10" s="14">
        <v>0</v>
      </c>
      <c r="Q10" s="202"/>
    </row>
    <row r="11" spans="1:17">
      <c r="A11" s="13">
        <f t="shared" si="5"/>
        <v>46120</v>
      </c>
      <c r="B11" s="1">
        <v>11289</v>
      </c>
      <c r="C11" s="1">
        <v>10563</v>
      </c>
      <c r="D11" s="200">
        <v>10251</v>
      </c>
      <c r="E11" s="200">
        <v>10104</v>
      </c>
      <c r="F11" s="20">
        <f t="shared" si="3"/>
        <v>-4.3453564328315819E-2</v>
      </c>
      <c r="G11" s="2">
        <f t="shared" si="0"/>
        <v>0.19370748299319729</v>
      </c>
      <c r="H11" s="2">
        <f t="shared" si="1"/>
        <v>0.24268465909090908</v>
      </c>
      <c r="I11" s="3">
        <v>6.11</v>
      </c>
      <c r="J11" s="201">
        <v>5.8259999999999996</v>
      </c>
      <c r="K11" s="20">
        <f t="shared" si="4"/>
        <v>-4.6481178396072124E-2</v>
      </c>
      <c r="L11" s="4">
        <f t="shared" si="2"/>
        <v>0.79797109368979313</v>
      </c>
      <c r="M11" s="5">
        <v>1</v>
      </c>
      <c r="N11" s="5">
        <v>1</v>
      </c>
      <c r="O11" s="14">
        <v>0</v>
      </c>
      <c r="P11" s="14">
        <v>0</v>
      </c>
      <c r="Q11" s="14"/>
    </row>
    <row r="12" spans="1:17">
      <c r="A12" s="13">
        <f t="shared" si="5"/>
        <v>46121</v>
      </c>
      <c r="B12" s="1">
        <v>11289</v>
      </c>
      <c r="C12" s="1">
        <v>10563</v>
      </c>
      <c r="D12" s="200">
        <v>8442</v>
      </c>
      <c r="E12" s="200">
        <v>8328</v>
      </c>
      <c r="F12" s="20">
        <f t="shared" si="3"/>
        <v>-0.21158761715421756</v>
      </c>
      <c r="G12" s="2">
        <f t="shared" si="0"/>
        <v>0.15952380952380951</v>
      </c>
      <c r="H12" s="2">
        <f t="shared" si="1"/>
        <v>0.19985795454545455</v>
      </c>
      <c r="I12" s="3">
        <v>6.11</v>
      </c>
      <c r="J12" s="201">
        <v>4.835</v>
      </c>
      <c r="K12" s="20">
        <f t="shared" si="4"/>
        <v>-0.20867430441898532</v>
      </c>
      <c r="L12" s="4">
        <f t="shared" si="2"/>
        <v>0.79184517654010933</v>
      </c>
      <c r="M12" s="5">
        <v>1</v>
      </c>
      <c r="N12" s="5">
        <v>1</v>
      </c>
      <c r="O12" s="14">
        <v>0</v>
      </c>
      <c r="P12" s="14">
        <v>0</v>
      </c>
      <c r="Q12" s="6"/>
    </row>
    <row r="13" spans="1:17">
      <c r="A13" s="13">
        <f t="shared" si="5"/>
        <v>46122</v>
      </c>
      <c r="B13" s="1">
        <v>11289</v>
      </c>
      <c r="C13" s="1">
        <v>10563</v>
      </c>
      <c r="D13" s="200">
        <v>10572</v>
      </c>
      <c r="E13" s="200">
        <v>10416</v>
      </c>
      <c r="F13" s="20">
        <f t="shared" si="3"/>
        <v>-1.3916500994035786E-2</v>
      </c>
      <c r="G13" s="2">
        <f t="shared" si="0"/>
        <v>0.19977324263038548</v>
      </c>
      <c r="H13" s="2">
        <f t="shared" si="1"/>
        <v>0.25028409090909093</v>
      </c>
      <c r="I13" s="3">
        <v>6.11</v>
      </c>
      <c r="J13" s="201">
        <v>5.9870000000000001</v>
      </c>
      <c r="K13" s="20">
        <f t="shared" si="4"/>
        <v>-2.0130932896890379E-2</v>
      </c>
      <c r="L13" s="4">
        <f t="shared" si="2"/>
        <v>0.80082809806735444</v>
      </c>
      <c r="M13" s="5">
        <v>1</v>
      </c>
      <c r="N13" s="5">
        <v>1</v>
      </c>
      <c r="O13" s="14">
        <v>0</v>
      </c>
      <c r="P13" s="14">
        <v>0</v>
      </c>
      <c r="Q13" s="16"/>
    </row>
    <row r="14" spans="1:17">
      <c r="A14" s="13">
        <f t="shared" si="5"/>
        <v>46123</v>
      </c>
      <c r="B14" s="1">
        <v>11289</v>
      </c>
      <c r="C14" s="1">
        <v>10563</v>
      </c>
      <c r="D14" s="200">
        <v>10758</v>
      </c>
      <c r="E14" s="200">
        <v>10608</v>
      </c>
      <c r="F14" s="20">
        <f t="shared" si="3"/>
        <v>4.2601533655211585E-3</v>
      </c>
      <c r="G14" s="2">
        <f t="shared" si="0"/>
        <v>0.20328798185941044</v>
      </c>
      <c r="H14" s="2">
        <f t="shared" si="1"/>
        <v>0.25468750000000001</v>
      </c>
      <c r="I14" s="3">
        <v>6.11</v>
      </c>
      <c r="J14" s="201">
        <v>6.04</v>
      </c>
      <c r="K14" s="20">
        <f t="shared" si="4"/>
        <v>-1.145662847790512E-2</v>
      </c>
      <c r="L14" s="4">
        <f t="shared" si="2"/>
        <v>0.80776681533540562</v>
      </c>
      <c r="M14" s="5">
        <v>1</v>
      </c>
      <c r="N14" s="5">
        <v>1</v>
      </c>
      <c r="O14" s="14">
        <v>0</v>
      </c>
      <c r="P14" s="14">
        <v>0</v>
      </c>
      <c r="Q14" s="6"/>
    </row>
    <row r="15" spans="1:17">
      <c r="A15" s="13">
        <f t="shared" si="5"/>
        <v>46124</v>
      </c>
      <c r="B15" s="1">
        <v>11289</v>
      </c>
      <c r="C15" s="1">
        <v>10563</v>
      </c>
      <c r="D15" s="200">
        <v>10171</v>
      </c>
      <c r="E15" s="200">
        <v>10032</v>
      </c>
      <c r="F15" s="20">
        <f t="shared" si="3"/>
        <v>-5.0269809713149677E-2</v>
      </c>
      <c r="G15" s="2">
        <f t="shared" si="0"/>
        <v>0.1921957671957672</v>
      </c>
      <c r="H15" s="2">
        <f t="shared" si="1"/>
        <v>0.24079071969696969</v>
      </c>
      <c r="I15" s="3">
        <v>6.11</v>
      </c>
      <c r="J15" s="201">
        <v>5.7720000000000002</v>
      </c>
      <c r="K15" s="20">
        <f t="shared" si="4"/>
        <v>-5.5319148936170223E-2</v>
      </c>
      <c r="L15" s="4">
        <f t="shared" si="2"/>
        <v>0.79915079915079912</v>
      </c>
      <c r="M15" s="5">
        <v>1</v>
      </c>
      <c r="N15" s="5">
        <v>1</v>
      </c>
      <c r="O15" s="14">
        <v>0</v>
      </c>
      <c r="P15" s="14">
        <v>0</v>
      </c>
      <c r="Q15" s="6"/>
    </row>
    <row r="16" spans="1:17">
      <c r="A16" s="13">
        <f t="shared" si="5"/>
        <v>46125</v>
      </c>
      <c r="B16" s="1">
        <v>11289</v>
      </c>
      <c r="C16" s="1">
        <v>10563</v>
      </c>
      <c r="D16" s="200">
        <v>10535</v>
      </c>
      <c r="E16" s="200">
        <v>10368</v>
      </c>
      <c r="F16" s="20">
        <f t="shared" si="3"/>
        <v>-1.8460664583925021E-2</v>
      </c>
      <c r="G16" s="2">
        <f t="shared" si="0"/>
        <v>0.19907407407407407</v>
      </c>
      <c r="H16" s="2">
        <f t="shared" si="1"/>
        <v>0.24940814393939395</v>
      </c>
      <c r="I16" s="3">
        <v>6.11</v>
      </c>
      <c r="J16" s="201">
        <v>5.9790000000000001</v>
      </c>
      <c r="K16" s="20">
        <f t="shared" si="4"/>
        <v>-2.1440261865793817E-2</v>
      </c>
      <c r="L16" s="4">
        <f t="shared" si="2"/>
        <v>0.79909312222408058</v>
      </c>
      <c r="M16" s="5">
        <v>1</v>
      </c>
      <c r="N16" s="5">
        <v>1</v>
      </c>
      <c r="O16" s="14">
        <v>0</v>
      </c>
      <c r="P16" s="14">
        <v>0</v>
      </c>
      <c r="Q16" s="14"/>
    </row>
    <row r="17" spans="1:17">
      <c r="A17" s="13">
        <f t="shared" si="5"/>
        <v>46126</v>
      </c>
      <c r="B17" s="1">
        <v>11289</v>
      </c>
      <c r="C17" s="1">
        <v>10563</v>
      </c>
      <c r="D17" s="200">
        <v>9955</v>
      </c>
      <c r="E17" s="200">
        <v>9816</v>
      </c>
      <c r="F17" s="20">
        <f t="shared" si="3"/>
        <v>-7.0718545867651236E-2</v>
      </c>
      <c r="G17" s="2">
        <f t="shared" si="0"/>
        <v>0.18811413454270598</v>
      </c>
      <c r="H17" s="2">
        <f t="shared" si="1"/>
        <v>0.23567708333333334</v>
      </c>
      <c r="I17" s="3">
        <v>6.11</v>
      </c>
      <c r="J17" s="201">
        <v>5.649</v>
      </c>
      <c r="K17" s="20">
        <f t="shared" si="4"/>
        <v>-7.5450081833060595E-2</v>
      </c>
      <c r="L17" s="4">
        <f t="shared" si="2"/>
        <v>0.79921034325100782</v>
      </c>
      <c r="M17" s="5">
        <v>1</v>
      </c>
      <c r="N17" s="5">
        <v>1</v>
      </c>
      <c r="O17" s="14">
        <v>0</v>
      </c>
      <c r="P17" s="14">
        <v>0</v>
      </c>
      <c r="Q17" s="203"/>
    </row>
    <row r="18" spans="1:17">
      <c r="A18" s="13">
        <f t="shared" si="5"/>
        <v>46127</v>
      </c>
      <c r="B18" s="1">
        <v>11289</v>
      </c>
      <c r="C18" s="1">
        <v>10563</v>
      </c>
      <c r="D18" s="200">
        <v>10521.3</v>
      </c>
      <c r="E18" s="200">
        <v>10368</v>
      </c>
      <c r="F18" s="20">
        <f t="shared" si="3"/>
        <v>-1.8460664583925021E-2</v>
      </c>
      <c r="G18" s="2">
        <f t="shared" si="0"/>
        <v>0.19881519274376416</v>
      </c>
      <c r="H18" s="2">
        <f t="shared" si="1"/>
        <v>0.24908380681818179</v>
      </c>
      <c r="I18" s="3">
        <v>6.11</v>
      </c>
      <c r="J18" s="201">
        <v>5.9269999999999996</v>
      </c>
      <c r="K18" s="20">
        <f t="shared" si="4"/>
        <v>-2.9950900163666236E-2</v>
      </c>
      <c r="L18" s="4">
        <f t="shared" si="2"/>
        <v>0.80505561428215622</v>
      </c>
      <c r="M18" s="5">
        <v>1</v>
      </c>
      <c r="N18" s="5">
        <v>1</v>
      </c>
      <c r="O18" s="14">
        <v>0</v>
      </c>
      <c r="P18" s="14">
        <v>0</v>
      </c>
      <c r="Q18" s="14"/>
    </row>
    <row r="19" spans="1:17">
      <c r="A19" s="13">
        <f t="shared" si="5"/>
        <v>46128</v>
      </c>
      <c r="B19" s="1">
        <v>11289</v>
      </c>
      <c r="C19" s="1">
        <v>10563</v>
      </c>
      <c r="D19" s="200">
        <v>10438</v>
      </c>
      <c r="E19" s="200">
        <v>10296</v>
      </c>
      <c r="F19" s="20">
        <f t="shared" si="3"/>
        <v>-2.5276909968758875E-2</v>
      </c>
      <c r="G19" s="2">
        <f t="shared" si="0"/>
        <v>0.1972411186696901</v>
      </c>
      <c r="H19" s="2">
        <f t="shared" si="1"/>
        <v>0.24711174242424241</v>
      </c>
      <c r="I19" s="3">
        <v>6.11</v>
      </c>
      <c r="J19" s="201">
        <v>5.92</v>
      </c>
      <c r="K19" s="20">
        <f t="shared" si="4"/>
        <v>-3.109656301145669E-2</v>
      </c>
      <c r="L19" s="4">
        <f t="shared" si="2"/>
        <v>0.79962615676901394</v>
      </c>
      <c r="M19" s="5">
        <v>1</v>
      </c>
      <c r="N19" s="5">
        <v>1</v>
      </c>
      <c r="O19" s="14">
        <v>0</v>
      </c>
      <c r="P19" s="14">
        <v>0</v>
      </c>
      <c r="Q19" s="14"/>
    </row>
    <row r="20" spans="1:17">
      <c r="A20" s="13">
        <f t="shared" si="5"/>
        <v>46129</v>
      </c>
      <c r="B20" s="1">
        <v>11289</v>
      </c>
      <c r="C20" s="1">
        <v>10563</v>
      </c>
      <c r="D20" s="200">
        <v>8054</v>
      </c>
      <c r="E20" s="200">
        <v>7944</v>
      </c>
      <c r="F20" s="20">
        <f t="shared" si="3"/>
        <v>-0.24794092587333144</v>
      </c>
      <c r="G20" s="2">
        <f t="shared" si="0"/>
        <v>0.15219198790627361</v>
      </c>
      <c r="H20" s="2">
        <f t="shared" si="1"/>
        <v>0.19067234848484849</v>
      </c>
      <c r="I20" s="3">
        <v>6.11</v>
      </c>
      <c r="J20" s="201">
        <v>4.5199999999999996</v>
      </c>
      <c r="K20" s="20">
        <f t="shared" si="4"/>
        <v>-0.26022913256955821</v>
      </c>
      <c r="L20" s="4">
        <f t="shared" si="2"/>
        <v>0.80809905082977151</v>
      </c>
      <c r="M20" s="5">
        <v>1</v>
      </c>
      <c r="N20" s="5">
        <v>1</v>
      </c>
      <c r="O20" s="14">
        <v>0</v>
      </c>
      <c r="P20" s="14">
        <v>0</v>
      </c>
      <c r="Q20" s="6"/>
    </row>
    <row r="21" spans="1:17">
      <c r="A21" s="13">
        <f t="shared" si="5"/>
        <v>46130</v>
      </c>
      <c r="B21" s="1">
        <v>11289</v>
      </c>
      <c r="C21" s="1">
        <v>10563</v>
      </c>
      <c r="D21" s="200">
        <v>10009.799999999999</v>
      </c>
      <c r="E21" s="200">
        <v>9888</v>
      </c>
      <c r="F21" s="20">
        <f t="shared" si="3"/>
        <v>-6.3902300482817379E-2</v>
      </c>
      <c r="G21" s="2">
        <f t="shared" si="0"/>
        <v>0.18914965986394555</v>
      </c>
      <c r="H21" s="2">
        <f t="shared" si="1"/>
        <v>0.23697443181818181</v>
      </c>
      <c r="I21" s="3">
        <v>6.11</v>
      </c>
      <c r="J21" s="201">
        <v>5.72</v>
      </c>
      <c r="K21" s="20">
        <f t="shared" si="4"/>
        <v>-6.3829787234042645E-2</v>
      </c>
      <c r="L21" s="4">
        <f t="shared" si="2"/>
        <v>0.79363493649207939</v>
      </c>
      <c r="M21" s="5">
        <v>1</v>
      </c>
      <c r="N21" s="5">
        <v>1</v>
      </c>
      <c r="O21" s="14">
        <v>0</v>
      </c>
      <c r="P21" s="14">
        <v>0</v>
      </c>
      <c r="Q21" s="14"/>
    </row>
    <row r="22" spans="1:17">
      <c r="A22" s="13">
        <f t="shared" si="5"/>
        <v>46131</v>
      </c>
      <c r="B22" s="1">
        <v>11289</v>
      </c>
      <c r="C22" s="1">
        <v>10563</v>
      </c>
      <c r="D22" s="200">
        <v>10588.2</v>
      </c>
      <c r="E22" s="200">
        <v>10440</v>
      </c>
      <c r="F22" s="20">
        <f t="shared" si="3"/>
        <v>-1.1644419199091167E-2</v>
      </c>
      <c r="G22" s="2">
        <f t="shared" si="0"/>
        <v>0.20007936507936511</v>
      </c>
      <c r="H22" s="2">
        <f>E22/($D$2*24)</f>
        <v>0.19727891156462585</v>
      </c>
      <c r="I22" s="3">
        <v>6.11</v>
      </c>
      <c r="J22" s="201">
        <v>5.9790000000000001</v>
      </c>
      <c r="K22" s="20">
        <f t="shared" si="4"/>
        <v>-2.1440261865793817E-2</v>
      </c>
      <c r="L22" s="4">
        <f t="shared" si="2"/>
        <v>0.80312840975159094</v>
      </c>
      <c r="M22" s="5">
        <v>1</v>
      </c>
      <c r="N22" s="5">
        <v>1</v>
      </c>
      <c r="O22" s="14">
        <v>0</v>
      </c>
      <c r="P22" s="14">
        <v>0</v>
      </c>
      <c r="Q22" s="14"/>
    </row>
    <row r="23" spans="1:17">
      <c r="A23" s="13">
        <f t="shared" si="5"/>
        <v>46132</v>
      </c>
      <c r="B23" s="1">
        <v>11289</v>
      </c>
      <c r="C23" s="1">
        <v>10563</v>
      </c>
      <c r="D23" s="200">
        <v>10308</v>
      </c>
      <c r="E23" s="200">
        <v>10152</v>
      </c>
      <c r="F23" s="20">
        <f t="shared" si="3"/>
        <v>-3.8909400738426581E-2</v>
      </c>
      <c r="G23" s="2">
        <f t="shared" si="0"/>
        <v>0.19478458049886621</v>
      </c>
      <c r="H23" s="2">
        <f>E23/($D$2*24)</f>
        <v>0.19183673469387755</v>
      </c>
      <c r="I23" s="3">
        <v>6.11</v>
      </c>
      <c r="J23" s="201">
        <v>5.85</v>
      </c>
      <c r="K23" s="20">
        <f t="shared" si="4"/>
        <v>-4.2553191489361812E-2</v>
      </c>
      <c r="L23" s="4">
        <f t="shared" si="2"/>
        <v>0.79911622768765622</v>
      </c>
      <c r="M23" s="5">
        <v>1</v>
      </c>
      <c r="N23" s="5">
        <v>1</v>
      </c>
      <c r="O23" s="14">
        <v>0</v>
      </c>
      <c r="P23" s="14">
        <v>0</v>
      </c>
      <c r="Q23" s="14"/>
    </row>
    <row r="24" spans="1:17">
      <c r="A24" s="13">
        <f t="shared" si="5"/>
        <v>46133</v>
      </c>
      <c r="B24" s="1">
        <v>11289</v>
      </c>
      <c r="C24" s="1">
        <v>10563</v>
      </c>
      <c r="D24" s="14">
        <v>8619.7999999999993</v>
      </c>
      <c r="E24" s="14">
        <v>8520</v>
      </c>
      <c r="F24" s="20">
        <f>(IF(ISBLANK(E24),0,E24-C24))/C24</f>
        <v>-0.19341096279466061</v>
      </c>
      <c r="G24" s="2">
        <f t="shared" ref="G24:G33" si="6">D24/($D$2*24)</f>
        <v>0.16288359788359788</v>
      </c>
      <c r="H24" s="2">
        <f t="shared" ref="H24:H33" si="7">E24/($D$2*24)</f>
        <v>0.16099773242630386</v>
      </c>
      <c r="I24" s="3">
        <v>6.11</v>
      </c>
      <c r="J24" s="14">
        <v>4.8920000000000003</v>
      </c>
      <c r="K24" s="20">
        <f>(IF(ISBLANK(J24),0,J24-I24))/I24</f>
        <v>-0.19934533551554826</v>
      </c>
      <c r="L24" s="4">
        <f t="shared" si="2"/>
        <v>0.79910187023841961</v>
      </c>
      <c r="M24" s="5">
        <v>1</v>
      </c>
      <c r="N24" s="5">
        <v>1</v>
      </c>
      <c r="O24" s="14">
        <v>0</v>
      </c>
      <c r="P24" s="14">
        <v>0</v>
      </c>
      <c r="Q24" s="6"/>
    </row>
    <row r="25" spans="1:17">
      <c r="A25" s="13">
        <f t="shared" si="5"/>
        <v>46134</v>
      </c>
      <c r="B25" s="1">
        <v>11289</v>
      </c>
      <c r="C25" s="1">
        <v>10563</v>
      </c>
      <c r="D25" s="14">
        <v>9820.6</v>
      </c>
      <c r="E25" s="14">
        <v>9672</v>
      </c>
      <c r="F25" s="20">
        <f t="shared" si="3"/>
        <v>-8.4351036637318938E-2</v>
      </c>
      <c r="G25" s="2">
        <f t="shared" si="6"/>
        <v>0.18557445200302344</v>
      </c>
      <c r="H25" s="2">
        <f t="shared" si="7"/>
        <v>0.18276643990929706</v>
      </c>
      <c r="I25" s="3">
        <v>6.11</v>
      </c>
      <c r="J25" s="14">
        <v>5.5659999999999998</v>
      </c>
      <c r="K25" s="20">
        <f t="shared" si="4"/>
        <v>-8.9034369885433784E-2</v>
      </c>
      <c r="L25" s="4">
        <f t="shared" si="2"/>
        <v>0.80017729933032034</v>
      </c>
      <c r="M25" s="5">
        <v>1</v>
      </c>
      <c r="N25" s="5">
        <v>1</v>
      </c>
      <c r="O25" s="14">
        <v>0</v>
      </c>
      <c r="P25" s="14">
        <v>0</v>
      </c>
      <c r="Q25" s="6"/>
    </row>
    <row r="26" spans="1:17">
      <c r="A26" s="13">
        <f t="shared" si="5"/>
        <v>46135</v>
      </c>
      <c r="B26" s="1">
        <v>11289</v>
      </c>
      <c r="C26" s="1">
        <v>10563</v>
      </c>
      <c r="D26" s="14">
        <v>9682.2999999999993</v>
      </c>
      <c r="E26" s="14">
        <v>9528</v>
      </c>
      <c r="F26" s="20">
        <f t="shared" si="3"/>
        <v>-9.7983527406986654E-2</v>
      </c>
      <c r="G26" s="2">
        <f t="shared" si="6"/>
        <v>0.18296107331821615</v>
      </c>
      <c r="H26" s="2">
        <f t="shared" si="7"/>
        <v>0.18004535147392289</v>
      </c>
      <c r="I26" s="3">
        <v>6.11</v>
      </c>
      <c r="J26" s="14">
        <v>5.4950000000000001</v>
      </c>
      <c r="K26" s="20">
        <f t="shared" si="4"/>
        <v>-0.10065466448445175</v>
      </c>
      <c r="L26" s="4">
        <f t="shared" si="2"/>
        <v>0.79910204906955196</v>
      </c>
      <c r="M26" s="5">
        <v>1</v>
      </c>
      <c r="N26" s="5">
        <v>1</v>
      </c>
      <c r="O26" s="14">
        <v>0</v>
      </c>
      <c r="P26" s="14">
        <v>0</v>
      </c>
      <c r="Q26" s="6"/>
    </row>
    <row r="27" spans="1:17">
      <c r="A27" s="13">
        <f t="shared" si="5"/>
        <v>46136</v>
      </c>
      <c r="B27" s="1">
        <v>11289</v>
      </c>
      <c r="C27" s="1">
        <v>10563</v>
      </c>
      <c r="D27" s="14">
        <v>9312.4</v>
      </c>
      <c r="E27" s="14">
        <v>9192</v>
      </c>
      <c r="F27" s="20">
        <f t="shared" si="3"/>
        <v>-0.1297926725362113</v>
      </c>
      <c r="G27" s="2">
        <f t="shared" si="6"/>
        <v>0.17597127739984883</v>
      </c>
      <c r="H27" s="2">
        <f t="shared" si="7"/>
        <v>0.17369614512471657</v>
      </c>
      <c r="I27" s="3">
        <v>6.11</v>
      </c>
      <c r="J27" s="14">
        <v>5.2859999999999996</v>
      </c>
      <c r="K27" s="20">
        <f t="shared" si="4"/>
        <v>-0.13486088379705413</v>
      </c>
      <c r="L27" s="4">
        <f t="shared" si="2"/>
        <v>0.79896153189488683</v>
      </c>
      <c r="M27" s="5">
        <v>1</v>
      </c>
      <c r="N27" s="5">
        <v>1</v>
      </c>
      <c r="O27" s="14">
        <v>0</v>
      </c>
      <c r="P27" s="14">
        <v>0</v>
      </c>
      <c r="Q27" s="6"/>
    </row>
    <row r="28" spans="1:17">
      <c r="A28" s="13">
        <f t="shared" si="5"/>
        <v>46137</v>
      </c>
      <c r="B28" s="1">
        <v>11289</v>
      </c>
      <c r="C28" s="1">
        <v>10563</v>
      </c>
      <c r="D28" s="14">
        <v>10861.5</v>
      </c>
      <c r="E28" s="14">
        <v>10704</v>
      </c>
      <c r="F28" s="20">
        <f t="shared" si="3"/>
        <v>1.3348480545299631E-2</v>
      </c>
      <c r="G28" s="2">
        <f t="shared" si="6"/>
        <v>0.20524376417233561</v>
      </c>
      <c r="H28" s="2">
        <f t="shared" si="7"/>
        <v>0.20226757369614512</v>
      </c>
      <c r="I28" s="3">
        <v>6.11</v>
      </c>
      <c r="J28" s="14">
        <v>6.2190000000000003</v>
      </c>
      <c r="K28" s="20">
        <f t="shared" si="4"/>
        <v>1.7839607201309327E-2</v>
      </c>
      <c r="L28" s="4">
        <f t="shared" si="2"/>
        <v>0.79206469531050883</v>
      </c>
      <c r="M28" s="5">
        <v>1</v>
      </c>
      <c r="N28" s="5">
        <v>1</v>
      </c>
      <c r="O28" s="14">
        <v>0</v>
      </c>
      <c r="P28" s="14">
        <v>0</v>
      </c>
      <c r="Q28" s="6"/>
    </row>
    <row r="29" spans="1:17">
      <c r="A29" s="13">
        <f t="shared" si="5"/>
        <v>46138</v>
      </c>
      <c r="B29" s="1">
        <v>11289</v>
      </c>
      <c r="C29" s="1">
        <v>10563</v>
      </c>
      <c r="D29" s="14">
        <v>8928</v>
      </c>
      <c r="E29" s="14">
        <v>8784</v>
      </c>
      <c r="F29" s="20">
        <f t="shared" si="3"/>
        <v>-0.16841806305026982</v>
      </c>
      <c r="G29" s="2">
        <f t="shared" si="6"/>
        <v>0.16870748299319727</v>
      </c>
      <c r="H29" s="2">
        <f t="shared" si="7"/>
        <v>0.16598639455782313</v>
      </c>
      <c r="I29" s="3">
        <v>6.11</v>
      </c>
      <c r="J29" s="14">
        <v>5.0659999999999998</v>
      </c>
      <c r="K29" s="20">
        <f t="shared" si="4"/>
        <v>-0.17086743044189859</v>
      </c>
      <c r="L29" s="4">
        <f t="shared" si="2"/>
        <v>0.79924587284578275</v>
      </c>
      <c r="M29" s="5">
        <v>1</v>
      </c>
      <c r="N29" s="5">
        <v>1</v>
      </c>
      <c r="O29" s="14">
        <v>0</v>
      </c>
      <c r="P29" s="14">
        <v>0</v>
      </c>
      <c r="Q29" s="6"/>
    </row>
    <row r="30" spans="1:17">
      <c r="A30" s="13">
        <f t="shared" si="5"/>
        <v>46139</v>
      </c>
      <c r="B30" s="1">
        <v>11289</v>
      </c>
      <c r="C30" s="1">
        <v>10563</v>
      </c>
      <c r="D30" s="14">
        <v>8700.9</v>
      </c>
      <c r="E30" s="14">
        <v>8592</v>
      </c>
      <c r="F30" s="20">
        <f t="shared" si="3"/>
        <v>-0.18659471740982675</v>
      </c>
      <c r="G30" s="2">
        <f t="shared" si="6"/>
        <v>0.16441609977324262</v>
      </c>
      <c r="H30" s="2">
        <f t="shared" si="7"/>
        <v>0.16235827664399094</v>
      </c>
      <c r="I30" s="3">
        <v>6.11</v>
      </c>
      <c r="J30" s="14">
        <v>4.9379999999999997</v>
      </c>
      <c r="K30" s="20">
        <f t="shared" si="4"/>
        <v>-0.19181669394435361</v>
      </c>
      <c r="L30" s="4">
        <f t="shared" si="2"/>
        <v>0.79910619573872488</v>
      </c>
      <c r="M30" s="5">
        <v>1</v>
      </c>
      <c r="N30" s="5">
        <v>1</v>
      </c>
      <c r="O30" s="14">
        <v>0</v>
      </c>
      <c r="P30" s="14">
        <v>0</v>
      </c>
      <c r="Q30" s="6"/>
    </row>
    <row r="31" spans="1:17">
      <c r="A31" s="13">
        <f t="shared" si="5"/>
        <v>46140</v>
      </c>
      <c r="B31" s="1">
        <v>11289</v>
      </c>
      <c r="C31" s="1">
        <v>10563</v>
      </c>
      <c r="D31" s="14">
        <v>8086.2</v>
      </c>
      <c r="E31" s="14">
        <v>7992</v>
      </c>
      <c r="F31" s="20">
        <f t="shared" si="3"/>
        <v>-0.2433967622834422</v>
      </c>
      <c r="G31" s="2">
        <f t="shared" si="6"/>
        <v>0.15280045351473923</v>
      </c>
      <c r="H31" s="2">
        <f t="shared" si="7"/>
        <v>0.15102040816326531</v>
      </c>
      <c r="I31" s="3">
        <v>6.11</v>
      </c>
      <c r="J31" s="14">
        <v>4.5830000000000002</v>
      </c>
      <c r="K31" s="20">
        <f t="shared" si="4"/>
        <v>-0.24991816693944355</v>
      </c>
      <c r="L31" s="4">
        <f t="shared" si="2"/>
        <v>0.80017693309049553</v>
      </c>
      <c r="M31" s="5">
        <v>1</v>
      </c>
      <c r="N31" s="5">
        <v>1</v>
      </c>
      <c r="O31" s="14">
        <v>0</v>
      </c>
      <c r="P31" s="14">
        <v>0</v>
      </c>
      <c r="Q31" s="6"/>
    </row>
    <row r="32" spans="1:17">
      <c r="A32" s="13">
        <f t="shared" si="5"/>
        <v>46141</v>
      </c>
      <c r="B32" s="1">
        <v>11289</v>
      </c>
      <c r="C32" s="1">
        <v>10563</v>
      </c>
      <c r="D32" s="14">
        <v>6310.2</v>
      </c>
      <c r="E32" s="14">
        <v>6216</v>
      </c>
      <c r="F32" s="20">
        <f t="shared" si="3"/>
        <v>-0.41153081510934392</v>
      </c>
      <c r="G32" s="2">
        <f t="shared" si="6"/>
        <v>0.11924036281179139</v>
      </c>
      <c r="H32" s="2">
        <f t="shared" si="7"/>
        <v>0.11746031746031746</v>
      </c>
      <c r="I32" s="3">
        <v>6.11</v>
      </c>
      <c r="J32" s="14">
        <v>3.5840000000000001</v>
      </c>
      <c r="K32" s="20">
        <f t="shared" si="4"/>
        <v>-0.41342062193126022</v>
      </c>
      <c r="L32" s="4">
        <f t="shared" si="2"/>
        <v>0.79848457240038873</v>
      </c>
      <c r="M32" s="5">
        <v>1</v>
      </c>
      <c r="N32" s="5">
        <v>1</v>
      </c>
      <c r="O32" s="14">
        <v>0</v>
      </c>
      <c r="P32" s="14">
        <v>0</v>
      </c>
      <c r="Q32" s="6"/>
    </row>
    <row r="33" spans="1:17">
      <c r="A33" s="13">
        <f t="shared" si="5"/>
        <v>46142</v>
      </c>
      <c r="B33" s="1">
        <v>11289</v>
      </c>
      <c r="C33" s="1">
        <v>10563</v>
      </c>
      <c r="D33" s="14">
        <v>9789.4</v>
      </c>
      <c r="E33" s="14">
        <v>9624</v>
      </c>
      <c r="F33" s="20">
        <f t="shared" si="3"/>
        <v>-8.8895200227208176E-2</v>
      </c>
      <c r="G33" s="2">
        <f t="shared" si="6"/>
        <v>0.18498488284202569</v>
      </c>
      <c r="H33" s="2">
        <f t="shared" si="7"/>
        <v>0.181859410430839</v>
      </c>
      <c r="I33" s="3">
        <v>6.11</v>
      </c>
      <c r="J33" s="14">
        <v>5.5990000000000002</v>
      </c>
      <c r="K33" s="20">
        <f t="shared" si="4"/>
        <v>-8.3633387888707056E-2</v>
      </c>
      <c r="L33" s="4">
        <f t="shared" si="2"/>
        <v>0.79293395038553605</v>
      </c>
      <c r="M33" s="5">
        <v>1</v>
      </c>
      <c r="N33" s="5">
        <v>1</v>
      </c>
      <c r="O33" s="14">
        <v>0</v>
      </c>
      <c r="P33" s="14">
        <v>0</v>
      </c>
      <c r="Q33" s="6"/>
    </row>
    <row r="34" spans="1:17">
      <c r="A34" s="349">
        <v>46113</v>
      </c>
      <c r="B34" s="89">
        <f>SUM(B4:B33)</f>
        <v>338670</v>
      </c>
      <c r="C34" s="89">
        <f>SUM(C4:C33)</f>
        <v>316890</v>
      </c>
      <c r="D34" s="89">
        <f>SUM(D4:D33)</f>
        <v>286681.80000000005</v>
      </c>
      <c r="E34" s="89">
        <f>SUM(E4:E33)</f>
        <v>282552</v>
      </c>
      <c r="F34" s="92">
        <f>(IF(ISBLANK(E34),0,E34-C34))/C34</f>
        <v>-0.10835936760390041</v>
      </c>
      <c r="G34" s="90">
        <f>AVERAGE(G4:G33)</f>
        <v>0.18057558578987148</v>
      </c>
      <c r="H34" s="90">
        <f>AVERAGE(H4:H33)</f>
        <v>0.20755098873514047</v>
      </c>
      <c r="I34" s="89">
        <f>SUM(I4:I33)</f>
        <v>183.30000000000013</v>
      </c>
      <c r="J34" s="89">
        <f>SUM(J4:J33)</f>
        <v>162.71199999999996</v>
      </c>
      <c r="K34" s="92">
        <f t="shared" si="4"/>
        <v>-0.11231860338243399</v>
      </c>
      <c r="L34" s="93">
        <f t="shared" si="2"/>
        <v>0.79904630124826403</v>
      </c>
      <c r="M34" s="90">
        <f>AVERAGE(M4:M33)</f>
        <v>1</v>
      </c>
      <c r="N34" s="90">
        <f>AVERAGE(N4:N33)</f>
        <v>1</v>
      </c>
      <c r="O34" s="89">
        <f>SUM(O4:O33)</f>
        <v>0</v>
      </c>
      <c r="P34" s="89">
        <f>SUM(P4:P33)</f>
        <v>0</v>
      </c>
      <c r="Q34" s="19"/>
    </row>
    <row r="35" spans="1:17">
      <c r="A35" s="13">
        <v>46143</v>
      </c>
      <c r="B35" s="1">
        <v>10545</v>
      </c>
      <c r="C35" s="1">
        <v>9867</v>
      </c>
      <c r="D35" s="200">
        <v>10139</v>
      </c>
      <c r="E35" s="200">
        <v>10008</v>
      </c>
      <c r="F35" s="20">
        <f>(IF(ISBLANK(E35),0,E35-C35))/C35</f>
        <v>1.4290057768318638E-2</v>
      </c>
      <c r="G35" s="2">
        <f t="shared" ref="G35:G54" si="8">D35/($D$2*24)</f>
        <v>0.19159108087679516</v>
      </c>
      <c r="H35" s="2">
        <f t="shared" ref="H35:H52" si="9">D35/($H$2*24)</f>
        <v>0.24003314393939393</v>
      </c>
      <c r="I35" s="3">
        <v>5.69</v>
      </c>
      <c r="J35" s="201">
        <v>5.5990000000000002</v>
      </c>
      <c r="K35" s="20">
        <f>(IF(ISBLANK(J35),0,J35-I35))/I35</f>
        <v>-1.5992970123022879E-2</v>
      </c>
      <c r="L35" s="4">
        <f t="shared" si="2"/>
        <v>0.8212512843441836</v>
      </c>
      <c r="M35" s="5">
        <v>1</v>
      </c>
      <c r="N35" s="5">
        <v>1</v>
      </c>
      <c r="O35" s="14">
        <v>0</v>
      </c>
      <c r="P35" s="14">
        <v>0</v>
      </c>
      <c r="Q35" s="6"/>
    </row>
    <row r="36" spans="1:17">
      <c r="A36" s="13">
        <f>A35+1</f>
        <v>46144</v>
      </c>
      <c r="B36" s="1">
        <v>10545</v>
      </c>
      <c r="C36" s="1">
        <v>9867</v>
      </c>
      <c r="D36" s="200">
        <v>9422</v>
      </c>
      <c r="E36" s="200">
        <v>9288</v>
      </c>
      <c r="F36" s="20">
        <f t="shared" ref="F36:F54" si="10">(IF(ISBLANK(E36),0,E36-C36))/C36</f>
        <v>-5.8680449984797808E-2</v>
      </c>
      <c r="G36" s="2">
        <f t="shared" si="8"/>
        <v>0.17804232804232803</v>
      </c>
      <c r="H36" s="2">
        <f t="shared" si="9"/>
        <v>0.22305871212121212</v>
      </c>
      <c r="I36" s="3">
        <v>5.69</v>
      </c>
      <c r="J36" s="201">
        <v>5.23</v>
      </c>
      <c r="K36" s="20">
        <f t="shared" ref="K36:K54" si="11">(IF(ISBLANK(J36),0,J36-I36))/I36</f>
        <v>-8.0843585237258334E-2</v>
      </c>
      <c r="L36" s="4">
        <f t="shared" ref="L36:L66" si="12">D36/($D$2*J36)</f>
        <v>0.81702024340647661</v>
      </c>
      <c r="M36" s="5">
        <v>1</v>
      </c>
      <c r="N36" s="5">
        <v>1</v>
      </c>
      <c r="O36" s="14">
        <v>0</v>
      </c>
      <c r="P36" s="14">
        <v>0</v>
      </c>
      <c r="Q36" s="6"/>
    </row>
    <row r="37" spans="1:17">
      <c r="A37" s="13">
        <f t="shared" ref="A37:A65" si="13">A36+1</f>
        <v>46145</v>
      </c>
      <c r="B37" s="1">
        <v>10545</v>
      </c>
      <c r="C37" s="1">
        <v>9867</v>
      </c>
      <c r="D37" s="200">
        <v>7279</v>
      </c>
      <c r="E37" s="200">
        <v>7200</v>
      </c>
      <c r="F37" s="20">
        <f t="shared" si="10"/>
        <v>-0.27029492246883552</v>
      </c>
      <c r="G37" s="2">
        <f t="shared" si="8"/>
        <v>0.1375472411186697</v>
      </c>
      <c r="H37" s="2">
        <f t="shared" si="9"/>
        <v>0.17232481060606061</v>
      </c>
      <c r="I37" s="3">
        <v>5.69</v>
      </c>
      <c r="J37" s="201">
        <v>4.101</v>
      </c>
      <c r="K37" s="20">
        <f t="shared" si="11"/>
        <v>-0.27926186291739902</v>
      </c>
      <c r="L37" s="4">
        <f t="shared" si="12"/>
        <v>0.80495825087736472</v>
      </c>
      <c r="M37" s="5">
        <v>1</v>
      </c>
      <c r="N37" s="5">
        <v>1</v>
      </c>
      <c r="O37" s="14">
        <v>0</v>
      </c>
      <c r="P37" s="14">
        <v>0</v>
      </c>
      <c r="Q37" s="6"/>
    </row>
    <row r="38" spans="1:17">
      <c r="A38" s="13">
        <f t="shared" si="13"/>
        <v>46146</v>
      </c>
      <c r="B38" s="1">
        <v>10545</v>
      </c>
      <c r="C38" s="1">
        <v>9867</v>
      </c>
      <c r="D38" s="200">
        <v>8705</v>
      </c>
      <c r="E38" s="200">
        <v>8592</v>
      </c>
      <c r="F38" s="20">
        <f t="shared" si="10"/>
        <v>-0.12921860747947705</v>
      </c>
      <c r="G38" s="2">
        <f t="shared" si="8"/>
        <v>0.16449357520786093</v>
      </c>
      <c r="H38" s="2">
        <f t="shared" si="9"/>
        <v>0.2060842803030303</v>
      </c>
      <c r="I38" s="3">
        <v>5.69</v>
      </c>
      <c r="J38" s="201">
        <v>4.8150000000000004</v>
      </c>
      <c r="K38" s="20">
        <f t="shared" si="11"/>
        <v>-0.15377855887521968</v>
      </c>
      <c r="L38" s="4">
        <f t="shared" si="12"/>
        <v>0.81990567081799826</v>
      </c>
      <c r="M38" s="5">
        <v>1</v>
      </c>
      <c r="N38" s="5">
        <v>1</v>
      </c>
      <c r="O38" s="14">
        <v>0</v>
      </c>
      <c r="P38" s="14">
        <v>0</v>
      </c>
      <c r="Q38" s="14"/>
    </row>
    <row r="39" spans="1:17">
      <c r="A39" s="13">
        <f t="shared" si="13"/>
        <v>46147</v>
      </c>
      <c r="B39" s="1"/>
      <c r="C39" s="1"/>
      <c r="D39" s="200"/>
      <c r="E39" s="200"/>
      <c r="F39" s="20" t="e">
        <f t="shared" si="10"/>
        <v>#DIV/0!</v>
      </c>
      <c r="G39" s="2">
        <f t="shared" si="8"/>
        <v>0</v>
      </c>
      <c r="H39" s="2">
        <f t="shared" si="9"/>
        <v>0</v>
      </c>
      <c r="I39" s="3"/>
      <c r="J39" s="201"/>
      <c r="K39" s="20" t="e">
        <f t="shared" si="11"/>
        <v>#DIV/0!</v>
      </c>
      <c r="L39" s="4" t="e">
        <f t="shared" si="12"/>
        <v>#DIV/0!</v>
      </c>
      <c r="M39" s="5"/>
      <c r="N39" s="5"/>
      <c r="O39" s="14"/>
      <c r="P39" s="14"/>
      <c r="Q39" s="14"/>
    </row>
    <row r="40" spans="1:17">
      <c r="A40" s="13">
        <f t="shared" si="13"/>
        <v>46148</v>
      </c>
      <c r="B40" s="1"/>
      <c r="C40" s="1"/>
      <c r="D40" s="200"/>
      <c r="E40" s="200"/>
      <c r="F40" s="20" t="e">
        <f t="shared" si="10"/>
        <v>#DIV/0!</v>
      </c>
      <c r="G40" s="2">
        <f t="shared" si="8"/>
        <v>0</v>
      </c>
      <c r="H40" s="2">
        <f t="shared" si="9"/>
        <v>0</v>
      </c>
      <c r="I40" s="3"/>
      <c r="J40" s="201"/>
      <c r="K40" s="20" t="e">
        <f t="shared" si="11"/>
        <v>#DIV/0!</v>
      </c>
      <c r="L40" s="4" t="e">
        <f t="shared" si="12"/>
        <v>#DIV/0!</v>
      </c>
      <c r="M40" s="5"/>
      <c r="N40" s="5"/>
      <c r="O40" s="14"/>
      <c r="P40" s="14"/>
      <c r="Q40" s="14"/>
    </row>
    <row r="41" spans="1:17">
      <c r="A41" s="13">
        <f t="shared" si="13"/>
        <v>46149</v>
      </c>
      <c r="B41" s="1"/>
      <c r="C41" s="1"/>
      <c r="D41" s="200"/>
      <c r="E41" s="200"/>
      <c r="F41" s="20" t="e">
        <f t="shared" si="10"/>
        <v>#DIV/0!</v>
      </c>
      <c r="G41" s="2">
        <f t="shared" si="8"/>
        <v>0</v>
      </c>
      <c r="H41" s="2">
        <f t="shared" si="9"/>
        <v>0</v>
      </c>
      <c r="I41" s="3"/>
      <c r="J41" s="201"/>
      <c r="K41" s="20" t="e">
        <f t="shared" si="11"/>
        <v>#DIV/0!</v>
      </c>
      <c r="L41" s="4" t="e">
        <f t="shared" si="12"/>
        <v>#DIV/0!</v>
      </c>
      <c r="M41" s="5"/>
      <c r="N41" s="5"/>
      <c r="O41" s="14"/>
      <c r="P41" s="14"/>
      <c r="Q41" s="202"/>
    </row>
    <row r="42" spans="1:17">
      <c r="A42" s="13">
        <f t="shared" si="13"/>
        <v>46150</v>
      </c>
      <c r="B42" s="1"/>
      <c r="C42" s="1"/>
      <c r="D42" s="200"/>
      <c r="E42" s="200"/>
      <c r="F42" s="20" t="e">
        <f t="shared" si="10"/>
        <v>#DIV/0!</v>
      </c>
      <c r="G42" s="2">
        <f t="shared" si="8"/>
        <v>0</v>
      </c>
      <c r="H42" s="2">
        <f t="shared" si="9"/>
        <v>0</v>
      </c>
      <c r="I42" s="3"/>
      <c r="J42" s="201"/>
      <c r="K42" s="20" t="e">
        <f t="shared" si="11"/>
        <v>#DIV/0!</v>
      </c>
      <c r="L42" s="4" t="e">
        <f t="shared" si="12"/>
        <v>#DIV/0!</v>
      </c>
      <c r="M42" s="5"/>
      <c r="N42" s="5"/>
      <c r="O42" s="14"/>
      <c r="P42" s="14"/>
      <c r="Q42" s="14"/>
    </row>
    <row r="43" spans="1:17">
      <c r="A43" s="13">
        <f t="shared" si="13"/>
        <v>46151</v>
      </c>
      <c r="B43" s="1"/>
      <c r="C43" s="1"/>
      <c r="D43" s="200"/>
      <c r="E43" s="200"/>
      <c r="F43" s="20" t="e">
        <f t="shared" si="10"/>
        <v>#DIV/0!</v>
      </c>
      <c r="G43" s="2">
        <f t="shared" si="8"/>
        <v>0</v>
      </c>
      <c r="H43" s="2">
        <f t="shared" si="9"/>
        <v>0</v>
      </c>
      <c r="I43" s="3"/>
      <c r="J43" s="201"/>
      <c r="K43" s="20" t="e">
        <f t="shared" si="11"/>
        <v>#DIV/0!</v>
      </c>
      <c r="L43" s="4" t="e">
        <f t="shared" si="12"/>
        <v>#DIV/0!</v>
      </c>
      <c r="M43" s="5"/>
      <c r="N43" s="5"/>
      <c r="O43" s="14"/>
      <c r="P43" s="14"/>
      <c r="Q43" s="6"/>
    </row>
    <row r="44" spans="1:17">
      <c r="A44" s="13">
        <f t="shared" si="13"/>
        <v>46152</v>
      </c>
      <c r="B44" s="1"/>
      <c r="C44" s="1"/>
      <c r="D44" s="200"/>
      <c r="E44" s="200"/>
      <c r="F44" s="20" t="e">
        <f t="shared" si="10"/>
        <v>#DIV/0!</v>
      </c>
      <c r="G44" s="2">
        <f t="shared" si="8"/>
        <v>0</v>
      </c>
      <c r="H44" s="2">
        <f t="shared" si="9"/>
        <v>0</v>
      </c>
      <c r="I44" s="3"/>
      <c r="J44" s="201"/>
      <c r="K44" s="20" t="e">
        <f t="shared" si="11"/>
        <v>#DIV/0!</v>
      </c>
      <c r="L44" s="4" t="e">
        <f t="shared" si="12"/>
        <v>#DIV/0!</v>
      </c>
      <c r="M44" s="5"/>
      <c r="N44" s="5"/>
      <c r="O44" s="14"/>
      <c r="P44" s="14"/>
      <c r="Q44" s="16"/>
    </row>
    <row r="45" spans="1:17">
      <c r="A45" s="13">
        <f t="shared" si="13"/>
        <v>46153</v>
      </c>
      <c r="B45" s="1"/>
      <c r="C45" s="1"/>
      <c r="D45" s="200"/>
      <c r="E45" s="200"/>
      <c r="F45" s="20" t="e">
        <f t="shared" si="10"/>
        <v>#DIV/0!</v>
      </c>
      <c r="G45" s="2">
        <f t="shared" si="8"/>
        <v>0</v>
      </c>
      <c r="H45" s="2">
        <f t="shared" si="9"/>
        <v>0</v>
      </c>
      <c r="I45" s="3"/>
      <c r="J45" s="201"/>
      <c r="K45" s="20" t="e">
        <f t="shared" si="11"/>
        <v>#DIV/0!</v>
      </c>
      <c r="L45" s="4" t="e">
        <f t="shared" si="12"/>
        <v>#DIV/0!</v>
      </c>
      <c r="M45" s="5"/>
      <c r="N45" s="5"/>
      <c r="O45" s="14"/>
      <c r="P45" s="14"/>
      <c r="Q45" s="6"/>
    </row>
    <row r="46" spans="1:17">
      <c r="A46" s="13">
        <f t="shared" si="13"/>
        <v>46154</v>
      </c>
      <c r="B46" s="1"/>
      <c r="C46" s="1"/>
      <c r="D46" s="200"/>
      <c r="E46" s="200"/>
      <c r="F46" s="20" t="e">
        <f t="shared" si="10"/>
        <v>#DIV/0!</v>
      </c>
      <c r="G46" s="2">
        <f t="shared" si="8"/>
        <v>0</v>
      </c>
      <c r="H46" s="2">
        <f t="shared" si="9"/>
        <v>0</v>
      </c>
      <c r="I46" s="3"/>
      <c r="J46" s="201"/>
      <c r="K46" s="20" t="e">
        <f t="shared" si="11"/>
        <v>#DIV/0!</v>
      </c>
      <c r="L46" s="4" t="e">
        <f t="shared" si="12"/>
        <v>#DIV/0!</v>
      </c>
      <c r="M46" s="5"/>
      <c r="N46" s="5"/>
      <c r="O46" s="14"/>
      <c r="P46" s="14"/>
      <c r="Q46" s="6"/>
    </row>
    <row r="47" spans="1:17">
      <c r="A47" s="13">
        <f t="shared" si="13"/>
        <v>46155</v>
      </c>
      <c r="B47" s="1"/>
      <c r="C47" s="1"/>
      <c r="D47" s="200"/>
      <c r="E47" s="200"/>
      <c r="F47" s="20" t="e">
        <f t="shared" si="10"/>
        <v>#DIV/0!</v>
      </c>
      <c r="G47" s="2">
        <f t="shared" si="8"/>
        <v>0</v>
      </c>
      <c r="H47" s="2">
        <f t="shared" si="9"/>
        <v>0</v>
      </c>
      <c r="I47" s="3"/>
      <c r="J47" s="201"/>
      <c r="K47" s="20" t="e">
        <f t="shared" si="11"/>
        <v>#DIV/0!</v>
      </c>
      <c r="L47" s="4" t="e">
        <f t="shared" si="12"/>
        <v>#DIV/0!</v>
      </c>
      <c r="M47" s="5"/>
      <c r="N47" s="5"/>
      <c r="O47" s="14"/>
      <c r="P47" s="14"/>
      <c r="Q47" s="14"/>
    </row>
    <row r="48" spans="1:17">
      <c r="A48" s="13">
        <f t="shared" si="13"/>
        <v>46156</v>
      </c>
      <c r="B48" s="1"/>
      <c r="C48" s="1"/>
      <c r="D48" s="200"/>
      <c r="E48" s="200"/>
      <c r="F48" s="20" t="e">
        <f t="shared" si="10"/>
        <v>#DIV/0!</v>
      </c>
      <c r="G48" s="2">
        <f t="shared" si="8"/>
        <v>0</v>
      </c>
      <c r="H48" s="2">
        <f t="shared" si="9"/>
        <v>0</v>
      </c>
      <c r="I48" s="3"/>
      <c r="J48" s="201"/>
      <c r="K48" s="20" t="e">
        <f t="shared" si="11"/>
        <v>#DIV/0!</v>
      </c>
      <c r="L48" s="4" t="e">
        <f t="shared" si="12"/>
        <v>#DIV/0!</v>
      </c>
      <c r="M48" s="5"/>
      <c r="N48" s="5"/>
      <c r="O48" s="14"/>
      <c r="P48" s="14"/>
      <c r="Q48" s="203"/>
    </row>
    <row r="49" spans="1:17">
      <c r="A49" s="13">
        <f t="shared" si="13"/>
        <v>46157</v>
      </c>
      <c r="B49" s="1"/>
      <c r="C49" s="1"/>
      <c r="D49" s="200"/>
      <c r="E49" s="200"/>
      <c r="F49" s="20" t="e">
        <f t="shared" si="10"/>
        <v>#DIV/0!</v>
      </c>
      <c r="G49" s="2">
        <f t="shared" si="8"/>
        <v>0</v>
      </c>
      <c r="H49" s="2">
        <f t="shared" si="9"/>
        <v>0</v>
      </c>
      <c r="I49" s="3"/>
      <c r="J49" s="201"/>
      <c r="K49" s="20" t="e">
        <f t="shared" si="11"/>
        <v>#DIV/0!</v>
      </c>
      <c r="L49" s="4" t="e">
        <f t="shared" si="12"/>
        <v>#DIV/0!</v>
      </c>
      <c r="M49" s="5"/>
      <c r="N49" s="5"/>
      <c r="O49" s="14"/>
      <c r="P49" s="14"/>
      <c r="Q49" s="14"/>
    </row>
    <row r="50" spans="1:17">
      <c r="A50" s="13">
        <f t="shared" si="13"/>
        <v>46158</v>
      </c>
      <c r="B50" s="1"/>
      <c r="C50" s="1"/>
      <c r="D50" s="200"/>
      <c r="E50" s="200"/>
      <c r="F50" s="20" t="e">
        <f t="shared" si="10"/>
        <v>#DIV/0!</v>
      </c>
      <c r="G50" s="2">
        <f t="shared" si="8"/>
        <v>0</v>
      </c>
      <c r="H50" s="2">
        <f t="shared" si="9"/>
        <v>0</v>
      </c>
      <c r="I50" s="3"/>
      <c r="J50" s="201"/>
      <c r="K50" s="20" t="e">
        <f t="shared" si="11"/>
        <v>#DIV/0!</v>
      </c>
      <c r="L50" s="4" t="e">
        <f t="shared" si="12"/>
        <v>#DIV/0!</v>
      </c>
      <c r="M50" s="5"/>
      <c r="N50" s="5"/>
      <c r="O50" s="14"/>
      <c r="P50" s="14"/>
      <c r="Q50" s="14"/>
    </row>
    <row r="51" spans="1:17">
      <c r="A51" s="13">
        <f t="shared" si="13"/>
        <v>46159</v>
      </c>
      <c r="B51" s="1"/>
      <c r="C51" s="1"/>
      <c r="D51" s="200"/>
      <c r="E51" s="200"/>
      <c r="F51" s="20" t="e">
        <f t="shared" si="10"/>
        <v>#DIV/0!</v>
      </c>
      <c r="G51" s="2">
        <f t="shared" si="8"/>
        <v>0</v>
      </c>
      <c r="H51" s="2">
        <f t="shared" si="9"/>
        <v>0</v>
      </c>
      <c r="I51" s="3"/>
      <c r="J51" s="201"/>
      <c r="K51" s="20" t="e">
        <f t="shared" si="11"/>
        <v>#DIV/0!</v>
      </c>
      <c r="L51" s="4" t="e">
        <f t="shared" si="12"/>
        <v>#DIV/0!</v>
      </c>
      <c r="M51" s="5"/>
      <c r="N51" s="5"/>
      <c r="O51" s="14"/>
      <c r="P51" s="14"/>
      <c r="Q51" s="6"/>
    </row>
    <row r="52" spans="1:17">
      <c r="A52" s="13">
        <f t="shared" si="13"/>
        <v>46160</v>
      </c>
      <c r="B52" s="1"/>
      <c r="C52" s="1"/>
      <c r="D52" s="200"/>
      <c r="E52" s="200"/>
      <c r="F52" s="20" t="e">
        <f t="shared" si="10"/>
        <v>#DIV/0!</v>
      </c>
      <c r="G52" s="2">
        <f t="shared" si="8"/>
        <v>0</v>
      </c>
      <c r="H52" s="2">
        <f t="shared" si="9"/>
        <v>0</v>
      </c>
      <c r="I52" s="3"/>
      <c r="J52" s="201"/>
      <c r="K52" s="20" t="e">
        <f t="shared" si="11"/>
        <v>#DIV/0!</v>
      </c>
      <c r="L52" s="4" t="e">
        <f t="shared" si="12"/>
        <v>#DIV/0!</v>
      </c>
      <c r="M52" s="5"/>
      <c r="N52" s="5"/>
      <c r="O52" s="14"/>
      <c r="P52" s="14"/>
      <c r="Q52" s="14"/>
    </row>
    <row r="53" spans="1:17">
      <c r="A53" s="13">
        <f t="shared" si="13"/>
        <v>46161</v>
      </c>
      <c r="B53" s="1"/>
      <c r="C53" s="1"/>
      <c r="D53" s="200"/>
      <c r="E53" s="200"/>
      <c r="F53" s="20" t="e">
        <f t="shared" si="10"/>
        <v>#DIV/0!</v>
      </c>
      <c r="G53" s="2">
        <f t="shared" si="8"/>
        <v>0</v>
      </c>
      <c r="H53" s="2">
        <f>E53/($D$2*24)</f>
        <v>0</v>
      </c>
      <c r="I53" s="3"/>
      <c r="J53" s="201"/>
      <c r="K53" s="20" t="e">
        <f t="shared" si="11"/>
        <v>#DIV/0!</v>
      </c>
      <c r="L53" s="4" t="e">
        <f t="shared" si="12"/>
        <v>#DIV/0!</v>
      </c>
      <c r="M53" s="5"/>
      <c r="N53" s="5"/>
      <c r="O53" s="14"/>
      <c r="P53" s="14"/>
      <c r="Q53" s="14"/>
    </row>
    <row r="54" spans="1:17">
      <c r="A54" s="13">
        <f t="shared" si="13"/>
        <v>46162</v>
      </c>
      <c r="B54" s="1"/>
      <c r="C54" s="1"/>
      <c r="D54" s="200"/>
      <c r="E54" s="200"/>
      <c r="F54" s="20" t="e">
        <f t="shared" si="10"/>
        <v>#DIV/0!</v>
      </c>
      <c r="G54" s="2">
        <f t="shared" si="8"/>
        <v>0</v>
      </c>
      <c r="H54" s="2">
        <f>E54/($D$2*24)</f>
        <v>0</v>
      </c>
      <c r="I54" s="3"/>
      <c r="J54" s="201"/>
      <c r="K54" s="20" t="e">
        <f t="shared" si="11"/>
        <v>#DIV/0!</v>
      </c>
      <c r="L54" s="4" t="e">
        <f t="shared" si="12"/>
        <v>#DIV/0!</v>
      </c>
      <c r="M54" s="5"/>
      <c r="N54" s="5"/>
      <c r="O54" s="14"/>
      <c r="P54" s="14"/>
      <c r="Q54" s="14"/>
    </row>
    <row r="55" spans="1:17">
      <c r="A55" s="13">
        <f t="shared" si="13"/>
        <v>46163</v>
      </c>
      <c r="B55" s="1"/>
      <c r="C55" s="1"/>
      <c r="D55" s="14"/>
      <c r="E55" s="14"/>
      <c r="F55" s="20" t="e">
        <f>(IF(ISBLANK(E55),0,E55-C55))/C55</f>
        <v>#DIV/0!</v>
      </c>
      <c r="G55" s="2">
        <f t="shared" ref="G55:G64" si="14">D55/($D$2*24)</f>
        <v>0</v>
      </c>
      <c r="H55" s="2">
        <f t="shared" ref="H55:H64" si="15">E55/($D$2*24)</f>
        <v>0</v>
      </c>
      <c r="I55" s="3"/>
      <c r="J55" s="14"/>
      <c r="K55" s="20" t="e">
        <f>(IF(ISBLANK(J55),0,J55-I55))/I55</f>
        <v>#DIV/0!</v>
      </c>
      <c r="L55" s="4" t="e">
        <f t="shared" si="12"/>
        <v>#DIV/0!</v>
      </c>
      <c r="M55" s="5"/>
      <c r="N55" s="5"/>
      <c r="O55" s="14"/>
      <c r="P55" s="14"/>
      <c r="Q55" s="6"/>
    </row>
    <row r="56" spans="1:17">
      <c r="A56" s="13">
        <f t="shared" si="13"/>
        <v>46164</v>
      </c>
      <c r="B56" s="1"/>
      <c r="C56" s="1"/>
      <c r="D56" s="14"/>
      <c r="E56" s="14"/>
      <c r="F56" s="20" t="e">
        <f t="shared" ref="F56:F64" si="16">(IF(ISBLANK(E56),0,E56-C56))/C56</f>
        <v>#DIV/0!</v>
      </c>
      <c r="G56" s="2">
        <f t="shared" si="14"/>
        <v>0</v>
      </c>
      <c r="H56" s="2">
        <f t="shared" si="15"/>
        <v>0</v>
      </c>
      <c r="I56" s="3"/>
      <c r="J56" s="14"/>
      <c r="K56" s="20" t="e">
        <f t="shared" ref="K56:K66" si="17">(IF(ISBLANK(J56),0,J56-I56))/I56</f>
        <v>#DIV/0!</v>
      </c>
      <c r="L56" s="4" t="e">
        <f t="shared" si="12"/>
        <v>#DIV/0!</v>
      </c>
      <c r="M56" s="5"/>
      <c r="N56" s="5"/>
      <c r="O56" s="14"/>
      <c r="P56" s="14"/>
      <c r="Q56" s="6"/>
    </row>
    <row r="57" spans="1:17">
      <c r="A57" s="13">
        <f t="shared" si="13"/>
        <v>46165</v>
      </c>
      <c r="B57" s="1"/>
      <c r="C57" s="1"/>
      <c r="D57" s="14"/>
      <c r="E57" s="14"/>
      <c r="F57" s="20" t="e">
        <f t="shared" si="16"/>
        <v>#DIV/0!</v>
      </c>
      <c r="G57" s="2">
        <f t="shared" si="14"/>
        <v>0</v>
      </c>
      <c r="H57" s="2">
        <f t="shared" si="15"/>
        <v>0</v>
      </c>
      <c r="I57" s="3"/>
      <c r="J57" s="14"/>
      <c r="K57" s="20" t="e">
        <f t="shared" si="17"/>
        <v>#DIV/0!</v>
      </c>
      <c r="L57" s="4" t="e">
        <f t="shared" si="12"/>
        <v>#DIV/0!</v>
      </c>
      <c r="M57" s="5"/>
      <c r="N57" s="5"/>
      <c r="O57" s="14"/>
      <c r="P57" s="14"/>
      <c r="Q57" s="6"/>
    </row>
    <row r="58" spans="1:17">
      <c r="A58" s="13">
        <f t="shared" si="13"/>
        <v>46166</v>
      </c>
      <c r="B58" s="1"/>
      <c r="C58" s="1"/>
      <c r="D58" s="14"/>
      <c r="E58" s="14"/>
      <c r="F58" s="20" t="e">
        <f t="shared" si="16"/>
        <v>#DIV/0!</v>
      </c>
      <c r="G58" s="2">
        <f t="shared" si="14"/>
        <v>0</v>
      </c>
      <c r="H58" s="2">
        <f t="shared" si="15"/>
        <v>0</v>
      </c>
      <c r="I58" s="3"/>
      <c r="J58" s="14"/>
      <c r="K58" s="20" t="e">
        <f t="shared" si="17"/>
        <v>#DIV/0!</v>
      </c>
      <c r="L58" s="4" t="e">
        <f t="shared" si="12"/>
        <v>#DIV/0!</v>
      </c>
      <c r="M58" s="5"/>
      <c r="N58" s="5"/>
      <c r="O58" s="14"/>
      <c r="P58" s="14"/>
      <c r="Q58" s="6"/>
    </row>
    <row r="59" spans="1:17">
      <c r="A59" s="13">
        <f t="shared" si="13"/>
        <v>46167</v>
      </c>
      <c r="B59" s="1"/>
      <c r="C59" s="1"/>
      <c r="D59" s="14"/>
      <c r="E59" s="14"/>
      <c r="F59" s="20" t="e">
        <f t="shared" si="16"/>
        <v>#DIV/0!</v>
      </c>
      <c r="G59" s="2">
        <f t="shared" si="14"/>
        <v>0</v>
      </c>
      <c r="H59" s="2">
        <f t="shared" si="15"/>
        <v>0</v>
      </c>
      <c r="I59" s="3"/>
      <c r="J59" s="14"/>
      <c r="K59" s="20" t="e">
        <f t="shared" si="17"/>
        <v>#DIV/0!</v>
      </c>
      <c r="L59" s="4" t="e">
        <f t="shared" si="12"/>
        <v>#DIV/0!</v>
      </c>
      <c r="M59" s="5"/>
      <c r="N59" s="5"/>
      <c r="O59" s="14"/>
      <c r="P59" s="14"/>
      <c r="Q59" s="6"/>
    </row>
    <row r="60" spans="1:17">
      <c r="A60" s="13">
        <f t="shared" si="13"/>
        <v>46168</v>
      </c>
      <c r="B60" s="1"/>
      <c r="C60" s="1"/>
      <c r="D60" s="14"/>
      <c r="E60" s="14"/>
      <c r="F60" s="20" t="e">
        <f t="shared" si="16"/>
        <v>#DIV/0!</v>
      </c>
      <c r="G60" s="2">
        <f t="shared" si="14"/>
        <v>0</v>
      </c>
      <c r="H60" s="2">
        <f t="shared" si="15"/>
        <v>0</v>
      </c>
      <c r="I60" s="3"/>
      <c r="J60" s="14"/>
      <c r="K60" s="20" t="e">
        <f t="shared" si="17"/>
        <v>#DIV/0!</v>
      </c>
      <c r="L60" s="4" t="e">
        <f t="shared" si="12"/>
        <v>#DIV/0!</v>
      </c>
      <c r="M60" s="5"/>
      <c r="N60" s="5"/>
      <c r="O60" s="14"/>
      <c r="P60" s="14"/>
      <c r="Q60" s="6"/>
    </row>
    <row r="61" spans="1:17">
      <c r="A61" s="13">
        <f t="shared" si="13"/>
        <v>46169</v>
      </c>
      <c r="B61" s="1"/>
      <c r="C61" s="1"/>
      <c r="D61" s="14"/>
      <c r="E61" s="14"/>
      <c r="F61" s="20" t="e">
        <f t="shared" si="16"/>
        <v>#DIV/0!</v>
      </c>
      <c r="G61" s="2">
        <f t="shared" si="14"/>
        <v>0</v>
      </c>
      <c r="H61" s="2">
        <f t="shared" si="15"/>
        <v>0</v>
      </c>
      <c r="I61" s="3"/>
      <c r="J61" s="14"/>
      <c r="K61" s="20" t="e">
        <f t="shared" si="17"/>
        <v>#DIV/0!</v>
      </c>
      <c r="L61" s="4" t="e">
        <f t="shared" si="12"/>
        <v>#DIV/0!</v>
      </c>
      <c r="M61" s="5"/>
      <c r="N61" s="5"/>
      <c r="O61" s="14"/>
      <c r="P61" s="14"/>
      <c r="Q61" s="6"/>
    </row>
    <row r="62" spans="1:17">
      <c r="A62" s="13">
        <f t="shared" si="13"/>
        <v>46170</v>
      </c>
      <c r="B62" s="1"/>
      <c r="C62" s="1"/>
      <c r="D62" s="14"/>
      <c r="E62" s="14"/>
      <c r="F62" s="20" t="e">
        <f t="shared" si="16"/>
        <v>#DIV/0!</v>
      </c>
      <c r="G62" s="2">
        <f t="shared" si="14"/>
        <v>0</v>
      </c>
      <c r="H62" s="2">
        <f t="shared" si="15"/>
        <v>0</v>
      </c>
      <c r="I62" s="3"/>
      <c r="J62" s="14"/>
      <c r="K62" s="20" t="e">
        <f t="shared" si="17"/>
        <v>#DIV/0!</v>
      </c>
      <c r="L62" s="4" t="e">
        <f t="shared" si="12"/>
        <v>#DIV/0!</v>
      </c>
      <c r="M62" s="5"/>
      <c r="N62" s="5"/>
      <c r="O62" s="14"/>
      <c r="P62" s="14"/>
      <c r="Q62" s="6"/>
    </row>
    <row r="63" spans="1:17">
      <c r="A63" s="13">
        <f t="shared" si="13"/>
        <v>46171</v>
      </c>
      <c r="B63" s="1"/>
      <c r="C63" s="1"/>
      <c r="D63" s="14"/>
      <c r="E63" s="14"/>
      <c r="F63" s="20" t="e">
        <f t="shared" si="16"/>
        <v>#DIV/0!</v>
      </c>
      <c r="G63" s="2">
        <f t="shared" si="14"/>
        <v>0</v>
      </c>
      <c r="H63" s="2">
        <f t="shared" si="15"/>
        <v>0</v>
      </c>
      <c r="I63" s="3"/>
      <c r="J63" s="14"/>
      <c r="K63" s="20" t="e">
        <f t="shared" si="17"/>
        <v>#DIV/0!</v>
      </c>
      <c r="L63" s="4" t="e">
        <f t="shared" si="12"/>
        <v>#DIV/0!</v>
      </c>
      <c r="M63" s="5"/>
      <c r="N63" s="5"/>
      <c r="O63" s="14"/>
      <c r="P63" s="14"/>
      <c r="Q63" s="6"/>
    </row>
    <row r="64" spans="1:17">
      <c r="A64" s="13">
        <f t="shared" si="13"/>
        <v>46172</v>
      </c>
      <c r="B64" s="1"/>
      <c r="C64" s="1"/>
      <c r="D64" s="14"/>
      <c r="E64" s="14"/>
      <c r="F64" s="20" t="e">
        <f t="shared" si="16"/>
        <v>#DIV/0!</v>
      </c>
      <c r="G64" s="2">
        <f t="shared" si="14"/>
        <v>0</v>
      </c>
      <c r="H64" s="2">
        <f t="shared" si="15"/>
        <v>0</v>
      </c>
      <c r="I64" s="3"/>
      <c r="J64" s="14"/>
      <c r="K64" s="20" t="e">
        <f t="shared" si="17"/>
        <v>#DIV/0!</v>
      </c>
      <c r="L64" s="4" t="e">
        <f t="shared" si="12"/>
        <v>#DIV/0!</v>
      </c>
      <c r="M64" s="5"/>
      <c r="N64" s="5"/>
      <c r="O64" s="14"/>
      <c r="P64" s="14"/>
      <c r="Q64" s="6"/>
    </row>
    <row r="65" spans="1:17">
      <c r="A65" s="13">
        <f t="shared" si="13"/>
        <v>46173</v>
      </c>
      <c r="B65" s="1"/>
      <c r="C65" s="1"/>
      <c r="D65" s="14"/>
      <c r="E65" s="14"/>
      <c r="F65" s="20" t="e">
        <f t="shared" ref="F65" si="18">(IF(ISBLANK(E65),0,E65-C65))/C65</f>
        <v>#DIV/0!</v>
      </c>
      <c r="G65" s="2">
        <f t="shared" ref="G65" si="19">D65/($D$2*24)</f>
        <v>0</v>
      </c>
      <c r="H65" s="2">
        <f t="shared" ref="H65" si="20">E65/($D$2*24)</f>
        <v>0</v>
      </c>
      <c r="I65" s="3"/>
      <c r="J65" s="14"/>
      <c r="K65" s="20" t="e">
        <f t="shared" ref="K65" si="21">(IF(ISBLANK(J65),0,J65-I65))/I65</f>
        <v>#DIV/0!</v>
      </c>
      <c r="L65" s="4" t="e">
        <f t="shared" si="12"/>
        <v>#DIV/0!</v>
      </c>
      <c r="M65" s="5"/>
      <c r="N65" s="5"/>
      <c r="O65" s="14"/>
      <c r="P65" s="14"/>
      <c r="Q65" s="6"/>
    </row>
    <row r="66" spans="1:17">
      <c r="A66" s="349">
        <v>46143</v>
      </c>
      <c r="B66" s="89">
        <f>SUM(B35:B65)</f>
        <v>42180</v>
      </c>
      <c r="C66" s="89">
        <f>SUM(C35:C65)</f>
        <v>39468</v>
      </c>
      <c r="D66" s="89">
        <f>SUM(D35:D65)</f>
        <v>35545</v>
      </c>
      <c r="E66" s="89">
        <f>SUM(E35:E65)</f>
        <v>35088</v>
      </c>
      <c r="F66" s="92">
        <f>(IF(ISBLANK(E66),0,E66-C66))/C66</f>
        <v>-0.11097598054119794</v>
      </c>
      <c r="G66" s="90">
        <f>AVERAGE(G35:G65)</f>
        <v>2.1666910491795283E-2</v>
      </c>
      <c r="H66" s="90">
        <f>AVERAGE(H35:H65)</f>
        <v>2.7145191837732157E-2</v>
      </c>
      <c r="I66" s="89">
        <f>SUM(I35:I65)</f>
        <v>22.76</v>
      </c>
      <c r="J66" s="89">
        <f>SUM(J35:J65)</f>
        <v>19.745000000000001</v>
      </c>
      <c r="K66" s="92">
        <f t="shared" si="17"/>
        <v>-0.13246924428822499</v>
      </c>
      <c r="L66" s="93">
        <f t="shared" si="12"/>
        <v>0.816418404957999</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DC86-02FA-49EB-9FDE-C0D143BE90CC}">
  <dimension ref="A1:Q66"/>
  <sheetViews>
    <sheetView workbookViewId="0">
      <pane xSplit="1" ySplit="3" topLeftCell="B34" activePane="bottomRight" state="frozen"/>
      <selection pane="topRight"/>
      <selection pane="bottomLeft"/>
      <selection pane="bottomRight" activeCell="C4" sqref="C4"/>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269</v>
      </c>
      <c r="B1" s="406"/>
      <c r="C1" s="406"/>
      <c r="D1" s="406"/>
      <c r="E1" s="406"/>
      <c r="F1" s="406"/>
      <c r="G1" s="406"/>
      <c r="H1" s="406"/>
      <c r="I1" s="406"/>
      <c r="J1" s="406"/>
      <c r="K1" s="406"/>
      <c r="L1" s="406"/>
      <c r="M1" s="406"/>
      <c r="N1" s="406"/>
      <c r="O1" s="406"/>
      <c r="P1" s="406"/>
      <c r="Q1" s="406"/>
    </row>
    <row r="2" spans="1:17" ht="18.5">
      <c r="A2" s="7">
        <v>46113</v>
      </c>
      <c r="B2" s="407" t="s">
        <v>172</v>
      </c>
      <c r="C2" s="408"/>
      <c r="D2" s="8">
        <v>21211.4</v>
      </c>
      <c r="E2" s="407" t="s">
        <v>173</v>
      </c>
      <c r="F2" s="407"/>
      <c r="G2" s="408"/>
      <c r="H2" s="136">
        <v>16000</v>
      </c>
      <c r="I2" s="409" t="s">
        <v>174</v>
      </c>
      <c r="J2" s="410"/>
      <c r="K2" s="137">
        <v>45304</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26">
        <v>104615</v>
      </c>
      <c r="C4" s="39">
        <v>103479</v>
      </c>
      <c r="D4" s="196">
        <v>110308</v>
      </c>
      <c r="E4" s="196">
        <v>107460</v>
      </c>
      <c r="F4" s="21">
        <f t="shared" ref="F4:F35" si="0">(IF(ISBLANK(E4),0,E4-C4))/C4</f>
        <v>3.8471573942539063E-2</v>
      </c>
      <c r="G4" s="2">
        <f t="shared" ref="G4:G23" si="1">D4/($D$2*24)</f>
        <v>0.21668379582048644</v>
      </c>
      <c r="H4" s="2">
        <f t="shared" ref="H4:H21" si="2">D4/($H$2*24)</f>
        <v>0.28726041666666668</v>
      </c>
      <c r="I4" s="3">
        <v>6.12</v>
      </c>
      <c r="J4" s="197">
        <v>6.5049999999999999</v>
      </c>
      <c r="K4" s="21">
        <f t="shared" ref="K4:K33" si="3">(IF(ISBLANK(J4),0,J4-I4))/I4</f>
        <v>6.2908496732026115E-2</v>
      </c>
      <c r="L4" s="22">
        <f t="shared" ref="L4:L35" si="4">D4/($D$2*J4)</f>
        <v>0.79944828588649886</v>
      </c>
      <c r="M4" s="5">
        <v>1</v>
      </c>
      <c r="N4" s="5">
        <v>1</v>
      </c>
      <c r="O4" s="14">
        <v>0</v>
      </c>
      <c r="P4" s="14">
        <v>0</v>
      </c>
      <c r="Q4" s="6"/>
    </row>
    <row r="5" spans="1:17">
      <c r="A5" s="13">
        <f t="shared" ref="A5:A33" si="5">A4+1</f>
        <v>46114</v>
      </c>
      <c r="B5" s="26">
        <v>104615</v>
      </c>
      <c r="C5" s="39">
        <v>103479</v>
      </c>
      <c r="D5" s="196">
        <v>103614</v>
      </c>
      <c r="E5" s="196">
        <v>101160</v>
      </c>
      <c r="F5" s="21">
        <f t="shared" si="0"/>
        <v>-2.2410344127794045E-2</v>
      </c>
      <c r="G5" s="2">
        <f t="shared" si="1"/>
        <v>0.20353442017028578</v>
      </c>
      <c r="H5" s="2">
        <f t="shared" si="2"/>
        <v>0.26982812499999997</v>
      </c>
      <c r="I5" s="3">
        <v>6.12</v>
      </c>
      <c r="J5" s="197">
        <v>6.1059999999999999</v>
      </c>
      <c r="K5" s="21">
        <f t="shared" si="3"/>
        <v>-2.2875816993464435E-3</v>
      </c>
      <c r="L5" s="22">
        <f t="shared" si="4"/>
        <v>0.80000427187796574</v>
      </c>
      <c r="M5" s="5">
        <v>1</v>
      </c>
      <c r="N5" s="5">
        <v>1</v>
      </c>
      <c r="O5" s="14">
        <v>0</v>
      </c>
      <c r="P5" s="14">
        <v>0</v>
      </c>
      <c r="Q5" s="6"/>
    </row>
    <row r="6" spans="1:17">
      <c r="A6" s="13">
        <f t="shared" si="5"/>
        <v>46115</v>
      </c>
      <c r="B6" s="26">
        <v>104615</v>
      </c>
      <c r="C6" s="39">
        <v>103479</v>
      </c>
      <c r="D6" s="196">
        <v>82386</v>
      </c>
      <c r="E6" s="196">
        <v>80460</v>
      </c>
      <c r="F6" s="21">
        <f t="shared" si="0"/>
        <v>-0.22245093207317426</v>
      </c>
      <c r="G6" s="2">
        <f t="shared" si="1"/>
        <v>0.16183514525208142</v>
      </c>
      <c r="H6" s="2">
        <f t="shared" si="2"/>
        <v>0.214546875</v>
      </c>
      <c r="I6" s="3">
        <v>6.12</v>
      </c>
      <c r="J6" s="197">
        <v>4.8650000000000002</v>
      </c>
      <c r="K6" s="21">
        <f t="shared" si="3"/>
        <v>-0.20506535947712415</v>
      </c>
      <c r="L6" s="22">
        <f t="shared" si="4"/>
        <v>0.79836453978416322</v>
      </c>
      <c r="M6" s="5">
        <v>1</v>
      </c>
      <c r="N6" s="5">
        <v>1</v>
      </c>
      <c r="O6" s="14">
        <v>0</v>
      </c>
      <c r="P6" s="14">
        <v>0</v>
      </c>
      <c r="Q6" s="6"/>
    </row>
    <row r="7" spans="1:17">
      <c r="A7" s="13">
        <f t="shared" si="5"/>
        <v>46116</v>
      </c>
      <c r="B7" s="26">
        <v>104615</v>
      </c>
      <c r="C7" s="39">
        <v>103479</v>
      </c>
      <c r="D7" s="196">
        <v>85944</v>
      </c>
      <c r="E7" s="196">
        <v>84060</v>
      </c>
      <c r="F7" s="21">
        <f t="shared" si="0"/>
        <v>-0.18766126460441249</v>
      </c>
      <c r="G7" s="2">
        <f t="shared" si="1"/>
        <v>0.16882431145516089</v>
      </c>
      <c r="H7" s="2">
        <f t="shared" si="2"/>
        <v>0.2238125</v>
      </c>
      <c r="I7" s="3">
        <v>6.12</v>
      </c>
      <c r="J7" s="197">
        <v>5.077</v>
      </c>
      <c r="K7" s="21">
        <f t="shared" si="3"/>
        <v>-0.17042483660130722</v>
      </c>
      <c r="L7" s="22">
        <f t="shared" si="4"/>
        <v>0.79806647132634656</v>
      </c>
      <c r="M7" s="5">
        <v>1</v>
      </c>
      <c r="N7" s="5">
        <v>1</v>
      </c>
      <c r="O7" s="14">
        <v>0</v>
      </c>
      <c r="P7" s="14">
        <v>0</v>
      </c>
      <c r="Q7" s="14"/>
    </row>
    <row r="8" spans="1:17">
      <c r="A8" s="13">
        <f t="shared" si="5"/>
        <v>46117</v>
      </c>
      <c r="B8" s="26">
        <v>104615</v>
      </c>
      <c r="C8" s="39">
        <v>103479</v>
      </c>
      <c r="D8" s="196">
        <v>92489</v>
      </c>
      <c r="E8" s="196">
        <v>90540</v>
      </c>
      <c r="F8" s="21">
        <f t="shared" si="0"/>
        <v>-0.12503986316064128</v>
      </c>
      <c r="G8" s="2">
        <f t="shared" si="1"/>
        <v>0.18168099858252323</v>
      </c>
      <c r="H8" s="2">
        <f t="shared" si="2"/>
        <v>0.24085677083333334</v>
      </c>
      <c r="I8" s="3">
        <v>6.12</v>
      </c>
      <c r="J8" s="197">
        <v>5.4569999999999999</v>
      </c>
      <c r="K8" s="21">
        <f t="shared" si="3"/>
        <v>-0.10833333333333338</v>
      </c>
      <c r="L8" s="22">
        <f t="shared" si="4"/>
        <v>0.79903682719086633</v>
      </c>
      <c r="M8" s="5">
        <v>1</v>
      </c>
      <c r="N8" s="5">
        <v>1</v>
      </c>
      <c r="O8" s="14">
        <v>0</v>
      </c>
      <c r="P8" s="14">
        <v>0</v>
      </c>
      <c r="Q8" s="14"/>
    </row>
    <row r="9" spans="1:17">
      <c r="A9" s="13">
        <f t="shared" si="5"/>
        <v>46118</v>
      </c>
      <c r="B9" s="26">
        <v>104615</v>
      </c>
      <c r="C9" s="39">
        <v>103479</v>
      </c>
      <c r="D9" s="196">
        <v>76961</v>
      </c>
      <c r="E9" s="196">
        <v>75420</v>
      </c>
      <c r="F9" s="21">
        <f t="shared" si="0"/>
        <v>-0.27115646652944075</v>
      </c>
      <c r="G9" s="2">
        <f t="shared" si="1"/>
        <v>0.15117853292726238</v>
      </c>
      <c r="H9" s="2">
        <f t="shared" si="2"/>
        <v>0.20041927083333333</v>
      </c>
      <c r="I9" s="3">
        <v>6.12</v>
      </c>
      <c r="J9" s="197">
        <v>4.54</v>
      </c>
      <c r="K9" s="21">
        <f t="shared" si="3"/>
        <v>-0.2581699346405229</v>
      </c>
      <c r="L9" s="22">
        <f t="shared" si="4"/>
        <v>0.79918167186217992</v>
      </c>
      <c r="M9" s="5">
        <v>1</v>
      </c>
      <c r="N9" s="5">
        <v>1</v>
      </c>
      <c r="O9" s="14">
        <v>0</v>
      </c>
      <c r="P9" s="14">
        <v>0</v>
      </c>
      <c r="Q9" s="14"/>
    </row>
    <row r="10" spans="1:17">
      <c r="A10" s="13">
        <f t="shared" si="5"/>
        <v>46119</v>
      </c>
      <c r="B10" s="26">
        <v>104615</v>
      </c>
      <c r="C10" s="39">
        <v>103479</v>
      </c>
      <c r="D10" s="196">
        <v>95821</v>
      </c>
      <c r="E10" s="196">
        <v>93600</v>
      </c>
      <c r="F10" s="21">
        <f t="shared" si="0"/>
        <v>-9.5468645812193775E-2</v>
      </c>
      <c r="G10" s="2">
        <f t="shared" si="1"/>
        <v>0.18822622112008949</v>
      </c>
      <c r="H10" s="2">
        <f t="shared" si="2"/>
        <v>0.24953385416666668</v>
      </c>
      <c r="I10" s="3">
        <v>6.12</v>
      </c>
      <c r="J10" s="197">
        <v>5.6639999999999997</v>
      </c>
      <c r="K10" s="21">
        <f t="shared" si="3"/>
        <v>-7.4509803921568696E-2</v>
      </c>
      <c r="L10" s="22">
        <f t="shared" si="4"/>
        <v>0.79756873355970126</v>
      </c>
      <c r="M10" s="5">
        <v>1</v>
      </c>
      <c r="N10" s="5">
        <v>1</v>
      </c>
      <c r="O10" s="14">
        <v>0</v>
      </c>
      <c r="P10" s="14">
        <v>0</v>
      </c>
      <c r="Q10" s="198"/>
    </row>
    <row r="11" spans="1:17">
      <c r="A11" s="13">
        <f t="shared" si="5"/>
        <v>46120</v>
      </c>
      <c r="B11" s="26">
        <v>104615</v>
      </c>
      <c r="C11" s="39">
        <v>103479</v>
      </c>
      <c r="D11" s="196">
        <v>99130</v>
      </c>
      <c r="E11" s="196">
        <v>96660</v>
      </c>
      <c r="F11" s="21">
        <f t="shared" si="0"/>
        <v>-6.5897428463746271E-2</v>
      </c>
      <c r="G11" s="2">
        <f t="shared" si="1"/>
        <v>0.19472626355010356</v>
      </c>
      <c r="H11" s="2">
        <f t="shared" si="2"/>
        <v>0.25815104166666669</v>
      </c>
      <c r="I11" s="3">
        <v>6.12</v>
      </c>
      <c r="J11" s="197">
        <v>5.8559999999999999</v>
      </c>
      <c r="K11" s="21">
        <f t="shared" si="3"/>
        <v>-4.3137254901960818E-2</v>
      </c>
      <c r="L11" s="22">
        <f t="shared" si="4"/>
        <v>0.79805845717255552</v>
      </c>
      <c r="M11" s="5">
        <v>1</v>
      </c>
      <c r="N11" s="5">
        <v>1</v>
      </c>
      <c r="O11" s="14">
        <v>0</v>
      </c>
      <c r="P11" s="14">
        <v>0</v>
      </c>
      <c r="Q11" s="14"/>
    </row>
    <row r="12" spans="1:17">
      <c r="A12" s="13">
        <f t="shared" si="5"/>
        <v>46121</v>
      </c>
      <c r="B12" s="26">
        <v>104615</v>
      </c>
      <c r="C12" s="39">
        <v>103479</v>
      </c>
      <c r="D12" s="196">
        <v>86224</v>
      </c>
      <c r="E12" s="196">
        <v>84420</v>
      </c>
      <c r="F12" s="21">
        <f t="shared" si="0"/>
        <v>-0.18418229785753631</v>
      </c>
      <c r="G12" s="2">
        <f t="shared" si="1"/>
        <v>0.16937433015579673</v>
      </c>
      <c r="H12" s="2">
        <f t="shared" si="2"/>
        <v>0.22454166666666667</v>
      </c>
      <c r="I12" s="3">
        <v>6.12</v>
      </c>
      <c r="J12" s="197">
        <v>5.0999999999999996</v>
      </c>
      <c r="K12" s="21">
        <f t="shared" si="3"/>
        <v>-0.16666666666666674</v>
      </c>
      <c r="L12" s="22">
        <f t="shared" si="4"/>
        <v>0.79705567132139632</v>
      </c>
      <c r="M12" s="15">
        <v>0.99650000000000005</v>
      </c>
      <c r="N12" s="5">
        <v>1</v>
      </c>
      <c r="O12" s="14">
        <v>0</v>
      </c>
      <c r="P12" s="14">
        <v>366</v>
      </c>
      <c r="Q12" s="6" t="s">
        <v>270</v>
      </c>
    </row>
    <row r="13" spans="1:17">
      <c r="A13" s="13">
        <f t="shared" si="5"/>
        <v>46122</v>
      </c>
      <c r="B13" s="26">
        <v>104615</v>
      </c>
      <c r="C13" s="39">
        <v>103479</v>
      </c>
      <c r="D13" s="196">
        <v>101349</v>
      </c>
      <c r="E13" s="196">
        <v>98820</v>
      </c>
      <c r="F13" s="21">
        <f t="shared" si="0"/>
        <v>-4.5023627982489198E-2</v>
      </c>
      <c r="G13" s="2">
        <f t="shared" si="1"/>
        <v>0.19908516175264243</v>
      </c>
      <c r="H13" s="2">
        <f t="shared" si="2"/>
        <v>0.26392968750000001</v>
      </c>
      <c r="I13" s="3">
        <v>6.12</v>
      </c>
      <c r="J13" s="197">
        <v>5.9909999999999997</v>
      </c>
      <c r="K13" s="21">
        <f t="shared" si="3"/>
        <v>-2.1078431372549094E-2</v>
      </c>
      <c r="L13" s="22">
        <f t="shared" si="4"/>
        <v>0.79753695243922862</v>
      </c>
      <c r="M13" s="5">
        <v>1</v>
      </c>
      <c r="N13" s="5">
        <v>1</v>
      </c>
      <c r="O13" s="14">
        <v>0</v>
      </c>
      <c r="P13" s="14">
        <v>0</v>
      </c>
      <c r="Q13" s="16"/>
    </row>
    <row r="14" spans="1:17">
      <c r="A14" s="13">
        <f t="shared" si="5"/>
        <v>46123</v>
      </c>
      <c r="B14" s="26">
        <v>104615</v>
      </c>
      <c r="C14" s="39">
        <v>103479</v>
      </c>
      <c r="D14" s="196">
        <v>101240</v>
      </c>
      <c r="E14" s="196">
        <v>99000</v>
      </c>
      <c r="F14" s="21">
        <f t="shared" si="0"/>
        <v>-4.3284144609051112E-2</v>
      </c>
      <c r="G14" s="2">
        <f t="shared" si="1"/>
        <v>0.19887104732989491</v>
      </c>
      <c r="H14" s="2">
        <f t="shared" si="2"/>
        <v>0.26364583333333336</v>
      </c>
      <c r="I14" s="3">
        <v>6.12</v>
      </c>
      <c r="J14" s="197">
        <v>5.98</v>
      </c>
      <c r="K14" s="21">
        <f t="shared" si="3"/>
        <v>-2.2875816993463999E-2</v>
      </c>
      <c r="L14" s="22">
        <f t="shared" si="4"/>
        <v>0.79814467155810664</v>
      </c>
      <c r="M14" s="5">
        <v>1</v>
      </c>
      <c r="N14" s="5">
        <v>1</v>
      </c>
      <c r="O14" s="14">
        <v>0</v>
      </c>
      <c r="P14" s="14">
        <v>0</v>
      </c>
      <c r="Q14" s="6"/>
    </row>
    <row r="15" spans="1:17">
      <c r="A15" s="13">
        <f t="shared" si="5"/>
        <v>46124</v>
      </c>
      <c r="B15" s="26">
        <v>104615</v>
      </c>
      <c r="C15" s="39">
        <v>103479</v>
      </c>
      <c r="D15" s="196">
        <v>99679</v>
      </c>
      <c r="E15" s="196">
        <v>97200</v>
      </c>
      <c r="F15" s="21">
        <f t="shared" si="0"/>
        <v>-6.0678978343432E-2</v>
      </c>
      <c r="G15" s="2">
        <f t="shared" si="1"/>
        <v>0.19580469307385021</v>
      </c>
      <c r="H15" s="2">
        <f t="shared" si="2"/>
        <v>0.25958072916666669</v>
      </c>
      <c r="I15" s="3">
        <v>6.12</v>
      </c>
      <c r="J15" s="197">
        <v>5.8879999999999999</v>
      </c>
      <c r="K15" s="21">
        <f t="shared" si="3"/>
        <v>-3.7908496732026176E-2</v>
      </c>
      <c r="L15" s="22">
        <f t="shared" si="4"/>
        <v>0.79811695546406336</v>
      </c>
      <c r="M15" s="5">
        <v>1</v>
      </c>
      <c r="N15" s="5">
        <v>1</v>
      </c>
      <c r="O15" s="14">
        <v>0</v>
      </c>
      <c r="P15" s="14">
        <v>0</v>
      </c>
      <c r="Q15" s="6"/>
    </row>
    <row r="16" spans="1:17">
      <c r="A16" s="13">
        <f t="shared" si="5"/>
        <v>46125</v>
      </c>
      <c r="B16" s="26">
        <v>104615</v>
      </c>
      <c r="C16" s="39">
        <v>103479</v>
      </c>
      <c r="D16" s="196">
        <v>100672</v>
      </c>
      <c r="E16" s="196">
        <v>98460</v>
      </c>
      <c r="F16" s="21">
        <f t="shared" si="0"/>
        <v>-4.8502594729365377E-2</v>
      </c>
      <c r="G16" s="2">
        <f t="shared" si="1"/>
        <v>0.19775529510860509</v>
      </c>
      <c r="H16" s="2">
        <f t="shared" si="2"/>
        <v>0.26216666666666666</v>
      </c>
      <c r="I16" s="3">
        <v>6.12</v>
      </c>
      <c r="J16" s="197">
        <v>5.94</v>
      </c>
      <c r="K16" s="21">
        <f t="shared" si="3"/>
        <v>-2.9411764705882307E-2</v>
      </c>
      <c r="L16" s="22">
        <f t="shared" si="4"/>
        <v>0.79901129336810139</v>
      </c>
      <c r="M16" s="5">
        <v>1</v>
      </c>
      <c r="N16" s="5">
        <v>1</v>
      </c>
      <c r="O16" s="14">
        <v>0</v>
      </c>
      <c r="P16" s="14">
        <v>0</v>
      </c>
      <c r="Q16" s="14"/>
    </row>
    <row r="17" spans="1:17">
      <c r="A17" s="13">
        <f t="shared" si="5"/>
        <v>46126</v>
      </c>
      <c r="B17" s="26">
        <v>104615</v>
      </c>
      <c r="C17" s="39">
        <v>103479</v>
      </c>
      <c r="D17" s="196">
        <v>102830</v>
      </c>
      <c r="E17" s="196">
        <v>100260</v>
      </c>
      <c r="F17" s="21">
        <f t="shared" si="0"/>
        <v>-3.1107760994984489E-2</v>
      </c>
      <c r="G17" s="2">
        <f t="shared" si="1"/>
        <v>0.20199436780850547</v>
      </c>
      <c r="H17" s="2">
        <f t="shared" si="2"/>
        <v>0.26778645833333331</v>
      </c>
      <c r="I17" s="3">
        <v>6.12</v>
      </c>
      <c r="J17" s="197">
        <v>6.0620000000000003</v>
      </c>
      <c r="K17" s="21">
        <f t="shared" si="3"/>
        <v>-9.4771241830065075E-3</v>
      </c>
      <c r="L17" s="22">
        <f t="shared" si="4"/>
        <v>0.79971376235633962</v>
      </c>
      <c r="M17" s="5">
        <v>1</v>
      </c>
      <c r="N17" s="5">
        <v>1</v>
      </c>
      <c r="O17" s="14">
        <v>0</v>
      </c>
      <c r="P17" s="14">
        <v>0</v>
      </c>
      <c r="Q17" s="199"/>
    </row>
    <row r="18" spans="1:17">
      <c r="A18" s="13">
        <f t="shared" si="5"/>
        <v>46127</v>
      </c>
      <c r="B18" s="26">
        <v>104615</v>
      </c>
      <c r="C18" s="39">
        <v>103479</v>
      </c>
      <c r="D18" s="196">
        <v>102215</v>
      </c>
      <c r="E18" s="196">
        <v>99900</v>
      </c>
      <c r="F18" s="21">
        <f t="shared" si="0"/>
        <v>-3.4586727741860668E-2</v>
      </c>
      <c r="G18" s="2">
        <f t="shared" si="1"/>
        <v>0.20078629101960893</v>
      </c>
      <c r="H18" s="2">
        <f t="shared" si="2"/>
        <v>0.26618489583333332</v>
      </c>
      <c r="I18" s="3">
        <v>6.12</v>
      </c>
      <c r="J18" s="197">
        <v>6.0279999999999996</v>
      </c>
      <c r="K18" s="21">
        <f t="shared" si="3"/>
        <v>-1.5032679738562177E-2</v>
      </c>
      <c r="L18" s="22">
        <f t="shared" si="4"/>
        <v>0.7994145627854371</v>
      </c>
      <c r="M18" s="5">
        <v>1</v>
      </c>
      <c r="N18" s="5">
        <v>1</v>
      </c>
      <c r="O18" s="14">
        <v>0</v>
      </c>
      <c r="P18" s="14">
        <v>0</v>
      </c>
      <c r="Q18" s="14"/>
    </row>
    <row r="19" spans="1:17">
      <c r="A19" s="13">
        <f t="shared" si="5"/>
        <v>46128</v>
      </c>
      <c r="B19" s="26">
        <v>104615</v>
      </c>
      <c r="C19" s="39">
        <v>103479</v>
      </c>
      <c r="D19" s="196">
        <v>99208</v>
      </c>
      <c r="E19" s="196">
        <v>96840</v>
      </c>
      <c r="F19" s="21">
        <f t="shared" si="0"/>
        <v>-6.4157945090308172E-2</v>
      </c>
      <c r="G19" s="2">
        <f t="shared" si="1"/>
        <v>0.19487948304528066</v>
      </c>
      <c r="H19" s="2">
        <f t="shared" si="2"/>
        <v>0.25835416666666666</v>
      </c>
      <c r="I19" s="3">
        <v>6.12</v>
      </c>
      <c r="J19" s="197">
        <v>5.85</v>
      </c>
      <c r="K19" s="21">
        <f t="shared" si="3"/>
        <v>-4.4117647058823602E-2</v>
      </c>
      <c r="L19" s="22">
        <f t="shared" si="4"/>
        <v>0.7995055714678182</v>
      </c>
      <c r="M19" s="5">
        <v>1</v>
      </c>
      <c r="N19" s="5">
        <v>1</v>
      </c>
      <c r="O19" s="14">
        <v>0</v>
      </c>
      <c r="P19" s="14">
        <v>0</v>
      </c>
      <c r="Q19" s="14"/>
    </row>
    <row r="20" spans="1:17">
      <c r="A20" s="13">
        <f t="shared" si="5"/>
        <v>46129</v>
      </c>
      <c r="B20" s="26">
        <v>104615</v>
      </c>
      <c r="C20" s="39">
        <v>103479</v>
      </c>
      <c r="D20" s="196">
        <v>77468</v>
      </c>
      <c r="E20" s="196">
        <v>75960</v>
      </c>
      <c r="F20" s="21">
        <f t="shared" si="0"/>
        <v>-0.26593801640912651</v>
      </c>
      <c r="G20" s="2">
        <f t="shared" si="1"/>
        <v>0.15217445964591367</v>
      </c>
      <c r="H20" s="2">
        <f t="shared" si="2"/>
        <v>0.20173958333333333</v>
      </c>
      <c r="I20" s="3">
        <v>6.12</v>
      </c>
      <c r="J20" s="197">
        <v>4.57</v>
      </c>
      <c r="K20" s="21">
        <f t="shared" si="3"/>
        <v>-0.25326797385620914</v>
      </c>
      <c r="L20" s="22">
        <f t="shared" si="4"/>
        <v>0.79916565240742399</v>
      </c>
      <c r="M20" s="5">
        <v>1</v>
      </c>
      <c r="N20" s="5">
        <v>1</v>
      </c>
      <c r="O20" s="14">
        <v>0</v>
      </c>
      <c r="P20" s="14">
        <v>0</v>
      </c>
      <c r="Q20" s="6"/>
    </row>
    <row r="21" spans="1:17">
      <c r="A21" s="13">
        <f t="shared" si="5"/>
        <v>46130</v>
      </c>
      <c r="B21" s="26">
        <v>104615</v>
      </c>
      <c r="C21" s="39">
        <v>103479</v>
      </c>
      <c r="D21" s="196">
        <v>101522</v>
      </c>
      <c r="E21" s="196">
        <v>99180</v>
      </c>
      <c r="F21" s="21">
        <f t="shared" si="0"/>
        <v>-4.1544661235613026E-2</v>
      </c>
      <c r="G21" s="2">
        <f t="shared" si="1"/>
        <v>0.19942499473553529</v>
      </c>
      <c r="H21" s="2">
        <f t="shared" si="2"/>
        <v>0.26438020833333331</v>
      </c>
      <c r="I21" s="3">
        <v>6.12</v>
      </c>
      <c r="J21" s="197">
        <v>5.99</v>
      </c>
      <c r="K21" s="21">
        <f t="shared" si="3"/>
        <v>-2.1241830065359461E-2</v>
      </c>
      <c r="L21" s="22">
        <f t="shared" si="4"/>
        <v>0.79903169843954036</v>
      </c>
      <c r="M21" s="5">
        <v>1</v>
      </c>
      <c r="N21" s="5">
        <v>1</v>
      </c>
      <c r="O21" s="14">
        <v>0</v>
      </c>
      <c r="P21" s="14">
        <v>0</v>
      </c>
      <c r="Q21" s="14"/>
    </row>
    <row r="22" spans="1:17">
      <c r="A22" s="13">
        <f t="shared" si="5"/>
        <v>46131</v>
      </c>
      <c r="B22" s="26">
        <v>104615</v>
      </c>
      <c r="C22" s="39">
        <v>103479</v>
      </c>
      <c r="D22" s="196">
        <v>99237</v>
      </c>
      <c r="E22" s="196">
        <v>97020</v>
      </c>
      <c r="F22" s="21">
        <f t="shared" si="0"/>
        <v>-6.2418461716870093E-2</v>
      </c>
      <c r="G22" s="2">
        <f t="shared" si="1"/>
        <v>0.19493644926784653</v>
      </c>
      <c r="H22" s="2">
        <f>E22/($D$2*24)</f>
        <v>0.19058147977031217</v>
      </c>
      <c r="I22" s="3">
        <v>6.12</v>
      </c>
      <c r="J22" s="197">
        <v>5.86</v>
      </c>
      <c r="K22" s="21">
        <f t="shared" si="3"/>
        <v>-4.2483660130718921E-2</v>
      </c>
      <c r="L22" s="22">
        <f t="shared" si="4"/>
        <v>0.79837453625056587</v>
      </c>
      <c r="M22" s="5">
        <v>1</v>
      </c>
      <c r="N22" s="5">
        <v>1</v>
      </c>
      <c r="O22" s="14">
        <v>0</v>
      </c>
      <c r="P22" s="14">
        <v>0</v>
      </c>
      <c r="Q22" s="14"/>
    </row>
    <row r="23" spans="1:17">
      <c r="A23" s="13">
        <f t="shared" si="5"/>
        <v>46132</v>
      </c>
      <c r="B23" s="26">
        <v>104615</v>
      </c>
      <c r="C23" s="39">
        <v>103479</v>
      </c>
      <c r="D23" s="196">
        <v>98819</v>
      </c>
      <c r="E23" s="196">
        <v>96480</v>
      </c>
      <c r="F23" s="21">
        <f t="shared" si="0"/>
        <v>-6.7636911837184358E-2</v>
      </c>
      <c r="G23" s="2">
        <f t="shared" si="1"/>
        <v>0.19411534992189733</v>
      </c>
      <c r="H23" s="2">
        <f>E23/($D$2*24)</f>
        <v>0.18952072941908596</v>
      </c>
      <c r="I23" s="3">
        <v>6.12</v>
      </c>
      <c r="J23" s="197">
        <v>5.83</v>
      </c>
      <c r="K23" s="21">
        <f t="shared" si="3"/>
        <v>-4.7385620915032685E-2</v>
      </c>
      <c r="L23" s="22">
        <f t="shared" si="4"/>
        <v>0.79910264118791352</v>
      </c>
      <c r="M23" s="5">
        <v>1</v>
      </c>
      <c r="N23" s="5">
        <v>1</v>
      </c>
      <c r="O23" s="14">
        <v>0</v>
      </c>
      <c r="P23" s="14">
        <v>0</v>
      </c>
      <c r="Q23" s="14"/>
    </row>
    <row r="24" spans="1:17">
      <c r="A24" s="13">
        <f t="shared" si="5"/>
        <v>46133</v>
      </c>
      <c r="B24" s="26">
        <v>104615</v>
      </c>
      <c r="C24" s="39">
        <v>103479</v>
      </c>
      <c r="D24" s="14">
        <v>88806</v>
      </c>
      <c r="E24" s="14">
        <v>86940</v>
      </c>
      <c r="F24" s="21">
        <f t="shared" si="0"/>
        <v>-0.15982953062940305</v>
      </c>
      <c r="G24" s="2">
        <f t="shared" ref="G24:G33" si="6">D24/($D$2*24)</f>
        <v>0.1744462883166599</v>
      </c>
      <c r="H24" s="2">
        <f t="shared" ref="H24:H33" si="7">E24/($D$2*24)</f>
        <v>0.17078080654742261</v>
      </c>
      <c r="I24" s="3">
        <v>6.12</v>
      </c>
      <c r="J24" s="14">
        <v>5.2370000000000001</v>
      </c>
      <c r="K24" s="21">
        <f t="shared" si="3"/>
        <v>-0.14428104575163397</v>
      </c>
      <c r="L24" s="22">
        <f t="shared" si="4"/>
        <v>0.79944833293867434</v>
      </c>
      <c r="M24" s="5">
        <v>1</v>
      </c>
      <c r="N24" s="5">
        <v>1</v>
      </c>
      <c r="O24" s="14">
        <v>0</v>
      </c>
      <c r="P24" s="14">
        <v>0</v>
      </c>
      <c r="Q24" s="6"/>
    </row>
    <row r="25" spans="1:17">
      <c r="A25" s="13">
        <f t="shared" si="5"/>
        <v>46134</v>
      </c>
      <c r="B25" s="26">
        <v>104615</v>
      </c>
      <c r="C25" s="39">
        <v>103479</v>
      </c>
      <c r="D25" s="14">
        <v>94761</v>
      </c>
      <c r="E25" s="14">
        <v>92520</v>
      </c>
      <c r="F25" s="21">
        <f t="shared" si="0"/>
        <v>-0.10590554605282231</v>
      </c>
      <c r="G25" s="2">
        <f t="shared" si="6"/>
        <v>0.18614400746768245</v>
      </c>
      <c r="H25" s="2">
        <f t="shared" si="7"/>
        <v>0.18174189351009362</v>
      </c>
      <c r="I25" s="3">
        <v>6.12</v>
      </c>
      <c r="J25" s="14">
        <v>5.59</v>
      </c>
      <c r="K25" s="21">
        <f t="shared" si="3"/>
        <v>-8.6601307189542523E-2</v>
      </c>
      <c r="L25" s="22">
        <f t="shared" si="4"/>
        <v>0.79918715191849354</v>
      </c>
      <c r="M25" s="5">
        <v>1</v>
      </c>
      <c r="N25" s="5">
        <v>1</v>
      </c>
      <c r="O25" s="14">
        <v>0</v>
      </c>
      <c r="P25" s="14">
        <v>0</v>
      </c>
      <c r="Q25" s="6"/>
    </row>
    <row r="26" spans="1:17">
      <c r="A26" s="13">
        <f t="shared" si="5"/>
        <v>46135</v>
      </c>
      <c r="B26" s="26">
        <v>104615</v>
      </c>
      <c r="C26" s="39">
        <v>103479</v>
      </c>
      <c r="D26" s="14">
        <v>95997</v>
      </c>
      <c r="E26" s="14">
        <v>93780</v>
      </c>
      <c r="F26" s="21">
        <f t="shared" si="0"/>
        <v>-9.3729162438755689E-2</v>
      </c>
      <c r="G26" s="2">
        <f t="shared" si="6"/>
        <v>0.18857194716048917</v>
      </c>
      <c r="H26" s="2">
        <f t="shared" si="7"/>
        <v>0.18421697766295481</v>
      </c>
      <c r="I26" s="3">
        <v>6.12</v>
      </c>
      <c r="J26" s="14">
        <v>5.5970000000000004</v>
      </c>
      <c r="K26" s="21">
        <f t="shared" si="3"/>
        <v>-8.5457516339869227E-2</v>
      </c>
      <c r="L26" s="22">
        <f t="shared" si="4"/>
        <v>0.808598665687286</v>
      </c>
      <c r="M26" s="5">
        <v>1</v>
      </c>
      <c r="N26" s="5">
        <v>1</v>
      </c>
      <c r="O26" s="14">
        <v>0</v>
      </c>
      <c r="P26" s="14">
        <v>0</v>
      </c>
      <c r="Q26" s="6"/>
    </row>
    <row r="27" spans="1:17">
      <c r="A27" s="13">
        <f t="shared" si="5"/>
        <v>46136</v>
      </c>
      <c r="B27" s="26">
        <v>104615</v>
      </c>
      <c r="C27" s="39">
        <v>103479</v>
      </c>
      <c r="D27" s="14">
        <v>93879</v>
      </c>
      <c r="E27" s="14">
        <v>91620</v>
      </c>
      <c r="F27" s="21">
        <f t="shared" si="0"/>
        <v>-0.11460296292001276</v>
      </c>
      <c r="G27" s="2">
        <f t="shared" si="6"/>
        <v>0.18441144856067962</v>
      </c>
      <c r="H27" s="2">
        <f t="shared" si="7"/>
        <v>0.17997397625804989</v>
      </c>
      <c r="I27" s="3">
        <v>6.12</v>
      </c>
      <c r="J27" s="14">
        <v>5.5380000000000003</v>
      </c>
      <c r="K27" s="21">
        <f t="shared" si="3"/>
        <v>-9.5098039215686242E-2</v>
      </c>
      <c r="L27" s="22">
        <f t="shared" si="4"/>
        <v>0.79918287566925073</v>
      </c>
      <c r="M27" s="5">
        <v>1</v>
      </c>
      <c r="N27" s="5">
        <v>1</v>
      </c>
      <c r="O27" s="14">
        <v>0</v>
      </c>
      <c r="P27" s="14">
        <v>0</v>
      </c>
      <c r="Q27" s="6"/>
    </row>
    <row r="28" spans="1:17">
      <c r="A28" s="13">
        <f t="shared" si="5"/>
        <v>46137</v>
      </c>
      <c r="B28" s="26">
        <v>104615</v>
      </c>
      <c r="C28" s="39">
        <v>103479</v>
      </c>
      <c r="D28" s="14">
        <v>103635</v>
      </c>
      <c r="E28" s="14">
        <v>101160</v>
      </c>
      <c r="F28" s="21">
        <f t="shared" si="0"/>
        <v>-2.2410344127794045E-2</v>
      </c>
      <c r="G28" s="2">
        <f t="shared" si="6"/>
        <v>0.20357567157283346</v>
      </c>
      <c r="H28" s="2">
        <f t="shared" si="7"/>
        <v>0.19871389912971327</v>
      </c>
      <c r="I28" s="3">
        <v>6.12</v>
      </c>
      <c r="J28" s="14">
        <v>6.11</v>
      </c>
      <c r="K28" s="21">
        <f t="shared" si="3"/>
        <v>-1.6339869281045403E-3</v>
      </c>
      <c r="L28" s="22">
        <f t="shared" si="4"/>
        <v>0.79964257246284831</v>
      </c>
      <c r="M28" s="5">
        <v>1</v>
      </c>
      <c r="N28" s="5">
        <v>1</v>
      </c>
      <c r="O28" s="14">
        <v>0</v>
      </c>
      <c r="P28" s="14">
        <v>0</v>
      </c>
      <c r="Q28" s="6"/>
    </row>
    <row r="29" spans="1:17">
      <c r="A29" s="13">
        <f t="shared" si="5"/>
        <v>46138</v>
      </c>
      <c r="B29" s="26">
        <v>104615</v>
      </c>
      <c r="C29" s="39">
        <v>103479</v>
      </c>
      <c r="D29" s="14">
        <v>89196</v>
      </c>
      <c r="E29" s="14">
        <v>87120</v>
      </c>
      <c r="F29" s="21">
        <f t="shared" si="0"/>
        <v>-0.15809004725596498</v>
      </c>
      <c r="G29" s="2">
        <f t="shared" si="6"/>
        <v>0.1752123857925455</v>
      </c>
      <c r="H29" s="2">
        <f t="shared" si="7"/>
        <v>0.17113438999783134</v>
      </c>
      <c r="I29" s="3">
        <v>6.12</v>
      </c>
      <c r="J29" s="14">
        <v>5.2569999999999997</v>
      </c>
      <c r="K29" s="21">
        <f t="shared" si="3"/>
        <v>-0.14101307189542492</v>
      </c>
      <c r="L29" s="22">
        <f t="shared" si="4"/>
        <v>0.79990436732377634</v>
      </c>
      <c r="M29" s="5">
        <v>1</v>
      </c>
      <c r="N29" s="5">
        <v>1</v>
      </c>
      <c r="O29" s="14">
        <v>0</v>
      </c>
      <c r="P29" s="14">
        <v>0</v>
      </c>
      <c r="Q29" s="6"/>
    </row>
    <row r="30" spans="1:17">
      <c r="A30" s="13">
        <f t="shared" si="5"/>
        <v>46139</v>
      </c>
      <c r="B30" s="26">
        <v>104615</v>
      </c>
      <c r="C30" s="39">
        <v>103479</v>
      </c>
      <c r="D30" s="14">
        <v>85048</v>
      </c>
      <c r="E30" s="14">
        <v>83160</v>
      </c>
      <c r="F30" s="21">
        <f t="shared" si="0"/>
        <v>-0.19635868147160293</v>
      </c>
      <c r="G30" s="2">
        <f t="shared" si="6"/>
        <v>0.16706425161312627</v>
      </c>
      <c r="H30" s="2">
        <f t="shared" si="7"/>
        <v>0.16335555408883901</v>
      </c>
      <c r="I30" s="3">
        <v>6.12</v>
      </c>
      <c r="J30" s="14">
        <v>5.0199999999999996</v>
      </c>
      <c r="K30" s="21">
        <f t="shared" si="3"/>
        <v>-0.17973856209150335</v>
      </c>
      <c r="L30" s="22">
        <f t="shared" si="4"/>
        <v>0.79871355352889051</v>
      </c>
      <c r="M30" s="5">
        <v>1</v>
      </c>
      <c r="N30" s="5">
        <v>1</v>
      </c>
      <c r="O30" s="14">
        <v>0</v>
      </c>
      <c r="P30" s="14">
        <v>0</v>
      </c>
      <c r="Q30" s="6"/>
    </row>
    <row r="31" spans="1:17">
      <c r="A31" s="13">
        <f t="shared" si="5"/>
        <v>46140</v>
      </c>
      <c r="B31" s="26">
        <v>104615</v>
      </c>
      <c r="C31" s="39">
        <v>103479</v>
      </c>
      <c r="D31" s="14">
        <v>78630</v>
      </c>
      <c r="E31" s="14">
        <v>77040</v>
      </c>
      <c r="F31" s="21">
        <f t="shared" si="0"/>
        <v>-0.25550111616849797</v>
      </c>
      <c r="G31" s="2">
        <f t="shared" si="6"/>
        <v>0.15445703725355234</v>
      </c>
      <c r="H31" s="2">
        <f t="shared" si="7"/>
        <v>0.15133371677494176</v>
      </c>
      <c r="I31" s="3">
        <v>6.12</v>
      </c>
      <c r="J31" s="14">
        <v>4.6500000000000004</v>
      </c>
      <c r="K31" s="21">
        <f t="shared" si="3"/>
        <v>-0.2401960784313725</v>
      </c>
      <c r="L31" s="22">
        <f t="shared" si="4"/>
        <v>0.79719761163123781</v>
      </c>
      <c r="M31" s="5">
        <v>1</v>
      </c>
      <c r="N31" s="5">
        <v>1</v>
      </c>
      <c r="O31" s="14">
        <v>0</v>
      </c>
      <c r="P31" s="14">
        <v>0</v>
      </c>
      <c r="Q31" s="6"/>
    </row>
    <row r="32" spans="1:17">
      <c r="A32" s="13">
        <f t="shared" si="5"/>
        <v>46141</v>
      </c>
      <c r="B32" s="26">
        <v>104615</v>
      </c>
      <c r="C32" s="39">
        <v>103479</v>
      </c>
      <c r="D32" s="14">
        <v>54843</v>
      </c>
      <c r="E32" s="14">
        <v>54000</v>
      </c>
      <c r="F32" s="21">
        <f t="shared" si="0"/>
        <v>-0.47815498796857331</v>
      </c>
      <c r="G32" s="2">
        <f t="shared" si="6"/>
        <v>0.10773098428203701</v>
      </c>
      <c r="H32" s="2">
        <f t="shared" si="7"/>
        <v>0.10607503512262273</v>
      </c>
      <c r="I32" s="3">
        <v>6.12</v>
      </c>
      <c r="J32" s="14">
        <v>3.24</v>
      </c>
      <c r="K32" s="21">
        <f t="shared" si="3"/>
        <v>-0.47058823529411764</v>
      </c>
      <c r="L32" s="22">
        <f t="shared" si="4"/>
        <v>0.79800729097805179</v>
      </c>
      <c r="M32" s="5">
        <v>1</v>
      </c>
      <c r="N32" s="5">
        <v>1</v>
      </c>
      <c r="O32" s="14">
        <v>0</v>
      </c>
      <c r="P32" s="14">
        <v>0</v>
      </c>
      <c r="Q32" s="6"/>
    </row>
    <row r="33" spans="1:17">
      <c r="A33" s="13">
        <f t="shared" si="5"/>
        <v>46142</v>
      </c>
      <c r="B33" s="26">
        <v>104615</v>
      </c>
      <c r="C33" s="39">
        <v>103479</v>
      </c>
      <c r="D33" s="14">
        <v>89945</v>
      </c>
      <c r="E33" s="14">
        <v>87840</v>
      </c>
      <c r="F33" s="21">
        <f t="shared" si="0"/>
        <v>-0.15113211376221261</v>
      </c>
      <c r="G33" s="2">
        <f t="shared" si="6"/>
        <v>0.17668368581674632</v>
      </c>
      <c r="H33" s="2">
        <f t="shared" si="7"/>
        <v>0.17254872379946631</v>
      </c>
      <c r="I33" s="3">
        <v>6.12</v>
      </c>
      <c r="J33" s="14">
        <v>5.3090000000000002</v>
      </c>
      <c r="K33" s="21">
        <f t="shared" si="3"/>
        <v>-0.13251633986928105</v>
      </c>
      <c r="L33" s="22">
        <f t="shared" si="4"/>
        <v>0.79872074959538741</v>
      </c>
      <c r="M33" s="5">
        <v>1</v>
      </c>
      <c r="N33" s="5">
        <v>1</v>
      </c>
      <c r="O33" s="14">
        <v>0</v>
      </c>
      <c r="P33" s="14">
        <v>0</v>
      </c>
      <c r="Q33" s="6"/>
    </row>
    <row r="34" spans="1:17">
      <c r="A34" s="349">
        <v>46113</v>
      </c>
      <c r="B34" s="89">
        <f>SUM(B4:B33)</f>
        <v>3138450</v>
      </c>
      <c r="C34" s="89">
        <f>SUM(C4:C33)</f>
        <v>3104370</v>
      </c>
      <c r="D34" s="89">
        <f>SUM(D4:D33)</f>
        <v>2791856</v>
      </c>
      <c r="E34" s="89">
        <f>SUM(E4:E33)</f>
        <v>2728080</v>
      </c>
      <c r="F34" s="92">
        <f t="shared" si="0"/>
        <v>-0.1212129997390775</v>
      </c>
      <c r="G34" s="90">
        <f>AVERAGE(G4:G33)</f>
        <v>0.18280631065265746</v>
      </c>
      <c r="H34" s="90">
        <f>AVERAGE(H4:H33)</f>
        <v>0.21788986440271113</v>
      </c>
      <c r="I34" s="89">
        <f>SUM(I4:I33)</f>
        <v>183.60000000000008</v>
      </c>
      <c r="J34" s="89">
        <f>SUM(J4:J33)</f>
        <v>164.70700000000005</v>
      </c>
      <c r="K34" s="92">
        <f t="shared" ref="K34" si="8">(IF(ISBLANK(J34),0,J34-I34))/I34</f>
        <v>-0.10290305010893258</v>
      </c>
      <c r="L34" s="93">
        <f t="shared" si="4"/>
        <v>0.79911930682917731</v>
      </c>
      <c r="M34" s="90">
        <f>AVERAGE(M4:M33)</f>
        <v>0.99988333333333324</v>
      </c>
      <c r="N34" s="90">
        <f>AVERAGE(N4:N33)</f>
        <v>1</v>
      </c>
      <c r="O34" s="89">
        <f>SUM(O4:O33)</f>
        <v>0</v>
      </c>
      <c r="P34" s="89">
        <f>SUM(P4:P33)</f>
        <v>366</v>
      </c>
      <c r="Q34" s="19"/>
    </row>
    <row r="35" spans="1:17">
      <c r="A35" s="13">
        <v>46143</v>
      </c>
      <c r="B35" s="26">
        <v>96947</v>
      </c>
      <c r="C35" s="39">
        <v>95894</v>
      </c>
      <c r="D35" s="196">
        <v>92441</v>
      </c>
      <c r="E35" s="196">
        <v>90360</v>
      </c>
      <c r="F35" s="21">
        <f t="shared" si="0"/>
        <v>-5.7709554299539077E-2</v>
      </c>
      <c r="G35" s="2">
        <f t="shared" ref="G35:G54" si="9">D35/($D$2*24)</f>
        <v>0.18158670966241422</v>
      </c>
      <c r="H35" s="2">
        <f t="shared" ref="H35:H52" si="10">D35/($H$2*24)</f>
        <v>0.24073177083333333</v>
      </c>
      <c r="I35" s="3">
        <v>5.65</v>
      </c>
      <c r="J35" s="197">
        <v>5.4210000000000003</v>
      </c>
      <c r="K35" s="21">
        <f t="shared" ref="K35:K66" si="11">(IF(ISBLANK(J35),0,J35-I35))/I35</f>
        <v>-4.0530973451327446E-2</v>
      </c>
      <c r="L35" s="22">
        <f t="shared" si="4"/>
        <v>0.8039256653565654</v>
      </c>
      <c r="M35" s="5">
        <v>1</v>
      </c>
      <c r="N35" s="5">
        <v>1</v>
      </c>
      <c r="O35" s="14">
        <v>0</v>
      </c>
      <c r="P35" s="14">
        <v>0</v>
      </c>
      <c r="Q35" s="6"/>
    </row>
    <row r="36" spans="1:17">
      <c r="A36" s="13">
        <f t="shared" ref="A36:A65" si="12">A35+1</f>
        <v>46144</v>
      </c>
      <c r="B36" s="26">
        <v>96947</v>
      </c>
      <c r="C36" s="39">
        <v>95894</v>
      </c>
      <c r="D36" s="196">
        <v>87112</v>
      </c>
      <c r="E36" s="196">
        <v>85320</v>
      </c>
      <c r="F36" s="21">
        <f t="shared" ref="F36:F66" si="13">(IF(ISBLANK(E36),0,E36-C36))/C36</f>
        <v>-0.11026758712745323</v>
      </c>
      <c r="G36" s="2">
        <f t="shared" si="9"/>
        <v>0.17111867517781318</v>
      </c>
      <c r="H36" s="2">
        <f t="shared" si="10"/>
        <v>0.22685416666666666</v>
      </c>
      <c r="I36" s="3">
        <v>5.65</v>
      </c>
      <c r="J36" s="197">
        <v>5.1130000000000004</v>
      </c>
      <c r="K36" s="21">
        <f t="shared" si="11"/>
        <v>-9.50442477876106E-2</v>
      </c>
      <c r="L36" s="22">
        <f t="shared" ref="L36:L66" si="14">D36/($D$2*J36)</f>
        <v>0.80321693805349426</v>
      </c>
      <c r="M36" s="5">
        <v>1</v>
      </c>
      <c r="N36" s="5">
        <v>1</v>
      </c>
      <c r="O36" s="14">
        <v>0</v>
      </c>
      <c r="P36" s="14">
        <v>0</v>
      </c>
      <c r="Q36" s="6"/>
    </row>
    <row r="37" spans="1:17">
      <c r="A37" s="13">
        <f t="shared" si="12"/>
        <v>46145</v>
      </c>
      <c r="B37" s="26">
        <v>96947</v>
      </c>
      <c r="C37" s="39">
        <v>95894</v>
      </c>
      <c r="D37" s="196">
        <v>68626</v>
      </c>
      <c r="E37" s="196">
        <v>67320</v>
      </c>
      <c r="F37" s="21">
        <f t="shared" si="13"/>
        <v>-0.29797484722714662</v>
      </c>
      <c r="G37" s="2">
        <f t="shared" si="9"/>
        <v>0.13480565482083534</v>
      </c>
      <c r="H37" s="2">
        <f t="shared" si="10"/>
        <v>0.17871354166666667</v>
      </c>
      <c r="I37" s="3">
        <v>5.65</v>
      </c>
      <c r="J37" s="197">
        <v>4.0389999999999997</v>
      </c>
      <c r="K37" s="21">
        <f t="shared" si="11"/>
        <v>-0.28513274336283195</v>
      </c>
      <c r="L37" s="22">
        <f t="shared" si="14"/>
        <v>0.80102394545680822</v>
      </c>
      <c r="M37" s="5">
        <v>1</v>
      </c>
      <c r="N37" s="5">
        <v>1</v>
      </c>
      <c r="O37" s="14">
        <v>0</v>
      </c>
      <c r="P37" s="14">
        <v>0</v>
      </c>
      <c r="Q37" s="6"/>
    </row>
    <row r="38" spans="1:17">
      <c r="A38" s="13">
        <f t="shared" si="12"/>
        <v>46146</v>
      </c>
      <c r="B38" s="26">
        <v>96947</v>
      </c>
      <c r="C38" s="39">
        <v>95894</v>
      </c>
      <c r="D38" s="196">
        <v>82298</v>
      </c>
      <c r="E38" s="196">
        <v>80640</v>
      </c>
      <c r="F38" s="21">
        <f t="shared" si="13"/>
        <v>-0.15907147475337352</v>
      </c>
      <c r="G38" s="2">
        <f t="shared" si="9"/>
        <v>0.16166228223188159</v>
      </c>
      <c r="H38" s="2">
        <f t="shared" si="10"/>
        <v>0.21431770833333333</v>
      </c>
      <c r="I38" s="3">
        <v>5.65</v>
      </c>
      <c r="J38" s="197">
        <v>4.8</v>
      </c>
      <c r="K38" s="21">
        <f t="shared" si="11"/>
        <v>-0.15044247787610629</v>
      </c>
      <c r="L38" s="22">
        <f t="shared" si="14"/>
        <v>0.80831141115940797</v>
      </c>
      <c r="M38" s="5">
        <v>1</v>
      </c>
      <c r="N38" s="5">
        <v>1</v>
      </c>
      <c r="O38" s="14">
        <v>0</v>
      </c>
      <c r="P38" s="14">
        <v>0</v>
      </c>
      <c r="Q38" s="14"/>
    </row>
    <row r="39" spans="1:17">
      <c r="A39" s="13">
        <f t="shared" si="12"/>
        <v>46147</v>
      </c>
      <c r="B39" s="26"/>
      <c r="C39" s="39"/>
      <c r="D39" s="196"/>
      <c r="E39" s="196"/>
      <c r="F39" s="21" t="e">
        <f t="shared" si="13"/>
        <v>#DIV/0!</v>
      </c>
      <c r="G39" s="2">
        <f t="shared" si="9"/>
        <v>0</v>
      </c>
      <c r="H39" s="2">
        <f t="shared" si="10"/>
        <v>0</v>
      </c>
      <c r="I39" s="3"/>
      <c r="J39" s="197"/>
      <c r="K39" s="21" t="e">
        <f t="shared" si="11"/>
        <v>#DIV/0!</v>
      </c>
      <c r="L39" s="22" t="e">
        <f t="shared" si="14"/>
        <v>#DIV/0!</v>
      </c>
      <c r="M39" s="5"/>
      <c r="N39" s="5"/>
      <c r="O39" s="14"/>
      <c r="P39" s="14"/>
      <c r="Q39" s="14"/>
    </row>
    <row r="40" spans="1:17">
      <c r="A40" s="13">
        <f t="shared" si="12"/>
        <v>46148</v>
      </c>
      <c r="B40" s="26"/>
      <c r="C40" s="39"/>
      <c r="D40" s="196"/>
      <c r="E40" s="196"/>
      <c r="F40" s="21" t="e">
        <f t="shared" si="13"/>
        <v>#DIV/0!</v>
      </c>
      <c r="G40" s="2">
        <f t="shared" si="9"/>
        <v>0</v>
      </c>
      <c r="H40" s="2">
        <f t="shared" si="10"/>
        <v>0</v>
      </c>
      <c r="I40" s="3"/>
      <c r="J40" s="197"/>
      <c r="K40" s="21" t="e">
        <f t="shared" si="11"/>
        <v>#DIV/0!</v>
      </c>
      <c r="L40" s="22" t="e">
        <f t="shared" si="14"/>
        <v>#DIV/0!</v>
      </c>
      <c r="M40" s="5"/>
      <c r="N40" s="5"/>
      <c r="O40" s="14"/>
      <c r="P40" s="14"/>
      <c r="Q40" s="14"/>
    </row>
    <row r="41" spans="1:17">
      <c r="A41" s="13">
        <f t="shared" si="12"/>
        <v>46149</v>
      </c>
      <c r="B41" s="26"/>
      <c r="C41" s="39"/>
      <c r="D41" s="196"/>
      <c r="E41" s="196"/>
      <c r="F41" s="21" t="e">
        <f t="shared" si="13"/>
        <v>#DIV/0!</v>
      </c>
      <c r="G41" s="2">
        <f t="shared" si="9"/>
        <v>0</v>
      </c>
      <c r="H41" s="2">
        <f t="shared" si="10"/>
        <v>0</v>
      </c>
      <c r="I41" s="3"/>
      <c r="J41" s="197"/>
      <c r="K41" s="21" t="e">
        <f t="shared" si="11"/>
        <v>#DIV/0!</v>
      </c>
      <c r="L41" s="22" t="e">
        <f t="shared" si="14"/>
        <v>#DIV/0!</v>
      </c>
      <c r="M41" s="5"/>
      <c r="N41" s="5"/>
      <c r="O41" s="14"/>
      <c r="P41" s="14"/>
      <c r="Q41" s="198"/>
    </row>
    <row r="42" spans="1:17">
      <c r="A42" s="13">
        <f t="shared" si="12"/>
        <v>46150</v>
      </c>
      <c r="B42" s="26"/>
      <c r="C42" s="39"/>
      <c r="D42" s="196"/>
      <c r="E42" s="196"/>
      <c r="F42" s="21" t="e">
        <f t="shared" si="13"/>
        <v>#DIV/0!</v>
      </c>
      <c r="G42" s="2">
        <f t="shared" si="9"/>
        <v>0</v>
      </c>
      <c r="H42" s="2">
        <f t="shared" si="10"/>
        <v>0</v>
      </c>
      <c r="I42" s="3"/>
      <c r="J42" s="197"/>
      <c r="K42" s="21" t="e">
        <f t="shared" si="11"/>
        <v>#DIV/0!</v>
      </c>
      <c r="L42" s="22" t="e">
        <f t="shared" si="14"/>
        <v>#DIV/0!</v>
      </c>
      <c r="M42" s="5"/>
      <c r="N42" s="5"/>
      <c r="O42" s="14"/>
      <c r="P42" s="14"/>
      <c r="Q42" s="14"/>
    </row>
    <row r="43" spans="1:17">
      <c r="A43" s="13">
        <f t="shared" si="12"/>
        <v>46151</v>
      </c>
      <c r="B43" s="26"/>
      <c r="C43" s="39"/>
      <c r="D43" s="196"/>
      <c r="E43" s="196"/>
      <c r="F43" s="21" t="e">
        <f t="shared" si="13"/>
        <v>#DIV/0!</v>
      </c>
      <c r="G43" s="2">
        <f t="shared" si="9"/>
        <v>0</v>
      </c>
      <c r="H43" s="2">
        <f t="shared" si="10"/>
        <v>0</v>
      </c>
      <c r="I43" s="3"/>
      <c r="J43" s="197"/>
      <c r="K43" s="21" t="e">
        <f t="shared" si="11"/>
        <v>#DIV/0!</v>
      </c>
      <c r="L43" s="22" t="e">
        <f t="shared" si="14"/>
        <v>#DIV/0!</v>
      </c>
      <c r="M43" s="15"/>
      <c r="N43" s="5"/>
      <c r="O43" s="14"/>
      <c r="P43" s="14"/>
      <c r="Q43" s="6"/>
    </row>
    <row r="44" spans="1:17">
      <c r="A44" s="13">
        <f t="shared" si="12"/>
        <v>46152</v>
      </c>
      <c r="B44" s="26"/>
      <c r="C44" s="39"/>
      <c r="D44" s="196"/>
      <c r="E44" s="196"/>
      <c r="F44" s="21" t="e">
        <f t="shared" si="13"/>
        <v>#DIV/0!</v>
      </c>
      <c r="G44" s="2">
        <f t="shared" si="9"/>
        <v>0</v>
      </c>
      <c r="H44" s="2">
        <f t="shared" si="10"/>
        <v>0</v>
      </c>
      <c r="I44" s="3"/>
      <c r="J44" s="197"/>
      <c r="K44" s="21" t="e">
        <f t="shared" si="11"/>
        <v>#DIV/0!</v>
      </c>
      <c r="L44" s="22" t="e">
        <f t="shared" si="14"/>
        <v>#DIV/0!</v>
      </c>
      <c r="M44" s="5"/>
      <c r="N44" s="5"/>
      <c r="O44" s="14"/>
      <c r="P44" s="14"/>
      <c r="Q44" s="16"/>
    </row>
    <row r="45" spans="1:17">
      <c r="A45" s="13">
        <f t="shared" si="12"/>
        <v>46153</v>
      </c>
      <c r="B45" s="26"/>
      <c r="C45" s="39"/>
      <c r="D45" s="196"/>
      <c r="E45" s="196"/>
      <c r="F45" s="21" t="e">
        <f t="shared" si="13"/>
        <v>#DIV/0!</v>
      </c>
      <c r="G45" s="2">
        <f t="shared" si="9"/>
        <v>0</v>
      </c>
      <c r="H45" s="2">
        <f t="shared" si="10"/>
        <v>0</v>
      </c>
      <c r="I45" s="3"/>
      <c r="J45" s="197"/>
      <c r="K45" s="21" t="e">
        <f t="shared" si="11"/>
        <v>#DIV/0!</v>
      </c>
      <c r="L45" s="22" t="e">
        <f t="shared" si="14"/>
        <v>#DIV/0!</v>
      </c>
      <c r="M45" s="5"/>
      <c r="N45" s="5"/>
      <c r="O45" s="14"/>
      <c r="P45" s="14"/>
      <c r="Q45" s="6"/>
    </row>
    <row r="46" spans="1:17">
      <c r="A46" s="13">
        <f t="shared" si="12"/>
        <v>46154</v>
      </c>
      <c r="B46" s="26"/>
      <c r="C46" s="39"/>
      <c r="D46" s="196"/>
      <c r="E46" s="196"/>
      <c r="F46" s="21" t="e">
        <f t="shared" si="13"/>
        <v>#DIV/0!</v>
      </c>
      <c r="G46" s="2">
        <f t="shared" si="9"/>
        <v>0</v>
      </c>
      <c r="H46" s="2">
        <f t="shared" si="10"/>
        <v>0</v>
      </c>
      <c r="I46" s="3"/>
      <c r="J46" s="197"/>
      <c r="K46" s="21" t="e">
        <f t="shared" si="11"/>
        <v>#DIV/0!</v>
      </c>
      <c r="L46" s="22" t="e">
        <f t="shared" si="14"/>
        <v>#DIV/0!</v>
      </c>
      <c r="M46" s="5"/>
      <c r="N46" s="5"/>
      <c r="O46" s="14"/>
      <c r="P46" s="14"/>
      <c r="Q46" s="6"/>
    </row>
    <row r="47" spans="1:17">
      <c r="A47" s="13">
        <f t="shared" si="12"/>
        <v>46155</v>
      </c>
      <c r="B47" s="26"/>
      <c r="C47" s="39"/>
      <c r="D47" s="196"/>
      <c r="E47" s="196"/>
      <c r="F47" s="21" t="e">
        <f t="shared" si="13"/>
        <v>#DIV/0!</v>
      </c>
      <c r="G47" s="2">
        <f t="shared" si="9"/>
        <v>0</v>
      </c>
      <c r="H47" s="2">
        <f t="shared" si="10"/>
        <v>0</v>
      </c>
      <c r="I47" s="3"/>
      <c r="J47" s="197"/>
      <c r="K47" s="21" t="e">
        <f t="shared" si="11"/>
        <v>#DIV/0!</v>
      </c>
      <c r="L47" s="22" t="e">
        <f t="shared" si="14"/>
        <v>#DIV/0!</v>
      </c>
      <c r="M47" s="5"/>
      <c r="N47" s="5"/>
      <c r="O47" s="14"/>
      <c r="P47" s="14"/>
      <c r="Q47" s="14"/>
    </row>
    <row r="48" spans="1:17">
      <c r="A48" s="13">
        <f t="shared" si="12"/>
        <v>46156</v>
      </c>
      <c r="B48" s="26"/>
      <c r="C48" s="39"/>
      <c r="D48" s="196"/>
      <c r="E48" s="196"/>
      <c r="F48" s="21" t="e">
        <f t="shared" si="13"/>
        <v>#DIV/0!</v>
      </c>
      <c r="G48" s="2">
        <f t="shared" si="9"/>
        <v>0</v>
      </c>
      <c r="H48" s="2">
        <f t="shared" si="10"/>
        <v>0</v>
      </c>
      <c r="I48" s="3"/>
      <c r="J48" s="197"/>
      <c r="K48" s="21" t="e">
        <f t="shared" si="11"/>
        <v>#DIV/0!</v>
      </c>
      <c r="L48" s="22" t="e">
        <f t="shared" si="14"/>
        <v>#DIV/0!</v>
      </c>
      <c r="M48" s="5"/>
      <c r="N48" s="5"/>
      <c r="O48" s="14"/>
      <c r="P48" s="14"/>
      <c r="Q48" s="199"/>
    </row>
    <row r="49" spans="1:17">
      <c r="A49" s="13">
        <f t="shared" si="12"/>
        <v>46157</v>
      </c>
      <c r="B49" s="26"/>
      <c r="C49" s="39"/>
      <c r="D49" s="196"/>
      <c r="E49" s="196"/>
      <c r="F49" s="21" t="e">
        <f t="shared" si="13"/>
        <v>#DIV/0!</v>
      </c>
      <c r="G49" s="2">
        <f t="shared" si="9"/>
        <v>0</v>
      </c>
      <c r="H49" s="2">
        <f t="shared" si="10"/>
        <v>0</v>
      </c>
      <c r="I49" s="3"/>
      <c r="J49" s="197"/>
      <c r="K49" s="21" t="e">
        <f t="shared" si="11"/>
        <v>#DIV/0!</v>
      </c>
      <c r="L49" s="22" t="e">
        <f t="shared" si="14"/>
        <v>#DIV/0!</v>
      </c>
      <c r="M49" s="5"/>
      <c r="N49" s="5"/>
      <c r="O49" s="14"/>
      <c r="P49" s="14"/>
      <c r="Q49" s="14"/>
    </row>
    <row r="50" spans="1:17">
      <c r="A50" s="13">
        <f t="shared" si="12"/>
        <v>46158</v>
      </c>
      <c r="B50" s="26"/>
      <c r="C50" s="39"/>
      <c r="D50" s="196"/>
      <c r="E50" s="196"/>
      <c r="F50" s="21" t="e">
        <f t="shared" si="13"/>
        <v>#DIV/0!</v>
      </c>
      <c r="G50" s="2">
        <f t="shared" si="9"/>
        <v>0</v>
      </c>
      <c r="H50" s="2">
        <f t="shared" si="10"/>
        <v>0</v>
      </c>
      <c r="I50" s="3"/>
      <c r="J50" s="197"/>
      <c r="K50" s="21" t="e">
        <f t="shared" si="11"/>
        <v>#DIV/0!</v>
      </c>
      <c r="L50" s="22" t="e">
        <f t="shared" si="14"/>
        <v>#DIV/0!</v>
      </c>
      <c r="M50" s="5"/>
      <c r="N50" s="5"/>
      <c r="O50" s="14"/>
      <c r="P50" s="14"/>
      <c r="Q50" s="14"/>
    </row>
    <row r="51" spans="1:17">
      <c r="A51" s="13">
        <f t="shared" si="12"/>
        <v>46159</v>
      </c>
      <c r="B51" s="26"/>
      <c r="C51" s="39"/>
      <c r="D51" s="196"/>
      <c r="E51" s="196"/>
      <c r="F51" s="21" t="e">
        <f t="shared" si="13"/>
        <v>#DIV/0!</v>
      </c>
      <c r="G51" s="2">
        <f t="shared" si="9"/>
        <v>0</v>
      </c>
      <c r="H51" s="2">
        <f t="shared" si="10"/>
        <v>0</v>
      </c>
      <c r="I51" s="3"/>
      <c r="J51" s="197"/>
      <c r="K51" s="21" t="e">
        <f t="shared" si="11"/>
        <v>#DIV/0!</v>
      </c>
      <c r="L51" s="22" t="e">
        <f t="shared" si="14"/>
        <v>#DIV/0!</v>
      </c>
      <c r="M51" s="5"/>
      <c r="N51" s="5"/>
      <c r="O51" s="14"/>
      <c r="P51" s="14"/>
      <c r="Q51" s="6"/>
    </row>
    <row r="52" spans="1:17">
      <c r="A52" s="13">
        <f t="shared" si="12"/>
        <v>46160</v>
      </c>
      <c r="B52" s="26"/>
      <c r="C52" s="39"/>
      <c r="D52" s="196"/>
      <c r="E52" s="196"/>
      <c r="F52" s="21" t="e">
        <f t="shared" si="13"/>
        <v>#DIV/0!</v>
      </c>
      <c r="G52" s="2">
        <f t="shared" si="9"/>
        <v>0</v>
      </c>
      <c r="H52" s="2">
        <f t="shared" si="10"/>
        <v>0</v>
      </c>
      <c r="I52" s="3"/>
      <c r="J52" s="197"/>
      <c r="K52" s="21" t="e">
        <f t="shared" si="11"/>
        <v>#DIV/0!</v>
      </c>
      <c r="L52" s="22" t="e">
        <f t="shared" si="14"/>
        <v>#DIV/0!</v>
      </c>
      <c r="M52" s="5"/>
      <c r="N52" s="5"/>
      <c r="O52" s="14"/>
      <c r="P52" s="14"/>
      <c r="Q52" s="14"/>
    </row>
    <row r="53" spans="1:17">
      <c r="A53" s="13">
        <f t="shared" si="12"/>
        <v>46161</v>
      </c>
      <c r="B53" s="26"/>
      <c r="C53" s="39"/>
      <c r="D53" s="196"/>
      <c r="E53" s="196"/>
      <c r="F53" s="21" t="e">
        <f t="shared" si="13"/>
        <v>#DIV/0!</v>
      </c>
      <c r="G53" s="2">
        <f t="shared" si="9"/>
        <v>0</v>
      </c>
      <c r="H53" s="2">
        <f>E53/($D$2*24)</f>
        <v>0</v>
      </c>
      <c r="I53" s="3"/>
      <c r="J53" s="197"/>
      <c r="K53" s="21" t="e">
        <f t="shared" si="11"/>
        <v>#DIV/0!</v>
      </c>
      <c r="L53" s="22" t="e">
        <f t="shared" si="14"/>
        <v>#DIV/0!</v>
      </c>
      <c r="M53" s="5"/>
      <c r="N53" s="5"/>
      <c r="O53" s="14"/>
      <c r="P53" s="14"/>
      <c r="Q53" s="14"/>
    </row>
    <row r="54" spans="1:17">
      <c r="A54" s="13">
        <f t="shared" si="12"/>
        <v>46162</v>
      </c>
      <c r="B54" s="26"/>
      <c r="C54" s="39"/>
      <c r="D54" s="196"/>
      <c r="E54" s="196"/>
      <c r="F54" s="21" t="e">
        <f t="shared" si="13"/>
        <v>#DIV/0!</v>
      </c>
      <c r="G54" s="2">
        <f t="shared" si="9"/>
        <v>0</v>
      </c>
      <c r="H54" s="2">
        <f>E54/($D$2*24)</f>
        <v>0</v>
      </c>
      <c r="I54" s="3"/>
      <c r="J54" s="197"/>
      <c r="K54" s="21" t="e">
        <f t="shared" si="11"/>
        <v>#DIV/0!</v>
      </c>
      <c r="L54" s="22" t="e">
        <f t="shared" si="14"/>
        <v>#DIV/0!</v>
      </c>
      <c r="M54" s="5"/>
      <c r="N54" s="5"/>
      <c r="O54" s="14"/>
      <c r="P54" s="14"/>
      <c r="Q54" s="14"/>
    </row>
    <row r="55" spans="1:17">
      <c r="A55" s="13">
        <f t="shared" si="12"/>
        <v>46163</v>
      </c>
      <c r="B55" s="26"/>
      <c r="C55" s="39"/>
      <c r="D55" s="14"/>
      <c r="E55" s="14"/>
      <c r="F55" s="21" t="e">
        <f t="shared" si="13"/>
        <v>#DIV/0!</v>
      </c>
      <c r="G55" s="2">
        <f t="shared" ref="G55:G64" si="15">D55/($D$2*24)</f>
        <v>0</v>
      </c>
      <c r="H55" s="2">
        <f t="shared" ref="H55:H64" si="16">E55/($D$2*24)</f>
        <v>0</v>
      </c>
      <c r="I55" s="3"/>
      <c r="J55" s="14"/>
      <c r="K55" s="21" t="e">
        <f t="shared" si="11"/>
        <v>#DIV/0!</v>
      </c>
      <c r="L55" s="22" t="e">
        <f t="shared" si="14"/>
        <v>#DIV/0!</v>
      </c>
      <c r="M55" s="5"/>
      <c r="N55" s="5"/>
      <c r="O55" s="14"/>
      <c r="P55" s="14"/>
      <c r="Q55" s="6"/>
    </row>
    <row r="56" spans="1:17">
      <c r="A56" s="13">
        <f t="shared" si="12"/>
        <v>46164</v>
      </c>
      <c r="B56" s="26"/>
      <c r="C56" s="39"/>
      <c r="D56" s="14"/>
      <c r="E56" s="14"/>
      <c r="F56" s="21" t="e">
        <f t="shared" si="13"/>
        <v>#DIV/0!</v>
      </c>
      <c r="G56" s="2">
        <f t="shared" si="15"/>
        <v>0</v>
      </c>
      <c r="H56" s="2">
        <f t="shared" si="16"/>
        <v>0</v>
      </c>
      <c r="I56" s="3"/>
      <c r="J56" s="14"/>
      <c r="K56" s="21" t="e">
        <f t="shared" si="11"/>
        <v>#DIV/0!</v>
      </c>
      <c r="L56" s="22" t="e">
        <f t="shared" si="14"/>
        <v>#DIV/0!</v>
      </c>
      <c r="M56" s="5"/>
      <c r="N56" s="5"/>
      <c r="O56" s="14"/>
      <c r="P56" s="14"/>
      <c r="Q56" s="6"/>
    </row>
    <row r="57" spans="1:17">
      <c r="A57" s="13">
        <f t="shared" si="12"/>
        <v>46165</v>
      </c>
      <c r="B57" s="26"/>
      <c r="C57" s="39"/>
      <c r="D57" s="14"/>
      <c r="E57" s="14"/>
      <c r="F57" s="21" t="e">
        <f t="shared" si="13"/>
        <v>#DIV/0!</v>
      </c>
      <c r="G57" s="2">
        <f t="shared" si="15"/>
        <v>0</v>
      </c>
      <c r="H57" s="2">
        <f t="shared" si="16"/>
        <v>0</v>
      </c>
      <c r="I57" s="3"/>
      <c r="J57" s="14"/>
      <c r="K57" s="21" t="e">
        <f t="shared" si="11"/>
        <v>#DIV/0!</v>
      </c>
      <c r="L57" s="22" t="e">
        <f t="shared" si="14"/>
        <v>#DIV/0!</v>
      </c>
      <c r="M57" s="5"/>
      <c r="N57" s="5"/>
      <c r="O57" s="14"/>
      <c r="P57" s="14"/>
      <c r="Q57" s="6"/>
    </row>
    <row r="58" spans="1:17">
      <c r="A58" s="13">
        <f t="shared" si="12"/>
        <v>46166</v>
      </c>
      <c r="B58" s="26"/>
      <c r="C58" s="39"/>
      <c r="D58" s="14"/>
      <c r="E58" s="14"/>
      <c r="F58" s="21" t="e">
        <f t="shared" si="13"/>
        <v>#DIV/0!</v>
      </c>
      <c r="G58" s="2">
        <f t="shared" si="15"/>
        <v>0</v>
      </c>
      <c r="H58" s="2">
        <f t="shared" si="16"/>
        <v>0</v>
      </c>
      <c r="I58" s="3"/>
      <c r="J58" s="14"/>
      <c r="K58" s="21" t="e">
        <f t="shared" si="11"/>
        <v>#DIV/0!</v>
      </c>
      <c r="L58" s="22" t="e">
        <f t="shared" si="14"/>
        <v>#DIV/0!</v>
      </c>
      <c r="M58" s="5"/>
      <c r="N58" s="5"/>
      <c r="O58" s="14"/>
      <c r="P58" s="14"/>
      <c r="Q58" s="6"/>
    </row>
    <row r="59" spans="1:17">
      <c r="A59" s="13">
        <f t="shared" si="12"/>
        <v>46167</v>
      </c>
      <c r="B59" s="26"/>
      <c r="C59" s="39"/>
      <c r="D59" s="14"/>
      <c r="E59" s="14"/>
      <c r="F59" s="21" t="e">
        <f t="shared" si="13"/>
        <v>#DIV/0!</v>
      </c>
      <c r="G59" s="2">
        <f t="shared" si="15"/>
        <v>0</v>
      </c>
      <c r="H59" s="2">
        <f t="shared" si="16"/>
        <v>0</v>
      </c>
      <c r="I59" s="3"/>
      <c r="J59" s="14"/>
      <c r="K59" s="21" t="e">
        <f t="shared" si="11"/>
        <v>#DIV/0!</v>
      </c>
      <c r="L59" s="22" t="e">
        <f t="shared" si="14"/>
        <v>#DIV/0!</v>
      </c>
      <c r="M59" s="5"/>
      <c r="N59" s="5"/>
      <c r="O59" s="14"/>
      <c r="P59" s="14"/>
      <c r="Q59" s="6"/>
    </row>
    <row r="60" spans="1:17">
      <c r="A60" s="13">
        <f t="shared" si="12"/>
        <v>46168</v>
      </c>
      <c r="B60" s="26"/>
      <c r="C60" s="39"/>
      <c r="D60" s="14"/>
      <c r="E60" s="14"/>
      <c r="F60" s="21" t="e">
        <f t="shared" si="13"/>
        <v>#DIV/0!</v>
      </c>
      <c r="G60" s="2">
        <f t="shared" si="15"/>
        <v>0</v>
      </c>
      <c r="H60" s="2">
        <f t="shared" si="16"/>
        <v>0</v>
      </c>
      <c r="I60" s="3"/>
      <c r="J60" s="14"/>
      <c r="K60" s="21" t="e">
        <f t="shared" si="11"/>
        <v>#DIV/0!</v>
      </c>
      <c r="L60" s="22" t="e">
        <f t="shared" si="14"/>
        <v>#DIV/0!</v>
      </c>
      <c r="M60" s="5"/>
      <c r="N60" s="5"/>
      <c r="O60" s="14"/>
      <c r="P60" s="14"/>
      <c r="Q60" s="6"/>
    </row>
    <row r="61" spans="1:17">
      <c r="A61" s="13">
        <f t="shared" si="12"/>
        <v>46169</v>
      </c>
      <c r="B61" s="26"/>
      <c r="C61" s="39"/>
      <c r="D61" s="14"/>
      <c r="E61" s="14"/>
      <c r="F61" s="21" t="e">
        <f t="shared" si="13"/>
        <v>#DIV/0!</v>
      </c>
      <c r="G61" s="2">
        <f t="shared" si="15"/>
        <v>0</v>
      </c>
      <c r="H61" s="2">
        <f t="shared" si="16"/>
        <v>0</v>
      </c>
      <c r="I61" s="3"/>
      <c r="J61" s="14"/>
      <c r="K61" s="21" t="e">
        <f t="shared" si="11"/>
        <v>#DIV/0!</v>
      </c>
      <c r="L61" s="22" t="e">
        <f t="shared" si="14"/>
        <v>#DIV/0!</v>
      </c>
      <c r="M61" s="5"/>
      <c r="N61" s="5"/>
      <c r="O61" s="14"/>
      <c r="P61" s="14"/>
      <c r="Q61" s="6"/>
    </row>
    <row r="62" spans="1:17">
      <c r="A62" s="13">
        <f t="shared" si="12"/>
        <v>46170</v>
      </c>
      <c r="B62" s="26"/>
      <c r="C62" s="39"/>
      <c r="D62" s="14"/>
      <c r="E62" s="14"/>
      <c r="F62" s="21" t="e">
        <f t="shared" si="13"/>
        <v>#DIV/0!</v>
      </c>
      <c r="G62" s="2">
        <f t="shared" si="15"/>
        <v>0</v>
      </c>
      <c r="H62" s="2">
        <f t="shared" si="16"/>
        <v>0</v>
      </c>
      <c r="I62" s="3"/>
      <c r="J62" s="14"/>
      <c r="K62" s="21" t="e">
        <f t="shared" si="11"/>
        <v>#DIV/0!</v>
      </c>
      <c r="L62" s="22" t="e">
        <f t="shared" si="14"/>
        <v>#DIV/0!</v>
      </c>
      <c r="M62" s="5"/>
      <c r="N62" s="5"/>
      <c r="O62" s="14"/>
      <c r="P62" s="14"/>
      <c r="Q62" s="6"/>
    </row>
    <row r="63" spans="1:17">
      <c r="A63" s="13">
        <f t="shared" si="12"/>
        <v>46171</v>
      </c>
      <c r="B63" s="26"/>
      <c r="C63" s="39"/>
      <c r="D63" s="14"/>
      <c r="E63" s="14"/>
      <c r="F63" s="21" t="e">
        <f t="shared" si="13"/>
        <v>#DIV/0!</v>
      </c>
      <c r="G63" s="2">
        <f t="shared" si="15"/>
        <v>0</v>
      </c>
      <c r="H63" s="2">
        <f t="shared" si="16"/>
        <v>0</v>
      </c>
      <c r="I63" s="3"/>
      <c r="J63" s="14"/>
      <c r="K63" s="21" t="e">
        <f t="shared" si="11"/>
        <v>#DIV/0!</v>
      </c>
      <c r="L63" s="22" t="e">
        <f t="shared" si="14"/>
        <v>#DIV/0!</v>
      </c>
      <c r="M63" s="5"/>
      <c r="N63" s="5"/>
      <c r="O63" s="14"/>
      <c r="P63" s="14"/>
      <c r="Q63" s="6"/>
    </row>
    <row r="64" spans="1:17">
      <c r="A64" s="13">
        <f t="shared" si="12"/>
        <v>46172</v>
      </c>
      <c r="B64" s="26"/>
      <c r="C64" s="39"/>
      <c r="D64" s="14"/>
      <c r="E64" s="14"/>
      <c r="F64" s="21" t="e">
        <f t="shared" si="13"/>
        <v>#DIV/0!</v>
      </c>
      <c r="G64" s="2">
        <f t="shared" si="15"/>
        <v>0</v>
      </c>
      <c r="H64" s="2">
        <f t="shared" si="16"/>
        <v>0</v>
      </c>
      <c r="I64" s="3"/>
      <c r="J64" s="14"/>
      <c r="K64" s="21" t="e">
        <f t="shared" si="11"/>
        <v>#DIV/0!</v>
      </c>
      <c r="L64" s="22" t="e">
        <f t="shared" si="14"/>
        <v>#DIV/0!</v>
      </c>
      <c r="M64" s="5"/>
      <c r="N64" s="5"/>
      <c r="O64" s="14"/>
      <c r="P64" s="14"/>
      <c r="Q64" s="6"/>
    </row>
    <row r="65" spans="1:17">
      <c r="A65" s="13">
        <f t="shared" si="12"/>
        <v>46173</v>
      </c>
      <c r="B65" s="26"/>
      <c r="C65" s="39"/>
      <c r="D65" s="14"/>
      <c r="E65" s="14"/>
      <c r="F65" s="21" t="e">
        <f t="shared" si="13"/>
        <v>#DIV/0!</v>
      </c>
      <c r="G65" s="2">
        <f t="shared" ref="G65" si="17">D65/($D$2*24)</f>
        <v>0</v>
      </c>
      <c r="H65" s="2">
        <f t="shared" ref="H65" si="18">E65/($D$2*24)</f>
        <v>0</v>
      </c>
      <c r="I65" s="3"/>
      <c r="J65" s="14"/>
      <c r="K65" s="21" t="e">
        <f t="shared" si="11"/>
        <v>#DIV/0!</v>
      </c>
      <c r="L65" s="22" t="e">
        <f t="shared" si="14"/>
        <v>#DIV/0!</v>
      </c>
      <c r="M65" s="5"/>
      <c r="N65" s="5"/>
      <c r="O65" s="14"/>
      <c r="P65" s="14"/>
      <c r="Q65" s="6"/>
    </row>
    <row r="66" spans="1:17">
      <c r="A66" s="349">
        <v>46143</v>
      </c>
      <c r="B66" s="89">
        <f>SUM(B35:B65)</f>
        <v>387788</v>
      </c>
      <c r="C66" s="89">
        <f>SUM(C35:C65)</f>
        <v>383576</v>
      </c>
      <c r="D66" s="89">
        <f>SUM(D35:D65)</f>
        <v>330477</v>
      </c>
      <c r="E66" s="89">
        <f>SUM(E35:E65)</f>
        <v>323640</v>
      </c>
      <c r="F66" s="92">
        <f t="shared" si="13"/>
        <v>-0.15625586585187812</v>
      </c>
      <c r="G66" s="90">
        <f>AVERAGE(G35:G65)</f>
        <v>2.0941074899772396E-2</v>
      </c>
      <c r="H66" s="90">
        <f>AVERAGE(H35:H65)</f>
        <v>2.7761844758064515E-2</v>
      </c>
      <c r="I66" s="89">
        <f>SUM(I35:I65)</f>
        <v>22.6</v>
      </c>
      <c r="J66" s="89">
        <f>SUM(J35:J65)</f>
        <v>19.373000000000001</v>
      </c>
      <c r="K66" s="92">
        <f t="shared" si="11"/>
        <v>-0.14278761061946904</v>
      </c>
      <c r="L66" s="93">
        <f t="shared" si="14"/>
        <v>0.80422029243951176</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00DA-4257-4BD1-A24B-B8C0233D7BDB}">
  <dimension ref="A1:Q66"/>
  <sheetViews>
    <sheetView workbookViewId="0">
      <pane xSplit="1" ySplit="3" topLeftCell="B44" activePane="bottomRight" state="frozen"/>
      <selection pane="topRight"/>
      <selection pane="bottomLeft"/>
      <selection pane="bottomRight" activeCell="K66" sqref="K66"/>
    </sheetView>
  </sheetViews>
  <sheetFormatPr defaultRowHeight="14.5"/>
  <cols>
    <col min="1" max="1" width="10.81640625" bestFit="1" customWidth="1"/>
    <col min="2" max="2" width="9.7265625" bestFit="1" customWidth="1"/>
    <col min="3" max="3" width="10.1796875" bestFit="1" customWidth="1"/>
    <col min="4" max="5" width="9.7265625" bestFit="1" customWidth="1"/>
    <col min="6" max="6" width="12" bestFit="1" customWidth="1"/>
    <col min="7" max="8" width="6.7265625" bestFit="1" customWidth="1"/>
    <col min="9" max="9" width="10.1796875" bestFit="1" customWidth="1"/>
    <col min="10" max="10" width="9.7265625" bestFit="1" customWidth="1"/>
    <col min="11" max="11" width="9.179687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271</v>
      </c>
      <c r="B1" s="405"/>
      <c r="C1" s="405"/>
      <c r="D1" s="405"/>
      <c r="E1" s="405"/>
      <c r="F1" s="405"/>
      <c r="G1" s="405"/>
      <c r="H1" s="405"/>
      <c r="I1" s="405"/>
      <c r="J1" s="405"/>
      <c r="K1" s="405"/>
      <c r="L1" s="405"/>
      <c r="M1" s="405"/>
      <c r="N1" s="405"/>
      <c r="O1" s="405"/>
      <c r="P1" s="405"/>
      <c r="Q1" s="405"/>
    </row>
    <row r="2" spans="1:17" ht="18.5">
      <c r="A2" s="7">
        <v>46113</v>
      </c>
      <c r="B2" s="407" t="s">
        <v>172</v>
      </c>
      <c r="C2" s="407"/>
      <c r="D2" s="8">
        <v>12000.6</v>
      </c>
      <c r="E2" s="407" t="s">
        <v>173</v>
      </c>
      <c r="F2" s="407"/>
      <c r="G2" s="407"/>
      <c r="H2" s="8">
        <v>9000</v>
      </c>
      <c r="I2" s="409" t="s">
        <v>174</v>
      </c>
      <c r="J2" s="409"/>
      <c r="K2" s="9" t="s">
        <v>272</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f t="shared" ref="B4:B27" si="0">C4/(I4*$D$2)*J4*$D$2</f>
        <v>66459.638463396186</v>
      </c>
      <c r="C4" s="87">
        <v>56649.858005944698</v>
      </c>
      <c r="D4" s="31">
        <v>68918.600000000006</v>
      </c>
      <c r="E4" s="49">
        <v>66744</v>
      </c>
      <c r="F4" s="97">
        <f t="shared" ref="F4:F35" si="1">(IF(ISBLANK(E4),0,E4-C4))/C4</f>
        <v>0.17818477131921581</v>
      </c>
      <c r="G4" s="95">
        <f t="shared" ref="G4:G27" si="2">D4/($D$2*24)</f>
        <v>0.23928873000794404</v>
      </c>
      <c r="H4" s="2">
        <f t="shared" ref="H4:H21" si="3">D4/($H$2*24)</f>
        <v>0.3190675925925926</v>
      </c>
      <c r="I4" s="86">
        <v>5.8133333333333299</v>
      </c>
      <c r="J4" s="31">
        <v>6.82</v>
      </c>
      <c r="K4" s="94">
        <f t="shared" ref="K4:K35" si="4">(IF(ISBLANK(J4),0,J4-I4))/I4</f>
        <v>0.17316513761467964</v>
      </c>
      <c r="L4" s="96">
        <f t="shared" ref="L4:L34" si="5">D4/($D$2*J4)</f>
        <v>0.84207177715405535</v>
      </c>
      <c r="M4" s="67">
        <v>1</v>
      </c>
      <c r="N4" s="68">
        <v>1</v>
      </c>
      <c r="O4" s="49">
        <v>0</v>
      </c>
      <c r="P4" s="49">
        <v>0</v>
      </c>
      <c r="Q4" s="31" t="s">
        <v>175</v>
      </c>
    </row>
    <row r="5" spans="1:17">
      <c r="A5" s="13">
        <f>A4+1</f>
        <v>46114</v>
      </c>
      <c r="B5" s="1">
        <f t="shared" si="0"/>
        <v>73378.457130406634</v>
      </c>
      <c r="C5" s="87">
        <v>56649.858005944698</v>
      </c>
      <c r="D5" s="32">
        <v>73438.600000000006</v>
      </c>
      <c r="E5" s="50">
        <v>71172</v>
      </c>
      <c r="F5" s="97">
        <f t="shared" si="1"/>
        <v>0.25634913317049063</v>
      </c>
      <c r="G5" s="95">
        <f t="shared" si="2"/>
        <v>0.25498238976940041</v>
      </c>
      <c r="H5" s="2">
        <f t="shared" si="3"/>
        <v>0.33999351851851856</v>
      </c>
      <c r="I5" s="86">
        <v>5.8133333333333299</v>
      </c>
      <c r="J5" s="32">
        <v>7.53</v>
      </c>
      <c r="K5" s="97">
        <f t="shared" si="4"/>
        <v>0.29529816513761548</v>
      </c>
      <c r="L5" s="96">
        <f t="shared" si="5"/>
        <v>0.81269287575904514</v>
      </c>
      <c r="M5" s="63">
        <v>1</v>
      </c>
      <c r="N5" s="66">
        <v>1</v>
      </c>
      <c r="O5" s="50">
        <v>0</v>
      </c>
      <c r="P5" s="50">
        <v>0</v>
      </c>
      <c r="Q5" s="32" t="s">
        <v>175</v>
      </c>
    </row>
    <row r="6" spans="1:17">
      <c r="A6" s="13">
        <f t="shared" ref="A6:A33" si="6">A5+1</f>
        <v>46115</v>
      </c>
      <c r="B6" s="1">
        <f t="shared" si="0"/>
        <v>64023.434707406588</v>
      </c>
      <c r="C6" s="87">
        <v>56649.858005944698</v>
      </c>
      <c r="D6" s="32">
        <v>65550.3</v>
      </c>
      <c r="E6" s="50">
        <v>63504</v>
      </c>
      <c r="F6" s="97">
        <f t="shared" si="1"/>
        <v>0.12099133581828299</v>
      </c>
      <c r="G6" s="95">
        <f t="shared" si="2"/>
        <v>0.22759382864190122</v>
      </c>
      <c r="H6" s="2">
        <f t="shared" si="3"/>
        <v>0.30347361111111115</v>
      </c>
      <c r="I6" s="86">
        <v>5.8133333333333299</v>
      </c>
      <c r="J6" s="32">
        <v>6.57</v>
      </c>
      <c r="K6" s="97">
        <f t="shared" si="4"/>
        <v>0.1301605504587163</v>
      </c>
      <c r="L6" s="96">
        <f t="shared" si="5"/>
        <v>0.83139298134027839</v>
      </c>
      <c r="M6" s="63">
        <v>1</v>
      </c>
      <c r="N6" s="66">
        <v>1</v>
      </c>
      <c r="O6" s="50">
        <v>0</v>
      </c>
      <c r="P6" s="50">
        <v>0</v>
      </c>
      <c r="Q6" s="32" t="s">
        <v>175</v>
      </c>
    </row>
    <row r="7" spans="1:17">
      <c r="A7" s="13">
        <f t="shared" si="6"/>
        <v>46116</v>
      </c>
      <c r="B7" s="1">
        <f t="shared" si="0"/>
        <v>43851.667607812728</v>
      </c>
      <c r="C7" s="87">
        <v>56649.858005944698</v>
      </c>
      <c r="D7" s="32">
        <v>48142.3</v>
      </c>
      <c r="E7" s="50">
        <v>46764</v>
      </c>
      <c r="F7" s="97">
        <f t="shared" si="1"/>
        <v>-0.1745080809365365</v>
      </c>
      <c r="G7" s="95">
        <f t="shared" si="2"/>
        <v>0.16715240626857544</v>
      </c>
      <c r="H7" s="2">
        <f t="shared" si="3"/>
        <v>0.22288101851851852</v>
      </c>
      <c r="I7" s="86">
        <v>5.8133333333333299</v>
      </c>
      <c r="J7" s="32">
        <v>4.5</v>
      </c>
      <c r="K7" s="97">
        <f t="shared" si="4"/>
        <v>-0.22591743119266008</v>
      </c>
      <c r="L7" s="96">
        <f t="shared" si="5"/>
        <v>0.89147950009906907</v>
      </c>
      <c r="M7" s="63">
        <v>1</v>
      </c>
      <c r="N7" s="66">
        <v>1</v>
      </c>
      <c r="O7" s="50">
        <v>0</v>
      </c>
      <c r="P7" s="50">
        <v>0</v>
      </c>
      <c r="Q7" s="32" t="s">
        <v>175</v>
      </c>
    </row>
    <row r="8" spans="1:17">
      <c r="A8" s="13">
        <f t="shared" si="6"/>
        <v>46117</v>
      </c>
      <c r="B8" s="1">
        <f t="shared" si="0"/>
        <v>50770.486274823183</v>
      </c>
      <c r="C8" s="87">
        <v>56649.858005944698</v>
      </c>
      <c r="D8" s="32">
        <v>52368.800000000003</v>
      </c>
      <c r="E8" s="50">
        <v>50868</v>
      </c>
      <c r="F8" s="97">
        <f t="shared" si="1"/>
        <v>-0.10206306263535495</v>
      </c>
      <c r="G8" s="95">
        <f t="shared" si="2"/>
        <v>0.18182701976012311</v>
      </c>
      <c r="H8" s="2">
        <f t="shared" si="3"/>
        <v>0.24244814814814816</v>
      </c>
      <c r="I8" s="86">
        <v>5.8133333333333299</v>
      </c>
      <c r="J8" s="32">
        <v>5.21</v>
      </c>
      <c r="K8" s="97">
        <f t="shared" si="4"/>
        <v>-0.10378440366972425</v>
      </c>
      <c r="L8" s="96">
        <f t="shared" si="5"/>
        <v>0.83759087797369569</v>
      </c>
      <c r="M8" s="63">
        <v>1</v>
      </c>
      <c r="N8" s="66">
        <v>1</v>
      </c>
      <c r="O8" s="50">
        <v>0</v>
      </c>
      <c r="P8" s="50">
        <v>0</v>
      </c>
      <c r="Q8" s="32" t="s">
        <v>175</v>
      </c>
    </row>
    <row r="9" spans="1:17">
      <c r="A9" s="13">
        <f t="shared" si="6"/>
        <v>46118</v>
      </c>
      <c r="B9" s="1">
        <f t="shared" si="0"/>
        <v>32060.441428823087</v>
      </c>
      <c r="C9" s="87">
        <v>56649.858005944698</v>
      </c>
      <c r="D9" s="32">
        <v>35875.199999999997</v>
      </c>
      <c r="E9" s="50">
        <v>34884</v>
      </c>
      <c r="F9" s="97">
        <f t="shared" si="1"/>
        <v>-0.38421734443995681</v>
      </c>
      <c r="G9" s="95">
        <f t="shared" si="2"/>
        <v>0.12456043864473441</v>
      </c>
      <c r="H9" s="2">
        <f t="shared" si="3"/>
        <v>0.16608888888888887</v>
      </c>
      <c r="I9" s="86">
        <v>5.8133333333333299</v>
      </c>
      <c r="J9" s="32">
        <v>3.29</v>
      </c>
      <c r="K9" s="97">
        <f t="shared" si="4"/>
        <v>-0.4340596330275226</v>
      </c>
      <c r="L9" s="96">
        <f t="shared" si="5"/>
        <v>0.90864757673970398</v>
      </c>
      <c r="M9" s="63">
        <v>1</v>
      </c>
      <c r="N9" s="66">
        <v>1</v>
      </c>
      <c r="O9" s="50">
        <v>0</v>
      </c>
      <c r="P9" s="50">
        <v>0</v>
      </c>
      <c r="Q9" s="32" t="s">
        <v>175</v>
      </c>
    </row>
    <row r="10" spans="1:17">
      <c r="A10" s="13">
        <f t="shared" si="6"/>
        <v>46119</v>
      </c>
      <c r="B10" s="1">
        <f t="shared" si="0"/>
        <v>54278.619683448203</v>
      </c>
      <c r="C10" s="87">
        <v>56649.858005944698</v>
      </c>
      <c r="D10" s="32">
        <v>57074.400000000001</v>
      </c>
      <c r="E10" s="50">
        <v>55620</v>
      </c>
      <c r="F10" s="97">
        <f t="shared" si="1"/>
        <v>-1.8179357233986834E-2</v>
      </c>
      <c r="G10" s="95">
        <f t="shared" si="2"/>
        <v>0.19816509174541272</v>
      </c>
      <c r="H10" s="2">
        <f t="shared" si="3"/>
        <v>0.26423333333333332</v>
      </c>
      <c r="I10" s="86">
        <v>5.8133333333333299</v>
      </c>
      <c r="J10" s="32">
        <v>5.57</v>
      </c>
      <c r="K10" s="97">
        <f t="shared" si="4"/>
        <v>-4.1857798165137003E-2</v>
      </c>
      <c r="L10" s="96">
        <f t="shared" si="5"/>
        <v>0.85385317807718231</v>
      </c>
      <c r="M10" s="63">
        <v>1</v>
      </c>
      <c r="N10" s="66">
        <v>1</v>
      </c>
      <c r="O10" s="50">
        <v>0</v>
      </c>
      <c r="P10" s="50">
        <v>0</v>
      </c>
      <c r="Q10" s="32" t="s">
        <v>175</v>
      </c>
    </row>
    <row r="11" spans="1:17">
      <c r="A11" s="13">
        <f t="shared" si="6"/>
        <v>46120</v>
      </c>
      <c r="B11" s="1">
        <f t="shared" si="0"/>
        <v>55545.445636562792</v>
      </c>
      <c r="C11" s="87">
        <v>56649.858005944698</v>
      </c>
      <c r="D11" s="32">
        <v>57425.7</v>
      </c>
      <c r="E11" s="50">
        <v>55728</v>
      </c>
      <c r="F11" s="97">
        <f t="shared" si="1"/>
        <v>-1.6272909383955741E-2</v>
      </c>
      <c r="G11" s="95">
        <f t="shared" si="2"/>
        <v>0.19938482242554537</v>
      </c>
      <c r="H11" s="2">
        <f t="shared" si="3"/>
        <v>0.26585972222222221</v>
      </c>
      <c r="I11" s="86">
        <v>5.8133333333333299</v>
      </c>
      <c r="J11" s="32">
        <v>5.7</v>
      </c>
      <c r="K11" s="97">
        <f t="shared" si="4"/>
        <v>-1.9495412844036091E-2</v>
      </c>
      <c r="L11" s="96">
        <f t="shared" si="5"/>
        <v>0.83951504179177006</v>
      </c>
      <c r="M11" s="63">
        <v>1</v>
      </c>
      <c r="N11" s="66">
        <v>0.97440000000000004</v>
      </c>
      <c r="O11" s="50">
        <v>1462</v>
      </c>
      <c r="P11" s="50">
        <v>0</v>
      </c>
      <c r="Q11" s="32" t="s">
        <v>273</v>
      </c>
    </row>
    <row r="12" spans="1:17">
      <c r="A12" s="13">
        <f t="shared" si="6"/>
        <v>46121</v>
      </c>
      <c r="B12" s="1">
        <f t="shared" si="0"/>
        <v>61099.990200219065</v>
      </c>
      <c r="C12" s="87">
        <v>56649.858005944698</v>
      </c>
      <c r="D12" s="32">
        <v>63058.3</v>
      </c>
      <c r="E12" s="50">
        <v>61236</v>
      </c>
      <c r="F12" s="97">
        <f t="shared" si="1"/>
        <v>8.0955930967630027E-2</v>
      </c>
      <c r="G12" s="95">
        <f t="shared" si="2"/>
        <v>0.21894148348138148</v>
      </c>
      <c r="H12" s="2">
        <f t="shared" si="3"/>
        <v>0.29193657407407408</v>
      </c>
      <c r="I12" s="86">
        <v>5.8133333333333299</v>
      </c>
      <c r="J12" s="32">
        <v>6.27</v>
      </c>
      <c r="K12" s="97">
        <f t="shared" si="4"/>
        <v>7.8555045871560189E-2</v>
      </c>
      <c r="L12" s="96">
        <f t="shared" si="5"/>
        <v>0.8380535252875847</v>
      </c>
      <c r="M12" s="63">
        <v>1</v>
      </c>
      <c r="N12" s="66">
        <v>1</v>
      </c>
      <c r="O12" s="50">
        <v>0</v>
      </c>
      <c r="P12" s="50">
        <v>0</v>
      </c>
      <c r="Q12" s="32" t="s">
        <v>175</v>
      </c>
    </row>
    <row r="13" spans="1:17">
      <c r="A13" s="13">
        <f t="shared" si="6"/>
        <v>46122</v>
      </c>
      <c r="B13" s="1">
        <f t="shared" si="0"/>
        <v>65095.364360042004</v>
      </c>
      <c r="C13" s="87">
        <v>56649.858005944698</v>
      </c>
      <c r="D13" s="32">
        <v>67394.100000000006</v>
      </c>
      <c r="E13" s="50">
        <v>65340</v>
      </c>
      <c r="F13" s="97">
        <f t="shared" si="1"/>
        <v>0.15340094926881159</v>
      </c>
      <c r="G13" s="95">
        <f t="shared" si="2"/>
        <v>0.23399559188707231</v>
      </c>
      <c r="H13" s="2">
        <f t="shared" si="3"/>
        <v>0.31200972222222223</v>
      </c>
      <c r="I13" s="86">
        <v>5.8133333333333299</v>
      </c>
      <c r="J13" s="32">
        <v>6.68</v>
      </c>
      <c r="K13" s="97">
        <f t="shared" si="4"/>
        <v>0.14908256880734008</v>
      </c>
      <c r="L13" s="96">
        <f t="shared" si="5"/>
        <v>0.84070272534277479</v>
      </c>
      <c r="M13" s="63">
        <v>1</v>
      </c>
      <c r="N13" s="66">
        <v>1</v>
      </c>
      <c r="O13" s="50">
        <v>0</v>
      </c>
      <c r="P13" s="50">
        <v>0</v>
      </c>
      <c r="Q13" s="32" t="s">
        <v>175</v>
      </c>
    </row>
    <row r="14" spans="1:17">
      <c r="A14" s="13">
        <f t="shared" si="6"/>
        <v>46123</v>
      </c>
      <c r="B14" s="1">
        <f t="shared" si="0"/>
        <v>59443.371646146137</v>
      </c>
      <c r="C14" s="87">
        <v>56649.858005944698</v>
      </c>
      <c r="D14" s="32">
        <v>61326.2</v>
      </c>
      <c r="E14" s="50">
        <v>59616</v>
      </c>
      <c r="F14" s="97">
        <f t="shared" si="1"/>
        <v>5.2359213217163629E-2</v>
      </c>
      <c r="G14" s="95">
        <f t="shared" si="2"/>
        <v>0.21292754806704106</v>
      </c>
      <c r="H14" s="2">
        <f t="shared" si="3"/>
        <v>0.28391759259259258</v>
      </c>
      <c r="I14" s="86">
        <v>5.8133333333333299</v>
      </c>
      <c r="J14" s="32">
        <v>6.1</v>
      </c>
      <c r="K14" s="97">
        <f t="shared" si="4"/>
        <v>4.9311926605505145E-2</v>
      </c>
      <c r="L14" s="96">
        <f t="shared" si="5"/>
        <v>0.83774773009983372</v>
      </c>
      <c r="M14" s="63">
        <v>1</v>
      </c>
      <c r="N14" s="66">
        <v>1</v>
      </c>
      <c r="O14" s="50">
        <v>0</v>
      </c>
      <c r="P14" s="50">
        <v>0</v>
      </c>
      <c r="Q14" s="32" t="s">
        <v>175</v>
      </c>
    </row>
    <row r="15" spans="1:17">
      <c r="A15" s="13">
        <f t="shared" si="6"/>
        <v>46124</v>
      </c>
      <c r="B15" s="1">
        <f t="shared" si="0"/>
        <v>61197.438350458659</v>
      </c>
      <c r="C15" s="87">
        <v>56649.858005944698</v>
      </c>
      <c r="D15" s="32">
        <v>63258.2</v>
      </c>
      <c r="E15" s="50">
        <v>61344</v>
      </c>
      <c r="F15" s="97">
        <f t="shared" si="1"/>
        <v>8.286237881766112E-2</v>
      </c>
      <c r="G15" s="95">
        <f t="shared" si="2"/>
        <v>0.21963554600047772</v>
      </c>
      <c r="H15" s="2">
        <f t="shared" si="3"/>
        <v>0.292862037037037</v>
      </c>
      <c r="I15" s="86">
        <v>5.8133333333333299</v>
      </c>
      <c r="J15" s="32">
        <v>6.28</v>
      </c>
      <c r="K15" s="97">
        <f t="shared" si="4"/>
        <v>8.027522935779885E-2</v>
      </c>
      <c r="L15" s="96">
        <f t="shared" si="5"/>
        <v>0.83937151337762184</v>
      </c>
      <c r="M15" s="63">
        <v>1</v>
      </c>
      <c r="N15" s="66">
        <v>1</v>
      </c>
      <c r="O15" s="50">
        <v>0</v>
      </c>
      <c r="P15" s="50">
        <v>0</v>
      </c>
      <c r="Q15" s="32" t="s">
        <v>175</v>
      </c>
    </row>
    <row r="16" spans="1:17">
      <c r="A16" s="13">
        <f t="shared" si="6"/>
        <v>46125</v>
      </c>
      <c r="B16" s="1">
        <f t="shared" si="0"/>
        <v>66946.879214594097</v>
      </c>
      <c r="C16" s="87">
        <v>56649.858005944698</v>
      </c>
      <c r="D16" s="32">
        <v>68829.899999999994</v>
      </c>
      <c r="E16" s="50">
        <v>66744</v>
      </c>
      <c r="F16" s="97">
        <f t="shared" si="1"/>
        <v>0.17818477131921581</v>
      </c>
      <c r="G16" s="95">
        <f t="shared" si="2"/>
        <v>0.23898075929536852</v>
      </c>
      <c r="H16" s="2">
        <f t="shared" si="3"/>
        <v>0.31865694444444442</v>
      </c>
      <c r="I16" s="86">
        <v>5.8133333333333299</v>
      </c>
      <c r="J16" s="32">
        <v>6.87</v>
      </c>
      <c r="K16" s="97">
        <f t="shared" si="4"/>
        <v>0.18176605504587226</v>
      </c>
      <c r="L16" s="96">
        <f t="shared" si="5"/>
        <v>0.83486728138120014</v>
      </c>
      <c r="M16" s="63">
        <v>1</v>
      </c>
      <c r="N16" s="66">
        <v>1</v>
      </c>
      <c r="O16" s="50">
        <v>0</v>
      </c>
      <c r="P16" s="50">
        <v>0</v>
      </c>
      <c r="Q16" s="32" t="s">
        <v>175</v>
      </c>
    </row>
    <row r="17" spans="1:17">
      <c r="A17" s="13">
        <f t="shared" si="6"/>
        <v>46126</v>
      </c>
      <c r="B17" s="1">
        <f t="shared" si="0"/>
        <v>64023.434707406588</v>
      </c>
      <c r="C17" s="87">
        <v>56649.858005944698</v>
      </c>
      <c r="D17" s="32">
        <v>66335.8</v>
      </c>
      <c r="E17" s="50">
        <v>64368</v>
      </c>
      <c r="F17" s="97">
        <f t="shared" si="1"/>
        <v>0.13624291861853174</v>
      </c>
      <c r="G17" s="95">
        <f t="shared" si="2"/>
        <v>0.23032112283274725</v>
      </c>
      <c r="H17" s="2">
        <f t="shared" si="3"/>
        <v>0.30711018518518518</v>
      </c>
      <c r="I17" s="86">
        <v>5.8133333333333299</v>
      </c>
      <c r="J17" s="32">
        <v>6.57</v>
      </c>
      <c r="K17" s="97">
        <f t="shared" si="4"/>
        <v>0.1301605504587163</v>
      </c>
      <c r="L17" s="96">
        <f t="shared" si="5"/>
        <v>0.84135569984565195</v>
      </c>
      <c r="M17" s="63">
        <v>1</v>
      </c>
      <c r="N17" s="66">
        <v>1</v>
      </c>
      <c r="O17" s="50">
        <v>0</v>
      </c>
      <c r="P17" s="50">
        <v>0</v>
      </c>
      <c r="Q17" s="32" t="s">
        <v>175</v>
      </c>
    </row>
    <row r="18" spans="1:17">
      <c r="A18" s="13">
        <f t="shared" si="6"/>
        <v>46127</v>
      </c>
      <c r="B18" s="1">
        <f t="shared" si="0"/>
        <v>67044.327364833691</v>
      </c>
      <c r="C18" s="87">
        <v>56649.858005944698</v>
      </c>
      <c r="D18" s="32">
        <v>67512.2</v>
      </c>
      <c r="E18" s="50">
        <v>65448</v>
      </c>
      <c r="F18" s="97">
        <f t="shared" si="1"/>
        <v>0.15530739711884267</v>
      </c>
      <c r="G18" s="95">
        <f t="shared" si="2"/>
        <v>0.23440564082906962</v>
      </c>
      <c r="H18" s="2">
        <f t="shared" si="3"/>
        <v>0.31255648148148146</v>
      </c>
      <c r="I18" s="86">
        <v>5.8133333333333299</v>
      </c>
      <c r="J18" s="32">
        <v>6.88</v>
      </c>
      <c r="K18" s="97">
        <f t="shared" si="4"/>
        <v>0.18348623853211077</v>
      </c>
      <c r="L18" s="96">
        <f t="shared" si="5"/>
        <v>0.81769409591535924</v>
      </c>
      <c r="M18" s="63">
        <v>1</v>
      </c>
      <c r="N18" s="66">
        <v>0.99029999999999996</v>
      </c>
      <c r="O18" s="50">
        <v>390</v>
      </c>
      <c r="P18" s="50">
        <v>0</v>
      </c>
      <c r="Q18" s="32" t="s">
        <v>274</v>
      </c>
    </row>
    <row r="19" spans="1:17">
      <c r="A19" s="13">
        <f t="shared" si="6"/>
        <v>46128</v>
      </c>
      <c r="B19" s="1">
        <f t="shared" si="0"/>
        <v>62171.919852854495</v>
      </c>
      <c r="C19" s="87">
        <v>56649.858005944698</v>
      </c>
      <c r="D19" s="32">
        <v>66359.5</v>
      </c>
      <c r="E19" s="50">
        <v>64260</v>
      </c>
      <c r="F19" s="97">
        <f t="shared" si="1"/>
        <v>0.13433647076850064</v>
      </c>
      <c r="G19" s="95">
        <f t="shared" si="2"/>
        <v>0.23040341038503628</v>
      </c>
      <c r="H19" s="2">
        <f t="shared" si="3"/>
        <v>0.3072199074074074</v>
      </c>
      <c r="I19" s="86">
        <v>5.8133333333333299</v>
      </c>
      <c r="J19" s="32">
        <v>6.38</v>
      </c>
      <c r="K19" s="97">
        <f t="shared" si="4"/>
        <v>9.7477064220184109E-2</v>
      </c>
      <c r="L19" s="96">
        <f t="shared" si="5"/>
        <v>0.86672129298446265</v>
      </c>
      <c r="M19" s="63">
        <v>1</v>
      </c>
      <c r="N19" s="66">
        <v>1</v>
      </c>
      <c r="O19" s="50">
        <v>0</v>
      </c>
      <c r="P19" s="50">
        <v>0</v>
      </c>
      <c r="Q19" s="32" t="s">
        <v>175</v>
      </c>
    </row>
    <row r="20" spans="1:17">
      <c r="A20" s="13">
        <f t="shared" si="6"/>
        <v>46129</v>
      </c>
      <c r="B20" s="1">
        <f t="shared" si="0"/>
        <v>55058.204885364867</v>
      </c>
      <c r="C20" s="87">
        <v>56649.858005944698</v>
      </c>
      <c r="D20" s="32">
        <v>57913.2</v>
      </c>
      <c r="E20" s="50">
        <v>56268</v>
      </c>
      <c r="F20" s="97">
        <f t="shared" si="1"/>
        <v>-6.7406701338002719E-3</v>
      </c>
      <c r="G20" s="95">
        <f t="shared" si="2"/>
        <v>0.2010774461276936</v>
      </c>
      <c r="H20" s="2">
        <f t="shared" si="3"/>
        <v>0.26811666666666667</v>
      </c>
      <c r="I20" s="86">
        <v>5.8133333333333299</v>
      </c>
      <c r="J20" s="32">
        <v>5.65</v>
      </c>
      <c r="K20" s="97">
        <f t="shared" si="4"/>
        <v>-2.8096330275228724E-2</v>
      </c>
      <c r="L20" s="96">
        <f t="shared" si="5"/>
        <v>0.85413428443622064</v>
      </c>
      <c r="M20" s="63">
        <v>1</v>
      </c>
      <c r="N20" s="66">
        <v>1</v>
      </c>
      <c r="O20" s="50">
        <v>0</v>
      </c>
      <c r="P20" s="50">
        <v>0</v>
      </c>
      <c r="Q20" s="32" t="s">
        <v>175</v>
      </c>
    </row>
    <row r="21" spans="1:17">
      <c r="A21" s="13">
        <f t="shared" si="6"/>
        <v>46130</v>
      </c>
      <c r="B21" s="1">
        <f t="shared" si="0"/>
        <v>63438.745805969076</v>
      </c>
      <c r="C21" s="87">
        <v>56649.858005944698</v>
      </c>
      <c r="D21" s="32">
        <v>65633.899999999994</v>
      </c>
      <c r="E21" s="50">
        <v>63612</v>
      </c>
      <c r="F21" s="97">
        <f t="shared" si="1"/>
        <v>0.12289778366831408</v>
      </c>
      <c r="G21" s="95">
        <f t="shared" si="2"/>
        <v>0.22788409190651573</v>
      </c>
      <c r="H21" s="2">
        <f t="shared" si="3"/>
        <v>0.30386064814814812</v>
      </c>
      <c r="I21" s="86">
        <v>5.8133333333333299</v>
      </c>
      <c r="J21" s="32">
        <v>6.51</v>
      </c>
      <c r="K21" s="97">
        <f t="shared" si="4"/>
        <v>0.11983944954128503</v>
      </c>
      <c r="L21" s="96">
        <f t="shared" si="5"/>
        <v>0.84012568444798441</v>
      </c>
      <c r="M21" s="63">
        <v>1</v>
      </c>
      <c r="N21" s="66">
        <v>1</v>
      </c>
      <c r="O21" s="50">
        <v>0</v>
      </c>
      <c r="P21" s="50">
        <v>0</v>
      </c>
      <c r="Q21" s="32" t="s">
        <v>175</v>
      </c>
    </row>
    <row r="22" spans="1:17">
      <c r="A22" s="13">
        <f t="shared" si="6"/>
        <v>46131</v>
      </c>
      <c r="B22" s="1">
        <f t="shared" si="0"/>
        <v>68213.705167708686</v>
      </c>
      <c r="C22" s="87">
        <v>56649.858005944698</v>
      </c>
      <c r="D22" s="32">
        <v>68710</v>
      </c>
      <c r="E22" s="50">
        <v>66636</v>
      </c>
      <c r="F22" s="97">
        <f t="shared" si="1"/>
        <v>0.17627832346918471</v>
      </c>
      <c r="G22" s="95">
        <f t="shared" si="2"/>
        <v>0.23856446066585557</v>
      </c>
      <c r="H22" s="2">
        <f t="shared" ref="H22:H27" si="7">E22/($D$2*24)</f>
        <v>0.23136343182840857</v>
      </c>
      <c r="I22" s="86">
        <v>5.8133333333333299</v>
      </c>
      <c r="J22" s="32">
        <v>7</v>
      </c>
      <c r="K22" s="97">
        <f t="shared" si="4"/>
        <v>0.2041284403669732</v>
      </c>
      <c r="L22" s="96">
        <f t="shared" si="5"/>
        <v>0.81793529371150497</v>
      </c>
      <c r="M22" s="63">
        <v>1</v>
      </c>
      <c r="N22" s="66">
        <v>1</v>
      </c>
      <c r="O22" s="50">
        <v>0</v>
      </c>
      <c r="P22" s="50">
        <v>0</v>
      </c>
      <c r="Q22" s="32" t="s">
        <v>175</v>
      </c>
    </row>
    <row r="23" spans="1:17">
      <c r="A23" s="13">
        <f t="shared" si="6"/>
        <v>46132</v>
      </c>
      <c r="B23" s="1">
        <f t="shared" si="0"/>
        <v>70162.668172500373</v>
      </c>
      <c r="C23" s="87">
        <v>56649.858005944698</v>
      </c>
      <c r="D23" s="32">
        <v>68889.899999999994</v>
      </c>
      <c r="E23" s="50">
        <v>66744</v>
      </c>
      <c r="F23" s="97">
        <f t="shared" si="1"/>
        <v>0.17818477131921581</v>
      </c>
      <c r="G23" s="95">
        <f t="shared" si="2"/>
        <v>0.239189082212556</v>
      </c>
      <c r="H23" s="2">
        <f t="shared" si="7"/>
        <v>0.23173841307934601</v>
      </c>
      <c r="I23" s="86">
        <v>5.8133333333333299</v>
      </c>
      <c r="J23" s="32">
        <v>7.2</v>
      </c>
      <c r="K23" s="97">
        <f t="shared" si="4"/>
        <v>0.23853211009174388</v>
      </c>
      <c r="L23" s="96">
        <f t="shared" si="5"/>
        <v>0.79729694070851997</v>
      </c>
      <c r="M23" s="63">
        <v>1</v>
      </c>
      <c r="N23" s="66">
        <v>1</v>
      </c>
      <c r="O23" s="50">
        <v>0</v>
      </c>
      <c r="P23" s="50">
        <v>0</v>
      </c>
      <c r="Q23" s="32" t="s">
        <v>175</v>
      </c>
    </row>
    <row r="24" spans="1:17">
      <c r="A24" s="13">
        <f t="shared" si="6"/>
        <v>46133</v>
      </c>
      <c r="B24" s="1">
        <f t="shared" si="0"/>
        <v>63146.401355250338</v>
      </c>
      <c r="C24" s="87">
        <v>56649.858005944698</v>
      </c>
      <c r="D24" s="32">
        <v>65201.3</v>
      </c>
      <c r="E24" s="50">
        <v>63180</v>
      </c>
      <c r="F24" s="97">
        <f t="shared" si="1"/>
        <v>0.11527199226818971</v>
      </c>
      <c r="G24" s="95">
        <f t="shared" si="2"/>
        <v>0.22638208367359408</v>
      </c>
      <c r="H24" s="2">
        <f t="shared" si="7"/>
        <v>0.21936403179841008</v>
      </c>
      <c r="I24" s="86">
        <v>5.8133333333333299</v>
      </c>
      <c r="J24" s="32">
        <v>6.48</v>
      </c>
      <c r="K24" s="97">
        <f t="shared" si="4"/>
        <v>0.11467889908256954</v>
      </c>
      <c r="L24" s="96">
        <f t="shared" si="5"/>
        <v>0.83845216175405224</v>
      </c>
      <c r="M24" s="63">
        <v>1</v>
      </c>
      <c r="N24" s="66">
        <v>1</v>
      </c>
      <c r="O24" s="50">
        <v>0</v>
      </c>
      <c r="P24" s="50">
        <v>0</v>
      </c>
      <c r="Q24" s="32" t="s">
        <v>175</v>
      </c>
    </row>
    <row r="25" spans="1:17">
      <c r="A25" s="13">
        <f t="shared" si="6"/>
        <v>46134</v>
      </c>
      <c r="B25" s="1">
        <f t="shared" si="0"/>
        <v>62756.608754291992</v>
      </c>
      <c r="C25" s="87">
        <v>56649.858005944698</v>
      </c>
      <c r="D25" s="32">
        <v>63354</v>
      </c>
      <c r="E25" s="50">
        <v>61452</v>
      </c>
      <c r="F25" s="97">
        <f t="shared" si="1"/>
        <v>8.4768826667692213E-2</v>
      </c>
      <c r="G25" s="95">
        <f t="shared" si="2"/>
        <v>0.21996816825825374</v>
      </c>
      <c r="H25" s="2">
        <f t="shared" si="7"/>
        <v>0.2133643317834108</v>
      </c>
      <c r="I25" s="86">
        <v>5.8133333333333299</v>
      </c>
      <c r="J25" s="32">
        <v>6.44</v>
      </c>
      <c r="K25" s="97">
        <f t="shared" si="4"/>
        <v>0.10779816513761539</v>
      </c>
      <c r="L25" s="96">
        <f t="shared" si="5"/>
        <v>0.81975714878852324</v>
      </c>
      <c r="M25" s="63">
        <v>1</v>
      </c>
      <c r="N25" s="66">
        <v>1</v>
      </c>
      <c r="O25" s="50">
        <v>0</v>
      </c>
      <c r="P25" s="50">
        <v>0</v>
      </c>
      <c r="Q25" s="32" t="s">
        <v>175</v>
      </c>
    </row>
    <row r="26" spans="1:17">
      <c r="A26" s="13">
        <f t="shared" si="6"/>
        <v>46135</v>
      </c>
      <c r="B26" s="1">
        <f t="shared" si="0"/>
        <v>61392.334650937817</v>
      </c>
      <c r="C26" s="87">
        <v>56649.858005944698</v>
      </c>
      <c r="D26" s="32">
        <v>62650.9</v>
      </c>
      <c r="E26" s="50">
        <v>60804</v>
      </c>
      <c r="F26" s="97">
        <f t="shared" si="1"/>
        <v>7.3330139567505656E-2</v>
      </c>
      <c r="G26" s="95">
        <f t="shared" si="2"/>
        <v>0.21752697087367853</v>
      </c>
      <c r="H26" s="2">
        <f t="shared" si="7"/>
        <v>0.21111444427778608</v>
      </c>
      <c r="I26" s="86">
        <v>5.8133333333333299</v>
      </c>
      <c r="J26" s="32">
        <v>6.3</v>
      </c>
      <c r="K26" s="97">
        <f t="shared" si="4"/>
        <v>8.3715596330275838E-2</v>
      </c>
      <c r="L26" s="96">
        <f t="shared" si="5"/>
        <v>0.82867417475687066</v>
      </c>
      <c r="M26" s="63">
        <v>1</v>
      </c>
      <c r="N26" s="66">
        <v>1</v>
      </c>
      <c r="O26" s="50">
        <v>0</v>
      </c>
      <c r="P26" s="50">
        <v>0</v>
      </c>
      <c r="Q26" s="32" t="s">
        <v>175</v>
      </c>
    </row>
    <row r="27" spans="1:17">
      <c r="A27" s="13">
        <f t="shared" si="6"/>
        <v>46136</v>
      </c>
      <c r="B27" s="1">
        <f t="shared" si="0"/>
        <v>61977.023552375329</v>
      </c>
      <c r="C27" s="87">
        <v>56649.858005944698</v>
      </c>
      <c r="D27" s="32">
        <v>65450.2</v>
      </c>
      <c r="E27" s="50">
        <v>63504</v>
      </c>
      <c r="F27" s="97">
        <f t="shared" si="1"/>
        <v>0.12099133581828299</v>
      </c>
      <c r="G27" s="95">
        <f t="shared" si="2"/>
        <v>0.22724627657506011</v>
      </c>
      <c r="H27" s="2">
        <f t="shared" si="7"/>
        <v>0.22048897555122243</v>
      </c>
      <c r="I27" s="86">
        <v>5.8133333333333299</v>
      </c>
      <c r="J27" s="32">
        <v>6.36</v>
      </c>
      <c r="K27" s="97">
        <f t="shared" si="4"/>
        <v>9.4036697247707121E-2</v>
      </c>
      <c r="L27" s="96">
        <f t="shared" si="5"/>
        <v>0.85753311915117025</v>
      </c>
      <c r="M27" s="63">
        <v>1</v>
      </c>
      <c r="N27" s="66">
        <v>1</v>
      </c>
      <c r="O27" s="50">
        <v>0</v>
      </c>
      <c r="P27" s="50">
        <v>0</v>
      </c>
      <c r="Q27" s="32" t="s">
        <v>175</v>
      </c>
    </row>
    <row r="28" spans="1:17">
      <c r="A28" s="13">
        <f t="shared" si="6"/>
        <v>46137</v>
      </c>
      <c r="B28" s="1">
        <f t="shared" ref="B28:B38" si="8">C28/(I28*$D$2)*J28*$D$2</f>
        <v>57591.856791594051</v>
      </c>
      <c r="C28" s="87">
        <v>56649.858005944698</v>
      </c>
      <c r="D28" s="6">
        <v>60740</v>
      </c>
      <c r="E28" s="6">
        <v>58968</v>
      </c>
      <c r="F28" s="97">
        <f t="shared" si="1"/>
        <v>4.0920526116977066E-2</v>
      </c>
      <c r="G28" s="95">
        <f t="shared" ref="G28:G29" si="9">D28/($D$2*24)</f>
        <v>0.21089223316611946</v>
      </c>
      <c r="H28" s="2">
        <f t="shared" ref="H28:H29" si="10">E28/($D$2*24)</f>
        <v>0.2047397630118494</v>
      </c>
      <c r="I28" s="86">
        <v>5.8133333333333299</v>
      </c>
      <c r="J28" s="32">
        <v>5.91</v>
      </c>
      <c r="K28" s="97">
        <f t="shared" si="4"/>
        <v>1.6628440366973099E-2</v>
      </c>
      <c r="L28" s="96">
        <f t="shared" si="5"/>
        <v>0.85641516006545981</v>
      </c>
      <c r="M28" s="63">
        <v>1</v>
      </c>
      <c r="N28" s="66">
        <v>1</v>
      </c>
      <c r="O28" s="6">
        <v>0</v>
      </c>
      <c r="P28" s="6">
        <v>0</v>
      </c>
      <c r="Q28" s="32" t="s">
        <v>175</v>
      </c>
    </row>
    <row r="29" spans="1:17">
      <c r="A29" s="13">
        <f t="shared" si="6"/>
        <v>46138</v>
      </c>
      <c r="B29" s="1">
        <f t="shared" si="8"/>
        <v>61684.679101656569</v>
      </c>
      <c r="C29" s="87">
        <v>56649.858005944698</v>
      </c>
      <c r="D29" s="6">
        <v>63654.8</v>
      </c>
      <c r="E29" s="6">
        <v>61884</v>
      </c>
      <c r="F29" s="97">
        <f t="shared" si="1"/>
        <v>9.2394618067816597E-2</v>
      </c>
      <c r="G29" s="95">
        <f t="shared" si="9"/>
        <v>0.22101256048308696</v>
      </c>
      <c r="H29" s="2">
        <f t="shared" si="10"/>
        <v>0.21486425678716062</v>
      </c>
      <c r="I29" s="86">
        <v>5.8133333333333299</v>
      </c>
      <c r="J29" s="32">
        <v>6.33</v>
      </c>
      <c r="K29" s="97">
        <f t="shared" si="4"/>
        <v>8.8876146788991472E-2</v>
      </c>
      <c r="L29" s="96">
        <f t="shared" si="5"/>
        <v>0.83796231462781778</v>
      </c>
      <c r="M29" s="63">
        <v>1</v>
      </c>
      <c r="N29" s="66">
        <v>1</v>
      </c>
      <c r="O29" s="6">
        <v>0</v>
      </c>
      <c r="P29" s="6">
        <v>0</v>
      </c>
      <c r="Q29" s="32" t="s">
        <v>175</v>
      </c>
    </row>
    <row r="30" spans="1:17">
      <c r="A30" s="13">
        <f t="shared" si="6"/>
        <v>46139</v>
      </c>
      <c r="B30" s="1">
        <f t="shared" si="8"/>
        <v>64900.468059562845</v>
      </c>
      <c r="C30" s="87">
        <v>56649.858005944698</v>
      </c>
      <c r="D30" s="6">
        <v>66018.399999999994</v>
      </c>
      <c r="E30" s="6">
        <v>63936</v>
      </c>
      <c r="F30" s="97">
        <f t="shared" si="1"/>
        <v>0.12861712721840737</v>
      </c>
      <c r="G30" s="95">
        <f t="shared" ref="G30" si="11">D30/($D$2*24)</f>
        <v>0.22921909460082548</v>
      </c>
      <c r="H30" s="2">
        <f t="shared" ref="H30" si="12">E30/($D$2*24)</f>
        <v>0.22198890055497222</v>
      </c>
      <c r="I30" s="86">
        <v>5.8133333333333299</v>
      </c>
      <c r="J30" s="32">
        <v>6.66</v>
      </c>
      <c r="K30" s="97">
        <f t="shared" si="4"/>
        <v>0.14564220183486309</v>
      </c>
      <c r="L30" s="96">
        <f t="shared" si="5"/>
        <v>0.82601475531829005</v>
      </c>
      <c r="M30" s="63">
        <v>1</v>
      </c>
      <c r="N30" s="66">
        <v>1</v>
      </c>
      <c r="O30" s="6">
        <v>0</v>
      </c>
      <c r="P30" s="6">
        <v>0</v>
      </c>
      <c r="Q30" s="6"/>
    </row>
    <row r="31" spans="1:17">
      <c r="A31" s="13">
        <f t="shared" si="6"/>
        <v>46140</v>
      </c>
      <c r="B31" s="1">
        <f t="shared" si="8"/>
        <v>58176.545693031556</v>
      </c>
      <c r="C31" s="87">
        <v>56649.858005944698</v>
      </c>
      <c r="D31" s="6">
        <v>60471</v>
      </c>
      <c r="E31" s="6">
        <v>58860</v>
      </c>
      <c r="F31" s="97">
        <f t="shared" si="1"/>
        <v>3.9014078266945973E-2</v>
      </c>
      <c r="G31" s="95">
        <f t="shared" ref="G31" si="13">D31/($D$2*24)</f>
        <v>0.2099582520873956</v>
      </c>
      <c r="H31" s="2">
        <f t="shared" ref="H31" si="14">E31/($D$2*24)</f>
        <v>0.20436478176091194</v>
      </c>
      <c r="I31" s="86">
        <v>5.8133333333333299</v>
      </c>
      <c r="J31" s="32">
        <v>5.97</v>
      </c>
      <c r="K31" s="97">
        <f t="shared" si="4"/>
        <v>2.694954128440423E-2</v>
      </c>
      <c r="L31" s="96">
        <f t="shared" si="5"/>
        <v>0.84405327472319858</v>
      </c>
      <c r="M31" s="63">
        <v>1</v>
      </c>
      <c r="N31" s="66">
        <v>1</v>
      </c>
      <c r="O31" s="6">
        <v>0</v>
      </c>
      <c r="P31" s="6">
        <v>0</v>
      </c>
      <c r="Q31" s="6"/>
    </row>
    <row r="32" spans="1:17">
      <c r="A32" s="13">
        <f t="shared" si="6"/>
        <v>46141</v>
      </c>
      <c r="B32" s="1">
        <f t="shared" si="8"/>
        <v>56227.582688239876</v>
      </c>
      <c r="C32" s="87">
        <v>56649.858005944698</v>
      </c>
      <c r="D32" s="6">
        <v>51554.2</v>
      </c>
      <c r="E32" s="6">
        <v>50004</v>
      </c>
      <c r="F32" s="97">
        <f t="shared" si="1"/>
        <v>-0.1173146454356037</v>
      </c>
      <c r="G32" s="95">
        <f t="shared" ref="G32" si="15">D32/($D$2*24)</f>
        <v>0.17899868895444115</v>
      </c>
      <c r="H32" s="2">
        <f t="shared" ref="H32" si="16">E32/($D$2*24)</f>
        <v>0.17361631918404077</v>
      </c>
      <c r="I32" s="86">
        <v>5.8133333333333299</v>
      </c>
      <c r="J32" s="6">
        <v>5.77</v>
      </c>
      <c r="K32" s="97">
        <f t="shared" si="4"/>
        <v>-7.4541284403664611E-3</v>
      </c>
      <c r="L32" s="96">
        <f t="shared" si="5"/>
        <v>0.74453527468051783</v>
      </c>
      <c r="M32" s="63">
        <v>1</v>
      </c>
      <c r="N32" s="66">
        <v>0.93710000000000004</v>
      </c>
      <c r="O32" s="6">
        <v>5944</v>
      </c>
      <c r="P32" s="6">
        <v>0</v>
      </c>
      <c r="Q32" s="6" t="s">
        <v>275</v>
      </c>
    </row>
    <row r="33" spans="1:17">
      <c r="A33" s="13">
        <f t="shared" si="6"/>
        <v>46142</v>
      </c>
      <c r="B33" s="1">
        <f t="shared" si="8"/>
        <v>63925.986557167002</v>
      </c>
      <c r="C33" s="87">
        <v>56649.858005944698</v>
      </c>
      <c r="D33" s="6">
        <v>66916.399999999994</v>
      </c>
      <c r="E33" s="6">
        <v>64908</v>
      </c>
      <c r="F33" s="97">
        <f t="shared" si="1"/>
        <v>0.14577515786868722</v>
      </c>
      <c r="G33" s="95">
        <f t="shared" ref="G33" si="17">D33/($D$2*24)</f>
        <v>0.23233699426139801</v>
      </c>
      <c r="H33" s="2">
        <f t="shared" ref="H33" si="18">E33/($D$2*24)</f>
        <v>0.22536373181340932</v>
      </c>
      <c r="I33" s="86">
        <v>5.8133333333333299</v>
      </c>
      <c r="J33" s="6">
        <v>6.56</v>
      </c>
      <c r="K33" s="97">
        <f t="shared" si="4"/>
        <v>0.12844036697247765</v>
      </c>
      <c r="L33" s="96">
        <f t="shared" si="5"/>
        <v>0.85001339363926098</v>
      </c>
      <c r="M33" s="63">
        <v>1</v>
      </c>
      <c r="N33" s="66">
        <v>1</v>
      </c>
      <c r="O33" s="6">
        <v>0</v>
      </c>
      <c r="P33" s="6">
        <v>0</v>
      </c>
      <c r="Q33" s="6"/>
    </row>
    <row r="34" spans="1:17">
      <c r="A34" s="349">
        <v>46113</v>
      </c>
      <c r="B34" s="89">
        <f>SUM(B4:B33)</f>
        <v>1816043.7278648845</v>
      </c>
      <c r="C34" s="89">
        <f>SUM(C4:C33)</f>
        <v>1699495.7401783399</v>
      </c>
      <c r="D34" s="89">
        <f>SUM(D4:D33)</f>
        <v>1870026.2999999996</v>
      </c>
      <c r="E34" s="89">
        <f>SUM(E4:E33)</f>
        <v>1814400</v>
      </c>
      <c r="F34" s="100">
        <f t="shared" si="1"/>
        <v>6.761079601741303E-2</v>
      </c>
      <c r="G34" s="98">
        <f>AVERAGE(G4:G33)</f>
        <v>0.21642740779627681</v>
      </c>
      <c r="H34" s="90">
        <f>AVERAGE(H4:H33)</f>
        <v>0.25648879913411737</v>
      </c>
      <c r="I34" s="99">
        <f>SUM(I4:I33)</f>
        <v>174.39999999999995</v>
      </c>
      <c r="J34" s="89">
        <f>SUM(J4:J33)</f>
        <v>186.36000000000004</v>
      </c>
      <c r="K34" s="100">
        <f t="shared" si="4"/>
        <v>6.8577981651376699E-2</v>
      </c>
      <c r="L34" s="101">
        <f t="shared" si="5"/>
        <v>0.8361651299276629</v>
      </c>
      <c r="M34" s="90">
        <f>AVERAGE(M4:M33)</f>
        <v>1</v>
      </c>
      <c r="N34" s="90">
        <f>AVERAGE(N4:N33)</f>
        <v>0.99672666666666676</v>
      </c>
      <c r="O34" s="89">
        <f>SUM(O4:O33)</f>
        <v>7796</v>
      </c>
      <c r="P34" s="89">
        <f>SUM(P4:P33)</f>
        <v>0</v>
      </c>
      <c r="Q34" s="19"/>
    </row>
    <row r="35" spans="1:17">
      <c r="A35" s="13">
        <v>46143</v>
      </c>
      <c r="B35" s="1">
        <f t="shared" si="8"/>
        <v>55536.1200750469</v>
      </c>
      <c r="C35" s="87">
        <v>52114</v>
      </c>
      <c r="D35" s="31">
        <v>56942.2</v>
      </c>
      <c r="E35" s="49">
        <v>55404</v>
      </c>
      <c r="F35" s="97">
        <f t="shared" si="1"/>
        <v>6.3130828568139077E-2</v>
      </c>
      <c r="G35" s="95">
        <f>D35/($D$2*24)</f>
        <v>0.19770608691787631</v>
      </c>
      <c r="H35" s="2">
        <f>D35/($H$2*24)</f>
        <v>0.26362129629629627</v>
      </c>
      <c r="I35" s="86">
        <v>5.33</v>
      </c>
      <c r="J35" s="31">
        <v>5.68</v>
      </c>
      <c r="K35" s="94">
        <f t="shared" si="4"/>
        <v>6.566604127579731E-2</v>
      </c>
      <c r="L35" s="96">
        <f>D35/($D$2*J35)</f>
        <v>0.83537783204736482</v>
      </c>
      <c r="M35" s="63">
        <v>1</v>
      </c>
      <c r="N35" s="66">
        <v>1</v>
      </c>
      <c r="O35" s="49">
        <v>0</v>
      </c>
      <c r="P35" s="49">
        <v>0</v>
      </c>
      <c r="Q35" s="31"/>
    </row>
    <row r="36" spans="1:17">
      <c r="A36" s="13">
        <f>A35+1</f>
        <v>46144</v>
      </c>
      <c r="B36" s="1">
        <f t="shared" si="8"/>
        <v>57589.392120075048</v>
      </c>
      <c r="C36" s="87">
        <v>52114</v>
      </c>
      <c r="D36" s="32">
        <v>59706.7</v>
      </c>
      <c r="E36" s="50">
        <v>57996</v>
      </c>
      <c r="F36" s="97">
        <f t="shared" ref="F36:F66" si="19">(IF(ISBLANK(E36),0,E36-C36))/C36</f>
        <v>0.11286794335495261</v>
      </c>
      <c r="G36" s="95">
        <f>D36/($D$2*24)</f>
        <v>0.20730456532728916</v>
      </c>
      <c r="H36" s="2">
        <f>D36/($H$2*24)</f>
        <v>0.27641990740740741</v>
      </c>
      <c r="I36" s="86">
        <v>5.33</v>
      </c>
      <c r="J36" s="32">
        <v>5.89</v>
      </c>
      <c r="K36" s="97">
        <f t="shared" ref="K36:K66" si="20">(IF(ISBLANK(J36),0,J36-I36))/I36</f>
        <v>0.10506566604127572</v>
      </c>
      <c r="L36" s="96">
        <f>D36/($D$2*J36)</f>
        <v>0.8447045106714669</v>
      </c>
      <c r="M36" s="63">
        <v>1</v>
      </c>
      <c r="N36" s="66">
        <v>1</v>
      </c>
      <c r="O36" s="50">
        <v>0</v>
      </c>
      <c r="P36" s="50">
        <v>0</v>
      </c>
      <c r="Q36" s="32"/>
    </row>
    <row r="37" spans="1:17">
      <c r="A37" s="13">
        <f t="shared" ref="A37:A65" si="21">A36+1</f>
        <v>46145</v>
      </c>
      <c r="B37" s="1">
        <f t="shared" si="8"/>
        <v>53776.172607879926</v>
      </c>
      <c r="C37" s="87">
        <v>52114</v>
      </c>
      <c r="D37" s="32">
        <v>55095.6</v>
      </c>
      <c r="E37" s="50">
        <v>53568</v>
      </c>
      <c r="F37" s="97">
        <f t="shared" si="19"/>
        <v>2.7900372260812833E-2</v>
      </c>
      <c r="G37" s="95">
        <f t="shared" ref="G37:G58" si="22">D37/($D$2*24)</f>
        <v>0.19129460193656983</v>
      </c>
      <c r="H37" s="2">
        <f t="shared" ref="H37:H52" si="23">D37/($H$2*24)</f>
        <v>0.2550722222222222</v>
      </c>
      <c r="I37" s="86">
        <v>5.33</v>
      </c>
      <c r="J37" s="32">
        <v>5.5</v>
      </c>
      <c r="K37" s="97">
        <f t="shared" si="20"/>
        <v>3.1894934333958708E-2</v>
      </c>
      <c r="L37" s="96">
        <f t="shared" ref="L37:L66" si="24">D37/($D$2*J37)</f>
        <v>0.83474008117775922</v>
      </c>
      <c r="M37" s="63">
        <v>1</v>
      </c>
      <c r="N37" s="66">
        <v>1</v>
      </c>
      <c r="O37" s="50">
        <v>0</v>
      </c>
      <c r="P37" s="50">
        <v>0</v>
      </c>
      <c r="Q37" s="32"/>
    </row>
    <row r="38" spans="1:17">
      <c r="A38" s="13">
        <f t="shared" si="21"/>
        <v>46146</v>
      </c>
      <c r="B38" s="1">
        <f t="shared" si="8"/>
        <v>57980.491557223264</v>
      </c>
      <c r="C38" s="87">
        <v>52114</v>
      </c>
      <c r="D38" s="32">
        <v>59963.199999999997</v>
      </c>
      <c r="E38" s="50">
        <v>58212</v>
      </c>
      <c r="F38" s="97">
        <f t="shared" si="19"/>
        <v>0.11701270292052039</v>
      </c>
      <c r="G38" s="95">
        <f t="shared" si="22"/>
        <v>0.20819514579826562</v>
      </c>
      <c r="H38" s="2">
        <f t="shared" si="23"/>
        <v>0.27760740740740741</v>
      </c>
      <c r="I38" s="86">
        <v>5.33</v>
      </c>
      <c r="J38" s="32">
        <v>5.93</v>
      </c>
      <c r="K38" s="97">
        <f t="shared" si="20"/>
        <v>0.11257035647279542</v>
      </c>
      <c r="L38" s="96">
        <f t="shared" si="24"/>
        <v>0.84261104538927067</v>
      </c>
      <c r="M38" s="63">
        <v>1</v>
      </c>
      <c r="N38" s="66">
        <v>1</v>
      </c>
      <c r="O38" s="50">
        <v>0</v>
      </c>
      <c r="P38" s="50">
        <v>0</v>
      </c>
      <c r="Q38" s="32"/>
    </row>
    <row r="39" spans="1:17">
      <c r="A39" s="13">
        <f t="shared" si="21"/>
        <v>46147</v>
      </c>
      <c r="B39" s="1"/>
      <c r="C39" s="87"/>
      <c r="D39" s="32"/>
      <c r="E39" s="50"/>
      <c r="F39" s="97" t="e">
        <f t="shared" si="19"/>
        <v>#DIV/0!</v>
      </c>
      <c r="G39" s="95">
        <f t="shared" si="22"/>
        <v>0</v>
      </c>
      <c r="H39" s="2">
        <f t="shared" si="23"/>
        <v>0</v>
      </c>
      <c r="I39" s="86"/>
      <c r="J39" s="32"/>
      <c r="K39" s="97" t="e">
        <f t="shared" si="20"/>
        <v>#DIV/0!</v>
      </c>
      <c r="L39" s="96" t="e">
        <f t="shared" si="24"/>
        <v>#DIV/0!</v>
      </c>
      <c r="M39" s="63"/>
      <c r="N39" s="66"/>
      <c r="O39" s="50"/>
      <c r="P39" s="50"/>
      <c r="Q39" s="32"/>
    </row>
    <row r="40" spans="1:17">
      <c r="A40" s="13">
        <f t="shared" si="21"/>
        <v>46148</v>
      </c>
      <c r="B40" s="1"/>
      <c r="C40" s="87"/>
      <c r="D40" s="32"/>
      <c r="E40" s="50"/>
      <c r="F40" s="97" t="e">
        <f t="shared" si="19"/>
        <v>#DIV/0!</v>
      </c>
      <c r="G40" s="95">
        <f t="shared" si="22"/>
        <v>0</v>
      </c>
      <c r="H40" s="2">
        <f t="shared" si="23"/>
        <v>0</v>
      </c>
      <c r="I40" s="86"/>
      <c r="J40" s="32"/>
      <c r="K40" s="97" t="e">
        <f t="shared" si="20"/>
        <v>#DIV/0!</v>
      </c>
      <c r="L40" s="96" t="e">
        <f t="shared" si="24"/>
        <v>#DIV/0!</v>
      </c>
      <c r="M40" s="63"/>
      <c r="N40" s="66"/>
      <c r="O40" s="50"/>
      <c r="P40" s="50"/>
      <c r="Q40" s="32"/>
    </row>
    <row r="41" spans="1:17">
      <c r="A41" s="13">
        <f t="shared" si="21"/>
        <v>46149</v>
      </c>
      <c r="B41" s="1"/>
      <c r="C41" s="87"/>
      <c r="D41" s="32"/>
      <c r="E41" s="50"/>
      <c r="F41" s="97" t="e">
        <f t="shared" si="19"/>
        <v>#DIV/0!</v>
      </c>
      <c r="G41" s="95">
        <f t="shared" si="22"/>
        <v>0</v>
      </c>
      <c r="H41" s="2">
        <f t="shared" si="23"/>
        <v>0</v>
      </c>
      <c r="I41" s="86"/>
      <c r="J41" s="32"/>
      <c r="K41" s="97" t="e">
        <f t="shared" si="20"/>
        <v>#DIV/0!</v>
      </c>
      <c r="L41" s="96" t="e">
        <f t="shared" si="24"/>
        <v>#DIV/0!</v>
      </c>
      <c r="M41" s="63"/>
      <c r="N41" s="66"/>
      <c r="O41" s="50"/>
      <c r="P41" s="50"/>
      <c r="Q41" s="32"/>
    </row>
    <row r="42" spans="1:17">
      <c r="A42" s="13">
        <f t="shared" si="21"/>
        <v>46150</v>
      </c>
      <c r="B42" s="1"/>
      <c r="C42" s="87"/>
      <c r="D42" s="32"/>
      <c r="E42" s="50"/>
      <c r="F42" s="97" t="e">
        <f t="shared" si="19"/>
        <v>#DIV/0!</v>
      </c>
      <c r="G42" s="95">
        <f t="shared" si="22"/>
        <v>0</v>
      </c>
      <c r="H42" s="2">
        <f t="shared" si="23"/>
        <v>0</v>
      </c>
      <c r="I42" s="86"/>
      <c r="J42" s="32"/>
      <c r="K42" s="97" t="e">
        <f t="shared" si="20"/>
        <v>#DIV/0!</v>
      </c>
      <c r="L42" s="96" t="e">
        <f t="shared" si="24"/>
        <v>#DIV/0!</v>
      </c>
      <c r="M42" s="63"/>
      <c r="N42" s="66"/>
      <c r="O42" s="50"/>
      <c r="P42" s="50"/>
      <c r="Q42" s="32"/>
    </row>
    <row r="43" spans="1:17">
      <c r="A43" s="13">
        <f t="shared" si="21"/>
        <v>46151</v>
      </c>
      <c r="B43" s="1"/>
      <c r="C43" s="87"/>
      <c r="D43" s="32"/>
      <c r="E43" s="50"/>
      <c r="F43" s="97" t="e">
        <f t="shared" si="19"/>
        <v>#DIV/0!</v>
      </c>
      <c r="G43" s="95">
        <f t="shared" si="22"/>
        <v>0</v>
      </c>
      <c r="H43" s="2">
        <f t="shared" si="23"/>
        <v>0</v>
      </c>
      <c r="I43" s="86"/>
      <c r="J43" s="32"/>
      <c r="K43" s="97" t="e">
        <f t="shared" si="20"/>
        <v>#DIV/0!</v>
      </c>
      <c r="L43" s="96" t="e">
        <f t="shared" si="24"/>
        <v>#DIV/0!</v>
      </c>
      <c r="M43" s="63"/>
      <c r="N43" s="66"/>
      <c r="O43" s="50"/>
      <c r="P43" s="50"/>
      <c r="Q43" s="32"/>
    </row>
    <row r="44" spans="1:17">
      <c r="A44" s="13">
        <f t="shared" si="21"/>
        <v>46152</v>
      </c>
      <c r="B44" s="1"/>
      <c r="C44" s="87"/>
      <c r="D44" s="32"/>
      <c r="E44" s="50"/>
      <c r="F44" s="97" t="e">
        <f t="shared" si="19"/>
        <v>#DIV/0!</v>
      </c>
      <c r="G44" s="95">
        <f t="shared" si="22"/>
        <v>0</v>
      </c>
      <c r="H44" s="2">
        <f t="shared" si="23"/>
        <v>0</v>
      </c>
      <c r="I44" s="86"/>
      <c r="J44" s="32"/>
      <c r="K44" s="97" t="e">
        <f t="shared" si="20"/>
        <v>#DIV/0!</v>
      </c>
      <c r="L44" s="96" t="e">
        <f t="shared" si="24"/>
        <v>#DIV/0!</v>
      </c>
      <c r="M44" s="63"/>
      <c r="N44" s="66"/>
      <c r="O44" s="50"/>
      <c r="P44" s="50"/>
      <c r="Q44" s="32"/>
    </row>
    <row r="45" spans="1:17">
      <c r="A45" s="13">
        <f t="shared" si="21"/>
        <v>46153</v>
      </c>
      <c r="B45" s="1"/>
      <c r="C45" s="87"/>
      <c r="D45" s="32"/>
      <c r="E45" s="50"/>
      <c r="F45" s="97" t="e">
        <f t="shared" si="19"/>
        <v>#DIV/0!</v>
      </c>
      <c r="G45" s="95">
        <f t="shared" si="22"/>
        <v>0</v>
      </c>
      <c r="H45" s="2">
        <f t="shared" si="23"/>
        <v>0</v>
      </c>
      <c r="I45" s="86"/>
      <c r="J45" s="32"/>
      <c r="K45" s="97" t="e">
        <f t="shared" si="20"/>
        <v>#DIV/0!</v>
      </c>
      <c r="L45" s="96" t="e">
        <f t="shared" si="24"/>
        <v>#DIV/0!</v>
      </c>
      <c r="M45" s="63"/>
      <c r="N45" s="66"/>
      <c r="O45" s="50"/>
      <c r="P45" s="50"/>
      <c r="Q45" s="32"/>
    </row>
    <row r="46" spans="1:17">
      <c r="A46" s="13">
        <f t="shared" si="21"/>
        <v>46154</v>
      </c>
      <c r="B46" s="1"/>
      <c r="C46" s="87"/>
      <c r="D46" s="32"/>
      <c r="E46" s="50"/>
      <c r="F46" s="97" t="e">
        <f t="shared" si="19"/>
        <v>#DIV/0!</v>
      </c>
      <c r="G46" s="95">
        <f t="shared" si="22"/>
        <v>0</v>
      </c>
      <c r="H46" s="2">
        <f t="shared" si="23"/>
        <v>0</v>
      </c>
      <c r="I46" s="86"/>
      <c r="J46" s="32"/>
      <c r="K46" s="97" t="e">
        <f t="shared" si="20"/>
        <v>#DIV/0!</v>
      </c>
      <c r="L46" s="96" t="e">
        <f t="shared" si="24"/>
        <v>#DIV/0!</v>
      </c>
      <c r="M46" s="63"/>
      <c r="N46" s="66"/>
      <c r="O46" s="50"/>
      <c r="P46" s="50"/>
      <c r="Q46" s="32"/>
    </row>
    <row r="47" spans="1:17">
      <c r="A47" s="13">
        <f t="shared" si="21"/>
        <v>46155</v>
      </c>
      <c r="B47" s="1"/>
      <c r="C47" s="87"/>
      <c r="D47" s="32"/>
      <c r="E47" s="50"/>
      <c r="F47" s="97" t="e">
        <f t="shared" si="19"/>
        <v>#DIV/0!</v>
      </c>
      <c r="G47" s="95">
        <f t="shared" si="22"/>
        <v>0</v>
      </c>
      <c r="H47" s="2">
        <f t="shared" si="23"/>
        <v>0</v>
      </c>
      <c r="I47" s="86"/>
      <c r="J47" s="32"/>
      <c r="K47" s="97" t="e">
        <f t="shared" si="20"/>
        <v>#DIV/0!</v>
      </c>
      <c r="L47" s="96" t="e">
        <f t="shared" si="24"/>
        <v>#DIV/0!</v>
      </c>
      <c r="M47" s="63"/>
      <c r="N47" s="66"/>
      <c r="O47" s="50"/>
      <c r="P47" s="50"/>
      <c r="Q47" s="32"/>
    </row>
    <row r="48" spans="1:17">
      <c r="A48" s="13">
        <f t="shared" si="21"/>
        <v>46156</v>
      </c>
      <c r="B48" s="1"/>
      <c r="C48" s="87"/>
      <c r="D48" s="32"/>
      <c r="E48" s="50"/>
      <c r="F48" s="97" t="e">
        <f t="shared" si="19"/>
        <v>#DIV/0!</v>
      </c>
      <c r="G48" s="95">
        <f t="shared" si="22"/>
        <v>0</v>
      </c>
      <c r="H48" s="2">
        <f t="shared" si="23"/>
        <v>0</v>
      </c>
      <c r="I48" s="86"/>
      <c r="J48" s="32"/>
      <c r="K48" s="97" t="e">
        <f t="shared" si="20"/>
        <v>#DIV/0!</v>
      </c>
      <c r="L48" s="96" t="e">
        <f t="shared" si="24"/>
        <v>#DIV/0!</v>
      </c>
      <c r="M48" s="63"/>
      <c r="N48" s="66"/>
      <c r="O48" s="50"/>
      <c r="P48" s="50"/>
      <c r="Q48" s="32"/>
    </row>
    <row r="49" spans="1:17">
      <c r="A49" s="13">
        <f t="shared" si="21"/>
        <v>46157</v>
      </c>
      <c r="B49" s="1"/>
      <c r="C49" s="87"/>
      <c r="D49" s="32"/>
      <c r="E49" s="50"/>
      <c r="F49" s="97" t="e">
        <f t="shared" si="19"/>
        <v>#DIV/0!</v>
      </c>
      <c r="G49" s="95">
        <f t="shared" si="22"/>
        <v>0</v>
      </c>
      <c r="H49" s="2">
        <f t="shared" si="23"/>
        <v>0</v>
      </c>
      <c r="I49" s="86"/>
      <c r="J49" s="32"/>
      <c r="K49" s="97" t="e">
        <f t="shared" si="20"/>
        <v>#DIV/0!</v>
      </c>
      <c r="L49" s="96" t="e">
        <f t="shared" si="24"/>
        <v>#DIV/0!</v>
      </c>
      <c r="M49" s="63"/>
      <c r="N49" s="66"/>
      <c r="O49" s="50"/>
      <c r="P49" s="50"/>
      <c r="Q49" s="32"/>
    </row>
    <row r="50" spans="1:17">
      <c r="A50" s="13">
        <f t="shared" si="21"/>
        <v>46158</v>
      </c>
      <c r="B50" s="1"/>
      <c r="C50" s="87"/>
      <c r="D50" s="32"/>
      <c r="E50" s="50"/>
      <c r="F50" s="97" t="e">
        <f t="shared" si="19"/>
        <v>#DIV/0!</v>
      </c>
      <c r="G50" s="95">
        <f t="shared" si="22"/>
        <v>0</v>
      </c>
      <c r="H50" s="2">
        <f t="shared" si="23"/>
        <v>0</v>
      </c>
      <c r="I50" s="86"/>
      <c r="J50" s="32"/>
      <c r="K50" s="97" t="e">
        <f t="shared" si="20"/>
        <v>#DIV/0!</v>
      </c>
      <c r="L50" s="96" t="e">
        <f t="shared" si="24"/>
        <v>#DIV/0!</v>
      </c>
      <c r="M50" s="63"/>
      <c r="N50" s="66"/>
      <c r="O50" s="50"/>
      <c r="P50" s="50"/>
      <c r="Q50" s="32"/>
    </row>
    <row r="51" spans="1:17">
      <c r="A51" s="13">
        <f t="shared" si="21"/>
        <v>46159</v>
      </c>
      <c r="B51" s="1"/>
      <c r="C51" s="87"/>
      <c r="D51" s="32"/>
      <c r="E51" s="50"/>
      <c r="F51" s="97" t="e">
        <f t="shared" si="19"/>
        <v>#DIV/0!</v>
      </c>
      <c r="G51" s="95">
        <f t="shared" si="22"/>
        <v>0</v>
      </c>
      <c r="H51" s="2">
        <f t="shared" si="23"/>
        <v>0</v>
      </c>
      <c r="I51" s="86"/>
      <c r="J51" s="32"/>
      <c r="K51" s="97" t="e">
        <f t="shared" si="20"/>
        <v>#DIV/0!</v>
      </c>
      <c r="L51" s="96" t="e">
        <f t="shared" si="24"/>
        <v>#DIV/0!</v>
      </c>
      <c r="M51" s="63"/>
      <c r="N51" s="66"/>
      <c r="O51" s="50"/>
      <c r="P51" s="50"/>
      <c r="Q51" s="32"/>
    </row>
    <row r="52" spans="1:17">
      <c r="A52" s="13">
        <f t="shared" si="21"/>
        <v>46160</v>
      </c>
      <c r="B52" s="1"/>
      <c r="C52" s="87"/>
      <c r="D52" s="32"/>
      <c r="E52" s="50"/>
      <c r="F52" s="97" t="e">
        <f t="shared" si="19"/>
        <v>#DIV/0!</v>
      </c>
      <c r="G52" s="95">
        <f t="shared" si="22"/>
        <v>0</v>
      </c>
      <c r="H52" s="2">
        <f t="shared" si="23"/>
        <v>0</v>
      </c>
      <c r="I52" s="86"/>
      <c r="J52" s="32"/>
      <c r="K52" s="97" t="e">
        <f t="shared" si="20"/>
        <v>#DIV/0!</v>
      </c>
      <c r="L52" s="96" t="e">
        <f t="shared" si="24"/>
        <v>#DIV/0!</v>
      </c>
      <c r="M52" s="63"/>
      <c r="N52" s="66"/>
      <c r="O52" s="50"/>
      <c r="P52" s="50"/>
      <c r="Q52" s="32"/>
    </row>
    <row r="53" spans="1:17">
      <c r="A53" s="13">
        <f t="shared" si="21"/>
        <v>46161</v>
      </c>
      <c r="B53" s="1"/>
      <c r="C53" s="87"/>
      <c r="D53" s="32"/>
      <c r="E53" s="50"/>
      <c r="F53" s="97" t="e">
        <f t="shared" si="19"/>
        <v>#DIV/0!</v>
      </c>
      <c r="G53" s="95">
        <f t="shared" si="22"/>
        <v>0</v>
      </c>
      <c r="H53" s="2">
        <f t="shared" ref="H53:H58" si="25">E53/($D$2*24)</f>
        <v>0</v>
      </c>
      <c r="I53" s="86"/>
      <c r="J53" s="32"/>
      <c r="K53" s="97" t="e">
        <f t="shared" si="20"/>
        <v>#DIV/0!</v>
      </c>
      <c r="L53" s="96" t="e">
        <f t="shared" si="24"/>
        <v>#DIV/0!</v>
      </c>
      <c r="M53" s="63"/>
      <c r="N53" s="66"/>
      <c r="O53" s="50"/>
      <c r="P53" s="50"/>
      <c r="Q53" s="32"/>
    </row>
    <row r="54" spans="1:17">
      <c r="A54" s="13">
        <f t="shared" si="21"/>
        <v>46162</v>
      </c>
      <c r="B54" s="1"/>
      <c r="C54" s="87"/>
      <c r="D54" s="32"/>
      <c r="E54" s="50"/>
      <c r="F54" s="97" t="e">
        <f t="shared" si="19"/>
        <v>#DIV/0!</v>
      </c>
      <c r="G54" s="95">
        <f t="shared" si="22"/>
        <v>0</v>
      </c>
      <c r="H54" s="2">
        <f t="shared" si="25"/>
        <v>0</v>
      </c>
      <c r="I54" s="86"/>
      <c r="J54" s="32"/>
      <c r="K54" s="97" t="e">
        <f t="shared" si="20"/>
        <v>#DIV/0!</v>
      </c>
      <c r="L54" s="96" t="e">
        <f t="shared" si="24"/>
        <v>#DIV/0!</v>
      </c>
      <c r="M54" s="63"/>
      <c r="N54" s="66"/>
      <c r="O54" s="50"/>
      <c r="P54" s="50"/>
      <c r="Q54" s="32"/>
    </row>
    <row r="55" spans="1:17">
      <c r="A55" s="13">
        <f t="shared" si="21"/>
        <v>46163</v>
      </c>
      <c r="B55" s="1"/>
      <c r="C55" s="87"/>
      <c r="D55" s="32"/>
      <c r="E55" s="50"/>
      <c r="F55" s="97" t="e">
        <f t="shared" si="19"/>
        <v>#DIV/0!</v>
      </c>
      <c r="G55" s="95">
        <f t="shared" si="22"/>
        <v>0</v>
      </c>
      <c r="H55" s="2">
        <f t="shared" si="25"/>
        <v>0</v>
      </c>
      <c r="I55" s="86"/>
      <c r="J55" s="32"/>
      <c r="K55" s="97" t="e">
        <f t="shared" si="20"/>
        <v>#DIV/0!</v>
      </c>
      <c r="L55" s="96" t="e">
        <f t="shared" si="24"/>
        <v>#DIV/0!</v>
      </c>
      <c r="M55" s="63"/>
      <c r="N55" s="66"/>
      <c r="O55" s="50"/>
      <c r="P55" s="50"/>
      <c r="Q55" s="32"/>
    </row>
    <row r="56" spans="1:17">
      <c r="A56" s="13">
        <f t="shared" si="21"/>
        <v>46164</v>
      </c>
      <c r="B56" s="1"/>
      <c r="C56" s="87"/>
      <c r="D56" s="32"/>
      <c r="E56" s="50"/>
      <c r="F56" s="97" t="e">
        <f t="shared" si="19"/>
        <v>#DIV/0!</v>
      </c>
      <c r="G56" s="95">
        <f t="shared" si="22"/>
        <v>0</v>
      </c>
      <c r="H56" s="2">
        <f t="shared" si="25"/>
        <v>0</v>
      </c>
      <c r="I56" s="86"/>
      <c r="J56" s="32"/>
      <c r="K56" s="97" t="e">
        <f t="shared" si="20"/>
        <v>#DIV/0!</v>
      </c>
      <c r="L56" s="96" t="e">
        <f t="shared" si="24"/>
        <v>#DIV/0!</v>
      </c>
      <c r="M56" s="63"/>
      <c r="N56" s="66"/>
      <c r="O56" s="50"/>
      <c r="P56" s="50"/>
      <c r="Q56" s="32"/>
    </row>
    <row r="57" spans="1:17">
      <c r="A57" s="13">
        <f t="shared" si="21"/>
        <v>46165</v>
      </c>
      <c r="B57" s="1"/>
      <c r="C57" s="87"/>
      <c r="D57" s="32"/>
      <c r="E57" s="50"/>
      <c r="F57" s="97" t="e">
        <f t="shared" si="19"/>
        <v>#DIV/0!</v>
      </c>
      <c r="G57" s="95">
        <f t="shared" si="22"/>
        <v>0</v>
      </c>
      <c r="H57" s="2">
        <f t="shared" si="25"/>
        <v>0</v>
      </c>
      <c r="I57" s="86"/>
      <c r="J57" s="32"/>
      <c r="K57" s="97" t="e">
        <f t="shared" si="20"/>
        <v>#DIV/0!</v>
      </c>
      <c r="L57" s="96" t="e">
        <f t="shared" si="24"/>
        <v>#DIV/0!</v>
      </c>
      <c r="M57" s="63"/>
      <c r="N57" s="66"/>
      <c r="O57" s="50"/>
      <c r="P57" s="50"/>
      <c r="Q57" s="32"/>
    </row>
    <row r="58" spans="1:17">
      <c r="A58" s="13">
        <f t="shared" si="21"/>
        <v>46166</v>
      </c>
      <c r="B58" s="1"/>
      <c r="C58" s="87"/>
      <c r="D58" s="32"/>
      <c r="E58" s="50"/>
      <c r="F58" s="97" t="e">
        <f t="shared" si="19"/>
        <v>#DIV/0!</v>
      </c>
      <c r="G58" s="95">
        <f t="shared" si="22"/>
        <v>0</v>
      </c>
      <c r="H58" s="2">
        <f t="shared" si="25"/>
        <v>0</v>
      </c>
      <c r="I58" s="86"/>
      <c r="J58" s="32"/>
      <c r="K58" s="97" t="e">
        <f t="shared" si="20"/>
        <v>#DIV/0!</v>
      </c>
      <c r="L58" s="96" t="e">
        <f t="shared" si="24"/>
        <v>#DIV/0!</v>
      </c>
      <c r="M58" s="63"/>
      <c r="N58" s="66"/>
      <c r="O58" s="50"/>
      <c r="P58" s="50"/>
      <c r="Q58" s="32"/>
    </row>
    <row r="59" spans="1:17">
      <c r="A59" s="13">
        <f t="shared" si="21"/>
        <v>46167</v>
      </c>
      <c r="B59" s="1"/>
      <c r="C59" s="87"/>
      <c r="D59" s="6"/>
      <c r="E59" s="6"/>
      <c r="F59" s="97" t="e">
        <f t="shared" si="19"/>
        <v>#DIV/0!</v>
      </c>
      <c r="G59" s="95">
        <f t="shared" ref="G59:G64" si="26">D59/($D$2*24)</f>
        <v>0</v>
      </c>
      <c r="H59" s="2">
        <f t="shared" ref="H59:H64" si="27">E59/($D$2*24)</f>
        <v>0</v>
      </c>
      <c r="I59" s="86"/>
      <c r="J59" s="32"/>
      <c r="K59" s="97" t="e">
        <f t="shared" si="20"/>
        <v>#DIV/0!</v>
      </c>
      <c r="L59" s="96" t="e">
        <f t="shared" si="24"/>
        <v>#DIV/0!</v>
      </c>
      <c r="M59" s="63"/>
      <c r="N59" s="66"/>
      <c r="O59" s="6"/>
      <c r="P59" s="6"/>
      <c r="Q59" s="32"/>
    </row>
    <row r="60" spans="1:17">
      <c r="A60" s="13">
        <f t="shared" si="21"/>
        <v>46168</v>
      </c>
      <c r="B60" s="1"/>
      <c r="C60" s="87"/>
      <c r="D60" s="6"/>
      <c r="E60" s="6"/>
      <c r="F60" s="97" t="e">
        <f t="shared" si="19"/>
        <v>#DIV/0!</v>
      </c>
      <c r="G60" s="95">
        <f t="shared" si="26"/>
        <v>0</v>
      </c>
      <c r="H60" s="2">
        <f t="shared" si="27"/>
        <v>0</v>
      </c>
      <c r="I60" s="86"/>
      <c r="J60" s="32"/>
      <c r="K60" s="97" t="e">
        <f t="shared" si="20"/>
        <v>#DIV/0!</v>
      </c>
      <c r="L60" s="96" t="e">
        <f t="shared" si="24"/>
        <v>#DIV/0!</v>
      </c>
      <c r="M60" s="63"/>
      <c r="N60" s="66"/>
      <c r="O60" s="6"/>
      <c r="P60" s="6"/>
      <c r="Q60" s="32"/>
    </row>
    <row r="61" spans="1:17">
      <c r="A61" s="13">
        <f t="shared" si="21"/>
        <v>46169</v>
      </c>
      <c r="B61" s="1"/>
      <c r="C61" s="87"/>
      <c r="D61" s="6"/>
      <c r="E61" s="6"/>
      <c r="F61" s="97" t="e">
        <f t="shared" si="19"/>
        <v>#DIV/0!</v>
      </c>
      <c r="G61" s="95">
        <f t="shared" si="26"/>
        <v>0</v>
      </c>
      <c r="H61" s="2">
        <f t="shared" si="27"/>
        <v>0</v>
      </c>
      <c r="I61" s="86"/>
      <c r="J61" s="32"/>
      <c r="K61" s="97" t="e">
        <f t="shared" si="20"/>
        <v>#DIV/0!</v>
      </c>
      <c r="L61" s="96" t="e">
        <f t="shared" si="24"/>
        <v>#DIV/0!</v>
      </c>
      <c r="M61" s="63"/>
      <c r="N61" s="66"/>
      <c r="O61" s="6"/>
      <c r="P61" s="6"/>
      <c r="Q61" s="6"/>
    </row>
    <row r="62" spans="1:17">
      <c r="A62" s="13">
        <f t="shared" si="21"/>
        <v>46170</v>
      </c>
      <c r="B62" s="1"/>
      <c r="C62" s="87"/>
      <c r="D62" s="6"/>
      <c r="E62" s="6"/>
      <c r="F62" s="97" t="e">
        <f t="shared" si="19"/>
        <v>#DIV/0!</v>
      </c>
      <c r="G62" s="95">
        <f t="shared" si="26"/>
        <v>0</v>
      </c>
      <c r="H62" s="2">
        <f t="shared" si="27"/>
        <v>0</v>
      </c>
      <c r="I62" s="86"/>
      <c r="J62" s="32"/>
      <c r="K62" s="97" t="e">
        <f t="shared" si="20"/>
        <v>#DIV/0!</v>
      </c>
      <c r="L62" s="96" t="e">
        <f t="shared" si="24"/>
        <v>#DIV/0!</v>
      </c>
      <c r="M62" s="63"/>
      <c r="N62" s="66"/>
      <c r="O62" s="6"/>
      <c r="P62" s="6"/>
      <c r="Q62" s="6"/>
    </row>
    <row r="63" spans="1:17">
      <c r="A63" s="13">
        <f t="shared" si="21"/>
        <v>46171</v>
      </c>
      <c r="B63" s="1"/>
      <c r="C63" s="87"/>
      <c r="D63" s="6"/>
      <c r="E63" s="6"/>
      <c r="F63" s="97" t="e">
        <f t="shared" si="19"/>
        <v>#DIV/0!</v>
      </c>
      <c r="G63" s="95">
        <f t="shared" si="26"/>
        <v>0</v>
      </c>
      <c r="H63" s="2">
        <f t="shared" si="27"/>
        <v>0</v>
      </c>
      <c r="I63" s="86"/>
      <c r="J63" s="6"/>
      <c r="K63" s="97" t="e">
        <f t="shared" si="20"/>
        <v>#DIV/0!</v>
      </c>
      <c r="L63" s="96" t="e">
        <f t="shared" si="24"/>
        <v>#DIV/0!</v>
      </c>
      <c r="M63" s="63"/>
      <c r="N63" s="66"/>
      <c r="O63" s="6"/>
      <c r="P63" s="6"/>
      <c r="Q63" s="6"/>
    </row>
    <row r="64" spans="1:17">
      <c r="A64" s="13">
        <f t="shared" si="21"/>
        <v>46172</v>
      </c>
      <c r="B64" s="1"/>
      <c r="C64" s="87"/>
      <c r="D64" s="6"/>
      <c r="E64" s="6"/>
      <c r="F64" s="97" t="e">
        <f t="shared" si="19"/>
        <v>#DIV/0!</v>
      </c>
      <c r="G64" s="95">
        <f t="shared" si="26"/>
        <v>0</v>
      </c>
      <c r="H64" s="2">
        <f t="shared" si="27"/>
        <v>0</v>
      </c>
      <c r="I64" s="86"/>
      <c r="J64" s="6"/>
      <c r="K64" s="97" t="e">
        <f t="shared" si="20"/>
        <v>#DIV/0!</v>
      </c>
      <c r="L64" s="96" t="e">
        <f t="shared" si="24"/>
        <v>#DIV/0!</v>
      </c>
      <c r="M64" s="63"/>
      <c r="N64" s="66"/>
      <c r="O64" s="6"/>
      <c r="P64" s="6"/>
      <c r="Q64" s="6"/>
    </row>
    <row r="65" spans="1:17">
      <c r="A65" s="13">
        <f t="shared" si="21"/>
        <v>46173</v>
      </c>
      <c r="B65" s="1"/>
      <c r="C65" s="87"/>
      <c r="D65" s="6"/>
      <c r="E65" s="6"/>
      <c r="F65" s="97" t="e">
        <f t="shared" si="19"/>
        <v>#DIV/0!</v>
      </c>
      <c r="G65" s="95">
        <f t="shared" ref="G65" si="28">D65/($D$2*24)</f>
        <v>0</v>
      </c>
      <c r="H65" s="2">
        <f t="shared" ref="H65" si="29">E65/($D$2*24)</f>
        <v>0</v>
      </c>
      <c r="I65" s="86"/>
      <c r="J65" s="6"/>
      <c r="K65" s="97" t="e">
        <f t="shared" si="20"/>
        <v>#DIV/0!</v>
      </c>
      <c r="L65" s="96" t="e">
        <f t="shared" si="24"/>
        <v>#DIV/0!</v>
      </c>
      <c r="M65" s="63"/>
      <c r="N65" s="66"/>
      <c r="O65" s="6"/>
      <c r="P65" s="6"/>
      <c r="Q65" s="6"/>
    </row>
    <row r="66" spans="1:17">
      <c r="A66" s="349">
        <v>46143</v>
      </c>
      <c r="B66" s="89">
        <f>SUM(B35:B65)</f>
        <v>224882.17636022513</v>
      </c>
      <c r="C66" s="89">
        <f>SUM(C35:C65)</f>
        <v>208456</v>
      </c>
      <c r="D66" s="89">
        <f>SUM(D35:D65)</f>
        <v>231707.7</v>
      </c>
      <c r="E66" s="89">
        <f>SUM(E35:E65)</f>
        <v>225180</v>
      </c>
      <c r="F66" s="100">
        <f t="shared" si="19"/>
        <v>8.0227961776106235E-2</v>
      </c>
      <c r="G66" s="98">
        <f>AVERAGE(G35:G65)</f>
        <v>2.595162580580648E-2</v>
      </c>
      <c r="H66" s="90">
        <f>AVERAGE(H35:H65)</f>
        <v>3.4603897849462363E-2</v>
      </c>
      <c r="I66" s="99">
        <f>SUM(I35:I65)</f>
        <v>21.32</v>
      </c>
      <c r="J66" s="89">
        <f>SUM(J35:J65)</f>
        <v>23</v>
      </c>
      <c r="K66" s="100">
        <f t="shared" si="20"/>
        <v>7.8799249530956836E-2</v>
      </c>
      <c r="L66" s="101">
        <f t="shared" si="24"/>
        <v>0.83947867824000111</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309A-B85F-4221-8D75-36B22004642D}">
  <dimension ref="A1:S66"/>
  <sheetViews>
    <sheetView workbookViewId="0">
      <pane xSplit="1" ySplit="3" topLeftCell="B36" activePane="bottomRight" state="frozen"/>
      <selection pane="topRight"/>
      <selection pane="bottomLeft"/>
      <selection pane="bottomRight" activeCell="L66" sqref="L66"/>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10.7265625" customWidth="1"/>
    <col min="12" max="12" width="7" bestFit="1" customWidth="1"/>
    <col min="13" max="14" width="9.26953125" bestFit="1" customWidth="1"/>
    <col min="15" max="15" width="10.1796875" bestFit="1" customWidth="1"/>
    <col min="16" max="16" width="9.7265625" bestFit="1" customWidth="1"/>
    <col min="17" max="17" width="49.7265625" bestFit="1" customWidth="1"/>
    <col min="18" max="18" width="10" customWidth="1"/>
  </cols>
  <sheetData>
    <row r="1" spans="1:19" ht="18.5">
      <c r="A1" s="411" t="s">
        <v>276</v>
      </c>
      <c r="B1" s="412"/>
      <c r="C1" s="412"/>
      <c r="D1" s="412"/>
      <c r="E1" s="412"/>
      <c r="F1" s="412"/>
      <c r="G1" s="412"/>
      <c r="H1" s="412"/>
      <c r="I1" s="412"/>
      <c r="J1" s="412"/>
      <c r="K1" s="412"/>
      <c r="L1" s="412"/>
      <c r="M1" s="412"/>
      <c r="N1" s="412"/>
      <c r="O1" s="412"/>
      <c r="P1" s="412"/>
      <c r="Q1" s="412"/>
      <c r="R1" s="412"/>
      <c r="S1" s="412"/>
    </row>
    <row r="2" spans="1:19" ht="18.5">
      <c r="A2" s="7">
        <v>46113</v>
      </c>
      <c r="B2" s="407" t="s">
        <v>172</v>
      </c>
      <c r="C2" s="408"/>
      <c r="D2" s="23">
        <v>1479</v>
      </c>
      <c r="E2" s="407" t="s">
        <v>173</v>
      </c>
      <c r="F2" s="407"/>
      <c r="G2" s="408"/>
      <c r="H2" s="23">
        <v>1100</v>
      </c>
      <c r="I2" s="409" t="s">
        <v>174</v>
      </c>
      <c r="J2" s="410"/>
      <c r="K2" s="24" t="s">
        <v>277</v>
      </c>
      <c r="L2" s="10" t="s">
        <v>175</v>
      </c>
      <c r="M2" s="10" t="s">
        <v>175</v>
      </c>
      <c r="N2" s="10" t="s">
        <v>175</v>
      </c>
      <c r="O2" s="10" t="s">
        <v>175</v>
      </c>
      <c r="P2" s="10" t="s">
        <v>175</v>
      </c>
      <c r="Q2" s="11" t="s">
        <v>175</v>
      </c>
    </row>
    <row r="3" spans="1:19"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9">
      <c r="A4" s="13">
        <f>A2</f>
        <v>46113</v>
      </c>
      <c r="B4" s="1">
        <v>6762.833333333333</v>
      </c>
      <c r="C4" s="1">
        <v>6396.1</v>
      </c>
      <c r="D4" s="200">
        <v>3179.3</v>
      </c>
      <c r="E4" s="200">
        <v>3132</v>
      </c>
      <c r="F4" s="20">
        <f>(IF(ISBLANK(E4),0,E4-C4))/C4</f>
        <v>-0.51032660527508955</v>
      </c>
      <c r="G4" s="2">
        <f t="shared" ref="G4:G33" si="0">D4/($D$2*24)</f>
        <v>8.9567838629704757E-2</v>
      </c>
      <c r="H4" s="2">
        <f t="shared" ref="H4:H21" si="1">D4/($H$2*24)</f>
        <v>0.12042803030303031</v>
      </c>
      <c r="I4" s="3">
        <v>5.72</v>
      </c>
      <c r="J4" s="201">
        <v>7.2465000000000002</v>
      </c>
      <c r="K4" s="20">
        <f>(IF(ISBLANK(J4),0,J4-I4))/I4</f>
        <v>0.26687062937062944</v>
      </c>
      <c r="L4" s="4">
        <f t="shared" ref="L4:L35" si="2">D4/($D$2*J4)</f>
        <v>0.29664363859972598</v>
      </c>
      <c r="M4" s="5">
        <v>1</v>
      </c>
      <c r="N4" s="5">
        <v>0.4924</v>
      </c>
      <c r="O4" s="6">
        <v>5957.1753600000002</v>
      </c>
      <c r="P4" s="6" t="s">
        <v>175</v>
      </c>
      <c r="Q4" s="6" t="s">
        <v>278</v>
      </c>
    </row>
    <row r="5" spans="1:19">
      <c r="A5" s="13">
        <f>A4+1</f>
        <v>46114</v>
      </c>
      <c r="B5" s="1">
        <v>6762.833333333333</v>
      </c>
      <c r="C5" s="1">
        <v>6396.1</v>
      </c>
      <c r="D5" s="200">
        <v>8658</v>
      </c>
      <c r="E5" s="200">
        <v>8460</v>
      </c>
      <c r="F5" s="20">
        <f t="shared" ref="F5:F33" si="3">(IF(ISBLANK(E5),0,E5-C5))/C5</f>
        <v>0.32268100873970068</v>
      </c>
      <c r="G5" s="2">
        <f t="shared" si="0"/>
        <v>0.24391480730223122</v>
      </c>
      <c r="H5" s="2">
        <f t="shared" si="1"/>
        <v>0.32795454545454544</v>
      </c>
      <c r="I5" s="3">
        <v>5.72</v>
      </c>
      <c r="J5" s="201">
        <v>7.292166667</v>
      </c>
      <c r="K5" s="20">
        <f t="shared" ref="K5:K34" si="4">(IF(ISBLANK(J5),0,J5-I5))/I5</f>
        <v>0.27485431241258745</v>
      </c>
      <c r="L5" s="4">
        <f t="shared" si="2"/>
        <v>0.80277311841281174</v>
      </c>
      <c r="M5" s="5">
        <v>1</v>
      </c>
      <c r="N5" s="5">
        <v>1</v>
      </c>
      <c r="O5" s="6" t="s">
        <v>175</v>
      </c>
      <c r="P5" s="6" t="s">
        <v>175</v>
      </c>
      <c r="Q5" s="6"/>
    </row>
    <row r="6" spans="1:19">
      <c r="A6" s="13">
        <f t="shared" ref="A6:A33" si="5">A5+1</f>
        <v>46115</v>
      </c>
      <c r="B6" s="1">
        <v>6762.833333333333</v>
      </c>
      <c r="C6" s="1">
        <v>6396.1</v>
      </c>
      <c r="D6" s="200">
        <v>7783.7</v>
      </c>
      <c r="E6" s="200">
        <v>7656</v>
      </c>
      <c r="F6" s="20">
        <f t="shared" si="3"/>
        <v>0.19697940932755892</v>
      </c>
      <c r="G6" s="2">
        <f t="shared" si="0"/>
        <v>0.21928386297047553</v>
      </c>
      <c r="H6" s="2">
        <f t="shared" si="1"/>
        <v>0.29483712121212119</v>
      </c>
      <c r="I6" s="3">
        <v>5.72</v>
      </c>
      <c r="J6" s="201">
        <v>6.2293333329999996</v>
      </c>
      <c r="K6" s="20">
        <f t="shared" si="4"/>
        <v>8.9044288986013964E-2</v>
      </c>
      <c r="L6" s="4">
        <f t="shared" si="2"/>
        <v>0.8448436501883072</v>
      </c>
      <c r="M6" s="5">
        <v>1</v>
      </c>
      <c r="N6" s="5">
        <v>1</v>
      </c>
      <c r="O6" s="6" t="s">
        <v>175</v>
      </c>
      <c r="P6" s="6" t="s">
        <v>175</v>
      </c>
      <c r="Q6" s="6"/>
    </row>
    <row r="7" spans="1:19">
      <c r="A7" s="13">
        <f t="shared" si="5"/>
        <v>46116</v>
      </c>
      <c r="B7" s="1">
        <v>6762.833333333333</v>
      </c>
      <c r="C7" s="1">
        <v>6396.1</v>
      </c>
      <c r="D7" s="200">
        <v>7339</v>
      </c>
      <c r="E7" s="200">
        <v>7248</v>
      </c>
      <c r="F7" s="20">
        <f t="shared" si="3"/>
        <v>0.13319053798408398</v>
      </c>
      <c r="G7" s="2">
        <f t="shared" si="0"/>
        <v>0.20675569078205994</v>
      </c>
      <c r="H7" s="2">
        <f t="shared" si="1"/>
        <v>0.27799242424242426</v>
      </c>
      <c r="I7" s="3">
        <v>5.72</v>
      </c>
      <c r="J7" s="201">
        <v>6.1226666669999998</v>
      </c>
      <c r="K7" s="20">
        <f t="shared" si="4"/>
        <v>7.0396270454545468E-2</v>
      </c>
      <c r="L7" s="4">
        <f t="shared" si="2"/>
        <v>0.81045349169740111</v>
      </c>
      <c r="M7" s="5">
        <v>1</v>
      </c>
      <c r="N7" s="5">
        <v>1</v>
      </c>
      <c r="O7" s="6" t="s">
        <v>175</v>
      </c>
      <c r="P7" s="6" t="s">
        <v>175</v>
      </c>
      <c r="Q7" s="14"/>
    </row>
    <row r="8" spans="1:19">
      <c r="A8" s="13">
        <f t="shared" si="5"/>
        <v>46117</v>
      </c>
      <c r="B8" s="1">
        <v>6762.833333333333</v>
      </c>
      <c r="C8" s="1">
        <v>6396.1</v>
      </c>
      <c r="D8" s="200">
        <v>6707.4</v>
      </c>
      <c r="E8" s="200">
        <v>6636</v>
      </c>
      <c r="F8" s="20">
        <f t="shared" si="3"/>
        <v>3.7507230968871597E-2</v>
      </c>
      <c r="G8" s="2">
        <f t="shared" si="0"/>
        <v>0.18896213657876942</v>
      </c>
      <c r="H8" s="2">
        <f t="shared" si="1"/>
        <v>0.2540681818181818</v>
      </c>
      <c r="I8" s="3">
        <v>5.72</v>
      </c>
      <c r="J8" s="201">
        <v>5.4355833330000003</v>
      </c>
      <c r="K8" s="20">
        <f t="shared" si="4"/>
        <v>-4.9723193531468438E-2</v>
      </c>
      <c r="L8" s="4">
        <f t="shared" si="2"/>
        <v>0.83433386999283932</v>
      </c>
      <c r="M8" s="5">
        <v>1</v>
      </c>
      <c r="N8" s="5">
        <v>1</v>
      </c>
      <c r="O8" s="6" t="s">
        <v>175</v>
      </c>
      <c r="P8" s="6" t="s">
        <v>175</v>
      </c>
      <c r="Q8" s="14"/>
    </row>
    <row r="9" spans="1:19">
      <c r="A9" s="13">
        <f t="shared" si="5"/>
        <v>46118</v>
      </c>
      <c r="B9" s="1">
        <v>6762.833333333333</v>
      </c>
      <c r="C9" s="1">
        <v>6396.1</v>
      </c>
      <c r="D9" s="200">
        <v>4338.7</v>
      </c>
      <c r="E9" s="200">
        <v>4224</v>
      </c>
      <c r="F9" s="20">
        <f t="shared" si="3"/>
        <v>-0.33959756726755369</v>
      </c>
      <c r="G9" s="2">
        <f t="shared" si="0"/>
        <v>0.12223067387874689</v>
      </c>
      <c r="H9" s="2">
        <f t="shared" si="1"/>
        <v>0.16434469696969697</v>
      </c>
      <c r="I9" s="3">
        <v>5.72</v>
      </c>
      <c r="J9" s="201">
        <v>3.4871666669999999</v>
      </c>
      <c r="K9" s="20">
        <f t="shared" si="4"/>
        <v>-0.39035547779720281</v>
      </c>
      <c r="L9" s="4">
        <f t="shared" si="2"/>
        <v>0.84123773057673745</v>
      </c>
      <c r="M9" s="5">
        <v>1</v>
      </c>
      <c r="N9" s="5">
        <v>1</v>
      </c>
      <c r="O9" s="6"/>
      <c r="P9" s="6"/>
      <c r="Q9" s="14"/>
    </row>
    <row r="10" spans="1:19">
      <c r="A10" s="13">
        <f t="shared" si="5"/>
        <v>46119</v>
      </c>
      <c r="B10" s="1">
        <v>6762.833333333333</v>
      </c>
      <c r="C10" s="1">
        <v>6396.1</v>
      </c>
      <c r="D10" s="200">
        <v>6257.1</v>
      </c>
      <c r="E10" s="200">
        <v>6216</v>
      </c>
      <c r="F10" s="20">
        <f t="shared" si="3"/>
        <v>-2.8157783649411416E-2</v>
      </c>
      <c r="G10" s="2">
        <f t="shared" si="0"/>
        <v>0.17627620013522652</v>
      </c>
      <c r="H10" s="2">
        <f t="shared" si="1"/>
        <v>0.23701136363636366</v>
      </c>
      <c r="I10" s="3">
        <v>5.72</v>
      </c>
      <c r="J10" s="201">
        <v>4.7408333330000003</v>
      </c>
      <c r="K10" s="20">
        <f t="shared" si="4"/>
        <v>-0.17118298374125865</v>
      </c>
      <c r="L10" s="4">
        <f t="shared" si="2"/>
        <v>0.89238083393416689</v>
      </c>
      <c r="M10" s="5">
        <v>1</v>
      </c>
      <c r="N10" s="15">
        <v>1</v>
      </c>
      <c r="O10" s="6"/>
      <c r="P10" s="6"/>
      <c r="Q10" s="202"/>
    </row>
    <row r="11" spans="1:19">
      <c r="A11" s="13">
        <f t="shared" si="5"/>
        <v>46120</v>
      </c>
      <c r="B11" s="1">
        <v>6762.833333333333</v>
      </c>
      <c r="C11" s="1">
        <v>6396.1</v>
      </c>
      <c r="D11" s="200">
        <v>8059.1</v>
      </c>
      <c r="E11" s="200">
        <v>7992</v>
      </c>
      <c r="F11" s="20">
        <f t="shared" si="3"/>
        <v>0.24951142102218532</v>
      </c>
      <c r="G11" s="2">
        <f t="shared" si="0"/>
        <v>0.22704248366013072</v>
      </c>
      <c r="H11" s="2">
        <f t="shared" si="1"/>
        <v>0.3052689393939394</v>
      </c>
      <c r="I11" s="3">
        <v>5.72</v>
      </c>
      <c r="J11" s="201">
        <v>6.7213333329999996</v>
      </c>
      <c r="K11" s="20">
        <f t="shared" si="4"/>
        <v>0.17505827499999999</v>
      </c>
      <c r="L11" s="4">
        <f t="shared" si="2"/>
        <v>0.81070515891391182</v>
      </c>
      <c r="M11" s="5">
        <v>1</v>
      </c>
      <c r="N11" s="15">
        <v>1</v>
      </c>
      <c r="O11" s="6"/>
      <c r="P11" s="6"/>
      <c r="Q11" s="14"/>
    </row>
    <row r="12" spans="1:19">
      <c r="A12" s="13">
        <f t="shared" si="5"/>
        <v>46121</v>
      </c>
      <c r="B12" s="1">
        <v>6762.833333333333</v>
      </c>
      <c r="C12" s="1">
        <v>6396.1</v>
      </c>
      <c r="D12" s="200">
        <v>8283.6</v>
      </c>
      <c r="E12" s="200">
        <v>8172</v>
      </c>
      <c r="F12" s="20">
        <f t="shared" si="3"/>
        <v>0.27765357014430664</v>
      </c>
      <c r="G12" s="2">
        <f t="shared" si="0"/>
        <v>0.23336713995943206</v>
      </c>
      <c r="H12" s="2">
        <f t="shared" si="1"/>
        <v>0.31377272727272731</v>
      </c>
      <c r="I12" s="3">
        <v>5.72</v>
      </c>
      <c r="J12" s="201">
        <v>6.829166667</v>
      </c>
      <c r="K12" s="20">
        <f t="shared" si="4"/>
        <v>0.19391025646853152</v>
      </c>
      <c r="L12" s="4">
        <f t="shared" si="2"/>
        <v>0.82013101043362913</v>
      </c>
      <c r="M12" s="5">
        <v>1</v>
      </c>
      <c r="N12" s="5">
        <v>1</v>
      </c>
      <c r="O12" s="6"/>
      <c r="P12" s="6"/>
      <c r="Q12" s="6"/>
    </row>
    <row r="13" spans="1:19">
      <c r="A13" s="13">
        <f t="shared" si="5"/>
        <v>46122</v>
      </c>
      <c r="B13" s="1">
        <v>6762.833333333333</v>
      </c>
      <c r="C13" s="1">
        <v>6396.1</v>
      </c>
      <c r="D13" s="200">
        <v>8246.4</v>
      </c>
      <c r="E13" s="200">
        <v>8112</v>
      </c>
      <c r="F13" s="20">
        <f t="shared" si="3"/>
        <v>0.26827285377026616</v>
      </c>
      <c r="G13" s="2">
        <f t="shared" si="0"/>
        <v>0.23231913455037187</v>
      </c>
      <c r="H13" s="2">
        <f t="shared" si="1"/>
        <v>0.31236363636363634</v>
      </c>
      <c r="I13" s="3">
        <v>5.72</v>
      </c>
      <c r="J13" s="201">
        <v>6.931666667</v>
      </c>
      <c r="K13" s="20">
        <f t="shared" si="4"/>
        <v>0.21182983688811194</v>
      </c>
      <c r="L13" s="4">
        <f t="shared" si="2"/>
        <v>0.80437497892870391</v>
      </c>
      <c r="M13" s="5">
        <v>1</v>
      </c>
      <c r="N13" s="15">
        <v>1</v>
      </c>
      <c r="O13" s="6"/>
      <c r="P13" s="6"/>
      <c r="Q13" s="16"/>
    </row>
    <row r="14" spans="1:19">
      <c r="A14" s="13">
        <f t="shared" si="5"/>
        <v>46123</v>
      </c>
      <c r="B14" s="1">
        <v>6762.833333333333</v>
      </c>
      <c r="C14" s="1">
        <v>6396.1</v>
      </c>
      <c r="D14" s="200">
        <v>8001.5</v>
      </c>
      <c r="E14" s="200">
        <v>7920</v>
      </c>
      <c r="F14" s="20">
        <f t="shared" si="3"/>
        <v>0.23825456137333681</v>
      </c>
      <c r="G14" s="2">
        <f t="shared" si="0"/>
        <v>0.22541976560739238</v>
      </c>
      <c r="H14" s="2">
        <f t="shared" si="1"/>
        <v>0.30308712121212122</v>
      </c>
      <c r="I14" s="3">
        <v>5.72</v>
      </c>
      <c r="J14" s="201">
        <v>6.5784166669999999</v>
      </c>
      <c r="K14" s="20">
        <f t="shared" si="4"/>
        <v>0.15007284388111891</v>
      </c>
      <c r="L14" s="4">
        <f t="shared" si="2"/>
        <v>0.82239764497079348</v>
      </c>
      <c r="M14" s="5">
        <v>1</v>
      </c>
      <c r="N14" s="15">
        <v>1</v>
      </c>
      <c r="O14" s="6"/>
      <c r="P14" s="6"/>
      <c r="Q14" s="6"/>
    </row>
    <row r="15" spans="1:19">
      <c r="A15" s="13">
        <f t="shared" si="5"/>
        <v>46124</v>
      </c>
      <c r="B15" s="1">
        <v>6762.833333333333</v>
      </c>
      <c r="C15" s="1">
        <v>6396.1</v>
      </c>
      <c r="D15" s="200">
        <v>8092.7</v>
      </c>
      <c r="E15" s="200">
        <v>7968</v>
      </c>
      <c r="F15" s="20">
        <f t="shared" si="3"/>
        <v>0.24575913447256914</v>
      </c>
      <c r="G15" s="2">
        <f t="shared" si="0"/>
        <v>0.22798906919089473</v>
      </c>
      <c r="H15" s="2">
        <f t="shared" si="1"/>
        <v>0.30654166666666666</v>
      </c>
      <c r="I15" s="3">
        <v>5.72</v>
      </c>
      <c r="J15" s="201">
        <v>6.7213333329999996</v>
      </c>
      <c r="K15" s="20">
        <f t="shared" si="4"/>
        <v>0.17505827499999999</v>
      </c>
      <c r="L15" s="4">
        <f t="shared" si="2"/>
        <v>0.81408515089062228</v>
      </c>
      <c r="M15" s="5">
        <v>1</v>
      </c>
      <c r="N15" s="15">
        <v>1</v>
      </c>
      <c r="O15" s="6"/>
      <c r="P15" s="6"/>
      <c r="Q15" s="6"/>
    </row>
    <row r="16" spans="1:19">
      <c r="A16" s="13">
        <f t="shared" si="5"/>
        <v>46125</v>
      </c>
      <c r="B16" s="1">
        <v>6762.833333333333</v>
      </c>
      <c r="C16" s="1">
        <v>6396.1</v>
      </c>
      <c r="D16" s="200">
        <v>8389.5</v>
      </c>
      <c r="E16" s="200">
        <v>8256</v>
      </c>
      <c r="F16" s="20">
        <f t="shared" si="3"/>
        <v>0.29078657306796324</v>
      </c>
      <c r="G16" s="2">
        <f t="shared" si="0"/>
        <v>0.23635057471264367</v>
      </c>
      <c r="H16" s="2">
        <f t="shared" si="1"/>
        <v>0.31778409090909093</v>
      </c>
      <c r="I16" s="3">
        <v>5.72</v>
      </c>
      <c r="J16" s="201">
        <v>7.1914999999999996</v>
      </c>
      <c r="K16" s="20">
        <f t="shared" si="4"/>
        <v>0.25725524475524475</v>
      </c>
      <c r="L16" s="4">
        <f t="shared" si="2"/>
        <v>0.78876643163504812</v>
      </c>
      <c r="M16" s="5">
        <v>1</v>
      </c>
      <c r="N16" s="15">
        <v>1</v>
      </c>
      <c r="O16" s="6"/>
      <c r="P16" s="6"/>
      <c r="Q16" s="14"/>
    </row>
    <row r="17" spans="1:17">
      <c r="A17" s="13">
        <f t="shared" si="5"/>
        <v>46126</v>
      </c>
      <c r="B17" s="1">
        <v>6762.833333333333</v>
      </c>
      <c r="C17" s="1">
        <v>6396.1</v>
      </c>
      <c r="D17" s="200">
        <v>8662.1</v>
      </c>
      <c r="E17" s="200">
        <v>8568</v>
      </c>
      <c r="F17" s="20">
        <f t="shared" si="3"/>
        <v>0.33956629821297346</v>
      </c>
      <c r="G17" s="2">
        <f t="shared" si="0"/>
        <v>0.24403031327473521</v>
      </c>
      <c r="H17" s="2">
        <f t="shared" si="1"/>
        <v>0.32810984848484848</v>
      </c>
      <c r="I17" s="3">
        <v>5.72</v>
      </c>
      <c r="J17" s="201">
        <v>7.4143333330000001</v>
      </c>
      <c r="K17" s="20">
        <f t="shared" si="4"/>
        <v>0.29621212115384621</v>
      </c>
      <c r="L17" s="4">
        <f t="shared" si="2"/>
        <v>0.78991964018211813</v>
      </c>
      <c r="M17" s="5">
        <v>1</v>
      </c>
      <c r="N17" s="15">
        <v>1</v>
      </c>
      <c r="O17" s="6"/>
      <c r="P17" s="6"/>
      <c r="Q17" s="203"/>
    </row>
    <row r="18" spans="1:17">
      <c r="A18" s="13">
        <f t="shared" si="5"/>
        <v>46127</v>
      </c>
      <c r="B18" s="1">
        <v>6762.833333333333</v>
      </c>
      <c r="C18" s="1">
        <v>6396.1</v>
      </c>
      <c r="D18" s="200">
        <v>8535.7999999999993</v>
      </c>
      <c r="E18" s="200">
        <v>8424</v>
      </c>
      <c r="F18" s="20">
        <f t="shared" si="3"/>
        <v>0.31705257891527644</v>
      </c>
      <c r="G18" s="2">
        <f t="shared" si="0"/>
        <v>0.24047216587784537</v>
      </c>
      <c r="H18" s="2">
        <f t="shared" si="1"/>
        <v>0.32332575757575754</v>
      </c>
      <c r="I18" s="3">
        <v>5.72</v>
      </c>
      <c r="J18" s="201">
        <v>7.3748333329999998</v>
      </c>
      <c r="K18" s="20">
        <f t="shared" si="4"/>
        <v>0.28930652674825175</v>
      </c>
      <c r="L18" s="4">
        <f t="shared" si="2"/>
        <v>0.78257117421805866</v>
      </c>
      <c r="M18" s="5">
        <v>1</v>
      </c>
      <c r="N18" s="15">
        <v>1</v>
      </c>
      <c r="O18" s="6"/>
      <c r="P18" s="6"/>
      <c r="Q18" s="14"/>
    </row>
    <row r="19" spans="1:17">
      <c r="A19" s="13">
        <f t="shared" si="5"/>
        <v>46128</v>
      </c>
      <c r="B19" s="1">
        <v>6762.833333333333</v>
      </c>
      <c r="C19" s="1">
        <v>6396.1</v>
      </c>
      <c r="D19" s="200">
        <v>8161.9</v>
      </c>
      <c r="E19" s="200">
        <v>7944</v>
      </c>
      <c r="F19" s="20">
        <f t="shared" si="3"/>
        <v>0.24200684792295299</v>
      </c>
      <c r="G19" s="2">
        <f t="shared" si="0"/>
        <v>0.22993858462925398</v>
      </c>
      <c r="H19" s="2">
        <f t="shared" si="1"/>
        <v>0.30916287878787879</v>
      </c>
      <c r="I19" s="3">
        <v>5.72</v>
      </c>
      <c r="J19" s="201">
        <v>6.9930833330000004</v>
      </c>
      <c r="K19" s="20">
        <f t="shared" si="4"/>
        <v>0.2225670162587414</v>
      </c>
      <c r="L19" s="4">
        <f t="shared" si="2"/>
        <v>0.78914060770024796</v>
      </c>
      <c r="M19" s="5">
        <v>1</v>
      </c>
      <c r="N19" s="15">
        <v>1</v>
      </c>
      <c r="O19" s="6"/>
      <c r="P19" s="6"/>
      <c r="Q19" s="14"/>
    </row>
    <row r="20" spans="1:17">
      <c r="A20" s="13">
        <f t="shared" si="5"/>
        <v>46129</v>
      </c>
      <c r="B20" s="1">
        <v>6762.833333333333</v>
      </c>
      <c r="C20" s="1">
        <v>6396.1</v>
      </c>
      <c r="D20" s="200">
        <v>6982.2</v>
      </c>
      <c r="E20" s="200">
        <v>6996</v>
      </c>
      <c r="F20" s="20">
        <f t="shared" si="3"/>
        <v>9.3791529213114178E-2</v>
      </c>
      <c r="G20" s="2">
        <f t="shared" si="0"/>
        <v>0.19670385395537524</v>
      </c>
      <c r="H20" s="2">
        <f t="shared" si="1"/>
        <v>0.26447727272727273</v>
      </c>
      <c r="I20" s="3">
        <v>5.72</v>
      </c>
      <c r="J20" s="201">
        <v>5.6226666669999998</v>
      </c>
      <c r="K20" s="20">
        <f t="shared" si="4"/>
        <v>-1.7016316958041944E-2</v>
      </c>
      <c r="L20" s="4">
        <f t="shared" si="2"/>
        <v>0.83961806283776386</v>
      </c>
      <c r="M20" s="5">
        <v>1</v>
      </c>
      <c r="N20" s="15">
        <v>1</v>
      </c>
      <c r="O20" s="6"/>
      <c r="P20" s="6"/>
      <c r="Q20" s="6"/>
    </row>
    <row r="21" spans="1:17">
      <c r="A21" s="13">
        <f t="shared" si="5"/>
        <v>46130</v>
      </c>
      <c r="B21" s="1">
        <v>6762.833333333333</v>
      </c>
      <c r="C21" s="1">
        <v>6396.1</v>
      </c>
      <c r="D21" s="200">
        <v>8179.4</v>
      </c>
      <c r="E21" s="200">
        <v>8124</v>
      </c>
      <c r="F21" s="20">
        <f t="shared" si="3"/>
        <v>0.27014899704507428</v>
      </c>
      <c r="G21" s="2">
        <f t="shared" si="0"/>
        <v>0.23043159792652693</v>
      </c>
      <c r="H21" s="2">
        <f t="shared" si="1"/>
        <v>0.30982575757575759</v>
      </c>
      <c r="I21" s="3">
        <v>5.72</v>
      </c>
      <c r="J21" s="201">
        <v>6.9096666669999998</v>
      </c>
      <c r="K21" s="20">
        <f t="shared" si="4"/>
        <v>0.20798368304195805</v>
      </c>
      <c r="L21" s="4">
        <f t="shared" si="2"/>
        <v>0.80037990495969702</v>
      </c>
      <c r="M21" s="5">
        <v>1</v>
      </c>
      <c r="N21" s="15">
        <v>1</v>
      </c>
      <c r="O21" s="6"/>
      <c r="P21" s="6"/>
      <c r="Q21" s="14"/>
    </row>
    <row r="22" spans="1:17">
      <c r="A22" s="13">
        <f t="shared" si="5"/>
        <v>46131</v>
      </c>
      <c r="B22" s="1">
        <v>6762.833333333333</v>
      </c>
      <c r="C22" s="1">
        <v>6396.1</v>
      </c>
      <c r="D22" s="200">
        <v>8484.2000000000007</v>
      </c>
      <c r="E22" s="200">
        <v>8364</v>
      </c>
      <c r="F22" s="20">
        <f t="shared" si="3"/>
        <v>0.30767186254123602</v>
      </c>
      <c r="G22" s="2">
        <f t="shared" si="0"/>
        <v>0.23901848095560066</v>
      </c>
      <c r="H22" s="2">
        <f t="shared" ref="H22:H33" si="6">E22/($D$2*24)</f>
        <v>0.23563218390804597</v>
      </c>
      <c r="I22" s="3">
        <v>5.72</v>
      </c>
      <c r="J22" s="201">
        <v>7.118416667</v>
      </c>
      <c r="K22" s="20">
        <f t="shared" si="4"/>
        <v>0.24447843828671334</v>
      </c>
      <c r="L22" s="4">
        <f t="shared" si="2"/>
        <v>0.80585947848877382</v>
      </c>
      <c r="M22" s="5">
        <v>1</v>
      </c>
      <c r="N22" s="15">
        <v>1</v>
      </c>
      <c r="O22" s="6"/>
      <c r="P22" s="6"/>
      <c r="Q22" s="14"/>
    </row>
    <row r="23" spans="1:17">
      <c r="A23" s="13">
        <f t="shared" si="5"/>
        <v>46132</v>
      </c>
      <c r="B23" s="1">
        <v>6762.833333333333</v>
      </c>
      <c r="C23" s="1">
        <v>6396.1</v>
      </c>
      <c r="D23" s="200">
        <v>7952.2</v>
      </c>
      <c r="E23" s="200">
        <v>7824</v>
      </c>
      <c r="F23" s="20">
        <f t="shared" si="3"/>
        <v>0.22324541517487212</v>
      </c>
      <c r="G23" s="2">
        <f t="shared" si="0"/>
        <v>0.2240308767185035</v>
      </c>
      <c r="H23" s="2">
        <f t="shared" si="6"/>
        <v>0.22041920216362407</v>
      </c>
      <c r="I23" s="3">
        <v>5.72</v>
      </c>
      <c r="J23" s="201">
        <v>6.593</v>
      </c>
      <c r="K23" s="20">
        <f t="shared" si="4"/>
        <v>0.15262237762237768</v>
      </c>
      <c r="L23" s="4">
        <f t="shared" si="2"/>
        <v>0.81552268182073162</v>
      </c>
      <c r="M23" s="5">
        <v>1</v>
      </c>
      <c r="N23" s="15">
        <v>1</v>
      </c>
      <c r="O23" s="6"/>
      <c r="P23" s="6"/>
      <c r="Q23" s="14"/>
    </row>
    <row r="24" spans="1:17">
      <c r="A24" s="13">
        <f t="shared" si="5"/>
        <v>46133</v>
      </c>
      <c r="B24" s="1">
        <v>6762.833333333333</v>
      </c>
      <c r="C24" s="1">
        <v>6396.1</v>
      </c>
      <c r="D24" s="14">
        <v>8007</v>
      </c>
      <c r="E24" s="14">
        <v>7872</v>
      </c>
      <c r="F24" s="20">
        <f>(IF(ISBLANK(E24),0,E24-C24))/C24</f>
        <v>0.23074998827410445</v>
      </c>
      <c r="G24" s="2">
        <f t="shared" si="0"/>
        <v>0.22557471264367815</v>
      </c>
      <c r="H24" s="2">
        <f t="shared" si="6"/>
        <v>0.22177146720757268</v>
      </c>
      <c r="I24" s="3">
        <v>5.72</v>
      </c>
      <c r="J24" s="14">
        <v>6.8109999999999999</v>
      </c>
      <c r="K24" s="20">
        <f>(IF(ISBLANK(J24),0,J24-I24))/I24</f>
        <v>0.19073426573426577</v>
      </c>
      <c r="L24" s="4">
        <f t="shared" si="2"/>
        <v>0.79486024129324273</v>
      </c>
      <c r="M24" s="25">
        <v>1</v>
      </c>
      <c r="N24" s="15">
        <v>1</v>
      </c>
      <c r="O24" s="6"/>
      <c r="P24" s="6"/>
      <c r="Q24" s="6"/>
    </row>
    <row r="25" spans="1:17">
      <c r="A25" s="13">
        <f t="shared" si="5"/>
        <v>46134</v>
      </c>
      <c r="B25" s="1">
        <v>6762.833333333333</v>
      </c>
      <c r="C25" s="1">
        <v>6396.1</v>
      </c>
      <c r="D25" s="14">
        <v>7647</v>
      </c>
      <c r="E25" s="14">
        <v>7524</v>
      </c>
      <c r="F25" s="20">
        <f t="shared" si="3"/>
        <v>0.17634183330466996</v>
      </c>
      <c r="G25" s="2">
        <f t="shared" si="0"/>
        <v>0.21543272481406356</v>
      </c>
      <c r="H25" s="2">
        <f t="shared" si="6"/>
        <v>0.21196754563894524</v>
      </c>
      <c r="I25" s="3">
        <v>5.72</v>
      </c>
      <c r="J25" s="14">
        <v>6.5780000000000003</v>
      </c>
      <c r="K25" s="20">
        <f t="shared" si="4"/>
        <v>0.15000000000000011</v>
      </c>
      <c r="L25" s="4">
        <f t="shared" si="2"/>
        <v>0.78601176581598131</v>
      </c>
      <c r="M25" s="25">
        <v>1</v>
      </c>
      <c r="N25" s="15">
        <v>1</v>
      </c>
      <c r="O25" s="6"/>
      <c r="P25" s="6"/>
      <c r="Q25" s="6"/>
    </row>
    <row r="26" spans="1:17">
      <c r="A26" s="13">
        <f t="shared" si="5"/>
        <v>46135</v>
      </c>
      <c r="B26" s="1">
        <v>6762.833333333333</v>
      </c>
      <c r="C26" s="1">
        <v>6396.1</v>
      </c>
      <c r="D26" s="14">
        <v>8376</v>
      </c>
      <c r="E26" s="14">
        <v>8280</v>
      </c>
      <c r="F26" s="20">
        <f t="shared" si="3"/>
        <v>0.29453885961757936</v>
      </c>
      <c r="G26" s="2">
        <f t="shared" si="0"/>
        <v>0.23597025016903314</v>
      </c>
      <c r="H26" s="2">
        <f t="shared" si="6"/>
        <v>0.23326572008113591</v>
      </c>
      <c r="I26" s="3">
        <v>5.72</v>
      </c>
      <c r="J26" s="14">
        <v>7.25</v>
      </c>
      <c r="K26" s="20">
        <f t="shared" si="4"/>
        <v>0.26748251748251756</v>
      </c>
      <c r="L26" s="4">
        <f t="shared" si="2"/>
        <v>0.78114289711128204</v>
      </c>
      <c r="M26" s="25">
        <v>1</v>
      </c>
      <c r="N26" s="15">
        <v>1</v>
      </c>
      <c r="O26" s="6"/>
      <c r="P26" s="6"/>
      <c r="Q26" s="6"/>
    </row>
    <row r="27" spans="1:17">
      <c r="A27" s="13">
        <f t="shared" si="5"/>
        <v>46136</v>
      </c>
      <c r="B27" s="1">
        <v>6762.833333333333</v>
      </c>
      <c r="C27" s="1">
        <v>6396.1</v>
      </c>
      <c r="D27" s="14">
        <v>6356</v>
      </c>
      <c r="E27" s="14">
        <v>6240</v>
      </c>
      <c r="F27" s="20">
        <f t="shared" si="3"/>
        <v>-2.4405497099795243E-2</v>
      </c>
      <c r="G27" s="2">
        <f t="shared" si="0"/>
        <v>0.17906242956952897</v>
      </c>
      <c r="H27" s="2">
        <f t="shared" si="6"/>
        <v>0.17579445571331981</v>
      </c>
      <c r="I27" s="3">
        <v>5.72</v>
      </c>
      <c r="J27" s="14">
        <v>5.1210000000000004</v>
      </c>
      <c r="K27" s="20">
        <f t="shared" si="4"/>
        <v>-0.1047202797202796</v>
      </c>
      <c r="L27" s="4">
        <f t="shared" si="2"/>
        <v>0.83919123406926277</v>
      </c>
      <c r="M27" s="25">
        <v>1</v>
      </c>
      <c r="N27" s="15">
        <v>1</v>
      </c>
      <c r="O27" s="6"/>
      <c r="P27" s="6"/>
      <c r="Q27" s="6"/>
    </row>
    <row r="28" spans="1:17">
      <c r="A28" s="13">
        <f t="shared" si="5"/>
        <v>46137</v>
      </c>
      <c r="B28" s="1">
        <v>6762.833333333333</v>
      </c>
      <c r="C28" s="1">
        <v>6396.1</v>
      </c>
      <c r="D28" s="14">
        <v>6844</v>
      </c>
      <c r="E28" s="14">
        <v>6756</v>
      </c>
      <c r="F28" s="20">
        <f t="shared" si="3"/>
        <v>5.6268663716952459E-2</v>
      </c>
      <c r="G28" s="2">
        <f t="shared" si="0"/>
        <v>0.19281045751633988</v>
      </c>
      <c r="H28" s="2">
        <f t="shared" si="6"/>
        <v>0.19033130493576741</v>
      </c>
      <c r="I28" s="3">
        <v>5.72</v>
      </c>
      <c r="J28" s="14">
        <v>5.569</v>
      </c>
      <c r="K28" s="20">
        <f t="shared" si="4"/>
        <v>-2.6398601398601364E-2</v>
      </c>
      <c r="L28" s="4">
        <f t="shared" si="2"/>
        <v>0.83093032508388531</v>
      </c>
      <c r="M28" s="25">
        <v>1</v>
      </c>
      <c r="N28" s="15">
        <v>1</v>
      </c>
      <c r="O28" s="6"/>
      <c r="P28" s="6"/>
      <c r="Q28" s="6"/>
    </row>
    <row r="29" spans="1:17">
      <c r="A29" s="13">
        <f t="shared" si="5"/>
        <v>46138</v>
      </c>
      <c r="B29" s="1">
        <v>6762.833333333333</v>
      </c>
      <c r="C29" s="1">
        <v>6396.1</v>
      </c>
      <c r="D29" s="14">
        <v>7706</v>
      </c>
      <c r="E29" s="14">
        <v>7596</v>
      </c>
      <c r="F29" s="20">
        <f t="shared" si="3"/>
        <v>0.18759869295351847</v>
      </c>
      <c r="G29" s="2">
        <f t="shared" si="0"/>
        <v>0.21709488393058374</v>
      </c>
      <c r="H29" s="2">
        <f t="shared" si="6"/>
        <v>0.21399594320486814</v>
      </c>
      <c r="I29" s="3">
        <v>5.72</v>
      </c>
      <c r="J29" s="14">
        <v>6.6719999999999997</v>
      </c>
      <c r="K29" s="20">
        <f t="shared" si="4"/>
        <v>0.16643356643356644</v>
      </c>
      <c r="L29" s="4">
        <f t="shared" si="2"/>
        <v>0.78091684867116462</v>
      </c>
      <c r="M29" s="25">
        <v>1</v>
      </c>
      <c r="N29" s="15">
        <v>1</v>
      </c>
      <c r="O29" s="6"/>
      <c r="P29" s="6"/>
      <c r="Q29" s="6"/>
    </row>
    <row r="30" spans="1:17">
      <c r="A30" s="13">
        <f t="shared" si="5"/>
        <v>46139</v>
      </c>
      <c r="B30" s="1">
        <v>6762.833333333333</v>
      </c>
      <c r="C30" s="1">
        <v>6396.1</v>
      </c>
      <c r="D30" s="14">
        <v>7971</v>
      </c>
      <c r="E30" s="14">
        <v>7848</v>
      </c>
      <c r="F30" s="20">
        <f t="shared" si="3"/>
        <v>0.2269977017244883</v>
      </c>
      <c r="G30" s="2">
        <f t="shared" si="0"/>
        <v>0.22456051386071671</v>
      </c>
      <c r="H30" s="2">
        <f t="shared" si="6"/>
        <v>0.22109533468559839</v>
      </c>
      <c r="I30" s="3">
        <v>5.72</v>
      </c>
      <c r="J30" s="14">
        <v>6.8280000000000003</v>
      </c>
      <c r="K30" s="20">
        <f t="shared" si="4"/>
        <v>0.1937062937062938</v>
      </c>
      <c r="L30" s="4">
        <f t="shared" si="2"/>
        <v>0.78931639318353841</v>
      </c>
      <c r="M30" s="25">
        <v>1</v>
      </c>
      <c r="N30" s="15">
        <v>1</v>
      </c>
      <c r="O30" s="6"/>
      <c r="P30" s="6"/>
      <c r="Q30" s="6"/>
    </row>
    <row r="31" spans="1:17">
      <c r="A31" s="13">
        <f t="shared" si="5"/>
        <v>46140</v>
      </c>
      <c r="B31" s="1">
        <v>6762.833333333333</v>
      </c>
      <c r="C31" s="1">
        <v>6396.1</v>
      </c>
      <c r="D31" s="14">
        <v>6307</v>
      </c>
      <c r="E31" s="14">
        <v>6240</v>
      </c>
      <c r="F31" s="20">
        <f t="shared" si="3"/>
        <v>-2.4405497099795243E-2</v>
      </c>
      <c r="G31" s="2">
        <f t="shared" si="0"/>
        <v>0.17768199233716475</v>
      </c>
      <c r="H31" s="2">
        <f t="shared" si="6"/>
        <v>0.17579445571331981</v>
      </c>
      <c r="I31" s="3">
        <v>5.72</v>
      </c>
      <c r="J31" s="14">
        <v>5.17</v>
      </c>
      <c r="K31" s="20">
        <f t="shared" si="4"/>
        <v>-9.6153846153846131E-2</v>
      </c>
      <c r="L31" s="4">
        <f t="shared" si="2"/>
        <v>0.82482936481469127</v>
      </c>
      <c r="M31" s="25">
        <v>1</v>
      </c>
      <c r="N31" s="15">
        <v>0.9879</v>
      </c>
      <c r="O31" s="6">
        <v>125.53</v>
      </c>
      <c r="P31" s="6"/>
      <c r="Q31" s="6" t="s">
        <v>279</v>
      </c>
    </row>
    <row r="32" spans="1:17">
      <c r="A32" s="13">
        <f t="shared" si="5"/>
        <v>46141</v>
      </c>
      <c r="B32" s="1">
        <v>6762.833333333333</v>
      </c>
      <c r="C32" s="1">
        <v>6396.1</v>
      </c>
      <c r="D32" s="14">
        <v>6748</v>
      </c>
      <c r="E32" s="14">
        <v>6612</v>
      </c>
      <c r="F32" s="20">
        <f t="shared" si="3"/>
        <v>3.3754944419255424E-2</v>
      </c>
      <c r="G32" s="2">
        <f t="shared" si="0"/>
        <v>0.19010592742844265</v>
      </c>
      <c r="H32" s="2">
        <f t="shared" si="6"/>
        <v>0.18627450980392157</v>
      </c>
      <c r="I32" s="3">
        <v>5.72</v>
      </c>
      <c r="J32" s="14">
        <v>5.5170000000000003</v>
      </c>
      <c r="K32" s="20">
        <f t="shared" si="4"/>
        <v>-3.5489510489510386E-2</v>
      </c>
      <c r="L32" s="4">
        <f t="shared" si="2"/>
        <v>0.82699696543096302</v>
      </c>
      <c r="M32" s="25">
        <v>1</v>
      </c>
      <c r="N32" s="25">
        <v>1</v>
      </c>
      <c r="O32" s="6"/>
      <c r="P32" s="6"/>
      <c r="Q32" s="6"/>
    </row>
    <row r="33" spans="1:17">
      <c r="A33" s="13">
        <f t="shared" si="5"/>
        <v>46142</v>
      </c>
      <c r="B33" s="1">
        <v>6762.833333333333</v>
      </c>
      <c r="C33" s="1">
        <v>6396.1</v>
      </c>
      <c r="D33" s="14">
        <v>7683</v>
      </c>
      <c r="E33" s="14">
        <v>7632</v>
      </c>
      <c r="F33" s="20">
        <f t="shared" si="3"/>
        <v>0.19322712277794274</v>
      </c>
      <c r="G33" s="2">
        <f t="shared" si="0"/>
        <v>0.21644692359702503</v>
      </c>
      <c r="H33" s="2">
        <f t="shared" si="6"/>
        <v>0.21501014198782961</v>
      </c>
      <c r="I33" s="3">
        <v>5.72</v>
      </c>
      <c r="J33" s="14">
        <v>6.6029999999999998</v>
      </c>
      <c r="K33" s="20">
        <f t="shared" si="4"/>
        <v>0.15437062937062937</v>
      </c>
      <c r="L33" s="4">
        <f t="shared" si="2"/>
        <v>0.78672212120681517</v>
      </c>
      <c r="M33" s="25">
        <v>1</v>
      </c>
      <c r="N33" s="25">
        <v>1</v>
      </c>
      <c r="O33" s="6"/>
      <c r="P33" s="6"/>
      <c r="Q33" s="6"/>
    </row>
    <row r="34" spans="1:17">
      <c r="A34" s="349">
        <v>46113</v>
      </c>
      <c r="B34" s="17">
        <f>SUM(B4:B33)</f>
        <v>202885.00000000006</v>
      </c>
      <c r="C34" s="17">
        <f>SUM(C4:C33)</f>
        <v>191883.00000000009</v>
      </c>
      <c r="D34" s="17">
        <f>SUM(D4:D33)</f>
        <v>223938.80000000002</v>
      </c>
      <c r="E34" s="17">
        <f>SUM(E4:E33)</f>
        <v>220836</v>
      </c>
      <c r="F34" s="20">
        <f>(IF(ISBLANK(E34),0,E34-C34))/C34</f>
        <v>0.15088882287643982</v>
      </c>
      <c r="G34" s="18">
        <f>AVERAGE(G4:G33)</f>
        <v>0.21029486890541657</v>
      </c>
      <c r="H34" s="18">
        <f>AVERAGE(H4:H33)</f>
        <v>0.25239027752166704</v>
      </c>
      <c r="I34" s="17">
        <f>SUM(I4:I33)</f>
        <v>171.6</v>
      </c>
      <c r="J34" s="17">
        <f>SUM(J4:J33)</f>
        <v>191.67266666700002</v>
      </c>
      <c r="K34" s="20">
        <f t="shared" si="4"/>
        <v>0.1169735819755246</v>
      </c>
      <c r="L34" s="4">
        <f t="shared" si="2"/>
        <v>0.78995251772102759</v>
      </c>
      <c r="M34" s="18">
        <f>AVERAGE(M4:M33)</f>
        <v>1</v>
      </c>
      <c r="N34" s="18">
        <f>AVERAGE(N4:N33)</f>
        <v>0.98267666666666664</v>
      </c>
      <c r="O34" s="17">
        <f>SUM(O4:O33)</f>
        <v>6082.7053599999999</v>
      </c>
      <c r="P34" s="17">
        <f>SUM(P4:P33)</f>
        <v>0</v>
      </c>
      <c r="Q34" s="19"/>
    </row>
    <row r="35" spans="1:17">
      <c r="A35" s="13">
        <v>46143</v>
      </c>
      <c r="B35" s="1">
        <v>6137</v>
      </c>
      <c r="C35" s="1">
        <v>5804</v>
      </c>
      <c r="D35" s="200">
        <v>7508</v>
      </c>
      <c r="E35" s="200">
        <v>7464</v>
      </c>
      <c r="F35" s="20">
        <f>(IF(ISBLANK(E35),0,E35-C35))/C35</f>
        <v>0.28600964851826327</v>
      </c>
      <c r="G35" s="2">
        <f t="shared" ref="G35:G65" si="7">D35/($D$2*24)</f>
        <v>0.21151679062429571</v>
      </c>
      <c r="H35" s="2">
        <f t="shared" ref="H35:H52" si="8">D35/($H$2*24)</f>
        <v>0.28439393939393942</v>
      </c>
      <c r="I35" s="3">
        <v>5.36</v>
      </c>
      <c r="J35" s="201">
        <v>6.3179999999999996</v>
      </c>
      <c r="K35" s="20">
        <f>(IF(ISBLANK(J35),0,J35-I35))/I35</f>
        <v>0.17873134328358195</v>
      </c>
      <c r="L35" s="4">
        <f t="shared" si="2"/>
        <v>0.80348258546741003</v>
      </c>
      <c r="M35" s="5">
        <v>1</v>
      </c>
      <c r="N35" s="5">
        <v>1</v>
      </c>
      <c r="O35" s="6"/>
      <c r="P35" s="6"/>
      <c r="Q35" s="6"/>
    </row>
    <row r="36" spans="1:17">
      <c r="A36" s="13">
        <f>A35+1</f>
        <v>46144</v>
      </c>
      <c r="B36" s="1">
        <v>6137</v>
      </c>
      <c r="C36" s="1">
        <v>5804</v>
      </c>
      <c r="D36" s="200">
        <v>7997</v>
      </c>
      <c r="E36" s="200">
        <v>7812</v>
      </c>
      <c r="F36" s="20">
        <f t="shared" ref="F36:F54" si="9">(IF(ISBLANK(E36),0,E36-C36))/C36</f>
        <v>0.34596829772570642</v>
      </c>
      <c r="G36" s="2">
        <f t="shared" si="7"/>
        <v>0.22529299075952219</v>
      </c>
      <c r="H36" s="2">
        <f t="shared" si="8"/>
        <v>0.30291666666666667</v>
      </c>
      <c r="I36" s="3">
        <v>5.36</v>
      </c>
      <c r="J36" s="201">
        <v>6.524</v>
      </c>
      <c r="K36" s="20">
        <f t="shared" ref="K36:K54" si="10">(IF(ISBLANK(J36),0,J36-I36))/I36</f>
        <v>0.21716417910447755</v>
      </c>
      <c r="L36" s="4">
        <f t="shared" ref="L36:L66" si="11">D36/($D$2*J36)</f>
        <v>0.82879089181921106</v>
      </c>
      <c r="M36" s="5">
        <v>1</v>
      </c>
      <c r="N36" s="5">
        <v>1</v>
      </c>
      <c r="O36" s="6"/>
      <c r="P36" s="6"/>
      <c r="Q36" s="6"/>
    </row>
    <row r="37" spans="1:17">
      <c r="A37" s="13">
        <f t="shared" ref="A37:A65" si="12">A36+1</f>
        <v>46145</v>
      </c>
      <c r="B37" s="1">
        <v>6137</v>
      </c>
      <c r="C37" s="1">
        <v>5804</v>
      </c>
      <c r="D37" s="200">
        <v>5858</v>
      </c>
      <c r="E37" s="200">
        <v>5760</v>
      </c>
      <c r="F37" s="20">
        <f t="shared" si="9"/>
        <v>-7.5809786354238459E-3</v>
      </c>
      <c r="G37" s="2">
        <f t="shared" si="7"/>
        <v>0.16503267973856209</v>
      </c>
      <c r="H37" s="2">
        <f t="shared" si="8"/>
        <v>0.22189393939393939</v>
      </c>
      <c r="I37" s="3">
        <v>5.36</v>
      </c>
      <c r="J37" s="201">
        <v>4.6070000000000002</v>
      </c>
      <c r="K37" s="20">
        <f t="shared" si="10"/>
        <v>-0.14048507462686569</v>
      </c>
      <c r="L37" s="4">
        <f t="shared" si="11"/>
        <v>0.85973178070881051</v>
      </c>
      <c r="M37" s="5">
        <v>1</v>
      </c>
      <c r="N37" s="5">
        <v>0.96970000000000001</v>
      </c>
      <c r="O37" s="14">
        <v>77.62</v>
      </c>
      <c r="P37" s="6"/>
      <c r="Q37" s="14" t="s">
        <v>279</v>
      </c>
    </row>
    <row r="38" spans="1:17">
      <c r="A38" s="13">
        <f t="shared" si="12"/>
        <v>46146</v>
      </c>
      <c r="B38" s="1">
        <v>6137</v>
      </c>
      <c r="C38" s="1">
        <v>5804</v>
      </c>
      <c r="D38" s="200">
        <v>7149</v>
      </c>
      <c r="E38" s="200">
        <v>7092</v>
      </c>
      <c r="F38" s="20">
        <f t="shared" si="9"/>
        <v>0.22191592005513439</v>
      </c>
      <c r="G38" s="2">
        <f t="shared" si="7"/>
        <v>0.2014029749830967</v>
      </c>
      <c r="H38" s="2">
        <f t="shared" si="8"/>
        <v>0.27079545454545456</v>
      </c>
      <c r="I38" s="3">
        <v>5.36</v>
      </c>
      <c r="J38" s="201">
        <v>5.8730000000000002</v>
      </c>
      <c r="K38" s="20">
        <f t="shared" si="10"/>
        <v>9.5708955223880579E-2</v>
      </c>
      <c r="L38" s="4">
        <f t="shared" si="11"/>
        <v>0.82303276001946546</v>
      </c>
      <c r="M38" s="5">
        <v>1</v>
      </c>
      <c r="N38" s="5">
        <v>1</v>
      </c>
      <c r="O38" s="6"/>
      <c r="P38" s="6"/>
      <c r="Q38" s="14"/>
    </row>
    <row r="39" spans="1:17">
      <c r="A39" s="13">
        <f t="shared" si="12"/>
        <v>46147</v>
      </c>
      <c r="B39" s="1">
        <v>6137</v>
      </c>
      <c r="C39" s="1">
        <v>5804</v>
      </c>
      <c r="D39" s="200">
        <v>7327</v>
      </c>
      <c r="E39" s="200">
        <v>7308</v>
      </c>
      <c r="F39" s="20">
        <f t="shared" si="9"/>
        <v>0.25913163335630601</v>
      </c>
      <c r="G39" s="2">
        <f t="shared" si="7"/>
        <v>0.20641762452107279</v>
      </c>
      <c r="H39" s="2">
        <f t="shared" si="8"/>
        <v>0.27753787878787878</v>
      </c>
      <c r="I39" s="3">
        <v>5.36</v>
      </c>
      <c r="J39" s="201">
        <v>5.8860000000000001</v>
      </c>
      <c r="K39" s="20">
        <f t="shared" si="10"/>
        <v>9.8134328358208914E-2</v>
      </c>
      <c r="L39" s="4">
        <f t="shared" si="11"/>
        <v>0.84166207755789113</v>
      </c>
      <c r="M39" s="5">
        <v>1</v>
      </c>
      <c r="N39" s="5">
        <v>1</v>
      </c>
      <c r="O39" s="6"/>
      <c r="P39" s="6"/>
      <c r="Q39" s="14"/>
    </row>
    <row r="40" spans="1:17">
      <c r="A40" s="13">
        <f t="shared" si="12"/>
        <v>46148</v>
      </c>
      <c r="B40" s="1">
        <v>6137</v>
      </c>
      <c r="C40" s="1">
        <v>5804</v>
      </c>
      <c r="D40" s="200">
        <v>6257</v>
      </c>
      <c r="E40" s="200">
        <v>6192</v>
      </c>
      <c r="F40" s="20">
        <f t="shared" si="9"/>
        <v>6.6850447966919371E-2</v>
      </c>
      <c r="G40" s="2">
        <f t="shared" si="7"/>
        <v>0.17627338291638495</v>
      </c>
      <c r="H40" s="2">
        <f t="shared" si="8"/>
        <v>0.23700757575757575</v>
      </c>
      <c r="I40" s="3">
        <v>5.36</v>
      </c>
      <c r="J40" s="201">
        <v>5.2839999999999998</v>
      </c>
      <c r="K40" s="20">
        <f t="shared" si="10"/>
        <v>-1.4179104477612035E-2</v>
      </c>
      <c r="L40" s="4">
        <f t="shared" si="11"/>
        <v>0.80063610711454181</v>
      </c>
      <c r="M40" s="5">
        <v>1</v>
      </c>
      <c r="N40" s="5">
        <v>1</v>
      </c>
      <c r="O40" s="6"/>
      <c r="P40" s="6"/>
      <c r="Q40" s="14"/>
    </row>
    <row r="41" spans="1:17">
      <c r="A41" s="13">
        <f t="shared" si="12"/>
        <v>46149</v>
      </c>
      <c r="B41" s="1"/>
      <c r="C41" s="1"/>
      <c r="D41" s="200"/>
      <c r="E41" s="200"/>
      <c r="F41" s="20" t="e">
        <f t="shared" si="9"/>
        <v>#DIV/0!</v>
      </c>
      <c r="G41" s="2">
        <f t="shared" si="7"/>
        <v>0</v>
      </c>
      <c r="H41" s="2">
        <f t="shared" si="8"/>
        <v>0</v>
      </c>
      <c r="I41" s="3"/>
      <c r="J41" s="201"/>
      <c r="K41" s="20" t="e">
        <f t="shared" si="10"/>
        <v>#DIV/0!</v>
      </c>
      <c r="L41" s="4" t="e">
        <f t="shared" si="11"/>
        <v>#DIV/0!</v>
      </c>
      <c r="M41" s="5"/>
      <c r="N41" s="15"/>
      <c r="O41" s="6"/>
      <c r="P41" s="6"/>
      <c r="Q41" s="202"/>
    </row>
    <row r="42" spans="1:17">
      <c r="A42" s="13">
        <f t="shared" si="12"/>
        <v>46150</v>
      </c>
      <c r="B42" s="1"/>
      <c r="C42" s="1"/>
      <c r="D42" s="200"/>
      <c r="E42" s="200"/>
      <c r="F42" s="20" t="e">
        <f t="shared" si="9"/>
        <v>#DIV/0!</v>
      </c>
      <c r="G42" s="2">
        <f t="shared" si="7"/>
        <v>0</v>
      </c>
      <c r="H42" s="2">
        <f t="shared" si="8"/>
        <v>0</v>
      </c>
      <c r="I42" s="3"/>
      <c r="J42" s="201"/>
      <c r="K42" s="20" t="e">
        <f t="shared" si="10"/>
        <v>#DIV/0!</v>
      </c>
      <c r="L42" s="4" t="e">
        <f t="shared" si="11"/>
        <v>#DIV/0!</v>
      </c>
      <c r="M42" s="5"/>
      <c r="N42" s="15"/>
      <c r="O42" s="6"/>
      <c r="P42" s="6"/>
      <c r="Q42" s="14"/>
    </row>
    <row r="43" spans="1:17">
      <c r="A43" s="13">
        <f t="shared" si="12"/>
        <v>46151</v>
      </c>
      <c r="B43" s="1"/>
      <c r="C43" s="1"/>
      <c r="D43" s="200"/>
      <c r="E43" s="200"/>
      <c r="F43" s="20" t="e">
        <f t="shared" si="9"/>
        <v>#DIV/0!</v>
      </c>
      <c r="G43" s="2">
        <f t="shared" si="7"/>
        <v>0</v>
      </c>
      <c r="H43" s="2">
        <f t="shared" si="8"/>
        <v>0</v>
      </c>
      <c r="I43" s="3"/>
      <c r="J43" s="201"/>
      <c r="K43" s="20" t="e">
        <f t="shared" si="10"/>
        <v>#DIV/0!</v>
      </c>
      <c r="L43" s="4" t="e">
        <f t="shared" si="11"/>
        <v>#DIV/0!</v>
      </c>
      <c r="M43" s="5"/>
      <c r="N43" s="5"/>
      <c r="O43" s="6"/>
      <c r="P43" s="6"/>
      <c r="Q43" s="6"/>
    </row>
    <row r="44" spans="1:17">
      <c r="A44" s="13">
        <f t="shared" si="12"/>
        <v>46152</v>
      </c>
      <c r="B44" s="1"/>
      <c r="C44" s="1"/>
      <c r="D44" s="200"/>
      <c r="E44" s="200"/>
      <c r="F44" s="20" t="e">
        <f t="shared" si="9"/>
        <v>#DIV/0!</v>
      </c>
      <c r="G44" s="2">
        <f t="shared" si="7"/>
        <v>0</v>
      </c>
      <c r="H44" s="2">
        <f t="shared" si="8"/>
        <v>0</v>
      </c>
      <c r="I44" s="3"/>
      <c r="J44" s="201"/>
      <c r="K44" s="20" t="e">
        <f t="shared" si="10"/>
        <v>#DIV/0!</v>
      </c>
      <c r="L44" s="4" t="e">
        <f t="shared" si="11"/>
        <v>#DIV/0!</v>
      </c>
      <c r="M44" s="5"/>
      <c r="N44" s="15"/>
      <c r="O44" s="6"/>
      <c r="P44" s="6"/>
      <c r="Q44" s="16"/>
    </row>
    <row r="45" spans="1:17">
      <c r="A45" s="13">
        <f t="shared" si="12"/>
        <v>46153</v>
      </c>
      <c r="B45" s="1"/>
      <c r="C45" s="1"/>
      <c r="D45" s="200"/>
      <c r="E45" s="200"/>
      <c r="F45" s="20" t="e">
        <f t="shared" si="9"/>
        <v>#DIV/0!</v>
      </c>
      <c r="G45" s="2">
        <f t="shared" si="7"/>
        <v>0</v>
      </c>
      <c r="H45" s="2">
        <f t="shared" si="8"/>
        <v>0</v>
      </c>
      <c r="I45" s="3"/>
      <c r="J45" s="201"/>
      <c r="K45" s="20" t="e">
        <f t="shared" si="10"/>
        <v>#DIV/0!</v>
      </c>
      <c r="L45" s="4" t="e">
        <f t="shared" si="11"/>
        <v>#DIV/0!</v>
      </c>
      <c r="M45" s="5"/>
      <c r="N45" s="15"/>
      <c r="O45" s="6"/>
      <c r="P45" s="6"/>
      <c r="Q45" s="6"/>
    </row>
    <row r="46" spans="1:17">
      <c r="A46" s="13">
        <f t="shared" si="12"/>
        <v>46154</v>
      </c>
      <c r="B46" s="1"/>
      <c r="C46" s="1"/>
      <c r="D46" s="200"/>
      <c r="E46" s="200"/>
      <c r="F46" s="20" t="e">
        <f t="shared" si="9"/>
        <v>#DIV/0!</v>
      </c>
      <c r="G46" s="2">
        <f t="shared" si="7"/>
        <v>0</v>
      </c>
      <c r="H46" s="2">
        <f t="shared" si="8"/>
        <v>0</v>
      </c>
      <c r="I46" s="3"/>
      <c r="J46" s="201"/>
      <c r="K46" s="20" t="e">
        <f t="shared" si="10"/>
        <v>#DIV/0!</v>
      </c>
      <c r="L46" s="4" t="e">
        <f t="shared" si="11"/>
        <v>#DIV/0!</v>
      </c>
      <c r="M46" s="5"/>
      <c r="N46" s="15"/>
      <c r="O46" s="6"/>
      <c r="P46" s="6"/>
      <c r="Q46" s="6"/>
    </row>
    <row r="47" spans="1:17">
      <c r="A47" s="13">
        <f t="shared" si="12"/>
        <v>46155</v>
      </c>
      <c r="B47" s="1"/>
      <c r="C47" s="1"/>
      <c r="D47" s="200"/>
      <c r="E47" s="200"/>
      <c r="F47" s="20" t="e">
        <f t="shared" si="9"/>
        <v>#DIV/0!</v>
      </c>
      <c r="G47" s="2">
        <f t="shared" si="7"/>
        <v>0</v>
      </c>
      <c r="H47" s="2">
        <f t="shared" si="8"/>
        <v>0</v>
      </c>
      <c r="I47" s="3"/>
      <c r="J47" s="201"/>
      <c r="K47" s="20" t="e">
        <f t="shared" si="10"/>
        <v>#DIV/0!</v>
      </c>
      <c r="L47" s="4" t="e">
        <f t="shared" si="11"/>
        <v>#DIV/0!</v>
      </c>
      <c r="M47" s="5"/>
      <c r="N47" s="15"/>
      <c r="O47" s="6"/>
      <c r="P47" s="6"/>
      <c r="Q47" s="14"/>
    </row>
    <row r="48" spans="1:17">
      <c r="A48" s="13">
        <f t="shared" si="12"/>
        <v>46156</v>
      </c>
      <c r="B48" s="1"/>
      <c r="C48" s="1"/>
      <c r="D48" s="200"/>
      <c r="E48" s="200"/>
      <c r="F48" s="20" t="e">
        <f t="shared" si="9"/>
        <v>#DIV/0!</v>
      </c>
      <c r="G48" s="2">
        <f t="shared" si="7"/>
        <v>0</v>
      </c>
      <c r="H48" s="2">
        <f t="shared" si="8"/>
        <v>0</v>
      </c>
      <c r="I48" s="3"/>
      <c r="J48" s="201"/>
      <c r="K48" s="20" t="e">
        <f t="shared" si="10"/>
        <v>#DIV/0!</v>
      </c>
      <c r="L48" s="4" t="e">
        <f t="shared" si="11"/>
        <v>#DIV/0!</v>
      </c>
      <c r="M48" s="5"/>
      <c r="N48" s="15"/>
      <c r="O48" s="6"/>
      <c r="P48" s="6"/>
      <c r="Q48" s="203"/>
    </row>
    <row r="49" spans="1:17">
      <c r="A49" s="13">
        <f t="shared" si="12"/>
        <v>46157</v>
      </c>
      <c r="B49" s="1"/>
      <c r="C49" s="1"/>
      <c r="D49" s="200"/>
      <c r="E49" s="200"/>
      <c r="F49" s="20" t="e">
        <f t="shared" si="9"/>
        <v>#DIV/0!</v>
      </c>
      <c r="G49" s="2">
        <f t="shared" si="7"/>
        <v>0</v>
      </c>
      <c r="H49" s="2">
        <f t="shared" si="8"/>
        <v>0</v>
      </c>
      <c r="I49" s="3"/>
      <c r="J49" s="201"/>
      <c r="K49" s="20" t="e">
        <f t="shared" si="10"/>
        <v>#DIV/0!</v>
      </c>
      <c r="L49" s="4" t="e">
        <f t="shared" si="11"/>
        <v>#DIV/0!</v>
      </c>
      <c r="M49" s="5"/>
      <c r="N49" s="15"/>
      <c r="O49" s="6"/>
      <c r="P49" s="6"/>
      <c r="Q49" s="14"/>
    </row>
    <row r="50" spans="1:17">
      <c r="A50" s="13">
        <f t="shared" si="12"/>
        <v>46158</v>
      </c>
      <c r="B50" s="1"/>
      <c r="C50" s="1"/>
      <c r="D50" s="200"/>
      <c r="E50" s="200"/>
      <c r="F50" s="20" t="e">
        <f t="shared" si="9"/>
        <v>#DIV/0!</v>
      </c>
      <c r="G50" s="2">
        <f t="shared" si="7"/>
        <v>0</v>
      </c>
      <c r="H50" s="2">
        <f t="shared" si="8"/>
        <v>0</v>
      </c>
      <c r="I50" s="3"/>
      <c r="J50" s="201"/>
      <c r="K50" s="20" t="e">
        <f t="shared" si="10"/>
        <v>#DIV/0!</v>
      </c>
      <c r="L50" s="4" t="e">
        <f t="shared" si="11"/>
        <v>#DIV/0!</v>
      </c>
      <c r="M50" s="5"/>
      <c r="N50" s="15"/>
      <c r="O50" s="6"/>
      <c r="P50" s="6"/>
      <c r="Q50" s="14"/>
    </row>
    <row r="51" spans="1:17">
      <c r="A51" s="13">
        <f t="shared" si="12"/>
        <v>46159</v>
      </c>
      <c r="B51" s="1"/>
      <c r="C51" s="1"/>
      <c r="D51" s="200"/>
      <c r="E51" s="200"/>
      <c r="F51" s="20" t="e">
        <f t="shared" si="9"/>
        <v>#DIV/0!</v>
      </c>
      <c r="G51" s="2">
        <f t="shared" si="7"/>
        <v>0</v>
      </c>
      <c r="H51" s="2">
        <f t="shared" si="8"/>
        <v>0</v>
      </c>
      <c r="I51" s="3"/>
      <c r="J51" s="201"/>
      <c r="K51" s="20" t="e">
        <f t="shared" si="10"/>
        <v>#DIV/0!</v>
      </c>
      <c r="L51" s="4" t="e">
        <f t="shared" si="11"/>
        <v>#DIV/0!</v>
      </c>
      <c r="M51" s="5"/>
      <c r="N51" s="15"/>
      <c r="O51" s="6"/>
      <c r="P51" s="6"/>
      <c r="Q51" s="6"/>
    </row>
    <row r="52" spans="1:17">
      <c r="A52" s="13">
        <f t="shared" si="12"/>
        <v>46160</v>
      </c>
      <c r="B52" s="1"/>
      <c r="C52" s="1"/>
      <c r="D52" s="200"/>
      <c r="E52" s="200"/>
      <c r="F52" s="20" t="e">
        <f t="shared" si="9"/>
        <v>#DIV/0!</v>
      </c>
      <c r="G52" s="2">
        <f t="shared" si="7"/>
        <v>0</v>
      </c>
      <c r="H52" s="2">
        <f t="shared" si="8"/>
        <v>0</v>
      </c>
      <c r="I52" s="3"/>
      <c r="J52" s="201"/>
      <c r="K52" s="20" t="e">
        <f t="shared" si="10"/>
        <v>#DIV/0!</v>
      </c>
      <c r="L52" s="4" t="e">
        <f t="shared" si="11"/>
        <v>#DIV/0!</v>
      </c>
      <c r="M52" s="5"/>
      <c r="N52" s="15"/>
      <c r="O52" s="6"/>
      <c r="P52" s="6"/>
      <c r="Q52" s="14"/>
    </row>
    <row r="53" spans="1:17">
      <c r="A53" s="13">
        <f t="shared" si="12"/>
        <v>46161</v>
      </c>
      <c r="B53" s="1"/>
      <c r="C53" s="1"/>
      <c r="D53" s="200"/>
      <c r="E53" s="200"/>
      <c r="F53" s="20" t="e">
        <f t="shared" si="9"/>
        <v>#DIV/0!</v>
      </c>
      <c r="G53" s="2">
        <f t="shared" si="7"/>
        <v>0</v>
      </c>
      <c r="H53" s="2">
        <f t="shared" ref="H53:H65" si="13">E53/($D$2*24)</f>
        <v>0</v>
      </c>
      <c r="I53" s="3"/>
      <c r="J53" s="201"/>
      <c r="K53" s="20" t="e">
        <f t="shared" si="10"/>
        <v>#DIV/0!</v>
      </c>
      <c r="L53" s="4" t="e">
        <f t="shared" si="11"/>
        <v>#DIV/0!</v>
      </c>
      <c r="M53" s="5"/>
      <c r="N53" s="15"/>
      <c r="O53" s="6"/>
      <c r="P53" s="6"/>
      <c r="Q53" s="14"/>
    </row>
    <row r="54" spans="1:17">
      <c r="A54" s="13">
        <f t="shared" si="12"/>
        <v>46162</v>
      </c>
      <c r="B54" s="1"/>
      <c r="C54" s="1"/>
      <c r="D54" s="200"/>
      <c r="E54" s="200"/>
      <c r="F54" s="20" t="e">
        <f t="shared" si="9"/>
        <v>#DIV/0!</v>
      </c>
      <c r="G54" s="2">
        <f t="shared" si="7"/>
        <v>0</v>
      </c>
      <c r="H54" s="2">
        <f t="shared" si="13"/>
        <v>0</v>
      </c>
      <c r="I54" s="3"/>
      <c r="J54" s="201"/>
      <c r="K54" s="20" t="e">
        <f t="shared" si="10"/>
        <v>#DIV/0!</v>
      </c>
      <c r="L54" s="4" t="e">
        <f t="shared" si="11"/>
        <v>#DIV/0!</v>
      </c>
      <c r="M54" s="5"/>
      <c r="N54" s="15"/>
      <c r="O54" s="6"/>
      <c r="P54" s="6"/>
      <c r="Q54" s="14"/>
    </row>
    <row r="55" spans="1:17">
      <c r="A55" s="13">
        <f t="shared" si="12"/>
        <v>46163</v>
      </c>
      <c r="B55" s="1"/>
      <c r="C55" s="1"/>
      <c r="D55" s="14"/>
      <c r="E55" s="14"/>
      <c r="F55" s="20" t="e">
        <f>(IF(ISBLANK(E55),0,E55-C55))/C55</f>
        <v>#DIV/0!</v>
      </c>
      <c r="G55" s="2">
        <f t="shared" si="7"/>
        <v>0</v>
      </c>
      <c r="H55" s="2">
        <f t="shared" si="13"/>
        <v>0</v>
      </c>
      <c r="I55" s="3"/>
      <c r="J55" s="14"/>
      <c r="K55" s="20" t="e">
        <f>(IF(ISBLANK(J55),0,J55-I55))/I55</f>
        <v>#DIV/0!</v>
      </c>
      <c r="L55" s="4" t="e">
        <f t="shared" si="11"/>
        <v>#DIV/0!</v>
      </c>
      <c r="M55" s="25"/>
      <c r="N55" s="15"/>
      <c r="O55" s="6"/>
      <c r="P55" s="6"/>
      <c r="Q55" s="6"/>
    </row>
    <row r="56" spans="1:17">
      <c r="A56" s="13">
        <f t="shared" si="12"/>
        <v>46164</v>
      </c>
      <c r="B56" s="1"/>
      <c r="C56" s="1"/>
      <c r="D56" s="14"/>
      <c r="E56" s="14"/>
      <c r="F56" s="20" t="e">
        <f t="shared" ref="F56:F64" si="14">(IF(ISBLANK(E56),0,E56-C56))/C56</f>
        <v>#DIV/0!</v>
      </c>
      <c r="G56" s="2">
        <f t="shared" si="7"/>
        <v>0</v>
      </c>
      <c r="H56" s="2">
        <f t="shared" si="13"/>
        <v>0</v>
      </c>
      <c r="I56" s="3"/>
      <c r="J56" s="14"/>
      <c r="K56" s="20" t="e">
        <f t="shared" ref="K56:K66" si="15">(IF(ISBLANK(J56),0,J56-I56))/I56</f>
        <v>#DIV/0!</v>
      </c>
      <c r="L56" s="4" t="e">
        <f t="shared" si="11"/>
        <v>#DIV/0!</v>
      </c>
      <c r="M56" s="25"/>
      <c r="N56" s="15"/>
      <c r="O56" s="6"/>
      <c r="P56" s="6"/>
      <c r="Q56" s="6"/>
    </row>
    <row r="57" spans="1:17">
      <c r="A57" s="13">
        <f t="shared" si="12"/>
        <v>46165</v>
      </c>
      <c r="B57" s="1"/>
      <c r="C57" s="1"/>
      <c r="D57" s="14"/>
      <c r="E57" s="14"/>
      <c r="F57" s="20" t="e">
        <f t="shared" si="14"/>
        <v>#DIV/0!</v>
      </c>
      <c r="G57" s="2">
        <f t="shared" si="7"/>
        <v>0</v>
      </c>
      <c r="H57" s="2">
        <f t="shared" si="13"/>
        <v>0</v>
      </c>
      <c r="I57" s="3"/>
      <c r="J57" s="14"/>
      <c r="K57" s="20" t="e">
        <f t="shared" si="15"/>
        <v>#DIV/0!</v>
      </c>
      <c r="L57" s="4" t="e">
        <f t="shared" si="11"/>
        <v>#DIV/0!</v>
      </c>
      <c r="M57" s="25"/>
      <c r="N57" s="15"/>
      <c r="O57" s="6"/>
      <c r="P57" s="6"/>
      <c r="Q57" s="6"/>
    </row>
    <row r="58" spans="1:17">
      <c r="A58" s="13">
        <f t="shared" si="12"/>
        <v>46166</v>
      </c>
      <c r="B58" s="1"/>
      <c r="C58" s="1"/>
      <c r="D58" s="14"/>
      <c r="E58" s="14"/>
      <c r="F58" s="20" t="e">
        <f t="shared" si="14"/>
        <v>#DIV/0!</v>
      </c>
      <c r="G58" s="2">
        <f t="shared" si="7"/>
        <v>0</v>
      </c>
      <c r="H58" s="2">
        <f t="shared" si="13"/>
        <v>0</v>
      </c>
      <c r="I58" s="3"/>
      <c r="J58" s="14"/>
      <c r="K58" s="20" t="e">
        <f t="shared" si="15"/>
        <v>#DIV/0!</v>
      </c>
      <c r="L58" s="4" t="e">
        <f t="shared" si="11"/>
        <v>#DIV/0!</v>
      </c>
      <c r="M58" s="25"/>
      <c r="N58" s="15"/>
      <c r="O58" s="6"/>
      <c r="P58" s="6"/>
      <c r="Q58" s="6"/>
    </row>
    <row r="59" spans="1:17">
      <c r="A59" s="13">
        <f t="shared" si="12"/>
        <v>46167</v>
      </c>
      <c r="B59" s="1"/>
      <c r="C59" s="1"/>
      <c r="D59" s="14"/>
      <c r="E59" s="14"/>
      <c r="F59" s="20" t="e">
        <f t="shared" si="14"/>
        <v>#DIV/0!</v>
      </c>
      <c r="G59" s="2">
        <f t="shared" si="7"/>
        <v>0</v>
      </c>
      <c r="H59" s="2">
        <f t="shared" si="13"/>
        <v>0</v>
      </c>
      <c r="I59" s="3"/>
      <c r="J59" s="14"/>
      <c r="K59" s="20" t="e">
        <f t="shared" si="15"/>
        <v>#DIV/0!</v>
      </c>
      <c r="L59" s="4" t="e">
        <f t="shared" si="11"/>
        <v>#DIV/0!</v>
      </c>
      <c r="M59" s="25"/>
      <c r="N59" s="15"/>
      <c r="O59" s="6"/>
      <c r="P59" s="6"/>
      <c r="Q59" s="6"/>
    </row>
    <row r="60" spans="1:17">
      <c r="A60" s="13">
        <f t="shared" si="12"/>
        <v>46168</v>
      </c>
      <c r="B60" s="1"/>
      <c r="C60" s="1"/>
      <c r="D60" s="14"/>
      <c r="E60" s="14"/>
      <c r="F60" s="20" t="e">
        <f t="shared" si="14"/>
        <v>#DIV/0!</v>
      </c>
      <c r="G60" s="2">
        <f t="shared" si="7"/>
        <v>0</v>
      </c>
      <c r="H60" s="2">
        <f t="shared" si="13"/>
        <v>0</v>
      </c>
      <c r="I60" s="3"/>
      <c r="J60" s="14"/>
      <c r="K60" s="20" t="e">
        <f t="shared" si="15"/>
        <v>#DIV/0!</v>
      </c>
      <c r="L60" s="4" t="e">
        <f t="shared" si="11"/>
        <v>#DIV/0!</v>
      </c>
      <c r="M60" s="25"/>
      <c r="N60" s="15"/>
      <c r="O60" s="6"/>
      <c r="P60" s="6"/>
      <c r="Q60" s="6"/>
    </row>
    <row r="61" spans="1:17">
      <c r="A61" s="13">
        <f t="shared" si="12"/>
        <v>46169</v>
      </c>
      <c r="B61" s="1"/>
      <c r="C61" s="1"/>
      <c r="D61" s="14"/>
      <c r="E61" s="14"/>
      <c r="F61" s="20" t="e">
        <f t="shared" si="14"/>
        <v>#DIV/0!</v>
      </c>
      <c r="G61" s="2">
        <f t="shared" si="7"/>
        <v>0</v>
      </c>
      <c r="H61" s="2">
        <f t="shared" si="13"/>
        <v>0</v>
      </c>
      <c r="I61" s="3"/>
      <c r="J61" s="14"/>
      <c r="K61" s="20" t="e">
        <f t="shared" si="15"/>
        <v>#DIV/0!</v>
      </c>
      <c r="L61" s="4" t="e">
        <f t="shared" si="11"/>
        <v>#DIV/0!</v>
      </c>
      <c r="M61" s="25"/>
      <c r="N61" s="15"/>
      <c r="O61" s="6"/>
      <c r="P61" s="6"/>
      <c r="Q61" s="6"/>
    </row>
    <row r="62" spans="1:17">
      <c r="A62" s="13">
        <f t="shared" si="12"/>
        <v>46170</v>
      </c>
      <c r="B62" s="1"/>
      <c r="C62" s="1"/>
      <c r="D62" s="14"/>
      <c r="E62" s="14"/>
      <c r="F62" s="20" t="e">
        <f t="shared" si="14"/>
        <v>#DIV/0!</v>
      </c>
      <c r="G62" s="2">
        <f t="shared" si="7"/>
        <v>0</v>
      </c>
      <c r="H62" s="2">
        <f t="shared" si="13"/>
        <v>0</v>
      </c>
      <c r="I62" s="3"/>
      <c r="J62" s="14"/>
      <c r="K62" s="20" t="e">
        <f t="shared" si="15"/>
        <v>#DIV/0!</v>
      </c>
      <c r="L62" s="4" t="e">
        <f t="shared" si="11"/>
        <v>#DIV/0!</v>
      </c>
      <c r="M62" s="25"/>
      <c r="N62" s="15"/>
      <c r="O62" s="6"/>
      <c r="P62" s="6"/>
      <c r="Q62" s="6"/>
    </row>
    <row r="63" spans="1:17">
      <c r="A63" s="13">
        <f t="shared" si="12"/>
        <v>46171</v>
      </c>
      <c r="B63" s="1"/>
      <c r="C63" s="1"/>
      <c r="D63" s="14"/>
      <c r="E63" s="14"/>
      <c r="F63" s="20" t="e">
        <f t="shared" si="14"/>
        <v>#DIV/0!</v>
      </c>
      <c r="G63" s="2">
        <f t="shared" si="7"/>
        <v>0</v>
      </c>
      <c r="H63" s="2">
        <f t="shared" si="13"/>
        <v>0</v>
      </c>
      <c r="I63" s="3"/>
      <c r="J63" s="14"/>
      <c r="K63" s="20" t="e">
        <f t="shared" si="15"/>
        <v>#DIV/0!</v>
      </c>
      <c r="L63" s="4" t="e">
        <f t="shared" si="11"/>
        <v>#DIV/0!</v>
      </c>
      <c r="M63" s="25"/>
      <c r="N63" s="25"/>
      <c r="O63" s="6"/>
      <c r="P63" s="6"/>
      <c r="Q63" s="6"/>
    </row>
    <row r="64" spans="1:17">
      <c r="A64" s="13">
        <f t="shared" si="12"/>
        <v>46172</v>
      </c>
      <c r="B64" s="1"/>
      <c r="C64" s="1"/>
      <c r="D64" s="14"/>
      <c r="E64" s="14"/>
      <c r="F64" s="20" t="e">
        <f t="shared" si="14"/>
        <v>#DIV/0!</v>
      </c>
      <c r="G64" s="2">
        <f t="shared" si="7"/>
        <v>0</v>
      </c>
      <c r="H64" s="2">
        <f t="shared" si="13"/>
        <v>0</v>
      </c>
      <c r="I64" s="3"/>
      <c r="J64" s="14"/>
      <c r="K64" s="20" t="e">
        <f t="shared" si="15"/>
        <v>#DIV/0!</v>
      </c>
      <c r="L64" s="4" t="e">
        <f t="shared" si="11"/>
        <v>#DIV/0!</v>
      </c>
      <c r="M64" s="25"/>
      <c r="N64" s="25"/>
      <c r="O64" s="6"/>
      <c r="P64" s="6"/>
      <c r="Q64" s="6"/>
    </row>
    <row r="65" spans="1:17">
      <c r="A65" s="13">
        <f t="shared" si="12"/>
        <v>46173</v>
      </c>
      <c r="B65" s="1"/>
      <c r="C65" s="1"/>
      <c r="D65" s="14"/>
      <c r="E65" s="14"/>
      <c r="F65" s="20" t="e">
        <f t="shared" ref="F65" si="16">(IF(ISBLANK(E65),0,E65-C65))/C65</f>
        <v>#DIV/0!</v>
      </c>
      <c r="G65" s="2">
        <f t="shared" si="7"/>
        <v>0</v>
      </c>
      <c r="H65" s="2">
        <f t="shared" si="13"/>
        <v>0</v>
      </c>
      <c r="I65" s="3"/>
      <c r="J65" s="14"/>
      <c r="K65" s="20" t="e">
        <f t="shared" ref="K65" si="17">(IF(ISBLANK(J65),0,J65-I65))/I65</f>
        <v>#DIV/0!</v>
      </c>
      <c r="L65" s="4" t="e">
        <f t="shared" si="11"/>
        <v>#DIV/0!</v>
      </c>
      <c r="M65" s="25"/>
      <c r="N65" s="25"/>
      <c r="O65" s="6"/>
      <c r="P65" s="6"/>
      <c r="Q65" s="6"/>
    </row>
    <row r="66" spans="1:17">
      <c r="A66" s="349">
        <v>46143</v>
      </c>
      <c r="B66" s="17">
        <f>SUM(B35:B65)</f>
        <v>36822</v>
      </c>
      <c r="C66" s="17">
        <f>SUM(C35:C65)</f>
        <v>34824</v>
      </c>
      <c r="D66" s="17">
        <f>SUM(D35:D65)</f>
        <v>42096</v>
      </c>
      <c r="E66" s="17">
        <f>SUM(E35:E65)</f>
        <v>41628</v>
      </c>
      <c r="F66" s="18">
        <f>(IF(ISBLANK(E66),0,E66-C66))/C66</f>
        <v>0.19538249483115094</v>
      </c>
      <c r="G66" s="18">
        <f>AVERAGE(G35:G65)</f>
        <v>3.8256014307836587E-2</v>
      </c>
      <c r="H66" s="18">
        <f>AVERAGE(H35:H65)</f>
        <v>5.1436950146627573E-2</v>
      </c>
      <c r="I66" s="17">
        <f>SUM(I35:I65)</f>
        <v>32.160000000000004</v>
      </c>
      <c r="J66" s="17">
        <f>SUM(J35:J65)</f>
        <v>34.491999999999997</v>
      </c>
      <c r="K66" s="18">
        <f t="shared" si="15"/>
        <v>7.2512437810945074E-2</v>
      </c>
      <c r="L66" s="18">
        <f t="shared" si="11"/>
        <v>0.82519061362143187</v>
      </c>
      <c r="M66" s="18">
        <f>AVERAGE(M35:M65)</f>
        <v>1</v>
      </c>
      <c r="N66" s="18">
        <f>AVERAGE(N35:N65)</f>
        <v>0.99494999999999989</v>
      </c>
      <c r="O66" s="17">
        <f>SUM(O35:O65)</f>
        <v>77.62</v>
      </c>
      <c r="P66" s="17">
        <f>SUM(P35:P65)</f>
        <v>0</v>
      </c>
      <c r="Q66" s="19"/>
    </row>
  </sheetData>
  <mergeCells count="4">
    <mergeCell ref="B2:C2"/>
    <mergeCell ref="E2:G2"/>
    <mergeCell ref="I2:J2"/>
    <mergeCell ref="A1:S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FF37-BD08-4863-8437-E70DE21CA4EA}">
  <dimension ref="A1:Q66"/>
  <sheetViews>
    <sheetView workbookViewId="0">
      <pane xSplit="1" ySplit="3" topLeftCell="B37" activePane="bottomRight" state="frozen"/>
      <selection pane="topRight"/>
      <selection pane="bottomLeft"/>
      <selection pane="bottomRight" activeCell="K68" sqref="K68"/>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10.81640625" customWidth="1"/>
    <col min="12" max="12" width="7" bestFit="1" customWidth="1"/>
    <col min="13" max="14" width="9.26953125" bestFit="1" customWidth="1"/>
    <col min="15" max="15" width="10.1796875" bestFit="1" customWidth="1"/>
    <col min="16" max="16" width="9.7265625" bestFit="1" customWidth="1"/>
    <col min="17" max="17" width="49.7265625" bestFit="1" customWidth="1"/>
    <col min="18" max="18" width="10" customWidth="1"/>
  </cols>
  <sheetData>
    <row r="1" spans="1:17" ht="18.5">
      <c r="A1" s="405" t="s">
        <v>280</v>
      </c>
      <c r="B1" s="406"/>
      <c r="C1" s="406"/>
      <c r="D1" s="406"/>
      <c r="E1" s="406"/>
      <c r="F1" s="406"/>
      <c r="G1" s="406"/>
      <c r="H1" s="406"/>
      <c r="I1" s="406"/>
      <c r="J1" s="406"/>
      <c r="K1" s="406"/>
      <c r="L1" s="406"/>
      <c r="M1" s="406"/>
      <c r="N1" s="406"/>
      <c r="O1" s="406"/>
      <c r="P1" s="406"/>
      <c r="Q1" s="406"/>
    </row>
    <row r="2" spans="1:17" ht="18.5">
      <c r="A2" s="7">
        <v>46113</v>
      </c>
      <c r="B2" s="407" t="s">
        <v>172</v>
      </c>
      <c r="C2" s="408"/>
      <c r="D2" s="8">
        <v>2608</v>
      </c>
      <c r="E2" s="407" t="s">
        <v>173</v>
      </c>
      <c r="F2" s="407"/>
      <c r="G2" s="408"/>
      <c r="H2" s="8">
        <v>1900</v>
      </c>
      <c r="I2" s="409" t="s">
        <v>174</v>
      </c>
      <c r="J2" s="410"/>
      <c r="K2" s="30" t="s">
        <v>281</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12995</v>
      </c>
      <c r="C4" s="1">
        <v>12191</v>
      </c>
      <c r="D4" s="200">
        <v>6301.4</v>
      </c>
      <c r="E4" s="200">
        <v>6168</v>
      </c>
      <c r="F4" s="20">
        <f>(IF(ISBLANK(E4),0,E4-C4))/C4</f>
        <v>-0.49405298991058977</v>
      </c>
      <c r="G4" s="2">
        <f t="shared" ref="G4:G33" si="0">D4/($D$2*24)</f>
        <v>0.10067420756646216</v>
      </c>
      <c r="H4" s="2">
        <f t="shared" ref="H4:H21" si="1">D4/($H$2*24)</f>
        <v>0.13818859649122806</v>
      </c>
      <c r="I4" s="3">
        <v>5.72</v>
      </c>
      <c r="J4" s="201">
        <v>7.2465000000000002</v>
      </c>
      <c r="K4" s="20">
        <f>(IF(ISBLANK(J4),0,J4-I4))/I4</f>
        <v>0.26687062937062944</v>
      </c>
      <c r="L4" s="4">
        <f t="shared" ref="L4:L35" si="2">D4/($D$2*J4)</f>
        <v>0.33342730719590036</v>
      </c>
      <c r="M4" s="5">
        <v>1</v>
      </c>
      <c r="N4" s="5">
        <v>0.57579999999999998</v>
      </c>
      <c r="O4" s="6">
        <v>9657.74</v>
      </c>
      <c r="P4" s="6" t="s">
        <v>175</v>
      </c>
      <c r="Q4" s="6" t="s">
        <v>278</v>
      </c>
    </row>
    <row r="5" spans="1:17">
      <c r="A5" s="13">
        <f>A4+1</f>
        <v>46114</v>
      </c>
      <c r="B5" s="1">
        <v>12995</v>
      </c>
      <c r="C5" s="1">
        <v>12191</v>
      </c>
      <c r="D5" s="200">
        <v>15190.5</v>
      </c>
      <c r="E5" s="200">
        <v>14976</v>
      </c>
      <c r="F5" s="20">
        <f t="shared" ref="F5:F33" si="3">(IF(ISBLANK(E5),0,E5-C5))/C5</f>
        <v>0.22844721515872365</v>
      </c>
      <c r="G5" s="2">
        <f t="shared" si="0"/>
        <v>0.24269075920245398</v>
      </c>
      <c r="H5" s="2">
        <f t="shared" si="1"/>
        <v>0.333125</v>
      </c>
      <c r="I5" s="3">
        <v>5.72</v>
      </c>
      <c r="J5" s="201">
        <v>7.354666667</v>
      </c>
      <c r="K5" s="20">
        <f t="shared" ref="K5:K34" si="4">(IF(ISBLANK(J5),0,J5-I5))/I5</f>
        <v>0.28578088583916089</v>
      </c>
      <c r="L5" s="4">
        <f t="shared" si="2"/>
        <v>0.79195679214035219</v>
      </c>
      <c r="M5" s="5">
        <v>1</v>
      </c>
      <c r="N5" s="5">
        <v>1</v>
      </c>
      <c r="O5" s="6" t="s">
        <v>175</v>
      </c>
      <c r="P5" s="6" t="s">
        <v>175</v>
      </c>
      <c r="Q5" s="6"/>
    </row>
    <row r="6" spans="1:17">
      <c r="A6" s="13">
        <f t="shared" ref="A6:A33" si="5">A5+1</f>
        <v>46115</v>
      </c>
      <c r="B6" s="1">
        <v>12995</v>
      </c>
      <c r="C6" s="1">
        <v>12191</v>
      </c>
      <c r="D6" s="200">
        <v>13233.6</v>
      </c>
      <c r="E6" s="200">
        <v>13008</v>
      </c>
      <c r="F6" s="20">
        <f t="shared" si="3"/>
        <v>6.7016651628250351E-2</v>
      </c>
      <c r="G6" s="2">
        <f t="shared" si="0"/>
        <v>0.21142638036809816</v>
      </c>
      <c r="H6" s="2">
        <f t="shared" si="1"/>
        <v>0.29021052631578947</v>
      </c>
      <c r="I6" s="3">
        <v>5.72</v>
      </c>
      <c r="J6" s="201">
        <v>6.2293333329999996</v>
      </c>
      <c r="K6" s="20">
        <f t="shared" si="4"/>
        <v>8.9044288986013964E-2</v>
      </c>
      <c r="L6" s="4">
        <f t="shared" si="2"/>
        <v>0.8145708148179388</v>
      </c>
      <c r="M6" s="5">
        <v>1</v>
      </c>
      <c r="N6" s="5">
        <v>1</v>
      </c>
      <c r="O6" s="6" t="s">
        <v>175</v>
      </c>
      <c r="P6" s="6" t="s">
        <v>175</v>
      </c>
      <c r="Q6" s="6"/>
    </row>
    <row r="7" spans="1:17">
      <c r="A7" s="13">
        <f t="shared" si="5"/>
        <v>46116</v>
      </c>
      <c r="B7" s="1">
        <v>12995</v>
      </c>
      <c r="C7" s="1">
        <v>12191</v>
      </c>
      <c r="D7" s="200">
        <v>12468.4</v>
      </c>
      <c r="E7" s="200">
        <v>12336</v>
      </c>
      <c r="F7" s="20">
        <f t="shared" si="3"/>
        <v>1.1894020178820441E-2</v>
      </c>
      <c r="G7" s="2">
        <f t="shared" si="0"/>
        <v>0.19920117586912064</v>
      </c>
      <c r="H7" s="2">
        <f t="shared" si="1"/>
        <v>0.27342982456140352</v>
      </c>
      <c r="I7" s="3">
        <v>5.72</v>
      </c>
      <c r="J7" s="201">
        <v>5.7401666669999996</v>
      </c>
      <c r="K7" s="20">
        <f t="shared" si="4"/>
        <v>3.5256410839160498E-3</v>
      </c>
      <c r="L7" s="4">
        <f t="shared" si="2"/>
        <v>0.83287271924414585</v>
      </c>
      <c r="M7" s="5">
        <v>1</v>
      </c>
      <c r="N7" s="5">
        <v>1</v>
      </c>
      <c r="O7" s="6" t="s">
        <v>175</v>
      </c>
      <c r="P7" s="6" t="s">
        <v>175</v>
      </c>
      <c r="Q7" s="14"/>
    </row>
    <row r="8" spans="1:17">
      <c r="A8" s="13">
        <f t="shared" si="5"/>
        <v>46117</v>
      </c>
      <c r="B8" s="1">
        <v>12995</v>
      </c>
      <c r="C8" s="1">
        <v>12191</v>
      </c>
      <c r="D8" s="200">
        <v>11538.1</v>
      </c>
      <c r="E8" s="200">
        <v>11400</v>
      </c>
      <c r="F8" s="20">
        <f t="shared" si="3"/>
        <v>-6.4883930768599787E-2</v>
      </c>
      <c r="G8" s="2">
        <f t="shared" si="0"/>
        <v>0.18433825408997956</v>
      </c>
      <c r="H8" s="2">
        <f t="shared" si="1"/>
        <v>0.25302850877192984</v>
      </c>
      <c r="I8" s="3">
        <v>5.72</v>
      </c>
      <c r="J8" s="201">
        <v>5.1137499999999996</v>
      </c>
      <c r="K8" s="20">
        <f t="shared" si="4"/>
        <v>-0.10598776223776227</v>
      </c>
      <c r="L8" s="4">
        <f t="shared" si="2"/>
        <v>0.86514164715903397</v>
      </c>
      <c r="M8" s="5">
        <v>1</v>
      </c>
      <c r="N8" s="5">
        <v>1</v>
      </c>
      <c r="O8" s="6" t="s">
        <v>175</v>
      </c>
      <c r="P8" s="6" t="s">
        <v>175</v>
      </c>
      <c r="Q8" s="14"/>
    </row>
    <row r="9" spans="1:17">
      <c r="A9" s="13">
        <f t="shared" si="5"/>
        <v>46118</v>
      </c>
      <c r="B9" s="1">
        <v>12995</v>
      </c>
      <c r="C9" s="1">
        <v>12191</v>
      </c>
      <c r="D9" s="200">
        <v>7399.4</v>
      </c>
      <c r="E9" s="200">
        <v>7128</v>
      </c>
      <c r="F9" s="20">
        <f t="shared" si="3"/>
        <v>-0.41530637355426137</v>
      </c>
      <c r="G9" s="2">
        <f t="shared" si="0"/>
        <v>0.11821638548057259</v>
      </c>
      <c r="H9" s="2">
        <f t="shared" si="1"/>
        <v>0.16226754385964912</v>
      </c>
      <c r="I9" s="3">
        <v>5.72</v>
      </c>
      <c r="J9" s="201">
        <v>3.4612500000000002</v>
      </c>
      <c r="K9" s="20">
        <f t="shared" si="4"/>
        <v>-0.39488636363636359</v>
      </c>
      <c r="L9" s="4">
        <f t="shared" si="2"/>
        <v>0.81970191449151086</v>
      </c>
      <c r="M9" s="5">
        <v>1</v>
      </c>
      <c r="N9" s="5">
        <v>1</v>
      </c>
      <c r="O9" s="6"/>
      <c r="P9" s="6"/>
      <c r="Q9" s="14"/>
    </row>
    <row r="10" spans="1:17">
      <c r="A10" s="13">
        <f t="shared" si="5"/>
        <v>46119</v>
      </c>
      <c r="B10" s="1">
        <v>12995</v>
      </c>
      <c r="C10" s="1">
        <v>12191</v>
      </c>
      <c r="D10" s="200">
        <v>10861.7</v>
      </c>
      <c r="E10" s="200">
        <v>10728</v>
      </c>
      <c r="F10" s="20">
        <f t="shared" si="3"/>
        <v>-0.12000656221802969</v>
      </c>
      <c r="G10" s="2">
        <f t="shared" si="0"/>
        <v>0.17353176124744377</v>
      </c>
      <c r="H10" s="2">
        <f t="shared" si="1"/>
        <v>0.2381951754385965</v>
      </c>
      <c r="I10" s="3">
        <v>5.72</v>
      </c>
      <c r="J10" s="201">
        <v>4.6733333330000004</v>
      </c>
      <c r="K10" s="20">
        <f t="shared" si="4"/>
        <v>-0.18298368304195795</v>
      </c>
      <c r="L10" s="4">
        <f t="shared" si="2"/>
        <v>0.89117594940849687</v>
      </c>
      <c r="M10" s="5">
        <v>1</v>
      </c>
      <c r="N10" s="15">
        <v>1</v>
      </c>
      <c r="O10" s="6"/>
      <c r="P10" s="6"/>
      <c r="Q10" s="202"/>
    </row>
    <row r="11" spans="1:17">
      <c r="A11" s="13">
        <f t="shared" si="5"/>
        <v>46120</v>
      </c>
      <c r="B11" s="1">
        <v>12995</v>
      </c>
      <c r="C11" s="1">
        <v>12191</v>
      </c>
      <c r="D11" s="200">
        <v>14031.4</v>
      </c>
      <c r="E11" s="200">
        <v>14088</v>
      </c>
      <c r="F11" s="20">
        <f t="shared" si="3"/>
        <v>0.15560659502911983</v>
      </c>
      <c r="G11" s="2">
        <f t="shared" si="0"/>
        <v>0.22417241820040898</v>
      </c>
      <c r="H11" s="2">
        <f t="shared" si="1"/>
        <v>0.30770614035087718</v>
      </c>
      <c r="I11" s="3">
        <v>5.72</v>
      </c>
      <c r="J11" s="201">
        <v>6.4968333329999997</v>
      </c>
      <c r="K11" s="20">
        <f t="shared" si="4"/>
        <v>0.13581002325174824</v>
      </c>
      <c r="L11" s="4">
        <f t="shared" si="2"/>
        <v>0.8281169857755093</v>
      </c>
      <c r="M11" s="5">
        <v>1</v>
      </c>
      <c r="N11" s="15">
        <v>1</v>
      </c>
      <c r="O11" s="6"/>
      <c r="P11" s="6"/>
      <c r="Q11" s="14"/>
    </row>
    <row r="12" spans="1:17">
      <c r="A12" s="13">
        <f t="shared" si="5"/>
        <v>46121</v>
      </c>
      <c r="B12" s="1">
        <v>12995</v>
      </c>
      <c r="C12" s="1">
        <v>12191</v>
      </c>
      <c r="D12" s="200">
        <v>14339.6</v>
      </c>
      <c r="E12" s="200">
        <v>14112</v>
      </c>
      <c r="F12" s="20">
        <f t="shared" si="3"/>
        <v>0.15757526043802805</v>
      </c>
      <c r="G12" s="2">
        <f t="shared" si="0"/>
        <v>0.22909637014314929</v>
      </c>
      <c r="H12" s="2">
        <f t="shared" si="1"/>
        <v>0.31446491228070178</v>
      </c>
      <c r="I12" s="3">
        <v>5.72</v>
      </c>
      <c r="J12" s="201">
        <v>6.5759166670000004</v>
      </c>
      <c r="K12" s="20">
        <f t="shared" si="4"/>
        <v>0.14963578094405608</v>
      </c>
      <c r="L12" s="4">
        <f t="shared" si="2"/>
        <v>0.83612873487704475</v>
      </c>
      <c r="M12" s="5">
        <v>1</v>
      </c>
      <c r="N12" s="5">
        <v>1</v>
      </c>
      <c r="O12" s="6"/>
      <c r="P12" s="6"/>
      <c r="Q12" s="6"/>
    </row>
    <row r="13" spans="1:17">
      <c r="A13" s="13">
        <f t="shared" si="5"/>
        <v>46122</v>
      </c>
      <c r="B13" s="1">
        <v>12995</v>
      </c>
      <c r="C13" s="1">
        <v>12191</v>
      </c>
      <c r="D13" s="200">
        <v>14244.7</v>
      </c>
      <c r="E13" s="200">
        <v>13992</v>
      </c>
      <c r="F13" s="20">
        <f t="shared" si="3"/>
        <v>0.147731933393487</v>
      </c>
      <c r="G13" s="2">
        <f t="shared" si="0"/>
        <v>0.22758020194274028</v>
      </c>
      <c r="H13" s="2">
        <f t="shared" si="1"/>
        <v>0.31238377192982458</v>
      </c>
      <c r="I13" s="3">
        <v>5.72</v>
      </c>
      <c r="J13" s="201">
        <v>6.6745833330000002</v>
      </c>
      <c r="K13" s="20">
        <f t="shared" si="4"/>
        <v>0.16688519807692315</v>
      </c>
      <c r="L13" s="4">
        <f t="shared" si="2"/>
        <v>0.81831697562622474</v>
      </c>
      <c r="M13" s="5">
        <v>1</v>
      </c>
      <c r="N13" s="15">
        <v>1</v>
      </c>
      <c r="O13" s="6"/>
      <c r="P13" s="6"/>
      <c r="Q13" s="16"/>
    </row>
    <row r="14" spans="1:17">
      <c r="A14" s="13">
        <f t="shared" si="5"/>
        <v>46123</v>
      </c>
      <c r="B14" s="1">
        <v>12995</v>
      </c>
      <c r="C14" s="1">
        <v>12191</v>
      </c>
      <c r="D14" s="200">
        <v>14088.5</v>
      </c>
      <c r="E14" s="200">
        <v>13848</v>
      </c>
      <c r="F14" s="20">
        <f t="shared" si="3"/>
        <v>0.13591994094003773</v>
      </c>
      <c r="G14" s="2">
        <f t="shared" si="0"/>
        <v>0.22508467535787322</v>
      </c>
      <c r="H14" s="2">
        <f t="shared" si="1"/>
        <v>0.30895833333333333</v>
      </c>
      <c r="I14" s="3">
        <v>5.72</v>
      </c>
      <c r="J14" s="201">
        <v>6.5564999999999998</v>
      </c>
      <c r="K14" s="20">
        <f t="shared" si="4"/>
        <v>0.14624125874125876</v>
      </c>
      <c r="L14" s="4">
        <f t="shared" si="2"/>
        <v>0.82392011112467889</v>
      </c>
      <c r="M14" s="5">
        <v>1</v>
      </c>
      <c r="N14" s="15">
        <v>1</v>
      </c>
      <c r="O14" s="6"/>
      <c r="P14" s="6"/>
      <c r="Q14" s="6"/>
    </row>
    <row r="15" spans="1:17">
      <c r="A15" s="13">
        <f t="shared" si="5"/>
        <v>46124</v>
      </c>
      <c r="B15" s="1">
        <v>12995</v>
      </c>
      <c r="C15" s="1">
        <v>12191</v>
      </c>
      <c r="D15" s="200">
        <v>13709.6</v>
      </c>
      <c r="E15" s="200">
        <v>13584</v>
      </c>
      <c r="F15" s="20">
        <f t="shared" si="3"/>
        <v>0.11426462144204741</v>
      </c>
      <c r="G15" s="2">
        <f t="shared" si="0"/>
        <v>0.21903118609406955</v>
      </c>
      <c r="H15" s="2">
        <f t="shared" si="1"/>
        <v>0.30064912280701755</v>
      </c>
      <c r="I15" s="3">
        <v>5.72</v>
      </c>
      <c r="J15" s="201">
        <v>6.541416667</v>
      </c>
      <c r="K15" s="20">
        <f t="shared" si="4"/>
        <v>0.14360431241258748</v>
      </c>
      <c r="L15" s="4">
        <f t="shared" si="2"/>
        <v>0.80361009454982457</v>
      </c>
      <c r="M15" s="5">
        <v>1</v>
      </c>
      <c r="N15" s="15">
        <v>1</v>
      </c>
      <c r="O15" s="6"/>
      <c r="P15" s="6"/>
      <c r="Q15" s="6"/>
    </row>
    <row r="16" spans="1:17">
      <c r="A16" s="13">
        <f t="shared" si="5"/>
        <v>46125</v>
      </c>
      <c r="B16" s="1">
        <v>12995</v>
      </c>
      <c r="C16" s="1">
        <v>12191</v>
      </c>
      <c r="D16" s="200">
        <v>14426.2</v>
      </c>
      <c r="E16" s="200">
        <v>14208</v>
      </c>
      <c r="F16" s="20">
        <f t="shared" si="3"/>
        <v>0.16544992207366091</v>
      </c>
      <c r="G16" s="2">
        <f t="shared" si="0"/>
        <v>0.23047993353783233</v>
      </c>
      <c r="H16" s="2">
        <f t="shared" si="1"/>
        <v>0.31636403508771932</v>
      </c>
      <c r="I16" s="3">
        <v>5.72</v>
      </c>
      <c r="J16" s="201">
        <v>6.8436666669999999</v>
      </c>
      <c r="K16" s="20">
        <f t="shared" si="4"/>
        <v>0.19644522150349655</v>
      </c>
      <c r="L16" s="4">
        <f t="shared" si="2"/>
        <v>0.80826823895161748</v>
      </c>
      <c r="M16" s="5">
        <v>1</v>
      </c>
      <c r="N16" s="15">
        <v>1</v>
      </c>
      <c r="O16" s="6"/>
      <c r="P16" s="6"/>
      <c r="Q16" s="14"/>
    </row>
    <row r="17" spans="1:17">
      <c r="A17" s="13">
        <f t="shared" si="5"/>
        <v>46126</v>
      </c>
      <c r="B17" s="1">
        <v>12995</v>
      </c>
      <c r="C17" s="1">
        <v>12191</v>
      </c>
      <c r="D17" s="200">
        <v>15127.8</v>
      </c>
      <c r="E17" s="200">
        <v>14928</v>
      </c>
      <c r="F17" s="20">
        <f t="shared" si="3"/>
        <v>0.22450988434090724</v>
      </c>
      <c r="G17" s="2">
        <f t="shared" si="0"/>
        <v>0.24168903374233128</v>
      </c>
      <c r="H17" s="2">
        <f t="shared" si="1"/>
        <v>0.33174999999999999</v>
      </c>
      <c r="I17" s="3">
        <v>5.72</v>
      </c>
      <c r="J17" s="201">
        <v>7.1563333330000001</v>
      </c>
      <c r="K17" s="20">
        <f t="shared" si="4"/>
        <v>0.25110722604895114</v>
      </c>
      <c r="L17" s="4">
        <f t="shared" si="2"/>
        <v>0.81054592343650844</v>
      </c>
      <c r="M17" s="5">
        <v>1</v>
      </c>
      <c r="N17" s="15">
        <v>1</v>
      </c>
      <c r="O17" s="6"/>
      <c r="P17" s="6"/>
      <c r="Q17" s="203"/>
    </row>
    <row r="18" spans="1:17">
      <c r="A18" s="13">
        <f t="shared" si="5"/>
        <v>46127</v>
      </c>
      <c r="B18" s="1">
        <v>12995</v>
      </c>
      <c r="C18" s="1">
        <v>12191</v>
      </c>
      <c r="D18" s="200">
        <v>15056</v>
      </c>
      <c r="E18" s="200">
        <v>14832</v>
      </c>
      <c r="F18" s="20">
        <f t="shared" si="3"/>
        <v>0.21663522270527438</v>
      </c>
      <c r="G18" s="2">
        <f t="shared" si="0"/>
        <v>0.24054192229038854</v>
      </c>
      <c r="H18" s="2">
        <f t="shared" si="1"/>
        <v>0.33017543859649123</v>
      </c>
      <c r="I18" s="3">
        <v>5.72</v>
      </c>
      <c r="J18" s="201">
        <v>7.2275833330000001</v>
      </c>
      <c r="K18" s="20">
        <f t="shared" si="4"/>
        <v>0.26356351975524483</v>
      </c>
      <c r="L18" s="4">
        <f t="shared" si="2"/>
        <v>0.79874639543908055</v>
      </c>
      <c r="M18" s="5">
        <v>1</v>
      </c>
      <c r="N18" s="15">
        <v>1</v>
      </c>
      <c r="O18" s="6"/>
      <c r="P18" s="6"/>
      <c r="Q18" s="14"/>
    </row>
    <row r="19" spans="1:17">
      <c r="A19" s="13">
        <f t="shared" si="5"/>
        <v>46128</v>
      </c>
      <c r="B19" s="1">
        <v>12995</v>
      </c>
      <c r="C19" s="1">
        <v>12191</v>
      </c>
      <c r="D19" s="200">
        <v>14187.7</v>
      </c>
      <c r="E19" s="200">
        <v>14040</v>
      </c>
      <c r="F19" s="20">
        <f t="shared" si="3"/>
        <v>0.15166926421130342</v>
      </c>
      <c r="G19" s="2">
        <f t="shared" si="0"/>
        <v>0.22666954243353785</v>
      </c>
      <c r="H19" s="2">
        <f t="shared" si="1"/>
        <v>0.31113377192982455</v>
      </c>
      <c r="I19" s="3">
        <v>5.72</v>
      </c>
      <c r="J19" s="201">
        <v>6.700583333</v>
      </c>
      <c r="K19" s="20">
        <f t="shared" si="4"/>
        <v>0.17143065262237767</v>
      </c>
      <c r="L19" s="4">
        <f t="shared" si="2"/>
        <v>0.81187991374017698</v>
      </c>
      <c r="M19" s="5">
        <v>1</v>
      </c>
      <c r="N19" s="15">
        <v>1</v>
      </c>
      <c r="O19" s="6"/>
      <c r="P19" s="6"/>
      <c r="Q19" s="14"/>
    </row>
    <row r="20" spans="1:17">
      <c r="A20" s="13">
        <f t="shared" si="5"/>
        <v>46129</v>
      </c>
      <c r="B20" s="1">
        <v>12995</v>
      </c>
      <c r="C20" s="1">
        <v>12191</v>
      </c>
      <c r="D20" s="200">
        <v>12061.3</v>
      </c>
      <c r="E20" s="200">
        <v>11760</v>
      </c>
      <c r="F20" s="20">
        <f t="shared" si="3"/>
        <v>-3.5353949634976622E-2</v>
      </c>
      <c r="G20" s="2">
        <f t="shared" si="0"/>
        <v>0.19269714979550101</v>
      </c>
      <c r="H20" s="2">
        <f t="shared" si="1"/>
        <v>0.26450219298245614</v>
      </c>
      <c r="I20" s="3">
        <v>5.72</v>
      </c>
      <c r="J20" s="201">
        <v>5.3645833329999997</v>
      </c>
      <c r="K20" s="20">
        <f t="shared" si="4"/>
        <v>-6.213578094405596E-2</v>
      </c>
      <c r="L20" s="4">
        <f t="shared" si="2"/>
        <v>0.8620858896241187</v>
      </c>
      <c r="M20" s="5">
        <v>1</v>
      </c>
      <c r="N20" s="15">
        <v>1</v>
      </c>
      <c r="O20" s="6"/>
      <c r="P20" s="6"/>
      <c r="Q20" s="6"/>
    </row>
    <row r="21" spans="1:17">
      <c r="A21" s="13">
        <f t="shared" si="5"/>
        <v>46130</v>
      </c>
      <c r="B21" s="1">
        <v>12995</v>
      </c>
      <c r="C21" s="1">
        <v>12191</v>
      </c>
      <c r="D21" s="200">
        <v>14495.6</v>
      </c>
      <c r="E21" s="200">
        <v>14256</v>
      </c>
      <c r="F21" s="20">
        <f t="shared" si="3"/>
        <v>0.16938725289147732</v>
      </c>
      <c r="G21" s="2">
        <f t="shared" si="0"/>
        <v>0.23158870143149285</v>
      </c>
      <c r="H21" s="2">
        <f t="shared" si="1"/>
        <v>0.31788596491228072</v>
      </c>
      <c r="I21" s="3">
        <v>5.72</v>
      </c>
      <c r="J21" s="201">
        <v>6.8218333329999998</v>
      </c>
      <c r="K21" s="20">
        <f t="shared" si="4"/>
        <v>0.19262820506993009</v>
      </c>
      <c r="L21" s="4">
        <f t="shared" si="2"/>
        <v>0.81475588203963945</v>
      </c>
      <c r="M21" s="5">
        <v>1</v>
      </c>
      <c r="N21" s="15">
        <v>1</v>
      </c>
      <c r="O21" s="6"/>
      <c r="P21" s="6"/>
      <c r="Q21" s="14"/>
    </row>
    <row r="22" spans="1:17">
      <c r="A22" s="13">
        <f t="shared" si="5"/>
        <v>46131</v>
      </c>
      <c r="B22" s="1">
        <v>12995</v>
      </c>
      <c r="C22" s="1">
        <v>12191</v>
      </c>
      <c r="D22" s="200">
        <v>14585.2</v>
      </c>
      <c r="E22" s="200">
        <v>14376</v>
      </c>
      <c r="F22" s="20">
        <f t="shared" si="3"/>
        <v>0.17923057993601837</v>
      </c>
      <c r="G22" s="2">
        <f t="shared" si="0"/>
        <v>0.23302019427402865</v>
      </c>
      <c r="H22" s="2">
        <f t="shared" ref="H22:H33" si="6">E22/($D$2*24)</f>
        <v>0.22967791411042945</v>
      </c>
      <c r="I22" s="3">
        <v>5.72</v>
      </c>
      <c r="J22" s="201">
        <v>6.9344999999999999</v>
      </c>
      <c r="K22" s="20">
        <f t="shared" si="4"/>
        <v>0.21232517482517485</v>
      </c>
      <c r="L22" s="4">
        <f t="shared" si="2"/>
        <v>0.8064726602605361</v>
      </c>
      <c r="M22" s="5">
        <v>1</v>
      </c>
      <c r="N22" s="15">
        <v>0.98939999999999995</v>
      </c>
      <c r="O22" s="6">
        <v>275.87423999999999</v>
      </c>
      <c r="P22" s="6"/>
      <c r="Q22" s="14" t="s">
        <v>282</v>
      </c>
    </row>
    <row r="23" spans="1:17">
      <c r="A23" s="13">
        <f t="shared" si="5"/>
        <v>46132</v>
      </c>
      <c r="B23" s="1">
        <v>12995</v>
      </c>
      <c r="C23" s="1">
        <v>12191</v>
      </c>
      <c r="D23" s="200">
        <v>14107.3</v>
      </c>
      <c r="E23" s="200">
        <v>13848</v>
      </c>
      <c r="F23" s="20">
        <f t="shared" si="3"/>
        <v>0.13591994094003773</v>
      </c>
      <c r="G23" s="2">
        <f t="shared" si="0"/>
        <v>0.22538503323108383</v>
      </c>
      <c r="H23" s="2">
        <f t="shared" si="6"/>
        <v>0.22124233128834356</v>
      </c>
      <c r="I23" s="3">
        <v>5.72</v>
      </c>
      <c r="J23" s="201">
        <v>6.4969166669999998</v>
      </c>
      <c r="K23" s="20">
        <f t="shared" si="4"/>
        <v>0.13582459213286716</v>
      </c>
      <c r="L23" s="4">
        <f t="shared" si="2"/>
        <v>0.83258583645090356</v>
      </c>
      <c r="M23" s="5">
        <v>1</v>
      </c>
      <c r="N23" s="15">
        <v>1</v>
      </c>
      <c r="O23" s="6"/>
      <c r="P23" s="6"/>
      <c r="Q23" s="14"/>
    </row>
    <row r="24" spans="1:17">
      <c r="A24" s="13">
        <f t="shared" si="5"/>
        <v>46133</v>
      </c>
      <c r="B24" s="1">
        <v>12995</v>
      </c>
      <c r="C24" s="1">
        <v>12191</v>
      </c>
      <c r="D24" s="14">
        <v>14021</v>
      </c>
      <c r="E24" s="14">
        <v>13824</v>
      </c>
      <c r="F24" s="20">
        <f>(IF(ISBLANK(E24),0,E24-C24))/C24</f>
        <v>0.13395127553112951</v>
      </c>
      <c r="G24" s="2">
        <f t="shared" si="0"/>
        <v>0.2240062627811861</v>
      </c>
      <c r="H24" s="2">
        <f t="shared" si="6"/>
        <v>0.22085889570552147</v>
      </c>
      <c r="I24" s="3">
        <v>5.72</v>
      </c>
      <c r="J24" s="14">
        <v>6.6390000000000002</v>
      </c>
      <c r="K24" s="20">
        <f>(IF(ISBLANK(J24),0,J24-I24))/I24</f>
        <v>0.16066433566433574</v>
      </c>
      <c r="L24" s="4">
        <f t="shared" si="2"/>
        <v>0.80978314606845403</v>
      </c>
      <c r="M24" s="25">
        <v>1</v>
      </c>
      <c r="N24" s="15">
        <v>1</v>
      </c>
      <c r="O24" s="6"/>
      <c r="P24" s="6"/>
      <c r="Q24" s="6"/>
    </row>
    <row r="25" spans="1:17">
      <c r="A25" s="13">
        <f t="shared" si="5"/>
        <v>46134</v>
      </c>
      <c r="B25" s="1">
        <v>12995</v>
      </c>
      <c r="C25" s="1">
        <v>12191</v>
      </c>
      <c r="D25" s="14">
        <v>13954</v>
      </c>
      <c r="E25" s="14">
        <v>13752</v>
      </c>
      <c r="F25" s="20">
        <f t="shared" si="3"/>
        <v>0.1280452793044049</v>
      </c>
      <c r="G25" s="2">
        <f t="shared" si="0"/>
        <v>0.22293583844580778</v>
      </c>
      <c r="H25" s="2">
        <f t="shared" si="6"/>
        <v>0.21970858895705522</v>
      </c>
      <c r="I25" s="3">
        <v>5.72</v>
      </c>
      <c r="J25" s="14">
        <v>6.6749999999999998</v>
      </c>
      <c r="K25" s="20">
        <f t="shared" si="4"/>
        <v>0.16695804195804198</v>
      </c>
      <c r="L25" s="4">
        <f t="shared" si="2"/>
        <v>0.80156705958043251</v>
      </c>
      <c r="M25" s="25">
        <v>1</v>
      </c>
      <c r="N25" s="15">
        <v>1</v>
      </c>
      <c r="O25" s="6"/>
      <c r="P25" s="6"/>
      <c r="Q25" s="6"/>
    </row>
    <row r="26" spans="1:17">
      <c r="A26" s="13">
        <f t="shared" si="5"/>
        <v>46135</v>
      </c>
      <c r="B26" s="1">
        <v>12995</v>
      </c>
      <c r="C26" s="1">
        <v>12191</v>
      </c>
      <c r="D26" s="14">
        <v>14772</v>
      </c>
      <c r="E26" s="14">
        <v>14568</v>
      </c>
      <c r="F26" s="20">
        <f t="shared" si="3"/>
        <v>0.19497990320728406</v>
      </c>
      <c r="G26" s="2">
        <f t="shared" si="0"/>
        <v>0.23600460122699388</v>
      </c>
      <c r="H26" s="2">
        <f t="shared" si="6"/>
        <v>0.23274539877300612</v>
      </c>
      <c r="I26" s="3">
        <v>5.72</v>
      </c>
      <c r="J26" s="14">
        <v>7.0270000000000001</v>
      </c>
      <c r="K26" s="20">
        <f t="shared" si="4"/>
        <v>0.22849650349650358</v>
      </c>
      <c r="L26" s="4">
        <f t="shared" si="2"/>
        <v>0.80604958438136509</v>
      </c>
      <c r="M26" s="25">
        <v>1</v>
      </c>
      <c r="N26" s="15">
        <v>1</v>
      </c>
      <c r="O26" s="6"/>
      <c r="P26" s="6"/>
      <c r="Q26" s="6"/>
    </row>
    <row r="27" spans="1:17">
      <c r="A27" s="13">
        <f t="shared" si="5"/>
        <v>46136</v>
      </c>
      <c r="B27" s="1">
        <v>12995</v>
      </c>
      <c r="C27" s="1">
        <v>12191</v>
      </c>
      <c r="D27" s="14">
        <v>10810</v>
      </c>
      <c r="E27" s="14">
        <v>10656</v>
      </c>
      <c r="F27" s="20">
        <f t="shared" si="3"/>
        <v>-0.12591255844475432</v>
      </c>
      <c r="G27" s="2">
        <f t="shared" si="0"/>
        <v>0.17270577709611451</v>
      </c>
      <c r="H27" s="2">
        <f t="shared" si="6"/>
        <v>0.17024539877300612</v>
      </c>
      <c r="I27" s="3">
        <v>5.72</v>
      </c>
      <c r="J27" s="14">
        <v>4.9249999999999998</v>
      </c>
      <c r="K27" s="20">
        <f t="shared" si="4"/>
        <v>-0.13898601398601398</v>
      </c>
      <c r="L27" s="4">
        <f t="shared" si="2"/>
        <v>0.84161190869172564</v>
      </c>
      <c r="M27" s="25">
        <v>1</v>
      </c>
      <c r="N27" s="15">
        <v>1</v>
      </c>
      <c r="O27" s="6"/>
      <c r="P27" s="6"/>
      <c r="Q27" s="6"/>
    </row>
    <row r="28" spans="1:17">
      <c r="A28" s="13">
        <f t="shared" si="5"/>
        <v>46137</v>
      </c>
      <c r="B28" s="1">
        <v>12995</v>
      </c>
      <c r="C28" s="1">
        <v>12191</v>
      </c>
      <c r="D28" s="14">
        <v>12364</v>
      </c>
      <c r="E28" s="14">
        <v>12096</v>
      </c>
      <c r="F28" s="20">
        <f t="shared" si="3"/>
        <v>-7.7926339102616683E-3</v>
      </c>
      <c r="G28" s="2">
        <f t="shared" si="0"/>
        <v>0.19753323108384457</v>
      </c>
      <c r="H28" s="2">
        <f t="shared" si="6"/>
        <v>0.19325153374233128</v>
      </c>
      <c r="I28" s="3">
        <v>5.72</v>
      </c>
      <c r="J28" s="14">
        <v>5.835</v>
      </c>
      <c r="K28" s="20">
        <f t="shared" si="4"/>
        <v>2.0104895104895142E-2</v>
      </c>
      <c r="L28" s="4">
        <f t="shared" si="2"/>
        <v>0.81247601474074893</v>
      </c>
      <c r="M28" s="25">
        <v>1</v>
      </c>
      <c r="N28" s="15">
        <v>1</v>
      </c>
      <c r="O28" s="6"/>
      <c r="P28" s="6"/>
      <c r="Q28" s="6"/>
    </row>
    <row r="29" spans="1:17">
      <c r="A29" s="13">
        <f t="shared" si="5"/>
        <v>46138</v>
      </c>
      <c r="B29" s="1">
        <v>12995</v>
      </c>
      <c r="C29" s="1">
        <v>12191</v>
      </c>
      <c r="D29" s="14">
        <v>13137</v>
      </c>
      <c r="E29" s="14">
        <v>12984</v>
      </c>
      <c r="F29" s="20">
        <f t="shared" si="3"/>
        <v>6.5047986219342144E-2</v>
      </c>
      <c r="G29" s="2">
        <f t="shared" si="0"/>
        <v>0.20988305214723926</v>
      </c>
      <c r="H29" s="2">
        <f t="shared" si="6"/>
        <v>0.20743865030674846</v>
      </c>
      <c r="I29" s="3">
        <v>5.72</v>
      </c>
      <c r="J29" s="14">
        <v>6.0780000000000003</v>
      </c>
      <c r="K29" s="20">
        <f t="shared" si="4"/>
        <v>6.2587412587412683E-2</v>
      </c>
      <c r="L29" s="4">
        <f t="shared" si="2"/>
        <v>0.8287583500384571</v>
      </c>
      <c r="M29" s="25">
        <v>1</v>
      </c>
      <c r="N29" s="15">
        <v>1</v>
      </c>
      <c r="O29" s="6"/>
      <c r="P29" s="6"/>
      <c r="Q29" s="6"/>
    </row>
    <row r="30" spans="1:17">
      <c r="A30" s="13">
        <f t="shared" si="5"/>
        <v>46139</v>
      </c>
      <c r="B30" s="1">
        <v>12995</v>
      </c>
      <c r="C30" s="1">
        <v>12191</v>
      </c>
      <c r="D30" s="14">
        <v>13721</v>
      </c>
      <c r="E30" s="14">
        <v>13440</v>
      </c>
      <c r="F30" s="20">
        <f t="shared" si="3"/>
        <v>0.10245262898859815</v>
      </c>
      <c r="G30" s="2">
        <f t="shared" si="0"/>
        <v>0.21921331799591001</v>
      </c>
      <c r="H30" s="2">
        <f t="shared" si="6"/>
        <v>0.21472392638036811</v>
      </c>
      <c r="I30" s="3">
        <v>5.72</v>
      </c>
      <c r="J30" s="14">
        <v>6.3639999999999999</v>
      </c>
      <c r="K30" s="20">
        <f t="shared" si="4"/>
        <v>0.11258741258741262</v>
      </c>
      <c r="L30" s="4">
        <f t="shared" si="2"/>
        <v>0.82670013071996251</v>
      </c>
      <c r="M30" s="25">
        <v>1</v>
      </c>
      <c r="N30" s="15">
        <v>1</v>
      </c>
      <c r="O30" s="6"/>
      <c r="P30" s="6"/>
      <c r="Q30" s="6"/>
    </row>
    <row r="31" spans="1:17">
      <c r="A31" s="13">
        <f t="shared" si="5"/>
        <v>46140</v>
      </c>
      <c r="B31" s="1">
        <v>12995</v>
      </c>
      <c r="C31" s="1">
        <v>12191</v>
      </c>
      <c r="D31" s="14">
        <v>11053</v>
      </c>
      <c r="E31" s="14">
        <v>10848</v>
      </c>
      <c r="F31" s="20">
        <f t="shared" si="3"/>
        <v>-0.11016323517348864</v>
      </c>
      <c r="G31" s="2">
        <f t="shared" si="0"/>
        <v>0.17658806237218813</v>
      </c>
      <c r="H31" s="2">
        <f t="shared" si="6"/>
        <v>0.17331288343558282</v>
      </c>
      <c r="I31" s="3">
        <v>5.72</v>
      </c>
      <c r="J31" s="14">
        <v>5.0119999999999996</v>
      </c>
      <c r="K31" s="20">
        <f t="shared" si="4"/>
        <v>-0.12377622377622381</v>
      </c>
      <c r="L31" s="4">
        <f t="shared" si="2"/>
        <v>0.84559327552524255</v>
      </c>
      <c r="M31" s="25">
        <v>1</v>
      </c>
      <c r="N31" s="15">
        <v>0.9879</v>
      </c>
      <c r="O31" s="14">
        <v>130.44999999999999</v>
      </c>
      <c r="P31" s="6"/>
      <c r="Q31" s="14" t="s">
        <v>282</v>
      </c>
    </row>
    <row r="32" spans="1:17">
      <c r="A32" s="13">
        <f t="shared" si="5"/>
        <v>46141</v>
      </c>
      <c r="B32" s="1">
        <v>12995</v>
      </c>
      <c r="C32" s="1">
        <v>12191</v>
      </c>
      <c r="D32" s="14">
        <v>11260</v>
      </c>
      <c r="E32" s="14">
        <v>11064</v>
      </c>
      <c r="F32" s="20">
        <f t="shared" si="3"/>
        <v>-9.2445246493314745E-2</v>
      </c>
      <c r="G32" s="2">
        <f t="shared" si="0"/>
        <v>0.17989519427402864</v>
      </c>
      <c r="H32" s="2">
        <f t="shared" si="6"/>
        <v>0.1767638036809816</v>
      </c>
      <c r="I32" s="3">
        <v>5.72</v>
      </c>
      <c r="J32" s="14">
        <v>5.0250000000000004</v>
      </c>
      <c r="K32" s="20">
        <f t="shared" si="4"/>
        <v>-0.1215034965034964</v>
      </c>
      <c r="L32" s="4">
        <f t="shared" si="2"/>
        <v>0.85920092787595759</v>
      </c>
      <c r="M32" s="25">
        <v>1</v>
      </c>
      <c r="N32" s="25">
        <v>1</v>
      </c>
      <c r="O32" s="6"/>
      <c r="P32" s="6"/>
      <c r="Q32" s="6"/>
    </row>
    <row r="33" spans="1:17">
      <c r="A33" s="13">
        <f t="shared" si="5"/>
        <v>46142</v>
      </c>
      <c r="B33" s="1">
        <v>12995</v>
      </c>
      <c r="C33" s="1">
        <v>12191</v>
      </c>
      <c r="D33" s="14">
        <v>13170</v>
      </c>
      <c r="E33" s="14">
        <v>12936</v>
      </c>
      <c r="F33" s="20">
        <f t="shared" si="3"/>
        <v>6.1110655401525715E-2</v>
      </c>
      <c r="G33" s="2">
        <f t="shared" si="0"/>
        <v>0.21041027607361965</v>
      </c>
      <c r="H33" s="2">
        <f t="shared" si="6"/>
        <v>0.20667177914110429</v>
      </c>
      <c r="I33" s="3">
        <v>5.72</v>
      </c>
      <c r="J33" s="14">
        <v>6.0869999999999997</v>
      </c>
      <c r="K33" s="20">
        <f t="shared" si="4"/>
        <v>6.4160839160839159E-2</v>
      </c>
      <c r="L33" s="4">
        <f t="shared" si="2"/>
        <v>0.82961173414931355</v>
      </c>
      <c r="M33" s="25">
        <v>1</v>
      </c>
      <c r="N33" s="25">
        <v>1</v>
      </c>
      <c r="O33" s="6"/>
      <c r="P33" s="6"/>
      <c r="Q33" s="6"/>
    </row>
    <row r="34" spans="1:17">
      <c r="A34" s="349">
        <v>46113</v>
      </c>
      <c r="B34" s="17">
        <f>SUM(B4:B33)</f>
        <v>389850</v>
      </c>
      <c r="C34" s="17">
        <f>SUM(C4:C33)</f>
        <v>365730</v>
      </c>
      <c r="D34" s="17">
        <f>SUM(D4:D33)</f>
        <v>389716</v>
      </c>
      <c r="E34" s="17">
        <f>SUM(E4:E33)</f>
        <v>383784</v>
      </c>
      <c r="F34" s="20">
        <f>(IF(ISBLANK(E34),0,E34-C34))/C34</f>
        <v>4.9364285128373389E-2</v>
      </c>
      <c r="G34" s="18">
        <f>AVERAGE(G4:G33)</f>
        <v>0.20754302999318336</v>
      </c>
      <c r="H34" s="18">
        <f>AVERAGE(H4:H33)</f>
        <v>0.2523686654647867</v>
      </c>
      <c r="I34" s="17">
        <f>SUM(I4:I33)</f>
        <v>171.6</v>
      </c>
      <c r="J34" s="17">
        <f>SUM(J4:J33)</f>
        <v>185.87724999900001</v>
      </c>
      <c r="K34" s="20">
        <f t="shared" si="4"/>
        <v>8.3200757569930187E-2</v>
      </c>
      <c r="L34" s="4">
        <f t="shared" si="2"/>
        <v>0.803922920077072</v>
      </c>
      <c r="M34" s="18">
        <f>AVERAGE(M4:M33)</f>
        <v>1</v>
      </c>
      <c r="N34" s="18">
        <f>AVERAGE(N4:N33)</f>
        <v>0.98510333333333333</v>
      </c>
      <c r="O34" s="17">
        <f>SUM(O4:O33)</f>
        <v>10064.06424</v>
      </c>
      <c r="P34" s="17">
        <f>SUM(P4:P33)</f>
        <v>0</v>
      </c>
      <c r="Q34" s="19"/>
    </row>
    <row r="35" spans="1:17">
      <c r="A35" s="13">
        <v>46143</v>
      </c>
      <c r="B35" s="1">
        <v>11944</v>
      </c>
      <c r="C35" s="1">
        <v>11204</v>
      </c>
      <c r="D35" s="200">
        <v>13221</v>
      </c>
      <c r="E35" s="200">
        <v>13128</v>
      </c>
      <c r="F35" s="20">
        <f>(IF(ISBLANK(E35),0,E35-C35))/C35</f>
        <v>0.1717243841485184</v>
      </c>
      <c r="G35" s="2">
        <f t="shared" ref="G35:G65" si="7">D35/($D$2*24)</f>
        <v>0.21122507668711657</v>
      </c>
      <c r="H35" s="2">
        <f t="shared" ref="H35:H52" si="8">D35/($H$2*24)</f>
        <v>0.28993421052631579</v>
      </c>
      <c r="I35" s="3">
        <v>5.36</v>
      </c>
      <c r="J35" s="201">
        <v>6.0709999999999997</v>
      </c>
      <c r="K35" s="20">
        <f>(IF(ISBLANK(J35),0,J35-I35))/I35</f>
        <v>0.13264925373134318</v>
      </c>
      <c r="L35" s="4">
        <f t="shared" si="2"/>
        <v>0.83501924567464958</v>
      </c>
      <c r="M35" s="5">
        <v>1</v>
      </c>
      <c r="N35" s="5">
        <v>1</v>
      </c>
      <c r="O35" s="6"/>
      <c r="P35" s="6"/>
      <c r="Q35" s="6"/>
    </row>
    <row r="36" spans="1:17">
      <c r="A36" s="13">
        <f>A35+1</f>
        <v>46144</v>
      </c>
      <c r="B36" s="1">
        <v>11944</v>
      </c>
      <c r="C36" s="1">
        <v>11204</v>
      </c>
      <c r="D36" s="200">
        <v>13826</v>
      </c>
      <c r="E36" s="200">
        <v>13560</v>
      </c>
      <c r="F36" s="20">
        <f t="shared" ref="F36:F54" si="9">(IF(ISBLANK(E36),0,E36-C36))/C36</f>
        <v>0.21028204212781149</v>
      </c>
      <c r="G36" s="2">
        <f t="shared" si="7"/>
        <v>0.22089084867075665</v>
      </c>
      <c r="H36" s="2">
        <f t="shared" si="8"/>
        <v>0.30320175438596492</v>
      </c>
      <c r="I36" s="3">
        <v>5.36</v>
      </c>
      <c r="J36" s="201">
        <v>6.1459999999999999</v>
      </c>
      <c r="K36" s="20">
        <f t="shared" ref="K36:K54" si="10">(IF(ISBLANK(J36),0,J36-I36))/I36</f>
        <v>0.14664179104477604</v>
      </c>
      <c r="L36" s="4">
        <f t="shared" ref="L36:L66" si="11">D36/($D$2*J36)</f>
        <v>0.86257409178297417</v>
      </c>
      <c r="M36" s="5">
        <v>1</v>
      </c>
      <c r="N36" s="5">
        <v>1</v>
      </c>
      <c r="O36" s="6"/>
      <c r="P36" s="6"/>
      <c r="Q36" s="6"/>
    </row>
    <row r="37" spans="1:17">
      <c r="A37" s="13">
        <f t="shared" ref="A37:A65" si="12">A36+1</f>
        <v>46145</v>
      </c>
      <c r="B37" s="1">
        <v>11944</v>
      </c>
      <c r="C37" s="1">
        <v>11204</v>
      </c>
      <c r="D37" s="200">
        <v>9976</v>
      </c>
      <c r="E37" s="200">
        <v>9816</v>
      </c>
      <c r="F37" s="20">
        <f t="shared" si="9"/>
        <v>-0.12388432702606213</v>
      </c>
      <c r="G37" s="2">
        <f t="shared" si="7"/>
        <v>0.15938139059304704</v>
      </c>
      <c r="H37" s="2">
        <f t="shared" si="8"/>
        <v>0.2187719298245614</v>
      </c>
      <c r="I37" s="3">
        <v>5.36</v>
      </c>
      <c r="J37" s="201">
        <v>4.4009999999999998</v>
      </c>
      <c r="K37" s="20">
        <f t="shared" si="10"/>
        <v>-0.17891791044776129</v>
      </c>
      <c r="L37" s="4">
        <f t="shared" si="11"/>
        <v>0.86915550425656196</v>
      </c>
      <c r="M37" s="5">
        <v>1</v>
      </c>
      <c r="N37" s="5">
        <v>0.96970000000000001</v>
      </c>
      <c r="O37" s="14">
        <v>136.87</v>
      </c>
      <c r="P37" s="6"/>
      <c r="Q37" s="14" t="s">
        <v>283</v>
      </c>
    </row>
    <row r="38" spans="1:17">
      <c r="A38" s="13">
        <f t="shared" si="12"/>
        <v>46146</v>
      </c>
      <c r="B38" s="1">
        <v>11944</v>
      </c>
      <c r="C38" s="1">
        <v>11204</v>
      </c>
      <c r="D38" s="200">
        <v>12312</v>
      </c>
      <c r="E38" s="200">
        <v>12240</v>
      </c>
      <c r="F38" s="20">
        <f t="shared" si="9"/>
        <v>9.2466976079971439E-2</v>
      </c>
      <c r="G38" s="2">
        <f t="shared" si="7"/>
        <v>0.19670245398773006</v>
      </c>
      <c r="H38" s="2">
        <f t="shared" si="8"/>
        <v>0.27</v>
      </c>
      <c r="I38" s="3">
        <v>5.36</v>
      </c>
      <c r="J38" s="201">
        <v>5.5780000000000003</v>
      </c>
      <c r="K38" s="20">
        <f t="shared" si="10"/>
        <v>4.0671641791044766E-2</v>
      </c>
      <c r="L38" s="4">
        <f t="shared" si="11"/>
        <v>0.84633540618600234</v>
      </c>
      <c r="M38" s="5">
        <v>1</v>
      </c>
      <c r="N38" s="5">
        <v>1</v>
      </c>
      <c r="O38" s="6"/>
      <c r="P38" s="6"/>
      <c r="Q38" s="14"/>
    </row>
    <row r="39" spans="1:17">
      <c r="A39" s="13">
        <f t="shared" si="12"/>
        <v>46147</v>
      </c>
      <c r="B39" s="1">
        <v>11944</v>
      </c>
      <c r="C39" s="1">
        <v>11204</v>
      </c>
      <c r="D39" s="200">
        <v>12568</v>
      </c>
      <c r="E39" s="200">
        <v>12408</v>
      </c>
      <c r="F39" s="20">
        <f t="shared" si="9"/>
        <v>0.10746162084969654</v>
      </c>
      <c r="G39" s="2">
        <f t="shared" si="7"/>
        <v>0.2007924335378323</v>
      </c>
      <c r="H39" s="2">
        <f t="shared" si="8"/>
        <v>0.27561403508771931</v>
      </c>
      <c r="I39" s="3">
        <v>5.36</v>
      </c>
      <c r="J39" s="201">
        <v>5.6360000000000001</v>
      </c>
      <c r="K39" s="20">
        <f t="shared" si="10"/>
        <v>5.1492537313432798E-2</v>
      </c>
      <c r="L39" s="4">
        <f t="shared" si="11"/>
        <v>0.85504230037401974</v>
      </c>
      <c r="M39" s="5">
        <v>1</v>
      </c>
      <c r="N39" s="5">
        <v>1</v>
      </c>
      <c r="O39" s="6"/>
      <c r="P39" s="6"/>
      <c r="Q39" s="14"/>
    </row>
    <row r="40" spans="1:17">
      <c r="A40" s="13">
        <f t="shared" si="12"/>
        <v>46148</v>
      </c>
      <c r="B40" s="1">
        <v>11944</v>
      </c>
      <c r="C40" s="1">
        <v>11204</v>
      </c>
      <c r="D40" s="200">
        <v>11290</v>
      </c>
      <c r="E40" s="200">
        <v>11256</v>
      </c>
      <c r="F40" s="20">
        <f t="shared" si="9"/>
        <v>4.6411995715815784E-3</v>
      </c>
      <c r="G40" s="2">
        <f t="shared" si="7"/>
        <v>0.18037448875255624</v>
      </c>
      <c r="H40" s="2">
        <f t="shared" si="8"/>
        <v>0.24758771929824561</v>
      </c>
      <c r="I40" s="3">
        <v>5.36</v>
      </c>
      <c r="J40" s="201">
        <v>4.9809999999999999</v>
      </c>
      <c r="K40" s="20">
        <f t="shared" si="10"/>
        <v>-7.0708955223880682E-2</v>
      </c>
      <c r="L40" s="4">
        <f t="shared" si="11"/>
        <v>0.8691001264929431</v>
      </c>
      <c r="M40" s="5">
        <v>1</v>
      </c>
      <c r="N40" s="5">
        <v>1</v>
      </c>
      <c r="O40" s="6"/>
      <c r="P40" s="6"/>
      <c r="Q40" s="14"/>
    </row>
    <row r="41" spans="1:17">
      <c r="A41" s="13">
        <f t="shared" si="12"/>
        <v>46149</v>
      </c>
      <c r="B41" s="1"/>
      <c r="C41" s="1"/>
      <c r="D41" s="200"/>
      <c r="E41" s="200"/>
      <c r="F41" s="20" t="e">
        <f t="shared" si="9"/>
        <v>#DIV/0!</v>
      </c>
      <c r="G41" s="2">
        <f t="shared" si="7"/>
        <v>0</v>
      </c>
      <c r="H41" s="2">
        <f t="shared" si="8"/>
        <v>0</v>
      </c>
      <c r="I41" s="3"/>
      <c r="J41" s="201"/>
      <c r="K41" s="20" t="e">
        <f t="shared" si="10"/>
        <v>#DIV/0!</v>
      </c>
      <c r="L41" s="4" t="e">
        <f t="shared" si="11"/>
        <v>#DIV/0!</v>
      </c>
      <c r="M41" s="5"/>
      <c r="N41" s="15"/>
      <c r="O41" s="6"/>
      <c r="P41" s="6"/>
      <c r="Q41" s="202"/>
    </row>
    <row r="42" spans="1:17">
      <c r="A42" s="13">
        <f t="shared" si="12"/>
        <v>46150</v>
      </c>
      <c r="B42" s="1"/>
      <c r="C42" s="1"/>
      <c r="D42" s="200"/>
      <c r="E42" s="200"/>
      <c r="F42" s="20" t="e">
        <f t="shared" si="9"/>
        <v>#DIV/0!</v>
      </c>
      <c r="G42" s="2">
        <f t="shared" si="7"/>
        <v>0</v>
      </c>
      <c r="H42" s="2">
        <f t="shared" si="8"/>
        <v>0</v>
      </c>
      <c r="I42" s="3"/>
      <c r="J42" s="201"/>
      <c r="K42" s="20" t="e">
        <f t="shared" si="10"/>
        <v>#DIV/0!</v>
      </c>
      <c r="L42" s="4" t="e">
        <f t="shared" si="11"/>
        <v>#DIV/0!</v>
      </c>
      <c r="M42" s="5"/>
      <c r="N42" s="15"/>
      <c r="O42" s="6"/>
      <c r="P42" s="6"/>
      <c r="Q42" s="14"/>
    </row>
    <row r="43" spans="1:17">
      <c r="A43" s="13">
        <f t="shared" si="12"/>
        <v>46151</v>
      </c>
      <c r="B43" s="1"/>
      <c r="C43" s="1"/>
      <c r="D43" s="200"/>
      <c r="E43" s="200"/>
      <c r="F43" s="20" t="e">
        <f t="shared" si="9"/>
        <v>#DIV/0!</v>
      </c>
      <c r="G43" s="2">
        <f t="shared" si="7"/>
        <v>0</v>
      </c>
      <c r="H43" s="2">
        <f t="shared" si="8"/>
        <v>0</v>
      </c>
      <c r="I43" s="3"/>
      <c r="J43" s="201"/>
      <c r="K43" s="20" t="e">
        <f t="shared" si="10"/>
        <v>#DIV/0!</v>
      </c>
      <c r="L43" s="4" t="e">
        <f t="shared" si="11"/>
        <v>#DIV/0!</v>
      </c>
      <c r="M43" s="5"/>
      <c r="N43" s="5"/>
      <c r="O43" s="6"/>
      <c r="P43" s="6"/>
      <c r="Q43" s="6"/>
    </row>
    <row r="44" spans="1:17">
      <c r="A44" s="13">
        <f t="shared" si="12"/>
        <v>46152</v>
      </c>
      <c r="B44" s="1"/>
      <c r="C44" s="1"/>
      <c r="D44" s="200"/>
      <c r="E44" s="200"/>
      <c r="F44" s="20" t="e">
        <f t="shared" si="9"/>
        <v>#DIV/0!</v>
      </c>
      <c r="G44" s="2">
        <f t="shared" si="7"/>
        <v>0</v>
      </c>
      <c r="H44" s="2">
        <f t="shared" si="8"/>
        <v>0</v>
      </c>
      <c r="I44" s="3"/>
      <c r="J44" s="201"/>
      <c r="K44" s="20" t="e">
        <f t="shared" si="10"/>
        <v>#DIV/0!</v>
      </c>
      <c r="L44" s="4" t="e">
        <f t="shared" si="11"/>
        <v>#DIV/0!</v>
      </c>
      <c r="M44" s="5"/>
      <c r="N44" s="15"/>
      <c r="O44" s="6"/>
      <c r="P44" s="6"/>
      <c r="Q44" s="16"/>
    </row>
    <row r="45" spans="1:17">
      <c r="A45" s="13">
        <f t="shared" si="12"/>
        <v>46153</v>
      </c>
      <c r="B45" s="1"/>
      <c r="C45" s="1"/>
      <c r="D45" s="200"/>
      <c r="E45" s="200"/>
      <c r="F45" s="20" t="e">
        <f t="shared" si="9"/>
        <v>#DIV/0!</v>
      </c>
      <c r="G45" s="2">
        <f t="shared" si="7"/>
        <v>0</v>
      </c>
      <c r="H45" s="2">
        <f t="shared" si="8"/>
        <v>0</v>
      </c>
      <c r="I45" s="3"/>
      <c r="J45" s="201"/>
      <c r="K45" s="20" t="e">
        <f t="shared" si="10"/>
        <v>#DIV/0!</v>
      </c>
      <c r="L45" s="4" t="e">
        <f t="shared" si="11"/>
        <v>#DIV/0!</v>
      </c>
      <c r="M45" s="5"/>
      <c r="N45" s="15"/>
      <c r="O45" s="6"/>
      <c r="P45" s="6"/>
      <c r="Q45" s="6"/>
    </row>
    <row r="46" spans="1:17">
      <c r="A46" s="13">
        <f t="shared" si="12"/>
        <v>46154</v>
      </c>
      <c r="B46" s="1"/>
      <c r="C46" s="1"/>
      <c r="D46" s="200"/>
      <c r="E46" s="200"/>
      <c r="F46" s="20" t="e">
        <f t="shared" si="9"/>
        <v>#DIV/0!</v>
      </c>
      <c r="G46" s="2">
        <f t="shared" si="7"/>
        <v>0</v>
      </c>
      <c r="H46" s="2">
        <f t="shared" si="8"/>
        <v>0</v>
      </c>
      <c r="I46" s="3"/>
      <c r="J46" s="201"/>
      <c r="K46" s="20" t="e">
        <f t="shared" si="10"/>
        <v>#DIV/0!</v>
      </c>
      <c r="L46" s="4" t="e">
        <f t="shared" si="11"/>
        <v>#DIV/0!</v>
      </c>
      <c r="M46" s="5"/>
      <c r="N46" s="15"/>
      <c r="O46" s="6"/>
      <c r="P46" s="6"/>
      <c r="Q46" s="6"/>
    </row>
    <row r="47" spans="1:17">
      <c r="A47" s="13">
        <f t="shared" si="12"/>
        <v>46155</v>
      </c>
      <c r="B47" s="1"/>
      <c r="C47" s="1"/>
      <c r="D47" s="200"/>
      <c r="E47" s="200"/>
      <c r="F47" s="20" t="e">
        <f t="shared" si="9"/>
        <v>#DIV/0!</v>
      </c>
      <c r="G47" s="2">
        <f t="shared" si="7"/>
        <v>0</v>
      </c>
      <c r="H47" s="2">
        <f t="shared" si="8"/>
        <v>0</v>
      </c>
      <c r="I47" s="3"/>
      <c r="J47" s="201"/>
      <c r="K47" s="20" t="e">
        <f t="shared" si="10"/>
        <v>#DIV/0!</v>
      </c>
      <c r="L47" s="4" t="e">
        <f t="shared" si="11"/>
        <v>#DIV/0!</v>
      </c>
      <c r="M47" s="5"/>
      <c r="N47" s="15"/>
      <c r="O47" s="6"/>
      <c r="P47" s="6"/>
      <c r="Q47" s="14"/>
    </row>
    <row r="48" spans="1:17">
      <c r="A48" s="13">
        <f t="shared" si="12"/>
        <v>46156</v>
      </c>
      <c r="B48" s="1"/>
      <c r="C48" s="1"/>
      <c r="D48" s="200"/>
      <c r="E48" s="200"/>
      <c r="F48" s="20" t="e">
        <f t="shared" si="9"/>
        <v>#DIV/0!</v>
      </c>
      <c r="G48" s="2">
        <f t="shared" si="7"/>
        <v>0</v>
      </c>
      <c r="H48" s="2">
        <f t="shared" si="8"/>
        <v>0</v>
      </c>
      <c r="I48" s="3"/>
      <c r="J48" s="201"/>
      <c r="K48" s="20" t="e">
        <f t="shared" si="10"/>
        <v>#DIV/0!</v>
      </c>
      <c r="L48" s="4" t="e">
        <f t="shared" si="11"/>
        <v>#DIV/0!</v>
      </c>
      <c r="M48" s="5"/>
      <c r="N48" s="15"/>
      <c r="O48" s="6"/>
      <c r="P48" s="6"/>
      <c r="Q48" s="203"/>
    </row>
    <row r="49" spans="1:17">
      <c r="A49" s="13">
        <f t="shared" si="12"/>
        <v>46157</v>
      </c>
      <c r="B49" s="1"/>
      <c r="C49" s="1"/>
      <c r="D49" s="200"/>
      <c r="E49" s="200"/>
      <c r="F49" s="20" t="e">
        <f t="shared" si="9"/>
        <v>#DIV/0!</v>
      </c>
      <c r="G49" s="2">
        <f t="shared" si="7"/>
        <v>0</v>
      </c>
      <c r="H49" s="2">
        <f t="shared" si="8"/>
        <v>0</v>
      </c>
      <c r="I49" s="3"/>
      <c r="J49" s="201"/>
      <c r="K49" s="20" t="e">
        <f t="shared" si="10"/>
        <v>#DIV/0!</v>
      </c>
      <c r="L49" s="4" t="e">
        <f t="shared" si="11"/>
        <v>#DIV/0!</v>
      </c>
      <c r="M49" s="5"/>
      <c r="N49" s="15"/>
      <c r="O49" s="6"/>
      <c r="P49" s="6"/>
      <c r="Q49" s="14"/>
    </row>
    <row r="50" spans="1:17">
      <c r="A50" s="13">
        <f t="shared" si="12"/>
        <v>46158</v>
      </c>
      <c r="B50" s="1"/>
      <c r="C50" s="1"/>
      <c r="D50" s="200"/>
      <c r="E50" s="200"/>
      <c r="F50" s="20" t="e">
        <f t="shared" si="9"/>
        <v>#DIV/0!</v>
      </c>
      <c r="G50" s="2">
        <f t="shared" si="7"/>
        <v>0</v>
      </c>
      <c r="H50" s="2">
        <f t="shared" si="8"/>
        <v>0</v>
      </c>
      <c r="I50" s="3"/>
      <c r="J50" s="201"/>
      <c r="K50" s="20" t="e">
        <f t="shared" si="10"/>
        <v>#DIV/0!</v>
      </c>
      <c r="L50" s="4" t="e">
        <f t="shared" si="11"/>
        <v>#DIV/0!</v>
      </c>
      <c r="M50" s="5"/>
      <c r="N50" s="15"/>
      <c r="O50" s="6"/>
      <c r="P50" s="6"/>
      <c r="Q50" s="14"/>
    </row>
    <row r="51" spans="1:17">
      <c r="A51" s="13">
        <f t="shared" si="12"/>
        <v>46159</v>
      </c>
      <c r="B51" s="1"/>
      <c r="C51" s="1"/>
      <c r="D51" s="200"/>
      <c r="E51" s="200"/>
      <c r="F51" s="20" t="e">
        <f t="shared" si="9"/>
        <v>#DIV/0!</v>
      </c>
      <c r="G51" s="2">
        <f t="shared" si="7"/>
        <v>0</v>
      </c>
      <c r="H51" s="2">
        <f t="shared" si="8"/>
        <v>0</v>
      </c>
      <c r="I51" s="3"/>
      <c r="J51" s="201"/>
      <c r="K51" s="20" t="e">
        <f t="shared" si="10"/>
        <v>#DIV/0!</v>
      </c>
      <c r="L51" s="4" t="e">
        <f t="shared" si="11"/>
        <v>#DIV/0!</v>
      </c>
      <c r="M51" s="5"/>
      <c r="N51" s="15"/>
      <c r="O51" s="6"/>
      <c r="P51" s="6"/>
      <c r="Q51" s="6"/>
    </row>
    <row r="52" spans="1:17">
      <c r="A52" s="13">
        <f t="shared" si="12"/>
        <v>46160</v>
      </c>
      <c r="B52" s="1"/>
      <c r="C52" s="1"/>
      <c r="D52" s="200"/>
      <c r="E52" s="200"/>
      <c r="F52" s="20" t="e">
        <f t="shared" si="9"/>
        <v>#DIV/0!</v>
      </c>
      <c r="G52" s="2">
        <f t="shared" si="7"/>
        <v>0</v>
      </c>
      <c r="H52" s="2">
        <f t="shared" si="8"/>
        <v>0</v>
      </c>
      <c r="I52" s="3"/>
      <c r="J52" s="201"/>
      <c r="K52" s="20" t="e">
        <f t="shared" si="10"/>
        <v>#DIV/0!</v>
      </c>
      <c r="L52" s="4" t="e">
        <f t="shared" si="11"/>
        <v>#DIV/0!</v>
      </c>
      <c r="M52" s="5"/>
      <c r="N52" s="15"/>
      <c r="O52" s="6"/>
      <c r="P52" s="6"/>
      <c r="Q52" s="14"/>
    </row>
    <row r="53" spans="1:17">
      <c r="A53" s="13">
        <f t="shared" si="12"/>
        <v>46161</v>
      </c>
      <c r="B53" s="1"/>
      <c r="C53" s="1"/>
      <c r="D53" s="200"/>
      <c r="E53" s="200"/>
      <c r="F53" s="20" t="e">
        <f t="shared" si="9"/>
        <v>#DIV/0!</v>
      </c>
      <c r="G53" s="2">
        <f t="shared" si="7"/>
        <v>0</v>
      </c>
      <c r="H53" s="2">
        <f t="shared" ref="H53:H65" si="13">E53/($D$2*24)</f>
        <v>0</v>
      </c>
      <c r="I53" s="3"/>
      <c r="J53" s="201"/>
      <c r="K53" s="20" t="e">
        <f t="shared" si="10"/>
        <v>#DIV/0!</v>
      </c>
      <c r="L53" s="4" t="e">
        <f t="shared" si="11"/>
        <v>#DIV/0!</v>
      </c>
      <c r="M53" s="5"/>
      <c r="N53" s="15"/>
      <c r="O53" s="6"/>
      <c r="P53" s="6"/>
      <c r="Q53" s="14"/>
    </row>
    <row r="54" spans="1:17">
      <c r="A54" s="13">
        <f t="shared" si="12"/>
        <v>46162</v>
      </c>
      <c r="B54" s="1"/>
      <c r="C54" s="1"/>
      <c r="D54" s="200"/>
      <c r="E54" s="200"/>
      <c r="F54" s="20" t="e">
        <f t="shared" si="9"/>
        <v>#DIV/0!</v>
      </c>
      <c r="G54" s="2">
        <f t="shared" si="7"/>
        <v>0</v>
      </c>
      <c r="H54" s="2">
        <f t="shared" si="13"/>
        <v>0</v>
      </c>
      <c r="I54" s="3"/>
      <c r="J54" s="201"/>
      <c r="K54" s="20" t="e">
        <f t="shared" si="10"/>
        <v>#DIV/0!</v>
      </c>
      <c r="L54" s="4" t="e">
        <f t="shared" si="11"/>
        <v>#DIV/0!</v>
      </c>
      <c r="M54" s="5"/>
      <c r="N54" s="15"/>
      <c r="O54" s="6"/>
      <c r="P54" s="6"/>
      <c r="Q54" s="14"/>
    </row>
    <row r="55" spans="1:17">
      <c r="A55" s="13">
        <f t="shared" si="12"/>
        <v>46163</v>
      </c>
      <c r="B55" s="1"/>
      <c r="C55" s="1"/>
      <c r="D55" s="14"/>
      <c r="E55" s="14"/>
      <c r="F55" s="20" t="e">
        <f>(IF(ISBLANK(E55),0,E55-C55))/C55</f>
        <v>#DIV/0!</v>
      </c>
      <c r="G55" s="2">
        <f t="shared" si="7"/>
        <v>0</v>
      </c>
      <c r="H55" s="2">
        <f t="shared" si="13"/>
        <v>0</v>
      </c>
      <c r="I55" s="3"/>
      <c r="J55" s="14"/>
      <c r="K55" s="20" t="e">
        <f>(IF(ISBLANK(J55),0,J55-I55))/I55</f>
        <v>#DIV/0!</v>
      </c>
      <c r="L55" s="4" t="e">
        <f t="shared" si="11"/>
        <v>#DIV/0!</v>
      </c>
      <c r="M55" s="25"/>
      <c r="N55" s="15"/>
      <c r="O55" s="6"/>
      <c r="P55" s="6"/>
      <c r="Q55" s="6"/>
    </row>
    <row r="56" spans="1:17">
      <c r="A56" s="13">
        <f t="shared" si="12"/>
        <v>46164</v>
      </c>
      <c r="B56" s="1"/>
      <c r="C56" s="1"/>
      <c r="D56" s="14"/>
      <c r="E56" s="14"/>
      <c r="F56" s="20" t="e">
        <f t="shared" ref="F56:F64" si="14">(IF(ISBLANK(E56),0,E56-C56))/C56</f>
        <v>#DIV/0!</v>
      </c>
      <c r="G56" s="2">
        <f t="shared" si="7"/>
        <v>0</v>
      </c>
      <c r="H56" s="2">
        <f t="shared" si="13"/>
        <v>0</v>
      </c>
      <c r="I56" s="3"/>
      <c r="J56" s="14"/>
      <c r="K56" s="20" t="e">
        <f t="shared" ref="K56:K66" si="15">(IF(ISBLANK(J56),0,J56-I56))/I56</f>
        <v>#DIV/0!</v>
      </c>
      <c r="L56" s="4" t="e">
        <f t="shared" si="11"/>
        <v>#DIV/0!</v>
      </c>
      <c r="M56" s="25"/>
      <c r="N56" s="15"/>
      <c r="O56" s="6"/>
      <c r="P56" s="6"/>
      <c r="Q56" s="6"/>
    </row>
    <row r="57" spans="1:17">
      <c r="A57" s="13">
        <f t="shared" si="12"/>
        <v>46165</v>
      </c>
      <c r="B57" s="1"/>
      <c r="C57" s="1"/>
      <c r="D57" s="14"/>
      <c r="E57" s="14"/>
      <c r="F57" s="20" t="e">
        <f t="shared" si="14"/>
        <v>#DIV/0!</v>
      </c>
      <c r="G57" s="2">
        <f t="shared" si="7"/>
        <v>0</v>
      </c>
      <c r="H57" s="2">
        <f t="shared" si="13"/>
        <v>0</v>
      </c>
      <c r="I57" s="3"/>
      <c r="J57" s="14"/>
      <c r="K57" s="20" t="e">
        <f t="shared" si="15"/>
        <v>#DIV/0!</v>
      </c>
      <c r="L57" s="4" t="e">
        <f t="shared" si="11"/>
        <v>#DIV/0!</v>
      </c>
      <c r="M57" s="25"/>
      <c r="N57" s="15"/>
      <c r="O57" s="6"/>
      <c r="P57" s="6"/>
      <c r="Q57" s="6"/>
    </row>
    <row r="58" spans="1:17">
      <c r="A58" s="13">
        <f t="shared" si="12"/>
        <v>46166</v>
      </c>
      <c r="B58" s="1"/>
      <c r="C58" s="1"/>
      <c r="D58" s="14"/>
      <c r="E58" s="14"/>
      <c r="F58" s="20" t="e">
        <f t="shared" si="14"/>
        <v>#DIV/0!</v>
      </c>
      <c r="G58" s="2">
        <f t="shared" si="7"/>
        <v>0</v>
      </c>
      <c r="H58" s="2">
        <f t="shared" si="13"/>
        <v>0</v>
      </c>
      <c r="I58" s="3"/>
      <c r="J58" s="14"/>
      <c r="K58" s="20" t="e">
        <f t="shared" si="15"/>
        <v>#DIV/0!</v>
      </c>
      <c r="L58" s="4" t="e">
        <f t="shared" si="11"/>
        <v>#DIV/0!</v>
      </c>
      <c r="M58" s="25"/>
      <c r="N58" s="15"/>
      <c r="O58" s="6"/>
      <c r="P58" s="6"/>
      <c r="Q58" s="6"/>
    </row>
    <row r="59" spans="1:17">
      <c r="A59" s="13">
        <f t="shared" si="12"/>
        <v>46167</v>
      </c>
      <c r="B59" s="1"/>
      <c r="C59" s="1"/>
      <c r="D59" s="14"/>
      <c r="E59" s="14"/>
      <c r="F59" s="20" t="e">
        <f t="shared" si="14"/>
        <v>#DIV/0!</v>
      </c>
      <c r="G59" s="2">
        <f t="shared" si="7"/>
        <v>0</v>
      </c>
      <c r="H59" s="2">
        <f t="shared" si="13"/>
        <v>0</v>
      </c>
      <c r="I59" s="3"/>
      <c r="J59" s="14"/>
      <c r="K59" s="20" t="e">
        <f t="shared" si="15"/>
        <v>#DIV/0!</v>
      </c>
      <c r="L59" s="4" t="e">
        <f t="shared" si="11"/>
        <v>#DIV/0!</v>
      </c>
      <c r="M59" s="25"/>
      <c r="N59" s="15"/>
      <c r="O59" s="6"/>
      <c r="P59" s="6"/>
      <c r="Q59" s="6"/>
    </row>
    <row r="60" spans="1:17">
      <c r="A60" s="13">
        <f t="shared" si="12"/>
        <v>46168</v>
      </c>
      <c r="B60" s="1"/>
      <c r="C60" s="1"/>
      <c r="D60" s="14"/>
      <c r="E60" s="14"/>
      <c r="F60" s="20" t="e">
        <f t="shared" si="14"/>
        <v>#DIV/0!</v>
      </c>
      <c r="G60" s="2">
        <f t="shared" si="7"/>
        <v>0</v>
      </c>
      <c r="H60" s="2">
        <f t="shared" si="13"/>
        <v>0</v>
      </c>
      <c r="I60" s="3"/>
      <c r="J60" s="14"/>
      <c r="K60" s="20" t="e">
        <f t="shared" si="15"/>
        <v>#DIV/0!</v>
      </c>
      <c r="L60" s="4" t="e">
        <f t="shared" si="11"/>
        <v>#DIV/0!</v>
      </c>
      <c r="M60" s="25"/>
      <c r="N60" s="15"/>
      <c r="O60" s="6"/>
      <c r="P60" s="6"/>
      <c r="Q60" s="6"/>
    </row>
    <row r="61" spans="1:17">
      <c r="A61" s="13">
        <f t="shared" si="12"/>
        <v>46169</v>
      </c>
      <c r="B61" s="1"/>
      <c r="C61" s="1"/>
      <c r="D61" s="14"/>
      <c r="E61" s="14"/>
      <c r="F61" s="20" t="e">
        <f t="shared" si="14"/>
        <v>#DIV/0!</v>
      </c>
      <c r="G61" s="2">
        <f t="shared" si="7"/>
        <v>0</v>
      </c>
      <c r="H61" s="2">
        <f t="shared" si="13"/>
        <v>0</v>
      </c>
      <c r="I61" s="3"/>
      <c r="J61" s="14"/>
      <c r="K61" s="20" t="e">
        <f t="shared" si="15"/>
        <v>#DIV/0!</v>
      </c>
      <c r="L61" s="4" t="e">
        <f t="shared" si="11"/>
        <v>#DIV/0!</v>
      </c>
      <c r="M61" s="25"/>
      <c r="N61" s="15"/>
      <c r="O61" s="6"/>
      <c r="P61" s="6"/>
      <c r="Q61" s="6"/>
    </row>
    <row r="62" spans="1:17">
      <c r="A62" s="13">
        <f t="shared" si="12"/>
        <v>46170</v>
      </c>
      <c r="B62" s="1"/>
      <c r="C62" s="1"/>
      <c r="D62" s="14"/>
      <c r="E62" s="14"/>
      <c r="F62" s="20" t="e">
        <f t="shared" si="14"/>
        <v>#DIV/0!</v>
      </c>
      <c r="G62" s="2">
        <f t="shared" si="7"/>
        <v>0</v>
      </c>
      <c r="H62" s="2">
        <f t="shared" si="13"/>
        <v>0</v>
      </c>
      <c r="I62" s="3"/>
      <c r="J62" s="14"/>
      <c r="K62" s="20" t="e">
        <f t="shared" si="15"/>
        <v>#DIV/0!</v>
      </c>
      <c r="L62" s="4" t="e">
        <f t="shared" si="11"/>
        <v>#DIV/0!</v>
      </c>
      <c r="M62" s="25"/>
      <c r="N62" s="15"/>
      <c r="O62" s="14"/>
      <c r="P62" s="6"/>
      <c r="Q62" s="14"/>
    </row>
    <row r="63" spans="1:17">
      <c r="A63" s="13">
        <f t="shared" si="12"/>
        <v>46171</v>
      </c>
      <c r="B63" s="1"/>
      <c r="C63" s="1"/>
      <c r="D63" s="14"/>
      <c r="E63" s="14"/>
      <c r="F63" s="20" t="e">
        <f t="shared" si="14"/>
        <v>#DIV/0!</v>
      </c>
      <c r="G63" s="2">
        <f t="shared" si="7"/>
        <v>0</v>
      </c>
      <c r="H63" s="2">
        <f t="shared" si="13"/>
        <v>0</v>
      </c>
      <c r="I63" s="3"/>
      <c r="J63" s="14"/>
      <c r="K63" s="20" t="e">
        <f t="shared" si="15"/>
        <v>#DIV/0!</v>
      </c>
      <c r="L63" s="4" t="e">
        <f t="shared" si="11"/>
        <v>#DIV/0!</v>
      </c>
      <c r="M63" s="25"/>
      <c r="N63" s="25"/>
      <c r="O63" s="6"/>
      <c r="P63" s="6"/>
      <c r="Q63" s="6"/>
    </row>
    <row r="64" spans="1:17">
      <c r="A64" s="13">
        <f t="shared" si="12"/>
        <v>46172</v>
      </c>
      <c r="B64" s="1"/>
      <c r="C64" s="1"/>
      <c r="D64" s="14"/>
      <c r="E64" s="14"/>
      <c r="F64" s="20" t="e">
        <f t="shared" si="14"/>
        <v>#DIV/0!</v>
      </c>
      <c r="G64" s="2">
        <f t="shared" si="7"/>
        <v>0</v>
      </c>
      <c r="H64" s="2">
        <f t="shared" si="13"/>
        <v>0</v>
      </c>
      <c r="I64" s="3"/>
      <c r="J64" s="14"/>
      <c r="K64" s="20" t="e">
        <f t="shared" si="15"/>
        <v>#DIV/0!</v>
      </c>
      <c r="L64" s="4" t="e">
        <f t="shared" si="11"/>
        <v>#DIV/0!</v>
      </c>
      <c r="M64" s="25"/>
      <c r="N64" s="25"/>
      <c r="O64" s="6"/>
      <c r="P64" s="6"/>
      <c r="Q64" s="6"/>
    </row>
    <row r="65" spans="1:17">
      <c r="A65" s="13">
        <f t="shared" si="12"/>
        <v>46173</v>
      </c>
      <c r="B65" s="1"/>
      <c r="C65" s="1"/>
      <c r="D65" s="14"/>
      <c r="E65" s="14"/>
      <c r="F65" s="20" t="e">
        <f t="shared" ref="F65" si="16">(IF(ISBLANK(E65),0,E65-C65))/C65</f>
        <v>#DIV/0!</v>
      </c>
      <c r="G65" s="2">
        <f t="shared" si="7"/>
        <v>0</v>
      </c>
      <c r="H65" s="2">
        <f t="shared" si="13"/>
        <v>0</v>
      </c>
      <c r="I65" s="3"/>
      <c r="J65" s="14"/>
      <c r="K65" s="20" t="e">
        <f t="shared" ref="K65" si="17">(IF(ISBLANK(J65),0,J65-I65))/I65</f>
        <v>#DIV/0!</v>
      </c>
      <c r="L65" s="4" t="e">
        <f t="shared" si="11"/>
        <v>#DIV/0!</v>
      </c>
      <c r="M65" s="25"/>
      <c r="N65" s="25"/>
      <c r="O65" s="6"/>
      <c r="P65" s="6"/>
      <c r="Q65" s="6"/>
    </row>
    <row r="66" spans="1:17">
      <c r="A66" s="349">
        <v>46143</v>
      </c>
      <c r="B66" s="17">
        <f>SUM(B35:B65)</f>
        <v>71664</v>
      </c>
      <c r="C66" s="17">
        <f>SUM(C35:C65)</f>
        <v>67224</v>
      </c>
      <c r="D66" s="17">
        <f>SUM(D35:D65)</f>
        <v>73193</v>
      </c>
      <c r="E66" s="17">
        <f>SUM(E35:E65)</f>
        <v>72408</v>
      </c>
      <c r="F66" s="20">
        <f>(IF(ISBLANK(E66),0,E66-C66))/C66</f>
        <v>7.7115315958586214E-2</v>
      </c>
      <c r="G66" s="18">
        <f>AVERAGE(G35:G65)</f>
        <v>3.7721506200936734E-2</v>
      </c>
      <c r="H66" s="18">
        <f>AVERAGE(H35:H65)</f>
        <v>5.1777730616864748E-2</v>
      </c>
      <c r="I66" s="17">
        <f>SUM(I35:I65)</f>
        <v>32.160000000000004</v>
      </c>
      <c r="J66" s="17">
        <f>SUM(J35:J65)</f>
        <v>32.812999999999995</v>
      </c>
      <c r="K66" s="20">
        <f t="shared" si="15"/>
        <v>2.0304726368158939E-2</v>
      </c>
      <c r="L66" s="4">
        <f t="shared" si="11"/>
        <v>0.85529517610388983</v>
      </c>
      <c r="M66" s="18">
        <f>AVERAGE(M35:M65)</f>
        <v>1</v>
      </c>
      <c r="N66" s="18">
        <f>AVERAGE(N35:N65)</f>
        <v>0.99494999999999989</v>
      </c>
      <c r="O66" s="17">
        <f>SUM(O35:O65)</f>
        <v>136.87</v>
      </c>
      <c r="P66" s="17">
        <f>SUM(P35:P65)</f>
        <v>0</v>
      </c>
      <c r="Q66" s="19"/>
    </row>
  </sheetData>
  <mergeCells count="4">
    <mergeCell ref="A1:Q1"/>
    <mergeCell ref="B2:C2"/>
    <mergeCell ref="E2:G2"/>
    <mergeCell ref="I2:J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10E8-9F34-46FB-A4BB-F2B6AF11FB03}">
  <dimension ref="A1:Q66"/>
  <sheetViews>
    <sheetView workbookViewId="0">
      <pane xSplit="1" ySplit="3" topLeftCell="B36" activePane="bottomRight" state="frozen"/>
      <selection pane="topRight"/>
      <selection pane="bottomLeft"/>
      <selection pane="bottomRight" activeCell="L66" sqref="L66"/>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10"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284</v>
      </c>
      <c r="B1" s="406"/>
      <c r="C1" s="406"/>
      <c r="D1" s="406"/>
      <c r="E1" s="406"/>
      <c r="F1" s="406"/>
      <c r="G1" s="406"/>
      <c r="H1" s="406"/>
      <c r="I1" s="406"/>
      <c r="J1" s="406"/>
      <c r="K1" s="406"/>
      <c r="L1" s="406"/>
      <c r="M1" s="406"/>
      <c r="N1" s="406"/>
      <c r="O1" s="406"/>
      <c r="P1" s="406"/>
      <c r="Q1" s="406"/>
    </row>
    <row r="2" spans="1:17" ht="18.5">
      <c r="A2" s="7">
        <v>46113</v>
      </c>
      <c r="B2" s="407" t="s">
        <v>172</v>
      </c>
      <c r="C2" s="408"/>
      <c r="D2" s="8">
        <v>1750</v>
      </c>
      <c r="E2" s="407" t="s">
        <v>173</v>
      </c>
      <c r="F2" s="407"/>
      <c r="G2" s="408"/>
      <c r="H2" s="8">
        <v>1375</v>
      </c>
      <c r="I2" s="409" t="s">
        <v>174</v>
      </c>
      <c r="J2" s="410"/>
      <c r="K2" s="9">
        <v>45700</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8764.3666666666668</v>
      </c>
      <c r="C4" s="1">
        <v>8278.7000000000007</v>
      </c>
      <c r="D4" s="200">
        <v>3907.6</v>
      </c>
      <c r="E4" s="200">
        <v>3856</v>
      </c>
      <c r="F4" s="20">
        <f>(IF(ISBLANK(E4),0,E4-C4))/C4</f>
        <v>-0.53422638820104607</v>
      </c>
      <c r="G4" s="2">
        <f t="shared" ref="G4:G33" si="0">D4/($D$2*24)</f>
        <v>9.3038095238095239E-2</v>
      </c>
      <c r="H4" s="2">
        <f t="shared" ref="H4:H21" si="1">D4/($H$2*24)</f>
        <v>0.1184121212121212</v>
      </c>
      <c r="I4" s="3">
        <v>5.72</v>
      </c>
      <c r="J4" s="201">
        <v>7.2465000000000002</v>
      </c>
      <c r="K4" s="20">
        <f>(IF(ISBLANK(J4),0,J4-I4))/I4</f>
        <v>0.26687062937062944</v>
      </c>
      <c r="L4" s="4">
        <f t="shared" ref="L4:L35" si="2">D4/($D$2*J4)</f>
        <v>0.30813693310070872</v>
      </c>
      <c r="M4" s="5">
        <v>1</v>
      </c>
      <c r="N4" s="5">
        <v>0.41670000000000001</v>
      </c>
      <c r="O4" s="6">
        <v>7094.64</v>
      </c>
      <c r="P4" s="6" t="s">
        <v>175</v>
      </c>
      <c r="Q4" s="6" t="s">
        <v>278</v>
      </c>
    </row>
    <row r="5" spans="1:17">
      <c r="A5" s="13">
        <f>A4+1</f>
        <v>46114</v>
      </c>
      <c r="B5" s="1">
        <v>8764.3666666666668</v>
      </c>
      <c r="C5" s="1">
        <v>8278.7000000000007</v>
      </c>
      <c r="D5" s="200">
        <v>10285.1</v>
      </c>
      <c r="E5" s="200">
        <v>10224</v>
      </c>
      <c r="F5" s="20">
        <f t="shared" ref="F5:F33" si="3">(IF(ISBLANK(E5),0,E5-C5))/C5</f>
        <v>0.23497650597315992</v>
      </c>
      <c r="G5" s="2">
        <f t="shared" si="0"/>
        <v>0.24488333333333334</v>
      </c>
      <c r="H5" s="2">
        <f t="shared" si="1"/>
        <v>0.31166969696969699</v>
      </c>
      <c r="I5" s="3">
        <v>5.72</v>
      </c>
      <c r="J5" s="201">
        <v>7.354666667</v>
      </c>
      <c r="K5" s="20">
        <f t="shared" ref="K5:K34" si="4">(IF(ISBLANK(J5),0,J5-I5))/I5</f>
        <v>0.28578088583916089</v>
      </c>
      <c r="L5" s="4">
        <f t="shared" si="2"/>
        <v>0.7991116750906857</v>
      </c>
      <c r="M5" s="5">
        <v>1</v>
      </c>
      <c r="N5" s="5">
        <v>1</v>
      </c>
      <c r="O5" s="6" t="s">
        <v>175</v>
      </c>
      <c r="P5" s="6" t="s">
        <v>175</v>
      </c>
      <c r="Q5" s="6"/>
    </row>
    <row r="6" spans="1:17">
      <c r="A6" s="13">
        <f t="shared" ref="A6:A33" si="5">A5+1</f>
        <v>46115</v>
      </c>
      <c r="B6" s="1">
        <v>8764.3666666666668</v>
      </c>
      <c r="C6" s="1">
        <v>8278.7000000000007</v>
      </c>
      <c r="D6" s="200">
        <v>8783.4</v>
      </c>
      <c r="E6" s="200">
        <v>8720</v>
      </c>
      <c r="F6" s="20">
        <f t="shared" si="3"/>
        <v>5.3305470665684133E-2</v>
      </c>
      <c r="G6" s="2">
        <f t="shared" si="0"/>
        <v>0.20912857142857141</v>
      </c>
      <c r="H6" s="2">
        <f t="shared" si="1"/>
        <v>0.26616363636363638</v>
      </c>
      <c r="I6" s="3">
        <v>5.72</v>
      </c>
      <c r="J6" s="201">
        <v>6.2293333329999996</v>
      </c>
      <c r="K6" s="20">
        <f t="shared" si="4"/>
        <v>8.9044288986013964E-2</v>
      </c>
      <c r="L6" s="4">
        <f t="shared" si="2"/>
        <v>0.80571795503332955</v>
      </c>
      <c r="M6" s="5">
        <v>1</v>
      </c>
      <c r="N6" s="5">
        <v>1</v>
      </c>
      <c r="O6" s="6" t="s">
        <v>175</v>
      </c>
      <c r="P6" s="6" t="s">
        <v>175</v>
      </c>
      <c r="Q6" s="6"/>
    </row>
    <row r="7" spans="1:17">
      <c r="A7" s="13">
        <f t="shared" si="5"/>
        <v>46116</v>
      </c>
      <c r="B7" s="1">
        <v>8764.3666666666668</v>
      </c>
      <c r="C7" s="1">
        <v>8278.7000000000007</v>
      </c>
      <c r="D7" s="200">
        <v>8324.4</v>
      </c>
      <c r="E7" s="200">
        <v>8288</v>
      </c>
      <c r="F7" s="20">
        <f t="shared" si="3"/>
        <v>1.123364779494277E-3</v>
      </c>
      <c r="G7" s="2">
        <f t="shared" si="0"/>
        <v>0.19819999999999999</v>
      </c>
      <c r="H7" s="2">
        <f t="shared" si="1"/>
        <v>0.25225454545454545</v>
      </c>
      <c r="I7" s="3">
        <v>5.72</v>
      </c>
      <c r="J7" s="201">
        <v>5.7401666669999996</v>
      </c>
      <c r="K7" s="20">
        <f t="shared" si="4"/>
        <v>3.5256410839160498E-3</v>
      </c>
      <c r="L7" s="4">
        <f t="shared" si="2"/>
        <v>0.82868673959358397</v>
      </c>
      <c r="M7" s="5">
        <v>1</v>
      </c>
      <c r="N7" s="5">
        <v>1</v>
      </c>
      <c r="O7" s="6" t="s">
        <v>175</v>
      </c>
      <c r="P7" s="6" t="s">
        <v>175</v>
      </c>
      <c r="Q7" s="14"/>
    </row>
    <row r="8" spans="1:17">
      <c r="A8" s="13">
        <f t="shared" si="5"/>
        <v>46117</v>
      </c>
      <c r="B8" s="1">
        <v>8764.3666666666668</v>
      </c>
      <c r="C8" s="1">
        <v>8278.7000000000007</v>
      </c>
      <c r="D8" s="200">
        <v>7650.8</v>
      </c>
      <c r="E8" s="200">
        <v>7600</v>
      </c>
      <c r="F8" s="20">
        <f t="shared" si="3"/>
        <v>-8.1981470520734012E-2</v>
      </c>
      <c r="G8" s="2">
        <f t="shared" si="0"/>
        <v>0.18216190476190477</v>
      </c>
      <c r="H8" s="2">
        <f t="shared" si="1"/>
        <v>0.23184242424242424</v>
      </c>
      <c r="I8" s="3">
        <v>5.72</v>
      </c>
      <c r="J8" s="201">
        <v>5.1137499999999996</v>
      </c>
      <c r="K8" s="20">
        <f t="shared" si="4"/>
        <v>-0.10598776223776227</v>
      </c>
      <c r="L8" s="4">
        <f t="shared" si="2"/>
        <v>0.85492754129273318</v>
      </c>
      <c r="M8" s="5">
        <v>1</v>
      </c>
      <c r="N8" s="5">
        <v>1</v>
      </c>
      <c r="O8" s="6" t="s">
        <v>175</v>
      </c>
      <c r="P8" s="6" t="s">
        <v>175</v>
      </c>
      <c r="Q8" s="14"/>
    </row>
    <row r="9" spans="1:17">
      <c r="A9" s="13">
        <f t="shared" si="5"/>
        <v>46118</v>
      </c>
      <c r="B9" s="1">
        <v>8764.3666666666668</v>
      </c>
      <c r="C9" s="1">
        <v>8278.7000000000007</v>
      </c>
      <c r="D9" s="200">
        <v>4789.8</v>
      </c>
      <c r="E9" s="200">
        <v>4688</v>
      </c>
      <c r="F9" s="20">
        <f t="shared" si="3"/>
        <v>-0.43372751760542116</v>
      </c>
      <c r="G9" s="2">
        <f t="shared" si="0"/>
        <v>0.11404285714285714</v>
      </c>
      <c r="H9" s="2">
        <f t="shared" si="1"/>
        <v>0.14514545454545455</v>
      </c>
      <c r="I9" s="3">
        <v>5.72</v>
      </c>
      <c r="J9" s="201">
        <v>3.4612500000000002</v>
      </c>
      <c r="K9" s="20">
        <f t="shared" si="4"/>
        <v>-0.39488636363636359</v>
      </c>
      <c r="L9" s="4">
        <f t="shared" si="2"/>
        <v>0.79076303977712437</v>
      </c>
      <c r="M9" s="5">
        <v>1</v>
      </c>
      <c r="N9" s="5">
        <v>1</v>
      </c>
      <c r="O9" s="6"/>
      <c r="P9" s="6"/>
      <c r="Q9" s="14"/>
    </row>
    <row r="10" spans="1:17">
      <c r="A10" s="13">
        <f t="shared" si="5"/>
        <v>46119</v>
      </c>
      <c r="B10" s="1">
        <v>8764.3666666666668</v>
      </c>
      <c r="C10" s="1">
        <v>8278.7000000000007</v>
      </c>
      <c r="D10" s="200">
        <v>7337.5</v>
      </c>
      <c r="E10" s="200">
        <v>7328</v>
      </c>
      <c r="F10" s="20">
        <f t="shared" si="3"/>
        <v>-0.11483687052314985</v>
      </c>
      <c r="G10" s="2">
        <f t="shared" si="0"/>
        <v>0.17470238095238094</v>
      </c>
      <c r="H10" s="2">
        <f t="shared" si="1"/>
        <v>0.22234848484848485</v>
      </c>
      <c r="I10" s="3">
        <v>5.72</v>
      </c>
      <c r="J10" s="201">
        <v>4.6733333330000004</v>
      </c>
      <c r="K10" s="20">
        <f t="shared" si="4"/>
        <v>-0.18298368304195795</v>
      </c>
      <c r="L10" s="4">
        <f t="shared" si="2"/>
        <v>0.89718769111759022</v>
      </c>
      <c r="M10" s="5">
        <v>1</v>
      </c>
      <c r="N10" s="15">
        <v>1</v>
      </c>
      <c r="O10" s="6"/>
      <c r="P10" s="6"/>
      <c r="Q10" s="202"/>
    </row>
    <row r="11" spans="1:17">
      <c r="A11" s="13">
        <f t="shared" si="5"/>
        <v>46120</v>
      </c>
      <c r="B11" s="1">
        <v>8764.3666666666668</v>
      </c>
      <c r="C11" s="1">
        <v>8278.7000000000007</v>
      </c>
      <c r="D11" s="200">
        <v>9524.1</v>
      </c>
      <c r="E11" s="200">
        <v>9520</v>
      </c>
      <c r="F11" s="20">
        <f t="shared" si="3"/>
        <v>0.14993900008455424</v>
      </c>
      <c r="G11" s="2">
        <f t="shared" si="0"/>
        <v>0.22676428571428572</v>
      </c>
      <c r="H11" s="2">
        <f t="shared" si="1"/>
        <v>0.28860909090909093</v>
      </c>
      <c r="I11" s="3">
        <v>5.72</v>
      </c>
      <c r="J11" s="201">
        <v>6.4968333329999997</v>
      </c>
      <c r="K11" s="20">
        <f t="shared" si="4"/>
        <v>0.13581002325174824</v>
      </c>
      <c r="L11" s="4">
        <f t="shared" si="2"/>
        <v>0.83769162270163755</v>
      </c>
      <c r="M11" s="5">
        <v>1</v>
      </c>
      <c r="N11" s="15">
        <v>1</v>
      </c>
      <c r="O11" s="6"/>
      <c r="P11" s="6"/>
      <c r="Q11" s="14"/>
    </row>
    <row r="12" spans="1:17">
      <c r="A12" s="13">
        <f t="shared" si="5"/>
        <v>46121</v>
      </c>
      <c r="B12" s="1">
        <v>8764.3666666666668</v>
      </c>
      <c r="C12" s="1">
        <v>8278.7000000000007</v>
      </c>
      <c r="D12" s="200">
        <v>9717</v>
      </c>
      <c r="E12" s="200">
        <v>9632</v>
      </c>
      <c r="F12" s="20">
        <f t="shared" si="3"/>
        <v>0.16346769420319604</v>
      </c>
      <c r="G12" s="2">
        <f t="shared" si="0"/>
        <v>0.23135714285714284</v>
      </c>
      <c r="H12" s="2">
        <f t="shared" si="1"/>
        <v>0.29445454545454547</v>
      </c>
      <c r="I12" s="3">
        <v>5.72</v>
      </c>
      <c r="J12" s="201">
        <v>6.5759166670000004</v>
      </c>
      <c r="K12" s="20">
        <f t="shared" si="4"/>
        <v>0.14963578094405608</v>
      </c>
      <c r="L12" s="4">
        <f t="shared" si="2"/>
        <v>0.84437983474394718</v>
      </c>
      <c r="M12" s="5">
        <v>1</v>
      </c>
      <c r="N12" s="5">
        <v>1</v>
      </c>
      <c r="O12" s="6"/>
      <c r="P12" s="6"/>
      <c r="Q12" s="6"/>
    </row>
    <row r="13" spans="1:17">
      <c r="A13" s="13">
        <f t="shared" si="5"/>
        <v>46122</v>
      </c>
      <c r="B13" s="1">
        <v>8764.3666666666668</v>
      </c>
      <c r="C13" s="1">
        <v>8278.7000000000007</v>
      </c>
      <c r="D13" s="200">
        <v>9719.2000000000007</v>
      </c>
      <c r="E13" s="200">
        <v>9616</v>
      </c>
      <c r="F13" s="20">
        <f t="shared" si="3"/>
        <v>0.16153502361481864</v>
      </c>
      <c r="G13" s="2">
        <f t="shared" si="0"/>
        <v>0.23140952380952381</v>
      </c>
      <c r="H13" s="2">
        <f t="shared" si="1"/>
        <v>0.29452121212121213</v>
      </c>
      <c r="I13" s="3">
        <v>5.72</v>
      </c>
      <c r="J13" s="201">
        <v>6.6745833330000002</v>
      </c>
      <c r="K13" s="20">
        <f t="shared" si="4"/>
        <v>0.16688519807692315</v>
      </c>
      <c r="L13" s="4">
        <f t="shared" si="2"/>
        <v>0.83208618341308704</v>
      </c>
      <c r="M13" s="5">
        <v>1</v>
      </c>
      <c r="N13" s="15">
        <v>1</v>
      </c>
      <c r="O13" s="6"/>
      <c r="P13" s="6"/>
      <c r="Q13" s="16"/>
    </row>
    <row r="14" spans="1:17">
      <c r="A14" s="13">
        <f t="shared" si="5"/>
        <v>46123</v>
      </c>
      <c r="B14" s="1">
        <v>8764.3666666666668</v>
      </c>
      <c r="C14" s="1">
        <v>8278.7000000000007</v>
      </c>
      <c r="D14" s="200">
        <v>8039.8</v>
      </c>
      <c r="E14" s="200">
        <v>7904</v>
      </c>
      <c r="F14" s="20">
        <f t="shared" si="3"/>
        <v>-4.5260729341563374E-2</v>
      </c>
      <c r="G14" s="2">
        <f t="shared" si="0"/>
        <v>0.19142380952380952</v>
      </c>
      <c r="H14" s="2">
        <f t="shared" si="1"/>
        <v>0.24363030303030303</v>
      </c>
      <c r="I14" s="3">
        <v>5.72</v>
      </c>
      <c r="J14" s="201">
        <v>6.5564999999999998</v>
      </c>
      <c r="K14" s="20">
        <f t="shared" si="4"/>
        <v>0.14624125874125876</v>
      </c>
      <c r="L14" s="4">
        <f t="shared" si="2"/>
        <v>0.70070486213245309</v>
      </c>
      <c r="M14" s="5">
        <v>0.83330000000000004</v>
      </c>
      <c r="N14" s="15">
        <v>1</v>
      </c>
      <c r="O14" s="6"/>
      <c r="P14" s="6">
        <v>1592.0527139999999</v>
      </c>
      <c r="Q14" s="6" t="s">
        <v>285</v>
      </c>
    </row>
    <row r="15" spans="1:17">
      <c r="A15" s="13">
        <f t="shared" si="5"/>
        <v>46124</v>
      </c>
      <c r="B15" s="1">
        <v>8764.3666666666668</v>
      </c>
      <c r="C15" s="1">
        <v>8278.7000000000007</v>
      </c>
      <c r="D15" s="200">
        <v>7670.1</v>
      </c>
      <c r="E15" s="200">
        <v>7648</v>
      </c>
      <c r="F15" s="20">
        <f t="shared" si="3"/>
        <v>-7.6183458755601813E-2</v>
      </c>
      <c r="G15" s="2">
        <f t="shared" si="0"/>
        <v>0.18262142857142857</v>
      </c>
      <c r="H15" s="2">
        <f t="shared" si="1"/>
        <v>0.23242727272727273</v>
      </c>
      <c r="I15" s="3">
        <v>5.72</v>
      </c>
      <c r="J15" s="201">
        <v>6.541416667</v>
      </c>
      <c r="K15" s="20">
        <f t="shared" si="4"/>
        <v>0.14360431241258748</v>
      </c>
      <c r="L15" s="4">
        <f t="shared" si="2"/>
        <v>0.67002524205882175</v>
      </c>
      <c r="M15" s="5">
        <v>0.83330000000000004</v>
      </c>
      <c r="N15" s="15">
        <v>1</v>
      </c>
      <c r="O15" s="6"/>
      <c r="P15" s="6">
        <v>1588.167882</v>
      </c>
      <c r="Q15" s="6" t="s">
        <v>285</v>
      </c>
    </row>
    <row r="16" spans="1:17">
      <c r="A16" s="13">
        <f t="shared" si="5"/>
        <v>46125</v>
      </c>
      <c r="B16" s="1">
        <v>8764.3666666666668</v>
      </c>
      <c r="C16" s="1">
        <v>8278.7000000000007</v>
      </c>
      <c r="D16" s="200">
        <v>8181.2</v>
      </c>
      <c r="E16" s="200">
        <v>8112</v>
      </c>
      <c r="F16" s="20">
        <f t="shared" si="3"/>
        <v>-2.0136011692657146E-2</v>
      </c>
      <c r="G16" s="2">
        <f t="shared" si="0"/>
        <v>0.19479047619047618</v>
      </c>
      <c r="H16" s="2">
        <f t="shared" si="1"/>
        <v>0.24791515151515151</v>
      </c>
      <c r="I16" s="3">
        <v>5.72</v>
      </c>
      <c r="J16" s="201">
        <v>6.8436666669999999</v>
      </c>
      <c r="K16" s="20">
        <f t="shared" si="4"/>
        <v>0.19644522150349655</v>
      </c>
      <c r="L16" s="4">
        <f t="shared" si="2"/>
        <v>0.68310916589699366</v>
      </c>
      <c r="M16" s="5">
        <v>0.83330000000000004</v>
      </c>
      <c r="N16" s="15">
        <v>1</v>
      </c>
      <c r="O16" s="6"/>
      <c r="P16" s="6">
        <v>1652.5104120000001</v>
      </c>
      <c r="Q16" s="14" t="s">
        <v>285</v>
      </c>
    </row>
    <row r="17" spans="1:17">
      <c r="A17" s="13">
        <f t="shared" si="5"/>
        <v>46126</v>
      </c>
      <c r="B17" s="1">
        <v>8764.3666666666668</v>
      </c>
      <c r="C17" s="1">
        <v>8278.7000000000007</v>
      </c>
      <c r="D17" s="200">
        <v>8592.6</v>
      </c>
      <c r="E17" s="200">
        <v>8528</v>
      </c>
      <c r="F17" s="20">
        <f t="shared" si="3"/>
        <v>3.0113423605155308E-2</v>
      </c>
      <c r="G17" s="2">
        <f t="shared" si="0"/>
        <v>0.20458571428571429</v>
      </c>
      <c r="H17" s="2">
        <f t="shared" si="1"/>
        <v>0.26038181818181821</v>
      </c>
      <c r="I17" s="3">
        <v>5.72</v>
      </c>
      <c r="J17" s="201">
        <v>7.1563333330000001</v>
      </c>
      <c r="K17" s="20">
        <f t="shared" si="4"/>
        <v>0.25110722604895114</v>
      </c>
      <c r="L17" s="4">
        <f t="shared" si="2"/>
        <v>0.68611353250070062</v>
      </c>
      <c r="M17" s="5">
        <v>0.83330000000000004</v>
      </c>
      <c r="N17" s="15">
        <v>1</v>
      </c>
      <c r="O17" s="6"/>
      <c r="P17" s="6">
        <v>1788.2367300000001</v>
      </c>
      <c r="Q17" s="203" t="s">
        <v>285</v>
      </c>
    </row>
    <row r="18" spans="1:17">
      <c r="A18" s="13">
        <f t="shared" si="5"/>
        <v>46127</v>
      </c>
      <c r="B18" s="1">
        <v>8764.3666666666668</v>
      </c>
      <c r="C18" s="1">
        <v>8278.7000000000007</v>
      </c>
      <c r="D18" s="200">
        <v>8593.2000000000007</v>
      </c>
      <c r="E18" s="200">
        <v>8544</v>
      </c>
      <c r="F18" s="20">
        <f t="shared" si="3"/>
        <v>3.2046094193532708E-2</v>
      </c>
      <c r="G18" s="2">
        <f t="shared" si="0"/>
        <v>0.2046</v>
      </c>
      <c r="H18" s="2">
        <f t="shared" si="1"/>
        <v>0.26040000000000002</v>
      </c>
      <c r="I18" s="3">
        <v>5.72</v>
      </c>
      <c r="J18" s="201">
        <v>7.2275833330000001</v>
      </c>
      <c r="K18" s="20">
        <f t="shared" si="4"/>
        <v>0.26356351975524483</v>
      </c>
      <c r="L18" s="4">
        <f t="shared" si="2"/>
        <v>0.67939721671279696</v>
      </c>
      <c r="M18" s="5">
        <v>0.83330000000000004</v>
      </c>
      <c r="N18" s="15">
        <v>1</v>
      </c>
      <c r="O18" s="6"/>
      <c r="P18" s="6">
        <v>1741.1331419999999</v>
      </c>
      <c r="Q18" s="14" t="s">
        <v>285</v>
      </c>
    </row>
    <row r="19" spans="1:17">
      <c r="A19" s="13">
        <f t="shared" si="5"/>
        <v>46128</v>
      </c>
      <c r="B19" s="1">
        <v>8764.3666666666668</v>
      </c>
      <c r="C19" s="1">
        <v>8278.7000000000007</v>
      </c>
      <c r="D19" s="200">
        <v>8085.9</v>
      </c>
      <c r="E19" s="200">
        <v>7968</v>
      </c>
      <c r="F19" s="20">
        <f t="shared" si="3"/>
        <v>-3.7530046988053761E-2</v>
      </c>
      <c r="G19" s="2">
        <f t="shared" si="0"/>
        <v>0.19252142857142857</v>
      </c>
      <c r="H19" s="2">
        <f t="shared" si="1"/>
        <v>0.2450272727272727</v>
      </c>
      <c r="I19" s="3">
        <v>5.72</v>
      </c>
      <c r="J19" s="201">
        <v>6.6541666670000001</v>
      </c>
      <c r="K19" s="20">
        <f t="shared" si="4"/>
        <v>0.16331585087412595</v>
      </c>
      <c r="L19" s="4">
        <f t="shared" si="2"/>
        <v>0.69437910364175215</v>
      </c>
      <c r="M19" s="5">
        <v>0.83330000000000004</v>
      </c>
      <c r="N19" s="15">
        <v>1</v>
      </c>
      <c r="O19" s="6"/>
      <c r="P19" s="6">
        <v>1608.3204479999999</v>
      </c>
      <c r="Q19" s="14" t="s">
        <v>285</v>
      </c>
    </row>
    <row r="20" spans="1:17">
      <c r="A20" s="13">
        <f t="shared" si="5"/>
        <v>46129</v>
      </c>
      <c r="B20" s="1">
        <v>8764.3666666666668</v>
      </c>
      <c r="C20" s="1">
        <v>8278.7000000000007</v>
      </c>
      <c r="D20" s="200">
        <v>6814.9</v>
      </c>
      <c r="E20" s="200">
        <v>6752</v>
      </c>
      <c r="F20" s="20">
        <f t="shared" si="3"/>
        <v>-0.18441301170473631</v>
      </c>
      <c r="G20" s="2">
        <f t="shared" si="0"/>
        <v>0.1622595238095238</v>
      </c>
      <c r="H20" s="2">
        <f t="shared" si="1"/>
        <v>0.2065121212121212</v>
      </c>
      <c r="I20" s="3">
        <v>5.72</v>
      </c>
      <c r="J20" s="201">
        <v>5.3645833329999997</v>
      </c>
      <c r="K20" s="20">
        <f t="shared" si="4"/>
        <v>-6.213578094405596E-2</v>
      </c>
      <c r="L20" s="4">
        <f t="shared" si="2"/>
        <v>0.72591445219489736</v>
      </c>
      <c r="M20" s="5">
        <v>0.83330000000000004</v>
      </c>
      <c r="N20" s="15">
        <v>1</v>
      </c>
      <c r="O20" s="6"/>
      <c r="P20" s="6">
        <v>1292.1922440000001</v>
      </c>
      <c r="Q20" s="6" t="s">
        <v>285</v>
      </c>
    </row>
    <row r="21" spans="1:17">
      <c r="A21" s="13">
        <f t="shared" si="5"/>
        <v>46130</v>
      </c>
      <c r="B21" s="1">
        <v>8764.3666666666668</v>
      </c>
      <c r="C21" s="1">
        <v>8278.7000000000007</v>
      </c>
      <c r="D21" s="200">
        <v>6675.7</v>
      </c>
      <c r="E21" s="200">
        <v>6608</v>
      </c>
      <c r="F21" s="20">
        <f t="shared" si="3"/>
        <v>-0.20180704700013294</v>
      </c>
      <c r="G21" s="2">
        <f t="shared" si="0"/>
        <v>0.15894523809523808</v>
      </c>
      <c r="H21" s="2">
        <f t="shared" si="1"/>
        <v>0.20229393939393939</v>
      </c>
      <c r="I21" s="3">
        <v>5.72</v>
      </c>
      <c r="J21" s="201">
        <v>6.8218333329999998</v>
      </c>
      <c r="K21" s="20">
        <f t="shared" si="4"/>
        <v>0.19262820506993009</v>
      </c>
      <c r="L21" s="4">
        <f t="shared" si="2"/>
        <v>0.55918776201003295</v>
      </c>
      <c r="M21" s="5">
        <v>0.66669999999999996</v>
      </c>
      <c r="N21" s="15">
        <v>1</v>
      </c>
      <c r="O21" s="6"/>
      <c r="P21" s="6">
        <v>3184.19</v>
      </c>
      <c r="Q21" s="14" t="s">
        <v>286</v>
      </c>
    </row>
    <row r="22" spans="1:17">
      <c r="A22" s="13">
        <f t="shared" si="5"/>
        <v>46131</v>
      </c>
      <c r="B22" s="1">
        <v>8764.3666666666668</v>
      </c>
      <c r="C22" s="1">
        <v>8278.7000000000007</v>
      </c>
      <c r="D22" s="200">
        <v>6663.6</v>
      </c>
      <c r="E22" s="200">
        <v>6624</v>
      </c>
      <c r="F22" s="20">
        <f t="shared" si="3"/>
        <v>-0.19987437641175554</v>
      </c>
      <c r="G22" s="2">
        <f t="shared" si="0"/>
        <v>0.15865714285714286</v>
      </c>
      <c r="H22" s="2">
        <f t="shared" ref="H22:H33" si="6">E22/($D$2*24)</f>
        <v>0.15771428571428572</v>
      </c>
      <c r="I22" s="3">
        <v>5.72</v>
      </c>
      <c r="J22" s="201">
        <v>6.8055000000000003</v>
      </c>
      <c r="K22" s="20">
        <f t="shared" si="4"/>
        <v>0.18977272727272737</v>
      </c>
      <c r="L22" s="4">
        <f t="shared" si="2"/>
        <v>0.55951383859693316</v>
      </c>
      <c r="M22" s="5">
        <v>0.66669999999999996</v>
      </c>
      <c r="N22" s="15">
        <v>0.98939999999999995</v>
      </c>
      <c r="O22" s="6">
        <v>185.12</v>
      </c>
      <c r="P22" s="6">
        <v>3240.05</v>
      </c>
      <c r="Q22" s="14" t="s">
        <v>287</v>
      </c>
    </row>
    <row r="23" spans="1:17">
      <c r="A23" s="13">
        <f t="shared" si="5"/>
        <v>46132</v>
      </c>
      <c r="B23" s="1">
        <v>8764.3666666666668</v>
      </c>
      <c r="C23" s="1">
        <v>8278.7000000000007</v>
      </c>
      <c r="D23" s="200">
        <v>6395.6</v>
      </c>
      <c r="E23" s="200">
        <v>6128</v>
      </c>
      <c r="F23" s="20">
        <f t="shared" si="3"/>
        <v>-0.25978716465145502</v>
      </c>
      <c r="G23" s="2">
        <f t="shared" si="0"/>
        <v>0.15227619047619048</v>
      </c>
      <c r="H23" s="2">
        <f t="shared" si="6"/>
        <v>0.1459047619047619</v>
      </c>
      <c r="I23" s="3">
        <v>5.72</v>
      </c>
      <c r="J23" s="201">
        <v>6.4969166669999998</v>
      </c>
      <c r="K23" s="20">
        <f t="shared" si="4"/>
        <v>0.13582459213286716</v>
      </c>
      <c r="L23" s="4">
        <f t="shared" si="2"/>
        <v>0.56251738459131628</v>
      </c>
      <c r="M23" s="5">
        <v>0.66669999999999996</v>
      </c>
      <c r="N23" s="15">
        <v>1</v>
      </c>
      <c r="O23" s="6"/>
      <c r="P23" s="6">
        <v>3030.71</v>
      </c>
      <c r="Q23" s="14" t="s">
        <v>286</v>
      </c>
    </row>
    <row r="24" spans="1:17">
      <c r="A24" s="13">
        <f t="shared" si="5"/>
        <v>46133</v>
      </c>
      <c r="B24" s="1">
        <v>8764.3666666666668</v>
      </c>
      <c r="C24" s="1">
        <v>8278.7000000000007</v>
      </c>
      <c r="D24" s="14">
        <v>6402</v>
      </c>
      <c r="E24" s="14">
        <v>6336</v>
      </c>
      <c r="F24" s="20">
        <f>(IF(ISBLANK(E24),0,E24-C24))/C24</f>
        <v>-0.23466244700254876</v>
      </c>
      <c r="G24" s="2">
        <f t="shared" si="0"/>
        <v>0.15242857142857144</v>
      </c>
      <c r="H24" s="2">
        <f t="shared" si="6"/>
        <v>0.15085714285714286</v>
      </c>
      <c r="I24" s="3">
        <v>5.72</v>
      </c>
      <c r="J24" s="14">
        <v>6.6390000000000002</v>
      </c>
      <c r="K24" s="20">
        <f>(IF(ISBLANK(J24),0,J24-I24))/I24</f>
        <v>0.16066433566433574</v>
      </c>
      <c r="L24" s="4">
        <f t="shared" si="2"/>
        <v>0.55102963010780448</v>
      </c>
      <c r="M24" s="15">
        <v>0.66669999999999996</v>
      </c>
      <c r="N24" s="15">
        <v>1</v>
      </c>
      <c r="O24" s="6"/>
      <c r="P24" s="6">
        <v>3101.11</v>
      </c>
      <c r="Q24" s="14" t="s">
        <v>286</v>
      </c>
    </row>
    <row r="25" spans="1:17">
      <c r="A25" s="13">
        <f t="shared" si="5"/>
        <v>46134</v>
      </c>
      <c r="B25" s="1">
        <v>8764.3666666666668</v>
      </c>
      <c r="C25" s="1">
        <v>8278.7000000000007</v>
      </c>
      <c r="D25" s="14">
        <v>6491</v>
      </c>
      <c r="E25" s="14">
        <v>6384</v>
      </c>
      <c r="F25" s="20">
        <f t="shared" si="3"/>
        <v>-0.22886443523741656</v>
      </c>
      <c r="G25" s="2">
        <f t="shared" si="0"/>
        <v>0.15454761904761904</v>
      </c>
      <c r="H25" s="2">
        <f t="shared" si="6"/>
        <v>0.152</v>
      </c>
      <c r="I25" s="3">
        <v>5.72</v>
      </c>
      <c r="J25" s="14">
        <v>6.6749999999999998</v>
      </c>
      <c r="K25" s="20">
        <f t="shared" si="4"/>
        <v>0.16695804195804198</v>
      </c>
      <c r="L25" s="4">
        <f t="shared" si="2"/>
        <v>0.55567683253076516</v>
      </c>
      <c r="M25" s="15">
        <v>0.66669999999999996</v>
      </c>
      <c r="N25" s="15">
        <v>1</v>
      </c>
      <c r="O25" s="6"/>
      <c r="P25" s="6">
        <v>3120.36</v>
      </c>
      <c r="Q25" s="14" t="s">
        <v>286</v>
      </c>
    </row>
    <row r="26" spans="1:17">
      <c r="A26" s="13">
        <f t="shared" si="5"/>
        <v>46135</v>
      </c>
      <c r="B26" s="1">
        <v>8764.3666666666668</v>
      </c>
      <c r="C26" s="1">
        <v>8278.7000000000007</v>
      </c>
      <c r="D26" s="14">
        <v>6742</v>
      </c>
      <c r="E26" s="14">
        <v>6688</v>
      </c>
      <c r="F26" s="20">
        <f t="shared" si="3"/>
        <v>-0.19214369405824594</v>
      </c>
      <c r="G26" s="2">
        <f t="shared" si="0"/>
        <v>0.16052380952380951</v>
      </c>
      <c r="H26" s="2">
        <f t="shared" si="6"/>
        <v>0.15923809523809523</v>
      </c>
      <c r="I26" s="3">
        <v>5.72</v>
      </c>
      <c r="J26" s="14">
        <v>7.0270000000000001</v>
      </c>
      <c r="K26" s="20">
        <f t="shared" si="4"/>
        <v>0.22849650349650358</v>
      </c>
      <c r="L26" s="4">
        <f t="shared" si="2"/>
        <v>0.5482526581146191</v>
      </c>
      <c r="M26" s="15">
        <v>0.72729999999999995</v>
      </c>
      <c r="N26" s="15">
        <v>1</v>
      </c>
      <c r="O26" s="6"/>
      <c r="P26" s="6">
        <v>2810.72</v>
      </c>
      <c r="Q26" s="14" t="s">
        <v>286</v>
      </c>
    </row>
    <row r="27" spans="1:17">
      <c r="A27" s="13">
        <f t="shared" si="5"/>
        <v>46136</v>
      </c>
      <c r="B27" s="1">
        <v>8764.3666666666668</v>
      </c>
      <c r="C27" s="1">
        <v>8278.7000000000007</v>
      </c>
      <c r="D27" s="14">
        <v>6243</v>
      </c>
      <c r="E27" s="14">
        <v>6192</v>
      </c>
      <c r="F27" s="20">
        <f t="shared" si="3"/>
        <v>-0.25205648229794542</v>
      </c>
      <c r="G27" s="2">
        <f t="shared" si="0"/>
        <v>0.14864285714285713</v>
      </c>
      <c r="H27" s="2">
        <f t="shared" si="6"/>
        <v>0.14742857142857144</v>
      </c>
      <c r="I27" s="3">
        <v>5.72</v>
      </c>
      <c r="J27" s="14">
        <v>4.9249999999999998</v>
      </c>
      <c r="K27" s="20">
        <f t="shared" si="4"/>
        <v>-0.13898601398601398</v>
      </c>
      <c r="L27" s="4">
        <f t="shared" si="2"/>
        <v>0.72435097897026834</v>
      </c>
      <c r="M27" s="15">
        <v>0.83330000000000004</v>
      </c>
      <c r="N27" s="15">
        <v>1</v>
      </c>
      <c r="O27" s="6"/>
      <c r="P27" s="6">
        <v>1108.3599999999999</v>
      </c>
      <c r="Q27" s="14" t="s">
        <v>288</v>
      </c>
    </row>
    <row r="28" spans="1:17">
      <c r="A28" s="13">
        <f t="shared" si="5"/>
        <v>46137</v>
      </c>
      <c r="B28" s="1">
        <v>8764.3666666666668</v>
      </c>
      <c r="C28" s="1">
        <v>8278.7000000000007</v>
      </c>
      <c r="D28" s="14">
        <v>7181</v>
      </c>
      <c r="E28" s="14">
        <v>7104</v>
      </c>
      <c r="F28" s="20">
        <f t="shared" si="3"/>
        <v>-0.14189425876043349</v>
      </c>
      <c r="G28" s="2">
        <f t="shared" si="0"/>
        <v>0.17097619047619048</v>
      </c>
      <c r="H28" s="2">
        <f t="shared" si="6"/>
        <v>0.16914285714285715</v>
      </c>
      <c r="I28" s="3">
        <v>5.72</v>
      </c>
      <c r="J28" s="14">
        <v>5.835</v>
      </c>
      <c r="K28" s="20">
        <f t="shared" si="4"/>
        <v>2.0104895104895142E-2</v>
      </c>
      <c r="L28" s="4">
        <f t="shared" si="2"/>
        <v>0.70324397111029502</v>
      </c>
      <c r="M28" s="15">
        <v>0.83330000000000004</v>
      </c>
      <c r="N28" s="15">
        <v>1</v>
      </c>
      <c r="O28" s="6"/>
      <c r="P28" s="14">
        <v>1309</v>
      </c>
      <c r="Q28" s="14" t="s">
        <v>288</v>
      </c>
    </row>
    <row r="29" spans="1:17">
      <c r="A29" s="13">
        <f t="shared" si="5"/>
        <v>46138</v>
      </c>
      <c r="B29" s="1">
        <v>8764.3666666666668</v>
      </c>
      <c r="C29" s="1">
        <v>8278.7000000000007</v>
      </c>
      <c r="D29" s="14">
        <v>7766</v>
      </c>
      <c r="E29" s="14">
        <v>7728</v>
      </c>
      <c r="F29" s="20">
        <f t="shared" si="3"/>
        <v>-6.65201058137148E-2</v>
      </c>
      <c r="G29" s="2">
        <f t="shared" si="0"/>
        <v>0.18490476190476191</v>
      </c>
      <c r="H29" s="2">
        <f t="shared" si="6"/>
        <v>0.184</v>
      </c>
      <c r="I29" s="3">
        <v>5.72</v>
      </c>
      <c r="J29" s="14">
        <v>6.0780000000000003</v>
      </c>
      <c r="K29" s="20">
        <f t="shared" si="4"/>
        <v>6.2587412587412683E-2</v>
      </c>
      <c r="L29" s="4">
        <f t="shared" si="2"/>
        <v>0.73012739152916839</v>
      </c>
      <c r="M29" s="15">
        <v>0.83330000000000004</v>
      </c>
      <c r="N29" s="15">
        <v>1</v>
      </c>
      <c r="O29" s="6"/>
      <c r="P29" s="14">
        <v>1368</v>
      </c>
      <c r="Q29" s="14" t="s">
        <v>288</v>
      </c>
    </row>
    <row r="30" spans="1:17">
      <c r="A30" s="13">
        <f t="shared" si="5"/>
        <v>46139</v>
      </c>
      <c r="B30" s="1">
        <v>8764.3666666666668</v>
      </c>
      <c r="C30" s="1">
        <v>8278.7000000000007</v>
      </c>
      <c r="D30" s="14">
        <v>7849</v>
      </c>
      <c r="E30" s="14">
        <v>7760</v>
      </c>
      <c r="F30" s="20">
        <f t="shared" si="3"/>
        <v>-6.2654764636959986E-2</v>
      </c>
      <c r="G30" s="2">
        <f t="shared" si="0"/>
        <v>0.18688095238095237</v>
      </c>
      <c r="H30" s="2">
        <f t="shared" si="6"/>
        <v>0.18476190476190477</v>
      </c>
      <c r="I30" s="3">
        <v>5.72</v>
      </c>
      <c r="J30" s="14">
        <v>6.3639999999999999</v>
      </c>
      <c r="K30" s="20">
        <f t="shared" si="4"/>
        <v>0.11258741258741262</v>
      </c>
      <c r="L30" s="4">
        <f t="shared" si="2"/>
        <v>0.70476789081440239</v>
      </c>
      <c r="M30" s="15">
        <v>0.83330000000000004</v>
      </c>
      <c r="N30" s="15">
        <v>1</v>
      </c>
      <c r="O30" s="6"/>
      <c r="P30" s="14">
        <v>1434</v>
      </c>
      <c r="Q30" s="14" t="s">
        <v>288</v>
      </c>
    </row>
    <row r="31" spans="1:17">
      <c r="A31" s="13">
        <f t="shared" si="5"/>
        <v>46140</v>
      </c>
      <c r="B31" s="1">
        <v>8764.3666666666668</v>
      </c>
      <c r="C31" s="1">
        <v>8278.7000000000007</v>
      </c>
      <c r="D31" s="14">
        <v>6307</v>
      </c>
      <c r="E31" s="14">
        <v>6272</v>
      </c>
      <c r="F31" s="20">
        <f t="shared" si="3"/>
        <v>-0.24239312935605839</v>
      </c>
      <c r="G31" s="2">
        <f t="shared" si="0"/>
        <v>0.15016666666666667</v>
      </c>
      <c r="H31" s="2">
        <f t="shared" si="6"/>
        <v>0.14933333333333335</v>
      </c>
      <c r="I31" s="3">
        <v>5.72</v>
      </c>
      <c r="J31" s="14">
        <v>5.0119999999999996</v>
      </c>
      <c r="K31" s="20">
        <f t="shared" si="4"/>
        <v>-0.12377622377622381</v>
      </c>
      <c r="L31" s="4">
        <f t="shared" si="2"/>
        <v>0.7190742218675179</v>
      </c>
      <c r="M31" s="15">
        <v>0.83330000000000004</v>
      </c>
      <c r="N31" s="15">
        <v>0.9879</v>
      </c>
      <c r="O31" s="14">
        <v>130.44999999999999</v>
      </c>
      <c r="P31" s="6">
        <v>1135.55</v>
      </c>
      <c r="Q31" s="14" t="s">
        <v>289</v>
      </c>
    </row>
    <row r="32" spans="1:17">
      <c r="A32" s="13">
        <f t="shared" si="5"/>
        <v>46141</v>
      </c>
      <c r="B32" s="1">
        <v>8764.3666666666668</v>
      </c>
      <c r="C32" s="1">
        <v>8278.7000000000007</v>
      </c>
      <c r="D32" s="14">
        <v>7351</v>
      </c>
      <c r="E32" s="14">
        <v>7296</v>
      </c>
      <c r="F32" s="20">
        <f t="shared" si="3"/>
        <v>-0.11870221169990465</v>
      </c>
      <c r="G32" s="2">
        <f t="shared" si="0"/>
        <v>0.17502380952380953</v>
      </c>
      <c r="H32" s="2">
        <f t="shared" si="6"/>
        <v>0.17371428571428571</v>
      </c>
      <c r="I32" s="3">
        <v>5.72</v>
      </c>
      <c r="J32" s="14">
        <v>5.0250000000000004</v>
      </c>
      <c r="K32" s="20">
        <f t="shared" si="4"/>
        <v>-0.1215034965034964</v>
      </c>
      <c r="L32" s="4">
        <f t="shared" si="2"/>
        <v>0.83593461265103053</v>
      </c>
      <c r="M32" s="25">
        <v>0.96209999999999996</v>
      </c>
      <c r="N32" s="25">
        <v>1</v>
      </c>
      <c r="O32" s="6"/>
      <c r="P32" s="6">
        <v>154.29</v>
      </c>
      <c r="Q32" s="14" t="s">
        <v>288</v>
      </c>
    </row>
    <row r="33" spans="1:17">
      <c r="A33" s="13">
        <f t="shared" si="5"/>
        <v>46142</v>
      </c>
      <c r="B33" s="1">
        <v>8764.3666666666668</v>
      </c>
      <c r="C33" s="1">
        <v>8278.7000000000007</v>
      </c>
      <c r="D33" s="14">
        <v>8856</v>
      </c>
      <c r="E33" s="14">
        <v>8768</v>
      </c>
      <c r="F33" s="20">
        <f t="shared" si="3"/>
        <v>5.910348243081634E-2</v>
      </c>
      <c r="G33" s="2">
        <f t="shared" si="0"/>
        <v>0.21085714285714285</v>
      </c>
      <c r="H33" s="2">
        <f t="shared" si="6"/>
        <v>0.20876190476190476</v>
      </c>
      <c r="I33" s="3">
        <v>5.72</v>
      </c>
      <c r="J33" s="14">
        <v>6.0869999999999997</v>
      </c>
      <c r="K33" s="20">
        <f t="shared" si="4"/>
        <v>6.4160839160839159E-2</v>
      </c>
      <c r="L33" s="4">
        <f t="shared" si="2"/>
        <v>0.83137365345349579</v>
      </c>
      <c r="M33" s="25">
        <v>1</v>
      </c>
      <c r="N33" s="25">
        <v>1</v>
      </c>
      <c r="O33" s="6"/>
      <c r="P33" s="6"/>
      <c r="Q33" s="6"/>
    </row>
    <row r="34" spans="1:17">
      <c r="A34" s="349">
        <v>46113</v>
      </c>
      <c r="B34" s="17">
        <f>SUM(B4:B33)</f>
        <v>262931</v>
      </c>
      <c r="C34" s="17">
        <f>SUM(C4:C33)</f>
        <v>248361.00000000015</v>
      </c>
      <c r="D34" s="17">
        <f>SUM(D4:D33)</f>
        <v>226939.50000000003</v>
      </c>
      <c r="E34" s="17">
        <f>SUM(E4:E33)</f>
        <v>224816</v>
      </c>
      <c r="F34" s="20">
        <f>(IF(ISBLANK(E34),0,E34-C34))/C34</f>
        <v>-9.4801518756971237E-2</v>
      </c>
      <c r="G34" s="18">
        <f>AVERAGE(G4:G33)</f>
        <v>0.18011071428571426</v>
      </c>
      <c r="H34" s="18">
        <f>AVERAGE(H4:H33)</f>
        <v>0.21022887445887448</v>
      </c>
      <c r="I34" s="17">
        <f>SUM(I4:I33)</f>
        <v>171.6</v>
      </c>
      <c r="J34" s="17">
        <f>SUM(J4:J33)</f>
        <v>185.70183333300002</v>
      </c>
      <c r="K34" s="20">
        <f t="shared" si="4"/>
        <v>8.2178515926573603E-2</v>
      </c>
      <c r="L34" s="4">
        <f t="shared" si="2"/>
        <v>0.69832220801597045</v>
      </c>
      <c r="M34" s="18">
        <f>AVERAGE(M4:M33)</f>
        <v>0.86741666666666661</v>
      </c>
      <c r="N34" s="18">
        <f>AVERAGE(N4:N33)</f>
        <v>0.97979999999999989</v>
      </c>
      <c r="O34" s="17">
        <f>SUM(O4:O33)</f>
        <v>7410.21</v>
      </c>
      <c r="P34" s="17">
        <f>SUM(P4:P33)</f>
        <v>36258.953572000006</v>
      </c>
      <c r="Q34" s="19"/>
    </row>
    <row r="35" spans="1:17">
      <c r="A35" s="13">
        <v>46143</v>
      </c>
      <c r="B35" s="1">
        <v>8043</v>
      </c>
      <c r="C35" s="1">
        <v>7597</v>
      </c>
      <c r="D35" s="200">
        <v>8948</v>
      </c>
      <c r="E35" s="200">
        <v>8912</v>
      </c>
      <c r="F35" s="20">
        <f>(IF(ISBLANK(E35),0,E35-C35))/C35</f>
        <v>0.17309464262208768</v>
      </c>
      <c r="G35" s="2">
        <f t="shared" ref="G35:G65" si="7">D35/($D$2*24)</f>
        <v>0.21304761904761904</v>
      </c>
      <c r="H35" s="2">
        <f t="shared" ref="H35:H52" si="8">D35/($H$2*24)</f>
        <v>0.27115151515151514</v>
      </c>
      <c r="I35" s="3">
        <v>5.36</v>
      </c>
      <c r="J35" s="201">
        <v>6.0709999999999997</v>
      </c>
      <c r="K35" s="20">
        <f>(IF(ISBLANK(J35),0,J35-I35))/I35</f>
        <v>0.13264925373134318</v>
      </c>
      <c r="L35" s="4">
        <f t="shared" si="2"/>
        <v>0.84222415699931763</v>
      </c>
      <c r="M35" s="5">
        <v>1</v>
      </c>
      <c r="N35" s="5">
        <v>1</v>
      </c>
      <c r="O35" s="6"/>
      <c r="P35" s="6"/>
      <c r="Q35" s="6"/>
    </row>
    <row r="36" spans="1:17">
      <c r="A36" s="13">
        <f>A35+1</f>
        <v>46144</v>
      </c>
      <c r="B36" s="1">
        <v>8043</v>
      </c>
      <c r="C36" s="1">
        <v>7597</v>
      </c>
      <c r="D36" s="200">
        <v>9367</v>
      </c>
      <c r="E36" s="200">
        <v>9280</v>
      </c>
      <c r="F36" s="20">
        <f t="shared" ref="F36:F54" si="9">(IF(ISBLANK(E36),0,E36-C36))/C36</f>
        <v>0.22153481637488481</v>
      </c>
      <c r="G36" s="2">
        <f t="shared" si="7"/>
        <v>0.22302380952380951</v>
      </c>
      <c r="H36" s="2">
        <f t="shared" si="8"/>
        <v>0.28384848484848485</v>
      </c>
      <c r="I36" s="3">
        <v>5.36</v>
      </c>
      <c r="J36" s="201">
        <v>6.1459999999999999</v>
      </c>
      <c r="K36" s="20">
        <f t="shared" ref="K36:K54" si="10">(IF(ISBLANK(J36),0,J36-I36))/I36</f>
        <v>0.14664179104477604</v>
      </c>
      <c r="L36" s="4">
        <f t="shared" ref="L36:L66" si="11">D36/($D$2*J36)</f>
        <v>0.87090325879782438</v>
      </c>
      <c r="M36" s="5">
        <v>1</v>
      </c>
      <c r="N36" s="5">
        <v>1</v>
      </c>
      <c r="O36" s="6"/>
      <c r="P36" s="6"/>
      <c r="Q36" s="6"/>
    </row>
    <row r="37" spans="1:17">
      <c r="A37" s="13">
        <f t="shared" ref="A37:A65" si="12">A36+1</f>
        <v>46145</v>
      </c>
      <c r="B37" s="1">
        <v>8043</v>
      </c>
      <c r="C37" s="1">
        <v>7597</v>
      </c>
      <c r="D37" s="200">
        <v>6596</v>
      </c>
      <c r="E37" s="200">
        <v>6576</v>
      </c>
      <c r="F37" s="20">
        <f t="shared" si="9"/>
        <v>-0.13439515598262472</v>
      </c>
      <c r="G37" s="2">
        <f t="shared" si="7"/>
        <v>0.15704761904761905</v>
      </c>
      <c r="H37" s="2">
        <f t="shared" si="8"/>
        <v>0.19987878787878788</v>
      </c>
      <c r="I37" s="3">
        <v>5.36</v>
      </c>
      <c r="J37" s="201">
        <v>4.4009999999999998</v>
      </c>
      <c r="K37" s="20">
        <f t="shared" si="10"/>
        <v>-0.17891791044776129</v>
      </c>
      <c r="L37" s="4">
        <f t="shared" si="11"/>
        <v>0.85642873372934725</v>
      </c>
      <c r="M37" s="5">
        <v>1</v>
      </c>
      <c r="N37" s="5">
        <v>0.96970000000000001</v>
      </c>
      <c r="O37" s="14">
        <v>91.84</v>
      </c>
      <c r="P37" s="6"/>
      <c r="Q37" s="14" t="s">
        <v>282</v>
      </c>
    </row>
    <row r="38" spans="1:17">
      <c r="A38" s="13">
        <f t="shared" si="12"/>
        <v>46146</v>
      </c>
      <c r="B38" s="1">
        <v>8043</v>
      </c>
      <c r="C38" s="1">
        <v>7597</v>
      </c>
      <c r="D38" s="200">
        <v>8264</v>
      </c>
      <c r="E38" s="200">
        <v>8224</v>
      </c>
      <c r="F38" s="20">
        <f t="shared" si="9"/>
        <v>8.2532578649466892E-2</v>
      </c>
      <c r="G38" s="2">
        <f t="shared" si="7"/>
        <v>0.19676190476190475</v>
      </c>
      <c r="H38" s="2">
        <f t="shared" si="8"/>
        <v>0.25042424242424244</v>
      </c>
      <c r="I38" s="3">
        <v>5.36</v>
      </c>
      <c r="J38" s="201">
        <v>5.5780000000000003</v>
      </c>
      <c r="K38" s="20">
        <f t="shared" si="10"/>
        <v>4.0671641791044766E-2</v>
      </c>
      <c r="L38" s="4">
        <f t="shared" si="11"/>
        <v>0.84659120012293188</v>
      </c>
      <c r="M38" s="5">
        <v>1</v>
      </c>
      <c r="N38" s="5">
        <v>1</v>
      </c>
      <c r="O38" s="6"/>
      <c r="P38" s="6"/>
      <c r="Q38" s="14"/>
    </row>
    <row r="39" spans="1:17">
      <c r="A39" s="13">
        <f t="shared" si="12"/>
        <v>46147</v>
      </c>
      <c r="B39" s="1">
        <v>8043</v>
      </c>
      <c r="C39" s="1">
        <v>7597</v>
      </c>
      <c r="D39" s="200">
        <v>8542</v>
      </c>
      <c r="E39" s="200">
        <v>8528</v>
      </c>
      <c r="F39" s="20">
        <f t="shared" si="9"/>
        <v>0.12254837435829932</v>
      </c>
      <c r="G39" s="2">
        <f t="shared" si="7"/>
        <v>0.20338095238095238</v>
      </c>
      <c r="H39" s="2">
        <f t="shared" si="8"/>
        <v>0.25884848484848483</v>
      </c>
      <c r="I39" s="3">
        <v>5.36</v>
      </c>
      <c r="J39" s="201">
        <v>5.6360000000000001</v>
      </c>
      <c r="K39" s="20">
        <f t="shared" si="10"/>
        <v>5.1492537313432798E-2</v>
      </c>
      <c r="L39" s="4">
        <f t="shared" si="11"/>
        <v>0.86606509175707191</v>
      </c>
      <c r="M39" s="5">
        <v>1</v>
      </c>
      <c r="N39" s="5">
        <v>1</v>
      </c>
      <c r="O39" s="6"/>
      <c r="P39" s="6"/>
      <c r="Q39" s="14"/>
    </row>
    <row r="40" spans="1:17">
      <c r="A40" s="13">
        <f t="shared" si="12"/>
        <v>46148</v>
      </c>
      <c r="B40" s="1">
        <v>8043</v>
      </c>
      <c r="C40" s="1">
        <v>7597</v>
      </c>
      <c r="D40" s="200">
        <v>7024</v>
      </c>
      <c r="E40" s="200">
        <v>6992</v>
      </c>
      <c r="F40" s="20">
        <f t="shared" si="9"/>
        <v>-7.9636698696854025E-2</v>
      </c>
      <c r="G40" s="2">
        <f t="shared" si="7"/>
        <v>0.16723809523809524</v>
      </c>
      <c r="H40" s="2">
        <f t="shared" si="8"/>
        <v>0.21284848484848484</v>
      </c>
      <c r="I40" s="3">
        <v>5.36</v>
      </c>
      <c r="J40" s="201">
        <v>4.9809999999999999</v>
      </c>
      <c r="K40" s="20">
        <f t="shared" si="10"/>
        <v>-7.0708955223880682E-2</v>
      </c>
      <c r="L40" s="4">
        <f t="shared" si="11"/>
        <v>0.80580491582298452</v>
      </c>
      <c r="M40" s="5">
        <v>1</v>
      </c>
      <c r="N40" s="5">
        <v>1</v>
      </c>
      <c r="O40" s="6"/>
      <c r="P40" s="6"/>
      <c r="Q40" s="14"/>
    </row>
    <row r="41" spans="1:17">
      <c r="A41" s="13">
        <f t="shared" si="12"/>
        <v>46149</v>
      </c>
      <c r="B41" s="1"/>
      <c r="C41" s="1"/>
      <c r="D41" s="200"/>
      <c r="E41" s="200"/>
      <c r="F41" s="20" t="e">
        <f t="shared" si="9"/>
        <v>#DIV/0!</v>
      </c>
      <c r="G41" s="2">
        <f t="shared" si="7"/>
        <v>0</v>
      </c>
      <c r="H41" s="2">
        <f t="shared" si="8"/>
        <v>0</v>
      </c>
      <c r="I41" s="3"/>
      <c r="J41" s="201"/>
      <c r="K41" s="20" t="e">
        <f t="shared" si="10"/>
        <v>#DIV/0!</v>
      </c>
      <c r="L41" s="4" t="e">
        <f t="shared" si="11"/>
        <v>#DIV/0!</v>
      </c>
      <c r="M41" s="5"/>
      <c r="N41" s="15"/>
      <c r="O41" s="6"/>
      <c r="P41" s="6"/>
      <c r="Q41" s="202"/>
    </row>
    <row r="42" spans="1:17">
      <c r="A42" s="13">
        <f t="shared" si="12"/>
        <v>46150</v>
      </c>
      <c r="B42" s="1"/>
      <c r="C42" s="1"/>
      <c r="D42" s="200"/>
      <c r="E42" s="200"/>
      <c r="F42" s="20" t="e">
        <f t="shared" si="9"/>
        <v>#DIV/0!</v>
      </c>
      <c r="G42" s="2">
        <f t="shared" si="7"/>
        <v>0</v>
      </c>
      <c r="H42" s="2">
        <f t="shared" si="8"/>
        <v>0</v>
      </c>
      <c r="I42" s="3"/>
      <c r="J42" s="201"/>
      <c r="K42" s="20" t="e">
        <f t="shared" si="10"/>
        <v>#DIV/0!</v>
      </c>
      <c r="L42" s="4" t="e">
        <f t="shared" si="11"/>
        <v>#DIV/0!</v>
      </c>
      <c r="M42" s="5"/>
      <c r="N42" s="15"/>
      <c r="O42" s="6"/>
      <c r="P42" s="6"/>
      <c r="Q42" s="14"/>
    </row>
    <row r="43" spans="1:17">
      <c r="A43" s="13">
        <f t="shared" si="12"/>
        <v>46151</v>
      </c>
      <c r="B43" s="1"/>
      <c r="C43" s="1"/>
      <c r="D43" s="200"/>
      <c r="E43" s="200"/>
      <c r="F43" s="20" t="e">
        <f t="shared" si="9"/>
        <v>#DIV/0!</v>
      </c>
      <c r="G43" s="2">
        <f t="shared" si="7"/>
        <v>0</v>
      </c>
      <c r="H43" s="2">
        <f t="shared" si="8"/>
        <v>0</v>
      </c>
      <c r="I43" s="3"/>
      <c r="J43" s="201"/>
      <c r="K43" s="20" t="e">
        <f t="shared" si="10"/>
        <v>#DIV/0!</v>
      </c>
      <c r="L43" s="4" t="e">
        <f t="shared" si="11"/>
        <v>#DIV/0!</v>
      </c>
      <c r="M43" s="5"/>
      <c r="N43" s="5"/>
      <c r="O43" s="6"/>
      <c r="P43" s="6"/>
      <c r="Q43" s="6"/>
    </row>
    <row r="44" spans="1:17">
      <c r="A44" s="13">
        <f t="shared" si="12"/>
        <v>46152</v>
      </c>
      <c r="B44" s="1"/>
      <c r="C44" s="1"/>
      <c r="D44" s="200"/>
      <c r="E44" s="200"/>
      <c r="F44" s="20" t="e">
        <f t="shared" si="9"/>
        <v>#DIV/0!</v>
      </c>
      <c r="G44" s="2">
        <f t="shared" si="7"/>
        <v>0</v>
      </c>
      <c r="H44" s="2">
        <f t="shared" si="8"/>
        <v>0</v>
      </c>
      <c r="I44" s="3"/>
      <c r="J44" s="201"/>
      <c r="K44" s="20" t="e">
        <f t="shared" si="10"/>
        <v>#DIV/0!</v>
      </c>
      <c r="L44" s="4" t="e">
        <f t="shared" si="11"/>
        <v>#DIV/0!</v>
      </c>
      <c r="M44" s="5"/>
      <c r="N44" s="15"/>
      <c r="O44" s="6"/>
      <c r="P44" s="6"/>
      <c r="Q44" s="16"/>
    </row>
    <row r="45" spans="1:17">
      <c r="A45" s="13">
        <f t="shared" si="12"/>
        <v>46153</v>
      </c>
      <c r="B45" s="1"/>
      <c r="C45" s="1"/>
      <c r="D45" s="200"/>
      <c r="E45" s="200"/>
      <c r="F45" s="20" t="e">
        <f t="shared" si="9"/>
        <v>#DIV/0!</v>
      </c>
      <c r="G45" s="2">
        <f t="shared" si="7"/>
        <v>0</v>
      </c>
      <c r="H45" s="2">
        <f t="shared" si="8"/>
        <v>0</v>
      </c>
      <c r="I45" s="3"/>
      <c r="J45" s="201"/>
      <c r="K45" s="20" t="e">
        <f t="shared" si="10"/>
        <v>#DIV/0!</v>
      </c>
      <c r="L45" s="4" t="e">
        <f t="shared" si="11"/>
        <v>#DIV/0!</v>
      </c>
      <c r="M45" s="5"/>
      <c r="N45" s="15"/>
      <c r="O45" s="6"/>
      <c r="P45" s="6"/>
      <c r="Q45" s="6"/>
    </row>
    <row r="46" spans="1:17">
      <c r="A46" s="13">
        <f t="shared" si="12"/>
        <v>46154</v>
      </c>
      <c r="B46" s="1"/>
      <c r="C46" s="1"/>
      <c r="D46" s="200"/>
      <c r="E46" s="200"/>
      <c r="F46" s="20" t="e">
        <f t="shared" si="9"/>
        <v>#DIV/0!</v>
      </c>
      <c r="G46" s="2">
        <f t="shared" si="7"/>
        <v>0</v>
      </c>
      <c r="H46" s="2">
        <f t="shared" si="8"/>
        <v>0</v>
      </c>
      <c r="I46" s="3"/>
      <c r="J46" s="201"/>
      <c r="K46" s="20" t="e">
        <f t="shared" si="10"/>
        <v>#DIV/0!</v>
      </c>
      <c r="L46" s="4" t="e">
        <f t="shared" si="11"/>
        <v>#DIV/0!</v>
      </c>
      <c r="M46" s="5"/>
      <c r="N46" s="15"/>
      <c r="O46" s="6"/>
      <c r="P46" s="6"/>
      <c r="Q46" s="6"/>
    </row>
    <row r="47" spans="1:17">
      <c r="A47" s="13">
        <f t="shared" si="12"/>
        <v>46155</v>
      </c>
      <c r="B47" s="1"/>
      <c r="C47" s="1"/>
      <c r="D47" s="200"/>
      <c r="E47" s="200"/>
      <c r="F47" s="20" t="e">
        <f t="shared" si="9"/>
        <v>#DIV/0!</v>
      </c>
      <c r="G47" s="2">
        <f t="shared" si="7"/>
        <v>0</v>
      </c>
      <c r="H47" s="2">
        <f t="shared" si="8"/>
        <v>0</v>
      </c>
      <c r="I47" s="3"/>
      <c r="J47" s="201"/>
      <c r="K47" s="20" t="e">
        <f t="shared" si="10"/>
        <v>#DIV/0!</v>
      </c>
      <c r="L47" s="4" t="e">
        <f t="shared" si="11"/>
        <v>#DIV/0!</v>
      </c>
      <c r="M47" s="5"/>
      <c r="N47" s="15"/>
      <c r="O47" s="6"/>
      <c r="P47" s="6"/>
      <c r="Q47" s="14"/>
    </row>
    <row r="48" spans="1:17">
      <c r="A48" s="13">
        <f t="shared" si="12"/>
        <v>46156</v>
      </c>
      <c r="B48" s="1"/>
      <c r="C48" s="1"/>
      <c r="D48" s="200"/>
      <c r="E48" s="200"/>
      <c r="F48" s="20" t="e">
        <f t="shared" si="9"/>
        <v>#DIV/0!</v>
      </c>
      <c r="G48" s="2">
        <f t="shared" si="7"/>
        <v>0</v>
      </c>
      <c r="H48" s="2">
        <f t="shared" si="8"/>
        <v>0</v>
      </c>
      <c r="I48" s="3"/>
      <c r="J48" s="201"/>
      <c r="K48" s="20" t="e">
        <f t="shared" si="10"/>
        <v>#DIV/0!</v>
      </c>
      <c r="L48" s="4" t="e">
        <f t="shared" si="11"/>
        <v>#DIV/0!</v>
      </c>
      <c r="M48" s="5"/>
      <c r="N48" s="15"/>
      <c r="O48" s="6"/>
      <c r="P48" s="6"/>
      <c r="Q48" s="203"/>
    </row>
    <row r="49" spans="1:17">
      <c r="A49" s="13">
        <f t="shared" si="12"/>
        <v>46157</v>
      </c>
      <c r="B49" s="1"/>
      <c r="C49" s="1"/>
      <c r="D49" s="200"/>
      <c r="E49" s="200"/>
      <c r="F49" s="20" t="e">
        <f t="shared" si="9"/>
        <v>#DIV/0!</v>
      </c>
      <c r="G49" s="2">
        <f t="shared" si="7"/>
        <v>0</v>
      </c>
      <c r="H49" s="2">
        <f t="shared" si="8"/>
        <v>0</v>
      </c>
      <c r="I49" s="3"/>
      <c r="J49" s="201"/>
      <c r="K49" s="20" t="e">
        <f t="shared" si="10"/>
        <v>#DIV/0!</v>
      </c>
      <c r="L49" s="4" t="e">
        <f t="shared" si="11"/>
        <v>#DIV/0!</v>
      </c>
      <c r="M49" s="5"/>
      <c r="N49" s="15"/>
      <c r="O49" s="6"/>
      <c r="P49" s="6"/>
      <c r="Q49" s="14"/>
    </row>
    <row r="50" spans="1:17">
      <c r="A50" s="13">
        <f t="shared" si="12"/>
        <v>46158</v>
      </c>
      <c r="B50" s="1"/>
      <c r="C50" s="1"/>
      <c r="D50" s="200"/>
      <c r="E50" s="200"/>
      <c r="F50" s="20" t="e">
        <f t="shared" si="9"/>
        <v>#DIV/0!</v>
      </c>
      <c r="G50" s="2">
        <f t="shared" si="7"/>
        <v>0</v>
      </c>
      <c r="H50" s="2">
        <f t="shared" si="8"/>
        <v>0</v>
      </c>
      <c r="I50" s="3"/>
      <c r="J50" s="201"/>
      <c r="K50" s="20" t="e">
        <f t="shared" si="10"/>
        <v>#DIV/0!</v>
      </c>
      <c r="L50" s="4" t="e">
        <f t="shared" si="11"/>
        <v>#DIV/0!</v>
      </c>
      <c r="M50" s="5"/>
      <c r="N50" s="15"/>
      <c r="O50" s="6"/>
      <c r="P50" s="6"/>
      <c r="Q50" s="14"/>
    </row>
    <row r="51" spans="1:17">
      <c r="A51" s="13">
        <f t="shared" si="12"/>
        <v>46159</v>
      </c>
      <c r="B51" s="1"/>
      <c r="C51" s="1"/>
      <c r="D51" s="200"/>
      <c r="E51" s="200"/>
      <c r="F51" s="20" t="e">
        <f t="shared" si="9"/>
        <v>#DIV/0!</v>
      </c>
      <c r="G51" s="2">
        <f t="shared" si="7"/>
        <v>0</v>
      </c>
      <c r="H51" s="2">
        <f t="shared" si="8"/>
        <v>0</v>
      </c>
      <c r="I51" s="3"/>
      <c r="J51" s="201"/>
      <c r="K51" s="20" t="e">
        <f t="shared" si="10"/>
        <v>#DIV/0!</v>
      </c>
      <c r="L51" s="4" t="e">
        <f t="shared" si="11"/>
        <v>#DIV/0!</v>
      </c>
      <c r="M51" s="5"/>
      <c r="N51" s="15"/>
      <c r="O51" s="6"/>
      <c r="P51" s="6"/>
      <c r="Q51" s="6"/>
    </row>
    <row r="52" spans="1:17">
      <c r="A52" s="13">
        <f t="shared" si="12"/>
        <v>46160</v>
      </c>
      <c r="B52" s="1"/>
      <c r="C52" s="1"/>
      <c r="D52" s="200"/>
      <c r="E52" s="200"/>
      <c r="F52" s="20" t="e">
        <f t="shared" si="9"/>
        <v>#DIV/0!</v>
      </c>
      <c r="G52" s="2">
        <f t="shared" si="7"/>
        <v>0</v>
      </c>
      <c r="H52" s="2">
        <f t="shared" si="8"/>
        <v>0</v>
      </c>
      <c r="I52" s="3"/>
      <c r="J52" s="201"/>
      <c r="K52" s="20" t="e">
        <f t="shared" si="10"/>
        <v>#DIV/0!</v>
      </c>
      <c r="L52" s="4" t="e">
        <f t="shared" si="11"/>
        <v>#DIV/0!</v>
      </c>
      <c r="M52" s="5"/>
      <c r="N52" s="15"/>
      <c r="O52" s="6"/>
      <c r="P52" s="6"/>
      <c r="Q52" s="14"/>
    </row>
    <row r="53" spans="1:17">
      <c r="A53" s="13">
        <f t="shared" si="12"/>
        <v>46161</v>
      </c>
      <c r="B53" s="1"/>
      <c r="C53" s="1"/>
      <c r="D53" s="200"/>
      <c r="E53" s="200"/>
      <c r="F53" s="20" t="e">
        <f t="shared" si="9"/>
        <v>#DIV/0!</v>
      </c>
      <c r="G53" s="2">
        <f t="shared" si="7"/>
        <v>0</v>
      </c>
      <c r="H53" s="2">
        <f t="shared" ref="H53:H65" si="13">E53/($D$2*24)</f>
        <v>0</v>
      </c>
      <c r="I53" s="3"/>
      <c r="J53" s="201"/>
      <c r="K53" s="20" t="e">
        <f t="shared" si="10"/>
        <v>#DIV/0!</v>
      </c>
      <c r="L53" s="4" t="e">
        <f t="shared" si="11"/>
        <v>#DIV/0!</v>
      </c>
      <c r="M53" s="5"/>
      <c r="N53" s="15"/>
      <c r="O53" s="6"/>
      <c r="P53" s="6"/>
      <c r="Q53" s="14"/>
    </row>
    <row r="54" spans="1:17">
      <c r="A54" s="13">
        <f t="shared" si="12"/>
        <v>46162</v>
      </c>
      <c r="B54" s="1"/>
      <c r="C54" s="1"/>
      <c r="D54" s="200"/>
      <c r="E54" s="200"/>
      <c r="F54" s="20" t="e">
        <f t="shared" si="9"/>
        <v>#DIV/0!</v>
      </c>
      <c r="G54" s="2">
        <f t="shared" si="7"/>
        <v>0</v>
      </c>
      <c r="H54" s="2">
        <f t="shared" si="13"/>
        <v>0</v>
      </c>
      <c r="I54" s="3"/>
      <c r="J54" s="201"/>
      <c r="K54" s="20" t="e">
        <f t="shared" si="10"/>
        <v>#DIV/0!</v>
      </c>
      <c r="L54" s="4" t="e">
        <f t="shared" si="11"/>
        <v>#DIV/0!</v>
      </c>
      <c r="M54" s="5"/>
      <c r="N54" s="15"/>
      <c r="O54" s="6"/>
      <c r="P54" s="6"/>
      <c r="Q54" s="14"/>
    </row>
    <row r="55" spans="1:17">
      <c r="A55" s="13">
        <f t="shared" si="12"/>
        <v>46163</v>
      </c>
      <c r="B55" s="1"/>
      <c r="C55" s="1"/>
      <c r="D55" s="14"/>
      <c r="E55" s="14"/>
      <c r="F55" s="20" t="e">
        <f>(IF(ISBLANK(E55),0,E55-C55))/C55</f>
        <v>#DIV/0!</v>
      </c>
      <c r="G55" s="2">
        <f t="shared" si="7"/>
        <v>0</v>
      </c>
      <c r="H55" s="2">
        <f t="shared" si="13"/>
        <v>0</v>
      </c>
      <c r="I55" s="3"/>
      <c r="J55" s="14"/>
      <c r="K55" s="20" t="e">
        <f>(IF(ISBLANK(J55),0,J55-I55))/I55</f>
        <v>#DIV/0!</v>
      </c>
      <c r="L55" s="4" t="e">
        <f t="shared" si="11"/>
        <v>#DIV/0!</v>
      </c>
      <c r="M55" s="15"/>
      <c r="N55" s="15"/>
      <c r="O55" s="6"/>
      <c r="P55" s="6"/>
      <c r="Q55" s="14"/>
    </row>
    <row r="56" spans="1:17">
      <c r="A56" s="13">
        <f t="shared" si="12"/>
        <v>46164</v>
      </c>
      <c r="B56" s="1"/>
      <c r="C56" s="1"/>
      <c r="D56" s="14"/>
      <c r="E56" s="14"/>
      <c r="F56" s="20" t="e">
        <f t="shared" ref="F56:F64" si="14">(IF(ISBLANK(E56),0,E56-C56))/C56</f>
        <v>#DIV/0!</v>
      </c>
      <c r="G56" s="2">
        <f t="shared" si="7"/>
        <v>0</v>
      </c>
      <c r="H56" s="2">
        <f t="shared" si="13"/>
        <v>0</v>
      </c>
      <c r="I56" s="3"/>
      <c r="J56" s="14"/>
      <c r="K56" s="20" t="e">
        <f t="shared" ref="K56:K66" si="15">(IF(ISBLANK(J56),0,J56-I56))/I56</f>
        <v>#DIV/0!</v>
      </c>
      <c r="L56" s="4" t="e">
        <f t="shared" si="11"/>
        <v>#DIV/0!</v>
      </c>
      <c r="M56" s="15"/>
      <c r="N56" s="15"/>
      <c r="O56" s="6"/>
      <c r="P56" s="6"/>
      <c r="Q56" s="14"/>
    </row>
    <row r="57" spans="1:17">
      <c r="A57" s="13">
        <f t="shared" si="12"/>
        <v>46165</v>
      </c>
      <c r="B57" s="1"/>
      <c r="C57" s="1"/>
      <c r="D57" s="14"/>
      <c r="E57" s="14"/>
      <c r="F57" s="20" t="e">
        <f t="shared" si="14"/>
        <v>#DIV/0!</v>
      </c>
      <c r="G57" s="2">
        <f t="shared" si="7"/>
        <v>0</v>
      </c>
      <c r="H57" s="2">
        <f t="shared" si="13"/>
        <v>0</v>
      </c>
      <c r="I57" s="3"/>
      <c r="J57" s="14"/>
      <c r="K57" s="20" t="e">
        <f t="shared" si="15"/>
        <v>#DIV/0!</v>
      </c>
      <c r="L57" s="4" t="e">
        <f t="shared" si="11"/>
        <v>#DIV/0!</v>
      </c>
      <c r="M57" s="15"/>
      <c r="N57" s="15"/>
      <c r="O57" s="6"/>
      <c r="P57" s="6"/>
      <c r="Q57" s="14"/>
    </row>
    <row r="58" spans="1:17">
      <c r="A58" s="13">
        <f t="shared" si="12"/>
        <v>46166</v>
      </c>
      <c r="B58" s="1"/>
      <c r="C58" s="1"/>
      <c r="D58" s="14"/>
      <c r="E58" s="14"/>
      <c r="F58" s="20" t="e">
        <f t="shared" si="14"/>
        <v>#DIV/0!</v>
      </c>
      <c r="G58" s="2">
        <f t="shared" si="7"/>
        <v>0</v>
      </c>
      <c r="H58" s="2">
        <f t="shared" si="13"/>
        <v>0</v>
      </c>
      <c r="I58" s="3"/>
      <c r="J58" s="14"/>
      <c r="K58" s="20" t="e">
        <f t="shared" si="15"/>
        <v>#DIV/0!</v>
      </c>
      <c r="L58" s="4" t="e">
        <f t="shared" si="11"/>
        <v>#DIV/0!</v>
      </c>
      <c r="M58" s="15"/>
      <c r="N58" s="15"/>
      <c r="O58" s="6"/>
      <c r="P58" s="6"/>
      <c r="Q58" s="14"/>
    </row>
    <row r="59" spans="1:17">
      <c r="A59" s="13">
        <f t="shared" si="12"/>
        <v>46167</v>
      </c>
      <c r="B59" s="1"/>
      <c r="C59" s="1"/>
      <c r="D59" s="14"/>
      <c r="E59" s="14"/>
      <c r="F59" s="20" t="e">
        <f t="shared" si="14"/>
        <v>#DIV/0!</v>
      </c>
      <c r="G59" s="2">
        <f t="shared" si="7"/>
        <v>0</v>
      </c>
      <c r="H59" s="2">
        <f t="shared" si="13"/>
        <v>0</v>
      </c>
      <c r="I59" s="3"/>
      <c r="J59" s="14"/>
      <c r="K59" s="20" t="e">
        <f t="shared" si="15"/>
        <v>#DIV/0!</v>
      </c>
      <c r="L59" s="4" t="e">
        <f t="shared" si="11"/>
        <v>#DIV/0!</v>
      </c>
      <c r="M59" s="15"/>
      <c r="N59" s="15"/>
      <c r="O59" s="6"/>
      <c r="P59" s="14"/>
      <c r="Q59" s="14"/>
    </row>
    <row r="60" spans="1:17">
      <c r="A60" s="13">
        <f t="shared" si="12"/>
        <v>46168</v>
      </c>
      <c r="B60" s="1"/>
      <c r="C60" s="1"/>
      <c r="D60" s="14"/>
      <c r="E60" s="14"/>
      <c r="F60" s="20" t="e">
        <f t="shared" si="14"/>
        <v>#DIV/0!</v>
      </c>
      <c r="G60" s="2">
        <f t="shared" si="7"/>
        <v>0</v>
      </c>
      <c r="H60" s="2">
        <f t="shared" si="13"/>
        <v>0</v>
      </c>
      <c r="I60" s="3"/>
      <c r="J60" s="14"/>
      <c r="K60" s="20" t="e">
        <f t="shared" si="15"/>
        <v>#DIV/0!</v>
      </c>
      <c r="L60" s="4" t="e">
        <f t="shared" si="11"/>
        <v>#DIV/0!</v>
      </c>
      <c r="M60" s="15"/>
      <c r="N60" s="15"/>
      <c r="O60" s="6"/>
      <c r="P60" s="14"/>
      <c r="Q60" s="14"/>
    </row>
    <row r="61" spans="1:17">
      <c r="A61" s="13">
        <f t="shared" si="12"/>
        <v>46169</v>
      </c>
      <c r="B61" s="1"/>
      <c r="C61" s="1"/>
      <c r="D61" s="14"/>
      <c r="E61" s="14"/>
      <c r="F61" s="20" t="e">
        <f t="shared" si="14"/>
        <v>#DIV/0!</v>
      </c>
      <c r="G61" s="2">
        <f t="shared" si="7"/>
        <v>0</v>
      </c>
      <c r="H61" s="2">
        <f t="shared" si="13"/>
        <v>0</v>
      </c>
      <c r="I61" s="3"/>
      <c r="J61" s="14"/>
      <c r="K61" s="20" t="e">
        <f t="shared" si="15"/>
        <v>#DIV/0!</v>
      </c>
      <c r="L61" s="4" t="e">
        <f t="shared" si="11"/>
        <v>#DIV/0!</v>
      </c>
      <c r="M61" s="15"/>
      <c r="N61" s="15"/>
      <c r="O61" s="6"/>
      <c r="P61" s="14"/>
      <c r="Q61" s="14"/>
    </row>
    <row r="62" spans="1:17">
      <c r="A62" s="13">
        <f t="shared" si="12"/>
        <v>46170</v>
      </c>
      <c r="B62" s="1"/>
      <c r="C62" s="1"/>
      <c r="D62" s="14"/>
      <c r="E62" s="14"/>
      <c r="F62" s="20" t="e">
        <f t="shared" si="14"/>
        <v>#DIV/0!</v>
      </c>
      <c r="G62" s="2">
        <f t="shared" si="7"/>
        <v>0</v>
      </c>
      <c r="H62" s="2">
        <f t="shared" si="13"/>
        <v>0</v>
      </c>
      <c r="I62" s="3"/>
      <c r="J62" s="14"/>
      <c r="K62" s="20" t="e">
        <f t="shared" si="15"/>
        <v>#DIV/0!</v>
      </c>
      <c r="L62" s="4" t="e">
        <f t="shared" si="11"/>
        <v>#DIV/0!</v>
      </c>
      <c r="M62" s="15"/>
      <c r="N62" s="15"/>
      <c r="O62" s="14"/>
      <c r="P62" s="6"/>
      <c r="Q62" s="14"/>
    </row>
    <row r="63" spans="1:17">
      <c r="A63" s="13">
        <f t="shared" si="12"/>
        <v>46171</v>
      </c>
      <c r="B63" s="1"/>
      <c r="C63" s="1"/>
      <c r="D63" s="14"/>
      <c r="E63" s="14"/>
      <c r="F63" s="20" t="e">
        <f t="shared" si="14"/>
        <v>#DIV/0!</v>
      </c>
      <c r="G63" s="2">
        <f t="shared" si="7"/>
        <v>0</v>
      </c>
      <c r="H63" s="2">
        <f t="shared" si="13"/>
        <v>0</v>
      </c>
      <c r="I63" s="3"/>
      <c r="J63" s="14"/>
      <c r="K63" s="20" t="e">
        <f t="shared" si="15"/>
        <v>#DIV/0!</v>
      </c>
      <c r="L63" s="4" t="e">
        <f t="shared" si="11"/>
        <v>#DIV/0!</v>
      </c>
      <c r="M63" s="25"/>
      <c r="N63" s="25"/>
      <c r="O63" s="6"/>
      <c r="P63" s="6"/>
      <c r="Q63" s="14"/>
    </row>
    <row r="64" spans="1:17">
      <c r="A64" s="13">
        <f t="shared" si="12"/>
        <v>46172</v>
      </c>
      <c r="B64" s="1"/>
      <c r="C64" s="1"/>
      <c r="D64" s="14"/>
      <c r="E64" s="14"/>
      <c r="F64" s="20" t="e">
        <f t="shared" si="14"/>
        <v>#DIV/0!</v>
      </c>
      <c r="G64" s="2">
        <f t="shared" si="7"/>
        <v>0</v>
      </c>
      <c r="H64" s="2">
        <f t="shared" si="13"/>
        <v>0</v>
      </c>
      <c r="I64" s="3"/>
      <c r="J64" s="14"/>
      <c r="K64" s="20" t="e">
        <f t="shared" si="15"/>
        <v>#DIV/0!</v>
      </c>
      <c r="L64" s="4" t="e">
        <f t="shared" si="11"/>
        <v>#DIV/0!</v>
      </c>
      <c r="M64" s="25"/>
      <c r="N64" s="25"/>
      <c r="O64" s="6"/>
      <c r="P64" s="6"/>
      <c r="Q64" s="6"/>
    </row>
    <row r="65" spans="1:17">
      <c r="A65" s="13">
        <f t="shared" si="12"/>
        <v>46173</v>
      </c>
      <c r="B65" s="1"/>
      <c r="D65" s="14"/>
      <c r="E65" s="14"/>
      <c r="F65" s="20" t="e">
        <f t="shared" ref="F65" si="16">(IF(ISBLANK(E65),0,E65-C65))/C65</f>
        <v>#DIV/0!</v>
      </c>
      <c r="G65" s="2">
        <f t="shared" si="7"/>
        <v>0</v>
      </c>
      <c r="H65" s="2">
        <f t="shared" si="13"/>
        <v>0</v>
      </c>
      <c r="I65" s="3"/>
      <c r="J65" s="14"/>
      <c r="K65" s="20" t="e">
        <f t="shared" ref="K65" si="17">(IF(ISBLANK(J65),0,J65-I65))/I65</f>
        <v>#DIV/0!</v>
      </c>
      <c r="L65" s="4" t="e">
        <f t="shared" si="11"/>
        <v>#DIV/0!</v>
      </c>
      <c r="M65" s="25"/>
      <c r="N65" s="25"/>
      <c r="O65" s="6"/>
      <c r="P65" s="6"/>
      <c r="Q65" s="6"/>
    </row>
    <row r="66" spans="1:17">
      <c r="A66" s="349">
        <v>46143</v>
      </c>
      <c r="B66" s="17">
        <f>SUM(B35:B65)</f>
        <v>48258</v>
      </c>
      <c r="C66" s="17">
        <f>SUM(C35:C65)</f>
        <v>45582</v>
      </c>
      <c r="D66" s="17">
        <f>SUM(D35:D65)</f>
        <v>48741</v>
      </c>
      <c r="E66" s="17">
        <f>SUM(E35:E65)</f>
        <v>48512</v>
      </c>
      <c r="F66" s="18">
        <f>(IF(ISBLANK(E66),0,E66-C66))/C66</f>
        <v>6.4279759554209989E-2</v>
      </c>
      <c r="G66" s="18">
        <f>AVERAGE(G35:G65)</f>
        <v>3.7435483870967741E-2</v>
      </c>
      <c r="H66" s="18">
        <f>AVERAGE(H35:H65)</f>
        <v>4.7645161290322584E-2</v>
      </c>
      <c r="I66" s="17">
        <f>SUM(I35:I65)</f>
        <v>32.160000000000004</v>
      </c>
      <c r="J66" s="17">
        <f>SUM(J35:J65)</f>
        <v>32.812999999999995</v>
      </c>
      <c r="K66" s="18">
        <f t="shared" si="15"/>
        <v>2.0304726368158939E-2</v>
      </c>
      <c r="L66" s="18">
        <f t="shared" si="11"/>
        <v>0.8488099228964131</v>
      </c>
      <c r="M66" s="18">
        <f>AVERAGE(M35:M65)</f>
        <v>1</v>
      </c>
      <c r="N66" s="18">
        <f>AVERAGE(N35:N65)</f>
        <v>0.99494999999999989</v>
      </c>
      <c r="O66" s="17">
        <f>SUM(O35:O65)</f>
        <v>91.84</v>
      </c>
      <c r="P66" s="17">
        <f>SUM(P35:P65)</f>
        <v>0</v>
      </c>
      <c r="Q66" s="19"/>
    </row>
  </sheetData>
  <mergeCells count="4">
    <mergeCell ref="A1:Q1"/>
    <mergeCell ref="B2:C2"/>
    <mergeCell ref="E2:G2"/>
    <mergeCell ref="I2:J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19CE9-E04D-4D9B-AC7D-E13EF8A13704}">
  <dimension ref="A1:Q66"/>
  <sheetViews>
    <sheetView workbookViewId="0">
      <pane xSplit="1" ySplit="3" topLeftCell="B38" activePane="bottomRight" state="frozen"/>
      <selection pane="topRight"/>
      <selection pane="bottomLeft"/>
      <selection pane="bottomRight" activeCell="B41" sqref="B41"/>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10.26953125" customWidth="1"/>
    <col min="8" max="8" width="10.81640625" customWidth="1"/>
    <col min="9" max="10" width="9.7265625" bestFit="1" customWidth="1"/>
    <col min="11" max="11" width="11.453125" customWidth="1"/>
    <col min="12" max="12" width="9.81640625" customWidth="1"/>
    <col min="13" max="14" width="9.26953125" bestFit="1" customWidth="1"/>
    <col min="15" max="16" width="9.7265625" bestFit="1" customWidth="1"/>
    <col min="17" max="17" width="80.453125" customWidth="1"/>
    <col min="18" max="18" width="10" customWidth="1"/>
  </cols>
  <sheetData>
    <row r="1" spans="1:17" ht="18.5">
      <c r="A1" s="405" t="str">
        <f>'[1]Project Generation Summary 2026'!A1</f>
        <v>GHCL_MANAPPARAI_TN_3891MWp</v>
      </c>
      <c r="B1" s="406"/>
      <c r="C1" s="406"/>
      <c r="D1" s="406"/>
      <c r="E1" s="406"/>
      <c r="F1" s="406"/>
      <c r="G1" s="406"/>
      <c r="H1" s="406"/>
      <c r="I1" s="406"/>
      <c r="J1" s="406"/>
      <c r="K1" s="406"/>
      <c r="L1" s="406"/>
      <c r="M1" s="406"/>
      <c r="N1" s="406"/>
      <c r="O1" s="406"/>
      <c r="P1" s="406"/>
      <c r="Q1" s="406"/>
    </row>
    <row r="2" spans="1:17" ht="18.5">
      <c r="A2" s="7">
        <v>46113</v>
      </c>
      <c r="B2" s="407" t="s">
        <v>172</v>
      </c>
      <c r="C2" s="408"/>
      <c r="D2" s="8">
        <v>3891</v>
      </c>
      <c r="E2" s="407" t="s">
        <v>173</v>
      </c>
      <c r="F2" s="407"/>
      <c r="G2" s="408"/>
      <c r="H2" s="8">
        <v>3080</v>
      </c>
      <c r="I2" s="409" t="s">
        <v>174</v>
      </c>
      <c r="J2" s="410"/>
      <c r="K2" s="9" t="s">
        <v>290</v>
      </c>
      <c r="L2" s="10" t="s">
        <v>175</v>
      </c>
      <c r="M2" s="10" t="s">
        <v>175</v>
      </c>
      <c r="N2" s="10" t="s">
        <v>175</v>
      </c>
      <c r="O2" s="10" t="s">
        <v>175</v>
      </c>
      <c r="P2" s="10" t="s">
        <v>175</v>
      </c>
      <c r="Q2" s="11" t="s">
        <v>175</v>
      </c>
    </row>
    <row r="3" spans="1:17" ht="52">
      <c r="A3" s="12" t="s">
        <v>2</v>
      </c>
      <c r="B3" s="12" t="s">
        <v>3</v>
      </c>
      <c r="C3" s="12" t="s">
        <v>4</v>
      </c>
      <c r="D3" s="12" t="s">
        <v>5</v>
      </c>
      <c r="E3" s="12" t="s">
        <v>6</v>
      </c>
      <c r="F3" s="204" t="s">
        <v>7</v>
      </c>
      <c r="G3" s="151" t="s">
        <v>8</v>
      </c>
      <c r="H3" s="12" t="s">
        <v>9</v>
      </c>
      <c r="I3" s="12" t="s">
        <v>10</v>
      </c>
      <c r="J3" s="12" t="s">
        <v>11</v>
      </c>
      <c r="K3" s="195" t="s">
        <v>12</v>
      </c>
      <c r="L3" s="12" t="s">
        <v>13</v>
      </c>
      <c r="M3" s="12" t="s">
        <v>14</v>
      </c>
      <c r="N3" s="12" t="s">
        <v>15</v>
      </c>
      <c r="O3" s="12" t="s">
        <v>16</v>
      </c>
      <c r="P3" s="12" t="s">
        <v>17</v>
      </c>
      <c r="Q3" s="194" t="s">
        <v>156</v>
      </c>
    </row>
    <row r="4" spans="1:17">
      <c r="A4" s="13">
        <f>A2</f>
        <v>46113</v>
      </c>
      <c r="B4" s="1">
        <f>550277/30</f>
        <v>18342.566666666666</v>
      </c>
      <c r="C4" s="1">
        <f>541160/30</f>
        <v>18038.666666666668</v>
      </c>
      <c r="D4" s="200">
        <v>19839</v>
      </c>
      <c r="E4" s="205">
        <v>18350</v>
      </c>
      <c r="F4" s="150">
        <f>(IF(ISBLANK(E4),0,E4-C4))/C4</f>
        <v>1.7259220932810931E-2</v>
      </c>
      <c r="G4" s="2">
        <f t="shared" ref="G4:G23" si="0">D4/($D$2*24)</f>
        <v>0.21244538679002828</v>
      </c>
      <c r="H4" s="95">
        <f t="shared" ref="H4:H21" si="1">D4/($H$2*24)</f>
        <v>0.26838474025974024</v>
      </c>
      <c r="I4" s="3">
        <f>179.5/30</f>
        <v>5.9833333333333334</v>
      </c>
      <c r="J4" s="201">
        <v>6.6390000000000002</v>
      </c>
      <c r="K4" s="20">
        <f>(IF(ISBLANK(J4),0,J4-I4))/I4</f>
        <v>0.10958217270194989</v>
      </c>
      <c r="L4" s="4">
        <f t="shared" ref="L4:L35" si="2">D4/($D$2*J4)</f>
        <v>0.76799055324004795</v>
      </c>
      <c r="M4" s="5">
        <v>1</v>
      </c>
      <c r="N4" s="5">
        <v>1</v>
      </c>
      <c r="O4" s="6"/>
      <c r="P4" s="6"/>
      <c r="Q4" s="139"/>
    </row>
    <row r="5" spans="1:17">
      <c r="A5" s="13">
        <f>A4+1</f>
        <v>46114</v>
      </c>
      <c r="B5" s="1">
        <f t="shared" ref="B5:B33" si="3">550277/30</f>
        <v>18342.566666666666</v>
      </c>
      <c r="C5" s="1">
        <f t="shared" ref="C5:C33" si="4">541160/30</f>
        <v>18038.666666666668</v>
      </c>
      <c r="D5" s="200">
        <v>19608</v>
      </c>
      <c r="E5" s="205">
        <v>18188</v>
      </c>
      <c r="F5" s="150">
        <f t="shared" ref="F5:F33" si="5">(IF(ISBLANK(E5),0,E5-C5))/C5</f>
        <v>8.2785128243032802E-3</v>
      </c>
      <c r="G5" s="2">
        <f t="shared" si="0"/>
        <v>0.20997172963248523</v>
      </c>
      <c r="H5" s="95">
        <f t="shared" si="1"/>
        <v>0.26525974025974025</v>
      </c>
      <c r="I5" s="3">
        <f t="shared" ref="I5:I27" si="6">179.5/30</f>
        <v>5.9833333333333334</v>
      </c>
      <c r="J5" s="201">
        <v>6.7370000000000001</v>
      </c>
      <c r="K5" s="20">
        <f t="shared" ref="K5:K34" si="7">(IF(ISBLANK(J5),0,J5-I5))/I5</f>
        <v>0.12596100278551534</v>
      </c>
      <c r="L5" s="4">
        <f t="shared" si="2"/>
        <v>0.74800675540739869</v>
      </c>
      <c r="M5" s="5">
        <v>1</v>
      </c>
      <c r="N5" s="5">
        <v>1</v>
      </c>
      <c r="O5" s="6"/>
      <c r="P5" s="6"/>
      <c r="Q5" s="139"/>
    </row>
    <row r="6" spans="1:17">
      <c r="A6" s="13">
        <f t="shared" ref="A6:A33" si="8">A5+1</f>
        <v>46115</v>
      </c>
      <c r="B6" s="1">
        <f t="shared" si="3"/>
        <v>18342.566666666666</v>
      </c>
      <c r="C6" s="1">
        <f t="shared" si="4"/>
        <v>18038.666666666668</v>
      </c>
      <c r="D6" s="200">
        <v>19462</v>
      </c>
      <c r="E6" s="205">
        <v>18146</v>
      </c>
      <c r="F6" s="150">
        <f t="shared" si="5"/>
        <v>5.9501810924679644E-3</v>
      </c>
      <c r="G6" s="2">
        <f t="shared" si="0"/>
        <v>0.20840829264113767</v>
      </c>
      <c r="H6" s="95">
        <f t="shared" si="1"/>
        <v>0.26328463203463204</v>
      </c>
      <c r="I6" s="3">
        <f t="shared" si="6"/>
        <v>5.9833333333333334</v>
      </c>
      <c r="J6" s="201">
        <v>6.6260000000000003</v>
      </c>
      <c r="K6" s="20">
        <f t="shared" si="7"/>
        <v>0.10740947075208918</v>
      </c>
      <c r="L6" s="4">
        <f t="shared" si="2"/>
        <v>0.75487458849793299</v>
      </c>
      <c r="M6" s="5">
        <v>1</v>
      </c>
      <c r="N6" s="5">
        <v>1</v>
      </c>
      <c r="O6" s="6"/>
      <c r="P6" s="6"/>
      <c r="Q6" s="139"/>
    </row>
    <row r="7" spans="1:17">
      <c r="A7" s="13">
        <f t="shared" si="8"/>
        <v>46116</v>
      </c>
      <c r="B7" s="1">
        <f t="shared" si="3"/>
        <v>18342.566666666666</v>
      </c>
      <c r="C7" s="1">
        <f t="shared" si="4"/>
        <v>18038.666666666668</v>
      </c>
      <c r="D7" s="200">
        <v>12891</v>
      </c>
      <c r="E7" s="205">
        <v>11858</v>
      </c>
      <c r="F7" s="150">
        <f t="shared" si="5"/>
        <v>-0.34263434104516227</v>
      </c>
      <c r="G7" s="2">
        <f t="shared" si="0"/>
        <v>0.13804291955795425</v>
      </c>
      <c r="H7" s="95">
        <f t="shared" si="1"/>
        <v>0.17439123376623378</v>
      </c>
      <c r="I7" s="3">
        <f t="shared" si="6"/>
        <v>5.9833333333333334</v>
      </c>
      <c r="J7" s="201">
        <v>4.2779999999999996</v>
      </c>
      <c r="K7" s="20">
        <f t="shared" si="7"/>
        <v>-0.28501392757660177</v>
      </c>
      <c r="L7" s="4">
        <f t="shared" si="2"/>
        <v>0.77443433132092165</v>
      </c>
      <c r="M7" s="5">
        <v>1</v>
      </c>
      <c r="N7" s="5">
        <v>1</v>
      </c>
      <c r="O7" s="6"/>
      <c r="P7" s="6"/>
      <c r="Q7" s="142" t="s">
        <v>291</v>
      </c>
    </row>
    <row r="8" spans="1:17">
      <c r="A8" s="13">
        <f t="shared" si="8"/>
        <v>46117</v>
      </c>
      <c r="B8" s="1">
        <f t="shared" si="3"/>
        <v>18342.566666666666</v>
      </c>
      <c r="C8" s="1">
        <f t="shared" si="4"/>
        <v>18038.666666666668</v>
      </c>
      <c r="D8" s="200">
        <v>15978</v>
      </c>
      <c r="E8" s="205">
        <v>14779</v>
      </c>
      <c r="F8" s="150">
        <f t="shared" si="5"/>
        <v>-0.18070441274299659</v>
      </c>
      <c r="G8" s="2">
        <f t="shared" si="0"/>
        <v>0.17109997429966589</v>
      </c>
      <c r="H8" s="95">
        <f t="shared" si="1"/>
        <v>0.2161525974025974</v>
      </c>
      <c r="I8" s="3">
        <f t="shared" si="6"/>
        <v>5.9833333333333334</v>
      </c>
      <c r="J8" s="201">
        <v>5.2779999999999996</v>
      </c>
      <c r="K8" s="20">
        <f t="shared" si="7"/>
        <v>-0.11788300835654604</v>
      </c>
      <c r="L8" s="4">
        <f t="shared" si="2"/>
        <v>0.77802186115801097</v>
      </c>
      <c r="M8" s="5">
        <v>1</v>
      </c>
      <c r="N8" s="5">
        <v>1</v>
      </c>
      <c r="O8" s="6"/>
      <c r="P8" s="6"/>
      <c r="Q8" s="142" t="s">
        <v>292</v>
      </c>
    </row>
    <row r="9" spans="1:17">
      <c r="A9" s="13">
        <f t="shared" si="8"/>
        <v>46118</v>
      </c>
      <c r="B9" s="1">
        <f t="shared" si="3"/>
        <v>18342.566666666666</v>
      </c>
      <c r="C9" s="1">
        <f t="shared" si="4"/>
        <v>18038.666666666668</v>
      </c>
      <c r="D9" s="200">
        <v>11132</v>
      </c>
      <c r="E9" s="205">
        <v>10340</v>
      </c>
      <c r="F9" s="150">
        <f t="shared" si="5"/>
        <v>-0.42678690221006732</v>
      </c>
      <c r="G9" s="2">
        <f t="shared" si="0"/>
        <v>0.11920671635397927</v>
      </c>
      <c r="H9" s="95">
        <f t="shared" si="1"/>
        <v>0.15059523809523809</v>
      </c>
      <c r="I9" s="3">
        <f t="shared" si="6"/>
        <v>5.9833333333333334</v>
      </c>
      <c r="J9" s="201">
        <v>3.4249999999999998</v>
      </c>
      <c r="K9" s="20">
        <f t="shared" si="7"/>
        <v>-0.42757660167130923</v>
      </c>
      <c r="L9" s="4">
        <f t="shared" si="2"/>
        <v>0.83531713649503725</v>
      </c>
      <c r="M9" s="5">
        <v>1</v>
      </c>
      <c r="N9" s="5">
        <v>1</v>
      </c>
      <c r="O9" s="6"/>
      <c r="P9" s="6"/>
      <c r="Q9" s="142" t="s">
        <v>292</v>
      </c>
    </row>
    <row r="10" spans="1:17">
      <c r="A10" s="13">
        <f t="shared" si="8"/>
        <v>46119</v>
      </c>
      <c r="B10" s="1">
        <f t="shared" si="3"/>
        <v>18342.566666666666</v>
      </c>
      <c r="C10" s="1">
        <f t="shared" si="4"/>
        <v>18038.666666666668</v>
      </c>
      <c r="D10" s="200">
        <v>16136</v>
      </c>
      <c r="E10" s="205">
        <v>15293</v>
      </c>
      <c r="F10" s="150">
        <f t="shared" si="5"/>
        <v>-0.15221006726291675</v>
      </c>
      <c r="G10" s="2">
        <f t="shared" si="0"/>
        <v>0.17279191296153518</v>
      </c>
      <c r="H10" s="95">
        <f t="shared" si="1"/>
        <v>0.21829004329004328</v>
      </c>
      <c r="I10" s="3">
        <f t="shared" si="6"/>
        <v>5.9833333333333334</v>
      </c>
      <c r="J10" s="201">
        <v>5.508</v>
      </c>
      <c r="K10" s="20">
        <f t="shared" si="7"/>
        <v>-7.9442896935933149E-2</v>
      </c>
      <c r="L10" s="4">
        <f t="shared" si="2"/>
        <v>0.75290593883021861</v>
      </c>
      <c r="M10" s="5">
        <v>1</v>
      </c>
      <c r="N10" s="15">
        <v>0.96299999999999997</v>
      </c>
      <c r="O10" s="6"/>
      <c r="P10" s="6"/>
      <c r="Q10" s="143" t="s">
        <v>293</v>
      </c>
    </row>
    <row r="11" spans="1:17">
      <c r="A11" s="13">
        <f t="shared" si="8"/>
        <v>46120</v>
      </c>
      <c r="B11" s="1">
        <f t="shared" si="3"/>
        <v>18342.566666666666</v>
      </c>
      <c r="C11" s="1">
        <f t="shared" si="4"/>
        <v>18038.666666666668</v>
      </c>
      <c r="D11" s="200">
        <v>19082</v>
      </c>
      <c r="E11" s="205">
        <v>17703</v>
      </c>
      <c r="F11" s="150">
        <f t="shared" si="5"/>
        <v>-1.8608175031414067E-2</v>
      </c>
      <c r="G11" s="2">
        <f t="shared" si="0"/>
        <v>0.20433907307461663</v>
      </c>
      <c r="H11" s="95">
        <f t="shared" si="1"/>
        <v>0.25814393939393937</v>
      </c>
      <c r="I11" s="3">
        <f t="shared" si="6"/>
        <v>5.9833333333333334</v>
      </c>
      <c r="J11" s="201">
        <v>6.4580000000000002</v>
      </c>
      <c r="K11" s="20">
        <f t="shared" si="7"/>
        <v>7.9331476323119793E-2</v>
      </c>
      <c r="L11" s="4">
        <f t="shared" si="2"/>
        <v>0.75938955617695869</v>
      </c>
      <c r="M11" s="5">
        <v>1</v>
      </c>
      <c r="N11" s="15">
        <v>0.99790000000000001</v>
      </c>
      <c r="O11" s="6"/>
      <c r="P11" s="6"/>
      <c r="Q11" s="142" t="s">
        <v>294</v>
      </c>
    </row>
    <row r="12" spans="1:17">
      <c r="A12" s="13">
        <f t="shared" si="8"/>
        <v>46121</v>
      </c>
      <c r="B12" s="1">
        <f t="shared" si="3"/>
        <v>18342.566666666666</v>
      </c>
      <c r="C12" s="1">
        <f t="shared" si="4"/>
        <v>18038.666666666668</v>
      </c>
      <c r="D12" s="200">
        <v>18449</v>
      </c>
      <c r="E12" s="205">
        <v>17207</v>
      </c>
      <c r="F12" s="150">
        <f t="shared" si="5"/>
        <v>-4.6104664054993041E-2</v>
      </c>
      <c r="G12" s="2">
        <f t="shared" si="0"/>
        <v>0.19756060995459607</v>
      </c>
      <c r="H12" s="95">
        <f t="shared" si="1"/>
        <v>0.24958062770562769</v>
      </c>
      <c r="I12" s="3">
        <f t="shared" si="6"/>
        <v>5.9833333333333334</v>
      </c>
      <c r="J12" s="201">
        <v>6.1189999999999998</v>
      </c>
      <c r="K12" s="20">
        <f t="shared" si="7"/>
        <v>2.2674094707520843E-2</v>
      </c>
      <c r="L12" s="4">
        <f t="shared" si="2"/>
        <v>0.77487410343361762</v>
      </c>
      <c r="M12" s="5">
        <v>1</v>
      </c>
      <c r="N12" s="5">
        <v>1</v>
      </c>
      <c r="O12" s="6"/>
      <c r="P12" s="6"/>
      <c r="Q12" s="139"/>
    </row>
    <row r="13" spans="1:17">
      <c r="A13" s="13">
        <f t="shared" si="8"/>
        <v>46122</v>
      </c>
      <c r="B13" s="1">
        <f t="shared" si="3"/>
        <v>18342.566666666666</v>
      </c>
      <c r="C13" s="1">
        <f t="shared" si="4"/>
        <v>18038.666666666668</v>
      </c>
      <c r="D13" s="200">
        <v>18398</v>
      </c>
      <c r="E13" s="205">
        <v>16978</v>
      </c>
      <c r="F13" s="150">
        <f t="shared" si="5"/>
        <v>-5.8799615640476074E-2</v>
      </c>
      <c r="G13" s="2">
        <f t="shared" si="0"/>
        <v>0.19701447785487877</v>
      </c>
      <c r="H13" s="95">
        <f t="shared" si="1"/>
        <v>0.24889069264069263</v>
      </c>
      <c r="I13" s="3">
        <f t="shared" si="6"/>
        <v>5.9833333333333334</v>
      </c>
      <c r="J13" s="201">
        <v>6.2960000000000003</v>
      </c>
      <c r="K13" s="20">
        <f t="shared" si="7"/>
        <v>5.2256267409470786E-2</v>
      </c>
      <c r="L13" s="4">
        <f t="shared" si="2"/>
        <v>0.75100817479623416</v>
      </c>
      <c r="M13" s="5">
        <v>1</v>
      </c>
      <c r="N13" s="15">
        <v>0.99529999999999996</v>
      </c>
      <c r="O13" s="6"/>
      <c r="P13" s="6"/>
      <c r="Q13" s="139" t="s">
        <v>295</v>
      </c>
    </row>
    <row r="14" spans="1:17">
      <c r="A14" s="13">
        <f t="shared" si="8"/>
        <v>46123</v>
      </c>
      <c r="B14" s="1">
        <f t="shared" si="3"/>
        <v>18342.566666666666</v>
      </c>
      <c r="C14" s="1">
        <f t="shared" si="4"/>
        <v>18038.666666666668</v>
      </c>
      <c r="D14" s="200">
        <v>17151</v>
      </c>
      <c r="E14" s="205">
        <v>15961</v>
      </c>
      <c r="F14" s="150">
        <f t="shared" si="5"/>
        <v>-0.11517850543277409</v>
      </c>
      <c r="G14" s="2">
        <f t="shared" si="0"/>
        <v>0.18366101259316372</v>
      </c>
      <c r="H14" s="95">
        <f t="shared" si="1"/>
        <v>0.23202110389610389</v>
      </c>
      <c r="I14" s="3">
        <f t="shared" si="6"/>
        <v>5.9833333333333334</v>
      </c>
      <c r="J14" s="201">
        <v>5.64</v>
      </c>
      <c r="K14" s="20">
        <f t="shared" si="7"/>
        <v>-5.7381615598885855E-2</v>
      </c>
      <c r="L14" s="4">
        <f t="shared" si="2"/>
        <v>0.78153622380069676</v>
      </c>
      <c r="M14" s="5">
        <v>1</v>
      </c>
      <c r="N14" s="15">
        <v>0.99750000000000005</v>
      </c>
      <c r="O14" s="6"/>
      <c r="P14" s="6"/>
      <c r="Q14" s="139" t="s">
        <v>296</v>
      </c>
    </row>
    <row r="15" spans="1:17">
      <c r="A15" s="13">
        <f t="shared" si="8"/>
        <v>46124</v>
      </c>
      <c r="B15" s="1">
        <f t="shared" si="3"/>
        <v>18342.566666666666</v>
      </c>
      <c r="C15" s="1">
        <f t="shared" si="4"/>
        <v>18038.666666666668</v>
      </c>
      <c r="D15" s="200">
        <v>19466</v>
      </c>
      <c r="E15" s="205">
        <v>18159</v>
      </c>
      <c r="F15" s="150">
        <f t="shared" si="5"/>
        <v>6.6708551999407999E-3</v>
      </c>
      <c r="G15" s="2">
        <f t="shared" si="0"/>
        <v>0.20845112653131156</v>
      </c>
      <c r="H15" s="95">
        <f t="shared" si="1"/>
        <v>0.26333874458874457</v>
      </c>
      <c r="I15" s="3">
        <f t="shared" si="6"/>
        <v>5.9833333333333334</v>
      </c>
      <c r="J15" s="201">
        <v>6.7009999999999996</v>
      </c>
      <c r="K15" s="20">
        <f t="shared" si="7"/>
        <v>0.11994428969359323</v>
      </c>
      <c r="L15" s="4">
        <f t="shared" si="2"/>
        <v>0.74657917277294106</v>
      </c>
      <c r="M15" s="5">
        <v>1</v>
      </c>
      <c r="N15" s="15">
        <v>0.99709999999999999</v>
      </c>
      <c r="O15" s="6"/>
      <c r="P15" s="6"/>
      <c r="Q15" s="139" t="s">
        <v>297</v>
      </c>
    </row>
    <row r="16" spans="1:17">
      <c r="A16" s="13">
        <f t="shared" si="8"/>
        <v>46125</v>
      </c>
      <c r="B16" s="1">
        <f t="shared" si="3"/>
        <v>18342.566666666666</v>
      </c>
      <c r="C16" s="1">
        <f t="shared" si="4"/>
        <v>18038.666666666668</v>
      </c>
      <c r="D16" s="200">
        <v>19436</v>
      </c>
      <c r="E16" s="205">
        <v>17978</v>
      </c>
      <c r="F16" s="150">
        <f t="shared" si="5"/>
        <v>-3.3631458348733021E-3</v>
      </c>
      <c r="G16" s="2">
        <f t="shared" si="0"/>
        <v>0.20812987235500729</v>
      </c>
      <c r="H16" s="95">
        <f t="shared" si="1"/>
        <v>0.26293290043290041</v>
      </c>
      <c r="I16" s="3">
        <f t="shared" si="6"/>
        <v>5.9833333333333334</v>
      </c>
      <c r="J16" s="201">
        <v>6.6260000000000003</v>
      </c>
      <c r="K16" s="20">
        <f t="shared" si="7"/>
        <v>0.10740947075208918</v>
      </c>
      <c r="L16" s="4">
        <f t="shared" si="2"/>
        <v>0.75386612383341001</v>
      </c>
      <c r="M16" s="5">
        <v>1</v>
      </c>
      <c r="N16" s="15">
        <v>0.99919999999999998</v>
      </c>
      <c r="O16" s="6"/>
      <c r="P16" s="6"/>
      <c r="Q16" s="139" t="s">
        <v>298</v>
      </c>
    </row>
    <row r="17" spans="1:17">
      <c r="A17" s="13">
        <f t="shared" si="8"/>
        <v>46126</v>
      </c>
      <c r="B17" s="1">
        <f t="shared" si="3"/>
        <v>18342.566666666666</v>
      </c>
      <c r="C17" s="1">
        <f t="shared" si="4"/>
        <v>18038.666666666668</v>
      </c>
      <c r="D17" s="200">
        <v>17759</v>
      </c>
      <c r="E17" s="205">
        <v>16855</v>
      </c>
      <c r="F17" s="150">
        <f t="shared" si="5"/>
        <v>-6.5618301426565218E-2</v>
      </c>
      <c r="G17" s="2">
        <f t="shared" si="0"/>
        <v>0.19017176389959736</v>
      </c>
      <c r="H17" s="95">
        <f t="shared" si="1"/>
        <v>0.24024621212121211</v>
      </c>
      <c r="I17" s="3">
        <f t="shared" si="6"/>
        <v>5.9833333333333334</v>
      </c>
      <c r="J17" s="201">
        <v>6.4480000000000004</v>
      </c>
      <c r="K17" s="20">
        <f t="shared" si="7"/>
        <v>7.7660167130919278E-2</v>
      </c>
      <c r="L17" s="4">
        <f t="shared" si="2"/>
        <v>0.70783534950222338</v>
      </c>
      <c r="M17" s="5">
        <v>1</v>
      </c>
      <c r="N17" s="15">
        <v>0.99790000000000001</v>
      </c>
      <c r="O17" s="6"/>
      <c r="P17" s="6"/>
      <c r="Q17" s="140" t="s">
        <v>299</v>
      </c>
    </row>
    <row r="18" spans="1:17">
      <c r="A18" s="13">
        <f t="shared" si="8"/>
        <v>46127</v>
      </c>
      <c r="B18" s="1">
        <f t="shared" si="3"/>
        <v>18342.566666666666</v>
      </c>
      <c r="C18" s="1">
        <f t="shared" si="4"/>
        <v>18038.666666666668</v>
      </c>
      <c r="D18" s="200">
        <v>19995</v>
      </c>
      <c r="E18" s="205">
        <v>18521</v>
      </c>
      <c r="F18" s="150">
        <f t="shared" si="5"/>
        <v>2.6738857269569004E-2</v>
      </c>
      <c r="G18" s="2">
        <f t="shared" si="0"/>
        <v>0.21411590850681059</v>
      </c>
      <c r="H18" s="95">
        <f t="shared" si="1"/>
        <v>0.27049512987012986</v>
      </c>
      <c r="I18" s="3">
        <f t="shared" si="6"/>
        <v>5.9833333333333334</v>
      </c>
      <c r="J18" s="201">
        <v>6.9329999999999998</v>
      </c>
      <c r="K18" s="20">
        <f t="shared" si="7"/>
        <v>0.15871866295264619</v>
      </c>
      <c r="L18" s="4">
        <f t="shared" si="2"/>
        <v>0.74120608743162475</v>
      </c>
      <c r="M18" s="5">
        <v>1</v>
      </c>
      <c r="N18" s="15">
        <v>0.99880000000000002</v>
      </c>
      <c r="O18" s="6"/>
      <c r="P18" s="6"/>
      <c r="Q18" s="139" t="s">
        <v>300</v>
      </c>
    </row>
    <row r="19" spans="1:17">
      <c r="A19" s="13">
        <f t="shared" si="8"/>
        <v>46128</v>
      </c>
      <c r="B19" s="1">
        <f t="shared" si="3"/>
        <v>18342.566666666666</v>
      </c>
      <c r="C19" s="1">
        <f t="shared" si="4"/>
        <v>18038.666666666668</v>
      </c>
      <c r="D19" s="200">
        <v>19129</v>
      </c>
      <c r="E19" s="205">
        <v>17972</v>
      </c>
      <c r="F19" s="150">
        <f t="shared" si="5"/>
        <v>-3.6957646537069187E-3</v>
      </c>
      <c r="G19" s="2">
        <f t="shared" si="0"/>
        <v>0.20484237128416002</v>
      </c>
      <c r="H19" s="95">
        <f t="shared" si="1"/>
        <v>0.25877976190476193</v>
      </c>
      <c r="I19" s="3">
        <f t="shared" si="6"/>
        <v>5.9833333333333334</v>
      </c>
      <c r="J19" s="201">
        <v>6.5620000000000003</v>
      </c>
      <c r="K19" s="20">
        <f t="shared" si="7"/>
        <v>9.6713091922005612E-2</v>
      </c>
      <c r="L19" s="4">
        <f t="shared" si="2"/>
        <v>0.74919489649799453</v>
      </c>
      <c r="M19" s="5">
        <v>1</v>
      </c>
      <c r="N19" s="15">
        <v>0.99919999999999998</v>
      </c>
      <c r="O19" s="6"/>
      <c r="P19" s="6"/>
      <c r="Q19" s="139" t="s">
        <v>301</v>
      </c>
    </row>
    <row r="20" spans="1:17">
      <c r="A20" s="13">
        <f t="shared" si="8"/>
        <v>46129</v>
      </c>
      <c r="B20" s="1">
        <f t="shared" si="3"/>
        <v>18342.566666666666</v>
      </c>
      <c r="C20" s="1">
        <f t="shared" si="4"/>
        <v>18038.666666666668</v>
      </c>
      <c r="D20" s="200">
        <v>17863</v>
      </c>
      <c r="E20" s="205">
        <v>16494</v>
      </c>
      <c r="F20" s="150">
        <f t="shared" si="5"/>
        <v>-8.5630867026387822E-2</v>
      </c>
      <c r="G20" s="2">
        <f t="shared" si="0"/>
        <v>0.1912854450441189</v>
      </c>
      <c r="H20" s="95">
        <f t="shared" si="1"/>
        <v>0.24165313852813852</v>
      </c>
      <c r="I20" s="3">
        <f t="shared" si="6"/>
        <v>5.9833333333333334</v>
      </c>
      <c r="J20" s="201">
        <v>6.085</v>
      </c>
      <c r="K20" s="20">
        <f t="shared" si="7"/>
        <v>1.6991643454038981E-2</v>
      </c>
      <c r="L20" s="4">
        <f t="shared" si="2"/>
        <v>0.75445368628740406</v>
      </c>
      <c r="M20" s="5">
        <v>1</v>
      </c>
      <c r="N20" s="15">
        <v>0.99629999999999996</v>
      </c>
      <c r="O20" s="6"/>
      <c r="P20" s="6"/>
      <c r="Q20" s="139" t="s">
        <v>302</v>
      </c>
    </row>
    <row r="21" spans="1:17">
      <c r="A21" s="13">
        <f t="shared" si="8"/>
        <v>46130</v>
      </c>
      <c r="B21" s="1">
        <f t="shared" si="3"/>
        <v>18342.566666666666</v>
      </c>
      <c r="C21" s="1">
        <f t="shared" si="4"/>
        <v>18038.666666666668</v>
      </c>
      <c r="D21" s="200">
        <v>18641</v>
      </c>
      <c r="E21" s="205">
        <v>17281</v>
      </c>
      <c r="F21" s="150">
        <f t="shared" si="5"/>
        <v>-4.2002365289378438E-2</v>
      </c>
      <c r="G21" s="2">
        <f t="shared" si="0"/>
        <v>0.19961663668294355</v>
      </c>
      <c r="H21" s="95">
        <f t="shared" si="1"/>
        <v>0.25217803030303032</v>
      </c>
      <c r="I21" s="3">
        <f t="shared" si="6"/>
        <v>5.9833333333333334</v>
      </c>
      <c r="J21" s="201">
        <v>6.3040000000000003</v>
      </c>
      <c r="K21" s="20">
        <f t="shared" si="7"/>
        <v>5.3593314763231231E-2</v>
      </c>
      <c r="L21" s="4">
        <f t="shared" si="2"/>
        <v>0.75996181478277991</v>
      </c>
      <c r="M21" s="5">
        <v>1</v>
      </c>
      <c r="N21" s="15">
        <v>0.99919999999999998</v>
      </c>
      <c r="O21" s="6"/>
      <c r="P21" s="6"/>
      <c r="Q21" s="139" t="s">
        <v>303</v>
      </c>
    </row>
    <row r="22" spans="1:17">
      <c r="A22" s="13">
        <f t="shared" si="8"/>
        <v>46131</v>
      </c>
      <c r="B22" s="1">
        <f t="shared" si="3"/>
        <v>18342.566666666666</v>
      </c>
      <c r="C22" s="1">
        <f t="shared" si="4"/>
        <v>18038.666666666668</v>
      </c>
      <c r="D22" s="200">
        <v>19254</v>
      </c>
      <c r="E22" s="205">
        <v>18100</v>
      </c>
      <c r="F22" s="150">
        <f t="shared" si="5"/>
        <v>3.4001034814102361E-3</v>
      </c>
      <c r="G22" s="2">
        <f t="shared" si="0"/>
        <v>0.20618093035209459</v>
      </c>
      <c r="H22" s="95">
        <f>E22/($D$2*24)</f>
        <v>0.1938233530369228</v>
      </c>
      <c r="I22" s="3">
        <f t="shared" si="6"/>
        <v>5.9833333333333334</v>
      </c>
      <c r="J22" s="201">
        <v>6.6349999999999998</v>
      </c>
      <c r="K22" s="20">
        <f t="shared" si="7"/>
        <v>0.10891364902506959</v>
      </c>
      <c r="L22" s="4">
        <f t="shared" si="2"/>
        <v>0.7457938701507566</v>
      </c>
      <c r="M22" s="5">
        <v>1</v>
      </c>
      <c r="N22" s="15">
        <v>0.99919999999999998</v>
      </c>
      <c r="O22" s="6"/>
      <c r="P22" s="6"/>
      <c r="Q22" s="139" t="s">
        <v>304</v>
      </c>
    </row>
    <row r="23" spans="1:17">
      <c r="A23" s="13">
        <f t="shared" si="8"/>
        <v>46132</v>
      </c>
      <c r="B23" s="1">
        <f t="shared" si="3"/>
        <v>18342.566666666666</v>
      </c>
      <c r="C23" s="1">
        <f t="shared" si="4"/>
        <v>18038.666666666668</v>
      </c>
      <c r="D23" s="200">
        <v>19161</v>
      </c>
      <c r="E23" s="205">
        <v>17705</v>
      </c>
      <c r="F23" s="150">
        <f t="shared" si="5"/>
        <v>-1.8497302091802861E-2</v>
      </c>
      <c r="G23" s="2">
        <f t="shared" si="0"/>
        <v>0.20518504240555127</v>
      </c>
      <c r="H23" s="95">
        <f>E23/($D$2*24)</f>
        <v>0.18959350638224964</v>
      </c>
      <c r="I23" s="3">
        <f t="shared" si="6"/>
        <v>5.9833333333333334</v>
      </c>
      <c r="J23" s="201">
        <v>6.5990000000000002</v>
      </c>
      <c r="K23" s="20">
        <f t="shared" si="7"/>
        <v>0.10289693593314765</v>
      </c>
      <c r="L23" s="4">
        <f t="shared" si="2"/>
        <v>0.74624049367074252</v>
      </c>
      <c r="M23" s="5">
        <v>1</v>
      </c>
      <c r="N23" s="15">
        <v>0.99560000000000004</v>
      </c>
      <c r="O23" s="6"/>
      <c r="P23" s="6"/>
      <c r="Q23" s="139" t="s">
        <v>305</v>
      </c>
    </row>
    <row r="24" spans="1:17">
      <c r="A24" s="13">
        <f t="shared" si="8"/>
        <v>46133</v>
      </c>
      <c r="B24" s="1">
        <f t="shared" si="3"/>
        <v>18342.566666666666</v>
      </c>
      <c r="C24" s="1">
        <f t="shared" si="4"/>
        <v>18038.666666666668</v>
      </c>
      <c r="D24" s="14">
        <v>18254</v>
      </c>
      <c r="E24" s="154">
        <v>16983</v>
      </c>
      <c r="F24" s="150">
        <f>(IF(ISBLANK(E24),0,E24-C24))/C24</f>
        <v>-5.8522433291448066E-2</v>
      </c>
      <c r="G24" s="2">
        <f t="shared" ref="G24:G27" si="9">D24/($D$2*24)</f>
        <v>0.19547245780861819</v>
      </c>
      <c r="H24" s="95">
        <f t="shared" ref="H24:H27" si="10">E24/($D$2*24)</f>
        <v>0.18186198920585966</v>
      </c>
      <c r="I24" s="3">
        <f t="shared" si="6"/>
        <v>5.9833333333333334</v>
      </c>
      <c r="J24" s="14">
        <v>6.3090000000000002</v>
      </c>
      <c r="K24" s="20">
        <f>(IF(ISBLANK(J24),0,J24-I24))/I24</f>
        <v>5.4428969359331496E-2</v>
      </c>
      <c r="L24" s="4">
        <f t="shared" si="2"/>
        <v>0.74359470397952709</v>
      </c>
      <c r="M24" s="5">
        <v>1</v>
      </c>
      <c r="N24" s="15">
        <v>0.99790000000000001</v>
      </c>
      <c r="O24" s="6"/>
      <c r="P24" s="6"/>
      <c r="Q24" s="139" t="s">
        <v>306</v>
      </c>
    </row>
    <row r="25" spans="1:17">
      <c r="A25" s="13">
        <f t="shared" si="8"/>
        <v>46134</v>
      </c>
      <c r="B25" s="1">
        <f t="shared" si="3"/>
        <v>18342.566666666666</v>
      </c>
      <c r="C25" s="1">
        <f t="shared" si="4"/>
        <v>18038.666666666668</v>
      </c>
      <c r="D25" s="14">
        <v>17552</v>
      </c>
      <c r="E25" s="154">
        <v>16105</v>
      </c>
      <c r="F25" s="150">
        <f t="shared" si="5"/>
        <v>-0.1071956537807673</v>
      </c>
      <c r="G25" s="2">
        <f t="shared" si="9"/>
        <v>0.18795511008309776</v>
      </c>
      <c r="H25" s="95">
        <f t="shared" si="10"/>
        <v>0.1724599503126874</v>
      </c>
      <c r="I25" s="3">
        <f t="shared" si="6"/>
        <v>5.9833333333333334</v>
      </c>
      <c r="J25" s="14">
        <v>6.1070000000000002</v>
      </c>
      <c r="K25" s="20">
        <f t="shared" si="7"/>
        <v>2.0668523676880247E-2</v>
      </c>
      <c r="L25" s="4">
        <f t="shared" si="2"/>
        <v>0.73864788635898904</v>
      </c>
      <c r="M25" s="5">
        <v>1</v>
      </c>
      <c r="N25" s="15">
        <v>0.98250000000000004</v>
      </c>
      <c r="O25" s="6"/>
      <c r="P25" s="6"/>
      <c r="Q25" s="139" t="s">
        <v>307</v>
      </c>
    </row>
    <row r="26" spans="1:17">
      <c r="A26" s="13">
        <f t="shared" si="8"/>
        <v>46135</v>
      </c>
      <c r="B26" s="1">
        <f t="shared" si="3"/>
        <v>18342.566666666666</v>
      </c>
      <c r="C26" s="1">
        <f t="shared" si="4"/>
        <v>18038.666666666668</v>
      </c>
      <c r="D26" s="14">
        <v>411</v>
      </c>
      <c r="E26" s="154">
        <v>481</v>
      </c>
      <c r="F26" s="150">
        <f t="shared" si="5"/>
        <v>-0.97333505802350506</v>
      </c>
      <c r="G26" s="2">
        <f t="shared" si="9"/>
        <v>4.4011822153688001E-3</v>
      </c>
      <c r="H26" s="95">
        <f t="shared" si="10"/>
        <v>5.1507752934121477E-3</v>
      </c>
      <c r="I26" s="3">
        <f t="shared" si="6"/>
        <v>5.9833333333333334</v>
      </c>
      <c r="J26" s="14">
        <v>0.81399999999999995</v>
      </c>
      <c r="K26" s="20">
        <f t="shared" si="7"/>
        <v>-0.86395543175487466</v>
      </c>
      <c r="L26" s="4">
        <f t="shared" si="2"/>
        <v>0.1297645862025199</v>
      </c>
      <c r="M26" s="5">
        <v>1</v>
      </c>
      <c r="N26" s="5">
        <v>1</v>
      </c>
      <c r="O26" s="6"/>
      <c r="P26" s="6"/>
      <c r="Q26" s="139" t="s">
        <v>308</v>
      </c>
    </row>
    <row r="27" spans="1:17">
      <c r="A27" s="13">
        <f t="shared" si="8"/>
        <v>46136</v>
      </c>
      <c r="B27" s="1">
        <f t="shared" si="3"/>
        <v>18342.566666666666</v>
      </c>
      <c r="C27" s="1">
        <f t="shared" si="4"/>
        <v>18038.666666666668</v>
      </c>
      <c r="D27" s="14">
        <v>18011</v>
      </c>
      <c r="E27" s="154">
        <v>17638</v>
      </c>
      <c r="F27" s="150">
        <f t="shared" si="5"/>
        <v>-2.2211545568778246E-2</v>
      </c>
      <c r="G27" s="2">
        <f t="shared" si="9"/>
        <v>0.19287029898055341</v>
      </c>
      <c r="H27" s="95">
        <f t="shared" si="10"/>
        <v>0.18887603872183673</v>
      </c>
      <c r="I27" s="3">
        <f t="shared" si="6"/>
        <v>5.9833333333333334</v>
      </c>
      <c r="J27" s="14">
        <v>6.0709999999999997</v>
      </c>
      <c r="K27" s="20">
        <f t="shared" si="7"/>
        <v>1.4651810584958161E-2</v>
      </c>
      <c r="L27" s="4">
        <f t="shared" si="2"/>
        <v>0.76245876717728256</v>
      </c>
      <c r="M27" s="5">
        <v>1</v>
      </c>
      <c r="N27" s="15">
        <v>0.99790000000000001</v>
      </c>
      <c r="O27" s="6"/>
      <c r="P27" s="6"/>
      <c r="Q27" s="139" t="s">
        <v>309</v>
      </c>
    </row>
    <row r="28" spans="1:17">
      <c r="A28" s="13">
        <f t="shared" si="8"/>
        <v>46137</v>
      </c>
      <c r="B28" s="1">
        <f t="shared" si="3"/>
        <v>18342.566666666666</v>
      </c>
      <c r="C28" s="1">
        <f t="shared" si="4"/>
        <v>18038.666666666668</v>
      </c>
      <c r="D28" s="159">
        <v>17972</v>
      </c>
      <c r="E28" s="159">
        <v>18034</v>
      </c>
      <c r="F28" s="150">
        <f t="shared" si="5"/>
        <v>-2.5870352575954684E-4</v>
      </c>
      <c r="G28" s="2">
        <f t="shared" ref="G28:G29" si="11">D28/($D$2*24)</f>
        <v>0.19245266855135784</v>
      </c>
      <c r="H28" s="95">
        <f t="shared" ref="H28:H29" si="12">E28/($D$2*24)</f>
        <v>0.19311659384905336</v>
      </c>
      <c r="I28" s="3">
        <v>5.9829999999999997</v>
      </c>
      <c r="J28" s="159">
        <v>6.2560000000000002</v>
      </c>
      <c r="K28" s="20">
        <f t="shared" si="7"/>
        <v>4.5629282968410595E-2</v>
      </c>
      <c r="L28" s="4">
        <f t="shared" si="2"/>
        <v>0.738309470145874</v>
      </c>
      <c r="M28" s="5">
        <v>1</v>
      </c>
      <c r="N28" s="157">
        <v>1</v>
      </c>
      <c r="O28" s="6"/>
      <c r="P28" s="6"/>
      <c r="Q28" s="141"/>
    </row>
    <row r="29" spans="1:17">
      <c r="A29" s="13">
        <f t="shared" si="8"/>
        <v>46138</v>
      </c>
      <c r="B29" s="1">
        <f t="shared" si="3"/>
        <v>18342.566666666666</v>
      </c>
      <c r="C29" s="1">
        <f t="shared" si="4"/>
        <v>18038.666666666668</v>
      </c>
      <c r="D29" s="159">
        <v>18108</v>
      </c>
      <c r="E29" s="159">
        <v>18280</v>
      </c>
      <c r="F29" s="150">
        <f t="shared" si="5"/>
        <v>1.3378668046418737E-2</v>
      </c>
      <c r="G29" s="2">
        <f t="shared" si="11"/>
        <v>0.19390902081727063</v>
      </c>
      <c r="H29" s="95">
        <f t="shared" si="12"/>
        <v>0.19575087809474856</v>
      </c>
      <c r="I29" s="3">
        <v>5.9829999999999997</v>
      </c>
      <c r="J29" s="159">
        <v>6.2960000000000003</v>
      </c>
      <c r="K29" s="20">
        <f t="shared" si="7"/>
        <v>5.2314892194551335E-2</v>
      </c>
      <c r="L29" s="4">
        <f t="shared" si="2"/>
        <v>0.73917034619035815</v>
      </c>
      <c r="M29" s="5">
        <v>1</v>
      </c>
      <c r="N29" s="158">
        <v>0.99880000000000002</v>
      </c>
      <c r="O29" s="6"/>
      <c r="P29" s="6"/>
      <c r="Q29" s="139" t="s">
        <v>310</v>
      </c>
    </row>
    <row r="30" spans="1:17">
      <c r="A30" s="13">
        <f t="shared" si="8"/>
        <v>46139</v>
      </c>
      <c r="B30" s="1">
        <f t="shared" si="3"/>
        <v>18342.566666666666</v>
      </c>
      <c r="C30" s="1">
        <f t="shared" si="4"/>
        <v>18038.666666666668</v>
      </c>
      <c r="D30" s="159">
        <v>19013</v>
      </c>
      <c r="E30" s="159">
        <v>19574</v>
      </c>
      <c r="F30" s="150">
        <f t="shared" si="5"/>
        <v>8.511345997486873E-2</v>
      </c>
      <c r="G30" s="2">
        <f t="shared" ref="G30" si="13">D30/($D$2*24)</f>
        <v>0.20360018846911676</v>
      </c>
      <c r="H30" s="95">
        <f t="shared" ref="H30" si="14">E30/($D$2*24)</f>
        <v>0.20960764156600703</v>
      </c>
      <c r="I30" s="3">
        <v>5.9829999999999997</v>
      </c>
      <c r="J30" s="159">
        <v>6.548</v>
      </c>
      <c r="K30" s="20">
        <f t="shared" si="7"/>
        <v>9.4434230319237908E-2</v>
      </c>
      <c r="L30" s="4">
        <f t="shared" si="2"/>
        <v>0.74624381845736143</v>
      </c>
      <c r="M30" s="5">
        <v>1</v>
      </c>
      <c r="N30" s="158">
        <v>0.99880000000000002</v>
      </c>
      <c r="O30" s="6"/>
      <c r="P30" s="6"/>
      <c r="Q30" s="139" t="s">
        <v>311</v>
      </c>
    </row>
    <row r="31" spans="1:17">
      <c r="A31" s="13">
        <f t="shared" si="8"/>
        <v>46140</v>
      </c>
      <c r="B31" s="1">
        <f t="shared" si="3"/>
        <v>18342.566666666666</v>
      </c>
      <c r="C31" s="1">
        <f t="shared" si="4"/>
        <v>18038.666666666668</v>
      </c>
      <c r="D31" s="159">
        <v>18775</v>
      </c>
      <c r="E31" s="159">
        <v>18828</v>
      </c>
      <c r="F31" s="150">
        <f t="shared" si="5"/>
        <v>4.375785349988906E-2</v>
      </c>
      <c r="G31" s="2">
        <f t="shared" ref="G31" si="15">D31/($D$2*24)</f>
        <v>0.20105157200376939</v>
      </c>
      <c r="H31" s="95">
        <f t="shared" ref="H31" si="16">E31/($D$2*24)</f>
        <v>0.20161912104857363</v>
      </c>
      <c r="I31" s="3">
        <v>5.9829999999999997</v>
      </c>
      <c r="J31" s="159">
        <v>6.3209999999999997</v>
      </c>
      <c r="K31" s="20">
        <f t="shared" si="7"/>
        <v>5.6493397960889202E-2</v>
      </c>
      <c r="L31" s="4">
        <f t="shared" si="2"/>
        <v>0.76336619650220938</v>
      </c>
      <c r="M31" s="5">
        <v>1</v>
      </c>
      <c r="N31" s="15">
        <v>0.99990000000000001</v>
      </c>
      <c r="O31" s="6"/>
      <c r="P31" s="6"/>
      <c r="Q31" s="287" t="s">
        <v>312</v>
      </c>
    </row>
    <row r="32" spans="1:17">
      <c r="A32" s="13">
        <f t="shared" si="8"/>
        <v>46141</v>
      </c>
      <c r="B32" s="1">
        <f t="shared" si="3"/>
        <v>18342.566666666666</v>
      </c>
      <c r="C32" s="1">
        <f t="shared" si="4"/>
        <v>18038.666666666668</v>
      </c>
      <c r="D32" s="159">
        <v>17163</v>
      </c>
      <c r="E32" s="159">
        <v>17294</v>
      </c>
      <c r="F32" s="150">
        <f t="shared" si="5"/>
        <v>-4.1281691181905604E-2</v>
      </c>
      <c r="G32" s="2">
        <f>D32/($D$2*24)</f>
        <v>0.18378951426368542</v>
      </c>
      <c r="H32" s="95">
        <f>E32/($D$2*24)</f>
        <v>0.18519232416688083</v>
      </c>
      <c r="I32" s="3">
        <v>5.9829999999999997</v>
      </c>
      <c r="J32" s="159">
        <v>5.9039999999999999</v>
      </c>
      <c r="K32" s="20">
        <f t="shared" si="7"/>
        <v>-1.3204078221627903E-2</v>
      </c>
      <c r="L32" s="4">
        <f t="shared" si="2"/>
        <v>0.74711184660034724</v>
      </c>
      <c r="M32" s="5">
        <v>1</v>
      </c>
      <c r="N32" s="15">
        <v>0.99670000000000003</v>
      </c>
      <c r="O32" s="6"/>
      <c r="P32" s="6"/>
      <c r="Q32" s="6" t="s">
        <v>313</v>
      </c>
    </row>
    <row r="33" spans="1:17">
      <c r="A33" s="13">
        <f t="shared" si="8"/>
        <v>46142</v>
      </c>
      <c r="B33" s="1">
        <f t="shared" si="3"/>
        <v>18342.566666666666</v>
      </c>
      <c r="C33" s="1">
        <f t="shared" si="4"/>
        <v>18038.666666666668</v>
      </c>
      <c r="D33" s="159">
        <v>16475</v>
      </c>
      <c r="E33" s="159">
        <v>16588</v>
      </c>
      <c r="F33" s="150">
        <f t="shared" si="5"/>
        <v>-8.0419838864661156E-2</v>
      </c>
      <c r="G33" s="2">
        <f>D33/($D$2*24)</f>
        <v>0.17642208515377367</v>
      </c>
      <c r="H33" s="95">
        <f>E33/($D$2*24)</f>
        <v>0.17763214255118651</v>
      </c>
      <c r="I33" s="3">
        <v>5.9829999999999997</v>
      </c>
      <c r="J33" s="159">
        <v>5.6630000000000003</v>
      </c>
      <c r="K33" s="20">
        <f t="shared" si="7"/>
        <v>-5.3484873809125762E-2</v>
      </c>
      <c r="L33" s="4">
        <f t="shared" si="2"/>
        <v>0.74768321449595054</v>
      </c>
      <c r="M33" s="5">
        <v>1</v>
      </c>
      <c r="N33" s="15">
        <v>0.99790000000000001</v>
      </c>
      <c r="O33" s="6"/>
      <c r="P33" s="6"/>
      <c r="Q33" s="16" t="s">
        <v>314</v>
      </c>
    </row>
    <row r="34" spans="1:17">
      <c r="A34" s="349">
        <v>46113</v>
      </c>
      <c r="B34" s="17">
        <f>SUM(B4:B33)</f>
        <v>550276.99999999965</v>
      </c>
      <c r="C34" s="17">
        <f>SUM(C4:C33)</f>
        <v>541160.00000000023</v>
      </c>
      <c r="D34" s="17">
        <f>SUM(D4:D33)</f>
        <v>520564</v>
      </c>
      <c r="E34" s="17">
        <f>SUM(E4:E33)</f>
        <v>493673</v>
      </c>
      <c r="F34" s="312">
        <f>(IF(ISBLANK(E34),0,E34-C34))/C34</f>
        <v>-8.7750388055289036E-2</v>
      </c>
      <c r="G34" s="156">
        <f>AVERAGE(G4:G33)</f>
        <v>0.18581484337074156</v>
      </c>
      <c r="H34" s="18">
        <f>AVERAGE(H4:H33)</f>
        <v>0.21431009402409745</v>
      </c>
      <c r="I34" s="17">
        <f>SUM(I4:I33)</f>
        <v>179.49799999999999</v>
      </c>
      <c r="J34" s="17">
        <f>SUM(J4:J33)</f>
        <v>178.18599999999998</v>
      </c>
      <c r="K34" s="164">
        <f t="shared" si="7"/>
        <v>-7.3092736409319983E-3</v>
      </c>
      <c r="L34" s="163">
        <f t="shared" si="2"/>
        <v>0.75082603137695425</v>
      </c>
      <c r="M34" s="18">
        <f>AVERAGE(M4:M33)</f>
        <v>1</v>
      </c>
      <c r="N34" s="18">
        <f>AVERAGE(N4:N33)</f>
        <v>0.9968866666666667</v>
      </c>
      <c r="O34" s="17">
        <f>SUM(O4:O33)</f>
        <v>0</v>
      </c>
      <c r="P34" s="17">
        <f>SUM(P4:P33)</f>
        <v>0</v>
      </c>
      <c r="Q34" s="19"/>
    </row>
    <row r="35" spans="1:17">
      <c r="A35" s="13">
        <v>46143</v>
      </c>
      <c r="B35" s="1">
        <v>17415</v>
      </c>
      <c r="C35" s="1">
        <v>13889</v>
      </c>
      <c r="D35" s="159">
        <v>16339</v>
      </c>
      <c r="E35" s="159">
        <v>16564</v>
      </c>
      <c r="F35" s="150">
        <f>(IF(ISBLANK(E35),0,E35-C35))/C35</f>
        <v>0.1925984592123263</v>
      </c>
      <c r="G35" s="2">
        <f t="shared" ref="G35:G54" si="17">D35/($D$2*24)</f>
        <v>0.17496573288786088</v>
      </c>
      <c r="H35" s="95">
        <f t="shared" ref="H35:H52" si="18">D35/($H$2*24)</f>
        <v>0.22103625541125541</v>
      </c>
      <c r="I35" s="3">
        <v>5.74</v>
      </c>
      <c r="J35" s="159">
        <v>5.3860000000000001</v>
      </c>
      <c r="K35" s="20">
        <f>(IF(ISBLANK(J35),0,J35-I35))/I35</f>
        <v>-6.1672473867595834E-2</v>
      </c>
      <c r="L35" s="4">
        <f t="shared" si="2"/>
        <v>0.77964678598378412</v>
      </c>
      <c r="M35" s="5">
        <v>1</v>
      </c>
      <c r="N35" s="5">
        <v>1</v>
      </c>
      <c r="O35" s="6"/>
      <c r="P35" s="6"/>
      <c r="Q35" s="139"/>
    </row>
    <row r="36" spans="1:17">
      <c r="A36" s="13">
        <f>A35+1</f>
        <v>46144</v>
      </c>
      <c r="B36" s="1">
        <v>17415</v>
      </c>
      <c r="C36" s="1">
        <v>13889</v>
      </c>
      <c r="D36" s="159">
        <v>15390</v>
      </c>
      <c r="E36" s="159">
        <v>15586</v>
      </c>
      <c r="F36" s="150">
        <f t="shared" ref="F36:F54" si="19">(IF(ISBLANK(E36),0,E36-C36))/C36</f>
        <v>0.12218302253581971</v>
      </c>
      <c r="G36" s="2">
        <f t="shared" si="17"/>
        <v>0.16480339244410178</v>
      </c>
      <c r="H36" s="95">
        <f t="shared" si="18"/>
        <v>0.20819805194805194</v>
      </c>
      <c r="I36" s="3">
        <v>5.74</v>
      </c>
      <c r="J36" s="159">
        <v>5.1020000000000003</v>
      </c>
      <c r="K36" s="20">
        <f t="shared" ref="K36:K54" si="20">(IF(ISBLANK(J36),0,J36-I36))/I36</f>
        <v>-0.1111498257839721</v>
      </c>
      <c r="L36" s="4">
        <f t="shared" ref="L36:L66" si="21">D36/($D$2*J36)</f>
        <v>0.77524135998793464</v>
      </c>
      <c r="M36" s="5">
        <v>1</v>
      </c>
      <c r="N36" s="15">
        <v>0.99960000000000004</v>
      </c>
      <c r="O36" s="6"/>
      <c r="P36" s="6"/>
      <c r="Q36" s="139" t="s">
        <v>315</v>
      </c>
    </row>
    <row r="37" spans="1:17">
      <c r="A37" s="13">
        <f t="shared" ref="A37:A65" si="22">A36+1</f>
        <v>46145</v>
      </c>
      <c r="B37" s="1">
        <v>17415</v>
      </c>
      <c r="C37" s="1">
        <v>13889</v>
      </c>
      <c r="D37" s="159">
        <v>16147</v>
      </c>
      <c r="E37" s="159">
        <v>16571</v>
      </c>
      <c r="F37" s="150">
        <f t="shared" si="19"/>
        <v>0.19310245518035857</v>
      </c>
      <c r="G37" s="2">
        <f t="shared" si="17"/>
        <v>0.1729097061595134</v>
      </c>
      <c r="H37" s="95">
        <f t="shared" si="18"/>
        <v>0.21843885281385281</v>
      </c>
      <c r="I37" s="3">
        <v>5.74</v>
      </c>
      <c r="J37" s="159">
        <v>5.3369999999999997</v>
      </c>
      <c r="K37" s="20">
        <f t="shared" si="20"/>
        <v>-7.0209059233449556E-2</v>
      </c>
      <c r="L37" s="4">
        <f t="shared" si="21"/>
        <v>0.7775591058325505</v>
      </c>
      <c r="M37" s="5">
        <v>1</v>
      </c>
      <c r="N37" s="353">
        <v>0.99919999999999998</v>
      </c>
      <c r="O37" s="6"/>
      <c r="P37" s="6"/>
      <c r="Q37" s="139" t="s">
        <v>316</v>
      </c>
    </row>
    <row r="38" spans="1:17">
      <c r="A38" s="13">
        <f t="shared" si="22"/>
        <v>46146</v>
      </c>
      <c r="B38" s="1">
        <v>17415</v>
      </c>
      <c r="C38" s="1">
        <v>13889</v>
      </c>
      <c r="D38" s="159">
        <v>17989</v>
      </c>
      <c r="E38" s="159">
        <v>18155</v>
      </c>
      <c r="F38" s="150">
        <f t="shared" si="19"/>
        <v>0.30714954280365758</v>
      </c>
      <c r="G38" s="2">
        <f t="shared" si="17"/>
        <v>0.19263471258459694</v>
      </c>
      <c r="H38" s="95">
        <f t="shared" si="18"/>
        <v>0.24335768398268398</v>
      </c>
      <c r="I38" s="3">
        <v>5.74</v>
      </c>
      <c r="J38" s="201">
        <v>5.8109999999999999</v>
      </c>
      <c r="K38" s="20">
        <f t="shared" si="20"/>
        <v>1.2369337979094029E-2</v>
      </c>
      <c r="L38" s="4">
        <f t="shared" si="21"/>
        <v>0.79560025848052429</v>
      </c>
      <c r="M38" s="5">
        <v>1</v>
      </c>
      <c r="N38" s="5" t="s">
        <v>317</v>
      </c>
      <c r="O38" s="6"/>
      <c r="P38" s="6"/>
      <c r="Q38" s="139" t="s">
        <v>318</v>
      </c>
    </row>
    <row r="39" spans="1:17">
      <c r="A39" s="13">
        <f t="shared" si="22"/>
        <v>46147</v>
      </c>
      <c r="B39" s="1">
        <v>17415</v>
      </c>
      <c r="C39" s="1">
        <v>13889</v>
      </c>
      <c r="D39" s="159">
        <v>15060</v>
      </c>
      <c r="E39" s="159">
        <v>15456</v>
      </c>
      <c r="F39" s="150">
        <f t="shared" si="19"/>
        <v>0.11282309741522067</v>
      </c>
      <c r="G39" s="2">
        <f t="shared" si="17"/>
        <v>0.16126959650475456</v>
      </c>
      <c r="H39" s="95">
        <f t="shared" si="18"/>
        <v>0.20373376623376624</v>
      </c>
      <c r="I39" s="3">
        <v>5.74</v>
      </c>
      <c r="J39" s="159">
        <v>4.7279999999999998</v>
      </c>
      <c r="K39" s="20">
        <f t="shared" si="20"/>
        <v>-0.17630662020905929</v>
      </c>
      <c r="L39" s="4">
        <f t="shared" si="21"/>
        <v>0.81862739342515023</v>
      </c>
      <c r="M39" s="5">
        <v>1</v>
      </c>
      <c r="N39" s="5">
        <v>1</v>
      </c>
      <c r="O39" s="6"/>
      <c r="P39" s="6"/>
      <c r="Q39" s="142" t="s">
        <v>292</v>
      </c>
    </row>
    <row r="40" spans="1:17">
      <c r="A40" s="13">
        <f t="shared" si="22"/>
        <v>46148</v>
      </c>
      <c r="B40" s="1"/>
      <c r="C40" s="1"/>
      <c r="D40" s="200"/>
      <c r="E40" s="205"/>
      <c r="F40" s="150" t="e">
        <f t="shared" si="19"/>
        <v>#DIV/0!</v>
      </c>
      <c r="G40" s="2">
        <f t="shared" si="17"/>
        <v>0</v>
      </c>
      <c r="H40" s="95">
        <f t="shared" si="18"/>
        <v>0</v>
      </c>
      <c r="I40" s="3"/>
      <c r="J40" s="201"/>
      <c r="K40" s="20" t="e">
        <f t="shared" si="20"/>
        <v>#DIV/0!</v>
      </c>
      <c r="L40" s="4" t="e">
        <f t="shared" si="21"/>
        <v>#DIV/0!</v>
      </c>
      <c r="M40" s="5"/>
      <c r="N40" s="5"/>
      <c r="O40" s="6"/>
      <c r="P40" s="6"/>
      <c r="Q40" s="142"/>
    </row>
    <row r="41" spans="1:17">
      <c r="A41" s="13">
        <f t="shared" si="22"/>
        <v>46149</v>
      </c>
      <c r="B41" s="1"/>
      <c r="C41" s="1"/>
      <c r="D41" s="200"/>
      <c r="E41" s="205"/>
      <c r="F41" s="150" t="e">
        <f t="shared" si="19"/>
        <v>#DIV/0!</v>
      </c>
      <c r="G41" s="2">
        <f t="shared" si="17"/>
        <v>0</v>
      </c>
      <c r="H41" s="95">
        <f t="shared" si="18"/>
        <v>0</v>
      </c>
      <c r="I41" s="3"/>
      <c r="J41" s="201"/>
      <c r="K41" s="20" t="e">
        <f t="shared" si="20"/>
        <v>#DIV/0!</v>
      </c>
      <c r="L41" s="4" t="e">
        <f t="shared" si="21"/>
        <v>#DIV/0!</v>
      </c>
      <c r="M41" s="5"/>
      <c r="N41" s="15"/>
      <c r="O41" s="6"/>
      <c r="P41" s="6"/>
      <c r="Q41" s="143"/>
    </row>
    <row r="42" spans="1:17">
      <c r="A42" s="13">
        <f t="shared" si="22"/>
        <v>46150</v>
      </c>
      <c r="B42" s="1"/>
      <c r="C42" s="1"/>
      <c r="D42" s="200"/>
      <c r="E42" s="205"/>
      <c r="F42" s="150" t="e">
        <f t="shared" si="19"/>
        <v>#DIV/0!</v>
      </c>
      <c r="G42" s="2">
        <f t="shared" si="17"/>
        <v>0</v>
      </c>
      <c r="H42" s="95">
        <f t="shared" si="18"/>
        <v>0</v>
      </c>
      <c r="I42" s="3"/>
      <c r="J42" s="201"/>
      <c r="K42" s="20" t="e">
        <f t="shared" si="20"/>
        <v>#DIV/0!</v>
      </c>
      <c r="L42" s="4" t="e">
        <f t="shared" si="21"/>
        <v>#DIV/0!</v>
      </c>
      <c r="M42" s="5"/>
      <c r="N42" s="15"/>
      <c r="O42" s="6"/>
      <c r="P42" s="6"/>
      <c r="Q42" s="142"/>
    </row>
    <row r="43" spans="1:17">
      <c r="A43" s="13">
        <f t="shared" si="22"/>
        <v>46151</v>
      </c>
      <c r="B43" s="1"/>
      <c r="C43" s="1"/>
      <c r="D43" s="200"/>
      <c r="E43" s="205"/>
      <c r="F43" s="150" t="e">
        <f t="shared" si="19"/>
        <v>#DIV/0!</v>
      </c>
      <c r="G43" s="2">
        <f t="shared" si="17"/>
        <v>0</v>
      </c>
      <c r="H43" s="95">
        <f t="shared" si="18"/>
        <v>0</v>
      </c>
      <c r="I43" s="3"/>
      <c r="J43" s="201"/>
      <c r="K43" s="20" t="e">
        <f t="shared" si="20"/>
        <v>#DIV/0!</v>
      </c>
      <c r="L43" s="4" t="e">
        <f t="shared" si="21"/>
        <v>#DIV/0!</v>
      </c>
      <c r="M43" s="5"/>
      <c r="N43" s="5"/>
      <c r="O43" s="6"/>
      <c r="P43" s="6"/>
      <c r="Q43" s="139"/>
    </row>
    <row r="44" spans="1:17">
      <c r="A44" s="13">
        <f t="shared" si="22"/>
        <v>46152</v>
      </c>
      <c r="B44" s="1"/>
      <c r="C44" s="1"/>
      <c r="D44" s="200"/>
      <c r="E44" s="205"/>
      <c r="F44" s="150" t="e">
        <f t="shared" si="19"/>
        <v>#DIV/0!</v>
      </c>
      <c r="G44" s="2">
        <f t="shared" si="17"/>
        <v>0</v>
      </c>
      <c r="H44" s="95">
        <f t="shared" si="18"/>
        <v>0</v>
      </c>
      <c r="I44" s="3"/>
      <c r="J44" s="201"/>
      <c r="K44" s="20" t="e">
        <f t="shared" si="20"/>
        <v>#DIV/0!</v>
      </c>
      <c r="L44" s="4" t="e">
        <f t="shared" si="21"/>
        <v>#DIV/0!</v>
      </c>
      <c r="M44" s="5"/>
      <c r="N44" s="15"/>
      <c r="O44" s="6"/>
      <c r="P44" s="6"/>
      <c r="Q44" s="139"/>
    </row>
    <row r="45" spans="1:17">
      <c r="A45" s="13">
        <f t="shared" si="22"/>
        <v>46153</v>
      </c>
      <c r="B45" s="1"/>
      <c r="C45" s="1"/>
      <c r="D45" s="200"/>
      <c r="E45" s="205"/>
      <c r="F45" s="150" t="e">
        <f t="shared" si="19"/>
        <v>#DIV/0!</v>
      </c>
      <c r="G45" s="2">
        <f t="shared" si="17"/>
        <v>0</v>
      </c>
      <c r="H45" s="95">
        <f t="shared" si="18"/>
        <v>0</v>
      </c>
      <c r="I45" s="3"/>
      <c r="J45" s="201"/>
      <c r="K45" s="20" t="e">
        <f t="shared" si="20"/>
        <v>#DIV/0!</v>
      </c>
      <c r="L45" s="4" t="e">
        <f t="shared" si="21"/>
        <v>#DIV/0!</v>
      </c>
      <c r="M45" s="5"/>
      <c r="N45" s="15"/>
      <c r="O45" s="6"/>
      <c r="P45" s="6"/>
      <c r="Q45" s="139"/>
    </row>
    <row r="46" spans="1:17">
      <c r="A46" s="13">
        <f t="shared" si="22"/>
        <v>46154</v>
      </c>
      <c r="B46" s="1"/>
      <c r="C46" s="1"/>
      <c r="D46" s="200"/>
      <c r="E46" s="205"/>
      <c r="F46" s="150" t="e">
        <f t="shared" si="19"/>
        <v>#DIV/0!</v>
      </c>
      <c r="G46" s="2">
        <f t="shared" si="17"/>
        <v>0</v>
      </c>
      <c r="H46" s="95">
        <f t="shared" si="18"/>
        <v>0</v>
      </c>
      <c r="I46" s="3"/>
      <c r="J46" s="201"/>
      <c r="K46" s="20" t="e">
        <f t="shared" si="20"/>
        <v>#DIV/0!</v>
      </c>
      <c r="L46" s="4" t="e">
        <f t="shared" si="21"/>
        <v>#DIV/0!</v>
      </c>
      <c r="M46" s="5"/>
      <c r="N46" s="15"/>
      <c r="O46" s="6"/>
      <c r="P46" s="6"/>
      <c r="Q46" s="139"/>
    </row>
    <row r="47" spans="1:17">
      <c r="A47" s="13">
        <f t="shared" si="22"/>
        <v>46155</v>
      </c>
      <c r="B47" s="1"/>
      <c r="C47" s="1"/>
      <c r="D47" s="200"/>
      <c r="E47" s="205"/>
      <c r="F47" s="150" t="e">
        <f t="shared" si="19"/>
        <v>#DIV/0!</v>
      </c>
      <c r="G47" s="2">
        <f t="shared" si="17"/>
        <v>0</v>
      </c>
      <c r="H47" s="95">
        <f t="shared" si="18"/>
        <v>0</v>
      </c>
      <c r="I47" s="3"/>
      <c r="J47" s="201"/>
      <c r="K47" s="20" t="e">
        <f t="shared" si="20"/>
        <v>#DIV/0!</v>
      </c>
      <c r="L47" s="4" t="e">
        <f t="shared" si="21"/>
        <v>#DIV/0!</v>
      </c>
      <c r="M47" s="5"/>
      <c r="N47" s="15"/>
      <c r="O47" s="6"/>
      <c r="P47" s="6"/>
      <c r="Q47" s="139"/>
    </row>
    <row r="48" spans="1:17">
      <c r="A48" s="13">
        <f t="shared" si="22"/>
        <v>46156</v>
      </c>
      <c r="B48" s="1"/>
      <c r="C48" s="1"/>
      <c r="D48" s="200"/>
      <c r="E48" s="205"/>
      <c r="F48" s="150" t="e">
        <f t="shared" si="19"/>
        <v>#DIV/0!</v>
      </c>
      <c r="G48" s="2">
        <f t="shared" si="17"/>
        <v>0</v>
      </c>
      <c r="H48" s="95">
        <f t="shared" si="18"/>
        <v>0</v>
      </c>
      <c r="I48" s="3"/>
      <c r="J48" s="201"/>
      <c r="K48" s="20" t="e">
        <f t="shared" si="20"/>
        <v>#DIV/0!</v>
      </c>
      <c r="L48" s="4" t="e">
        <f t="shared" si="21"/>
        <v>#DIV/0!</v>
      </c>
      <c r="M48" s="5"/>
      <c r="N48" s="15"/>
      <c r="O48" s="6"/>
      <c r="P48" s="6"/>
      <c r="Q48" s="140"/>
    </row>
    <row r="49" spans="1:17">
      <c r="A49" s="13">
        <f t="shared" si="22"/>
        <v>46157</v>
      </c>
      <c r="B49" s="1"/>
      <c r="C49" s="1"/>
      <c r="D49" s="200"/>
      <c r="E49" s="205"/>
      <c r="F49" s="150" t="e">
        <f t="shared" si="19"/>
        <v>#DIV/0!</v>
      </c>
      <c r="G49" s="2">
        <f t="shared" si="17"/>
        <v>0</v>
      </c>
      <c r="H49" s="95">
        <f t="shared" si="18"/>
        <v>0</v>
      </c>
      <c r="I49" s="3"/>
      <c r="J49" s="201"/>
      <c r="K49" s="20" t="e">
        <f t="shared" si="20"/>
        <v>#DIV/0!</v>
      </c>
      <c r="L49" s="4" t="e">
        <f t="shared" si="21"/>
        <v>#DIV/0!</v>
      </c>
      <c r="M49" s="5"/>
      <c r="N49" s="15"/>
      <c r="O49" s="6"/>
      <c r="P49" s="6"/>
      <c r="Q49" s="139"/>
    </row>
    <row r="50" spans="1:17">
      <c r="A50" s="13">
        <f t="shared" si="22"/>
        <v>46158</v>
      </c>
      <c r="B50" s="1"/>
      <c r="C50" s="1"/>
      <c r="D50" s="200"/>
      <c r="E50" s="205"/>
      <c r="F50" s="150" t="e">
        <f t="shared" si="19"/>
        <v>#DIV/0!</v>
      </c>
      <c r="G50" s="2">
        <f t="shared" si="17"/>
        <v>0</v>
      </c>
      <c r="H50" s="95">
        <f t="shared" si="18"/>
        <v>0</v>
      </c>
      <c r="I50" s="3"/>
      <c r="J50" s="201"/>
      <c r="K50" s="20" t="e">
        <f t="shared" si="20"/>
        <v>#DIV/0!</v>
      </c>
      <c r="L50" s="4" t="e">
        <f t="shared" si="21"/>
        <v>#DIV/0!</v>
      </c>
      <c r="M50" s="5"/>
      <c r="N50" s="15"/>
      <c r="O50" s="6"/>
      <c r="P50" s="6"/>
      <c r="Q50" s="139"/>
    </row>
    <row r="51" spans="1:17">
      <c r="A51" s="13">
        <f t="shared" si="22"/>
        <v>46159</v>
      </c>
      <c r="B51" s="1"/>
      <c r="C51" s="1"/>
      <c r="D51" s="200"/>
      <c r="E51" s="205"/>
      <c r="F51" s="150" t="e">
        <f t="shared" si="19"/>
        <v>#DIV/0!</v>
      </c>
      <c r="G51" s="2">
        <f t="shared" si="17"/>
        <v>0</v>
      </c>
      <c r="H51" s="95">
        <f t="shared" si="18"/>
        <v>0</v>
      </c>
      <c r="I51" s="3"/>
      <c r="J51" s="201"/>
      <c r="K51" s="20" t="e">
        <f t="shared" si="20"/>
        <v>#DIV/0!</v>
      </c>
      <c r="L51" s="4" t="e">
        <f t="shared" si="21"/>
        <v>#DIV/0!</v>
      </c>
      <c r="M51" s="5"/>
      <c r="N51" s="15"/>
      <c r="O51" s="6"/>
      <c r="P51" s="6"/>
      <c r="Q51" s="139"/>
    </row>
    <row r="52" spans="1:17">
      <c r="A52" s="13">
        <f t="shared" si="22"/>
        <v>46160</v>
      </c>
      <c r="B52" s="1"/>
      <c r="C52" s="1"/>
      <c r="D52" s="200"/>
      <c r="E52" s="205"/>
      <c r="F52" s="150" t="e">
        <f t="shared" si="19"/>
        <v>#DIV/0!</v>
      </c>
      <c r="G52" s="2">
        <f t="shared" si="17"/>
        <v>0</v>
      </c>
      <c r="H52" s="95">
        <f t="shared" si="18"/>
        <v>0</v>
      </c>
      <c r="I52" s="3"/>
      <c r="J52" s="201"/>
      <c r="K52" s="20" t="e">
        <f t="shared" si="20"/>
        <v>#DIV/0!</v>
      </c>
      <c r="L52" s="4" t="e">
        <f t="shared" si="21"/>
        <v>#DIV/0!</v>
      </c>
      <c r="M52" s="5"/>
      <c r="N52" s="15"/>
      <c r="O52" s="6"/>
      <c r="P52" s="6"/>
      <c r="Q52" s="139"/>
    </row>
    <row r="53" spans="1:17">
      <c r="A53" s="13">
        <f t="shared" si="22"/>
        <v>46161</v>
      </c>
      <c r="B53" s="1"/>
      <c r="C53" s="1"/>
      <c r="D53" s="200"/>
      <c r="E53" s="205"/>
      <c r="F53" s="150" t="e">
        <f t="shared" si="19"/>
        <v>#DIV/0!</v>
      </c>
      <c r="G53" s="2">
        <f t="shared" si="17"/>
        <v>0</v>
      </c>
      <c r="H53" s="95">
        <f>E53/($D$2*24)</f>
        <v>0</v>
      </c>
      <c r="I53" s="3"/>
      <c r="J53" s="201"/>
      <c r="K53" s="20" t="e">
        <f t="shared" si="20"/>
        <v>#DIV/0!</v>
      </c>
      <c r="L53" s="4" t="e">
        <f t="shared" si="21"/>
        <v>#DIV/0!</v>
      </c>
      <c r="M53" s="5"/>
      <c r="N53" s="15"/>
      <c r="O53" s="6"/>
      <c r="P53" s="6"/>
      <c r="Q53" s="139"/>
    </row>
    <row r="54" spans="1:17">
      <c r="A54" s="13">
        <f t="shared" si="22"/>
        <v>46162</v>
      </c>
      <c r="B54" s="1"/>
      <c r="C54" s="1"/>
      <c r="D54" s="200"/>
      <c r="E54" s="205"/>
      <c r="F54" s="150" t="e">
        <f t="shared" si="19"/>
        <v>#DIV/0!</v>
      </c>
      <c r="G54" s="2">
        <f t="shared" si="17"/>
        <v>0</v>
      </c>
      <c r="H54" s="95">
        <f>E54/($D$2*24)</f>
        <v>0</v>
      </c>
      <c r="I54" s="3"/>
      <c r="J54" s="201"/>
      <c r="K54" s="20" t="e">
        <f t="shared" si="20"/>
        <v>#DIV/0!</v>
      </c>
      <c r="L54" s="4" t="e">
        <f t="shared" si="21"/>
        <v>#DIV/0!</v>
      </c>
      <c r="M54" s="5"/>
      <c r="N54" s="15"/>
      <c r="O54" s="6"/>
      <c r="P54" s="6"/>
      <c r="Q54" s="139"/>
    </row>
    <row r="55" spans="1:17">
      <c r="A55" s="13">
        <f t="shared" si="22"/>
        <v>46163</v>
      </c>
      <c r="B55" s="1"/>
      <c r="C55" s="1"/>
      <c r="D55" s="14"/>
      <c r="E55" s="154"/>
      <c r="F55" s="150" t="e">
        <f>(IF(ISBLANK(E55),0,E55-C55))/C55</f>
        <v>#DIV/0!</v>
      </c>
      <c r="G55" s="2">
        <f t="shared" ref="G55:G62" si="23">D55/($D$2*24)</f>
        <v>0</v>
      </c>
      <c r="H55" s="95">
        <f t="shared" ref="H55:H62" si="24">E55/($D$2*24)</f>
        <v>0</v>
      </c>
      <c r="I55" s="3"/>
      <c r="J55" s="14"/>
      <c r="K55" s="20" t="e">
        <f>(IF(ISBLANK(J55),0,J55-I55))/I55</f>
        <v>#DIV/0!</v>
      </c>
      <c r="L55" s="4" t="e">
        <f t="shared" si="21"/>
        <v>#DIV/0!</v>
      </c>
      <c r="M55" s="5"/>
      <c r="N55" s="15"/>
      <c r="O55" s="6"/>
      <c r="P55" s="6"/>
      <c r="Q55" s="139"/>
    </row>
    <row r="56" spans="1:17">
      <c r="A56" s="13">
        <f t="shared" si="22"/>
        <v>46164</v>
      </c>
      <c r="B56" s="1"/>
      <c r="C56" s="1"/>
      <c r="D56" s="14"/>
      <c r="E56" s="154"/>
      <c r="F56" s="150" t="e">
        <f t="shared" ref="F56:F64" si="25">(IF(ISBLANK(E56),0,E56-C56))/C56</f>
        <v>#DIV/0!</v>
      </c>
      <c r="G56" s="2">
        <f t="shared" si="23"/>
        <v>0</v>
      </c>
      <c r="H56" s="95">
        <f t="shared" si="24"/>
        <v>0</v>
      </c>
      <c r="I56" s="3"/>
      <c r="J56" s="14"/>
      <c r="K56" s="20" t="e">
        <f t="shared" ref="K56:K64" si="26">(IF(ISBLANK(J56),0,J56-I56))/I56</f>
        <v>#DIV/0!</v>
      </c>
      <c r="L56" s="4" t="e">
        <f t="shared" si="21"/>
        <v>#DIV/0!</v>
      </c>
      <c r="M56" s="5"/>
      <c r="N56" s="15"/>
      <c r="O56" s="6"/>
      <c r="P56" s="6"/>
      <c r="Q56" s="139"/>
    </row>
    <row r="57" spans="1:17">
      <c r="A57" s="13">
        <f t="shared" si="22"/>
        <v>46165</v>
      </c>
      <c r="B57" s="1"/>
      <c r="C57" s="1"/>
      <c r="D57" s="14"/>
      <c r="E57" s="154"/>
      <c r="F57" s="150" t="e">
        <f t="shared" si="25"/>
        <v>#DIV/0!</v>
      </c>
      <c r="G57" s="2">
        <f t="shared" si="23"/>
        <v>0</v>
      </c>
      <c r="H57" s="95">
        <f t="shared" si="24"/>
        <v>0</v>
      </c>
      <c r="I57" s="3"/>
      <c r="J57" s="14"/>
      <c r="K57" s="20" t="e">
        <f t="shared" si="26"/>
        <v>#DIV/0!</v>
      </c>
      <c r="L57" s="4" t="e">
        <f t="shared" si="21"/>
        <v>#DIV/0!</v>
      </c>
      <c r="M57" s="5"/>
      <c r="N57" s="5"/>
      <c r="O57" s="6"/>
      <c r="P57" s="6"/>
      <c r="Q57" s="139"/>
    </row>
    <row r="58" spans="1:17">
      <c r="A58" s="13">
        <f t="shared" si="22"/>
        <v>46166</v>
      </c>
      <c r="B58" s="1"/>
      <c r="C58" s="1"/>
      <c r="D58" s="14"/>
      <c r="E58" s="154"/>
      <c r="F58" s="150" t="e">
        <f t="shared" si="25"/>
        <v>#DIV/0!</v>
      </c>
      <c r="G58" s="2">
        <f t="shared" si="23"/>
        <v>0</v>
      </c>
      <c r="H58" s="95">
        <f t="shared" si="24"/>
        <v>0</v>
      </c>
      <c r="I58" s="3"/>
      <c r="J58" s="14"/>
      <c r="K58" s="20" t="e">
        <f t="shared" si="26"/>
        <v>#DIV/0!</v>
      </c>
      <c r="L58" s="4" t="e">
        <f t="shared" si="21"/>
        <v>#DIV/0!</v>
      </c>
      <c r="M58" s="5"/>
      <c r="N58" s="15"/>
      <c r="O58" s="6"/>
      <c r="P58" s="6"/>
      <c r="Q58" s="139"/>
    </row>
    <row r="59" spans="1:17">
      <c r="A59" s="13">
        <f t="shared" si="22"/>
        <v>46167</v>
      </c>
      <c r="B59" s="1"/>
      <c r="C59" s="1"/>
      <c r="D59" s="159"/>
      <c r="E59" s="159"/>
      <c r="F59" s="150" t="e">
        <f t="shared" si="25"/>
        <v>#DIV/0!</v>
      </c>
      <c r="G59" s="2">
        <f t="shared" si="23"/>
        <v>0</v>
      </c>
      <c r="H59" s="95">
        <f t="shared" si="24"/>
        <v>0</v>
      </c>
      <c r="I59" s="3"/>
      <c r="J59" s="159"/>
      <c r="K59" s="20" t="e">
        <f t="shared" si="26"/>
        <v>#DIV/0!</v>
      </c>
      <c r="L59" s="4" t="e">
        <f t="shared" si="21"/>
        <v>#DIV/0!</v>
      </c>
      <c r="M59" s="5"/>
      <c r="N59" s="157"/>
      <c r="O59" s="6"/>
      <c r="P59" s="6"/>
      <c r="Q59" s="141"/>
    </row>
    <row r="60" spans="1:17">
      <c r="A60" s="13">
        <f t="shared" si="22"/>
        <v>46168</v>
      </c>
      <c r="B60" s="1"/>
      <c r="C60" s="1"/>
      <c r="D60" s="159"/>
      <c r="E60" s="159"/>
      <c r="F60" s="150" t="e">
        <f t="shared" si="25"/>
        <v>#DIV/0!</v>
      </c>
      <c r="G60" s="2">
        <f t="shared" si="23"/>
        <v>0</v>
      </c>
      <c r="H60" s="95">
        <f t="shared" si="24"/>
        <v>0</v>
      </c>
      <c r="I60" s="3"/>
      <c r="J60" s="159"/>
      <c r="K60" s="20" t="e">
        <f t="shared" si="26"/>
        <v>#DIV/0!</v>
      </c>
      <c r="L60" s="4" t="e">
        <f t="shared" si="21"/>
        <v>#DIV/0!</v>
      </c>
      <c r="M60" s="5"/>
      <c r="N60" s="158"/>
      <c r="O60" s="6"/>
      <c r="P60" s="6"/>
      <c r="Q60" s="139"/>
    </row>
    <row r="61" spans="1:17">
      <c r="A61" s="13">
        <f t="shared" si="22"/>
        <v>46169</v>
      </c>
      <c r="B61" s="1"/>
      <c r="C61" s="1"/>
      <c r="D61" s="159"/>
      <c r="E61" s="159"/>
      <c r="F61" s="150" t="e">
        <f t="shared" si="25"/>
        <v>#DIV/0!</v>
      </c>
      <c r="G61" s="2">
        <f t="shared" si="23"/>
        <v>0</v>
      </c>
      <c r="H61" s="95">
        <f t="shared" si="24"/>
        <v>0</v>
      </c>
      <c r="I61" s="3"/>
      <c r="J61" s="159"/>
      <c r="K61" s="20" t="e">
        <f t="shared" si="26"/>
        <v>#DIV/0!</v>
      </c>
      <c r="L61" s="4" t="e">
        <f t="shared" si="21"/>
        <v>#DIV/0!</v>
      </c>
      <c r="M61" s="5"/>
      <c r="N61" s="158"/>
      <c r="O61" s="6"/>
      <c r="P61" s="6"/>
      <c r="Q61" s="139"/>
    </row>
    <row r="62" spans="1:17">
      <c r="A62" s="13">
        <f t="shared" si="22"/>
        <v>46170</v>
      </c>
      <c r="B62" s="1"/>
      <c r="C62" s="1"/>
      <c r="D62" s="159"/>
      <c r="E62" s="159"/>
      <c r="F62" s="150" t="e">
        <f t="shared" si="25"/>
        <v>#DIV/0!</v>
      </c>
      <c r="G62" s="2">
        <f t="shared" si="23"/>
        <v>0</v>
      </c>
      <c r="H62" s="95">
        <f t="shared" si="24"/>
        <v>0</v>
      </c>
      <c r="I62" s="3"/>
      <c r="J62" s="159"/>
      <c r="K62" s="20" t="e">
        <f t="shared" si="26"/>
        <v>#DIV/0!</v>
      </c>
      <c r="L62" s="4" t="e">
        <f t="shared" si="21"/>
        <v>#DIV/0!</v>
      </c>
      <c r="M62" s="5"/>
      <c r="N62" s="15"/>
      <c r="O62" s="6"/>
      <c r="P62" s="6"/>
      <c r="Q62" s="287"/>
    </row>
    <row r="63" spans="1:17">
      <c r="A63" s="13">
        <f t="shared" si="22"/>
        <v>46171</v>
      </c>
      <c r="B63" s="1"/>
      <c r="C63" s="1"/>
      <c r="D63" s="159"/>
      <c r="E63" s="159"/>
      <c r="F63" s="150" t="e">
        <f t="shared" si="25"/>
        <v>#DIV/0!</v>
      </c>
      <c r="G63" s="2">
        <f t="shared" ref="G63:H65" si="27">D63/($D$2*24)</f>
        <v>0</v>
      </c>
      <c r="H63" s="95">
        <f t="shared" si="27"/>
        <v>0</v>
      </c>
      <c r="I63" s="3"/>
      <c r="J63" s="159"/>
      <c r="K63" s="20" t="e">
        <f t="shared" si="26"/>
        <v>#DIV/0!</v>
      </c>
      <c r="L63" s="4" t="e">
        <f t="shared" si="21"/>
        <v>#DIV/0!</v>
      </c>
      <c r="M63" s="5"/>
      <c r="N63" s="15"/>
      <c r="O63" s="6"/>
      <c r="P63" s="6"/>
      <c r="Q63" s="6"/>
    </row>
    <row r="64" spans="1:17">
      <c r="A64" s="13">
        <f t="shared" si="22"/>
        <v>46172</v>
      </c>
      <c r="B64" s="1"/>
      <c r="C64" s="1"/>
      <c r="D64" s="159"/>
      <c r="E64" s="159"/>
      <c r="F64" s="150" t="e">
        <f t="shared" si="25"/>
        <v>#DIV/0!</v>
      </c>
      <c r="G64" s="2">
        <f t="shared" si="27"/>
        <v>0</v>
      </c>
      <c r="H64" s="95">
        <f t="shared" si="27"/>
        <v>0</v>
      </c>
      <c r="I64" s="3"/>
      <c r="J64" s="159"/>
      <c r="K64" s="20" t="e">
        <f t="shared" si="26"/>
        <v>#DIV/0!</v>
      </c>
      <c r="L64" s="4" t="e">
        <f t="shared" si="21"/>
        <v>#DIV/0!</v>
      </c>
      <c r="M64" s="5"/>
      <c r="N64" s="15"/>
      <c r="O64" s="6"/>
      <c r="P64" s="6"/>
      <c r="Q64" s="16"/>
    </row>
    <row r="65" spans="1:17">
      <c r="A65" s="13">
        <f t="shared" si="22"/>
        <v>46173</v>
      </c>
      <c r="B65" s="1"/>
      <c r="C65" s="1"/>
      <c r="D65" s="159"/>
      <c r="E65" s="159"/>
      <c r="F65" s="150" t="e">
        <f t="shared" ref="F65" si="28">(IF(ISBLANK(E65),0,E65-C65))/C65</f>
        <v>#DIV/0!</v>
      </c>
      <c r="G65" s="2">
        <f t="shared" si="27"/>
        <v>0</v>
      </c>
      <c r="H65" s="95">
        <f t="shared" si="27"/>
        <v>0</v>
      </c>
      <c r="I65" s="3"/>
      <c r="J65" s="159"/>
      <c r="K65" s="20" t="e">
        <f t="shared" ref="K65" si="29">(IF(ISBLANK(J65),0,J65-I65))/I65</f>
        <v>#DIV/0!</v>
      </c>
      <c r="L65" s="4" t="e">
        <f t="shared" si="21"/>
        <v>#DIV/0!</v>
      </c>
      <c r="M65" s="5"/>
      <c r="N65" s="15"/>
      <c r="O65" s="6"/>
      <c r="P65" s="6"/>
      <c r="Q65" s="16"/>
    </row>
    <row r="66" spans="1:17">
      <c r="A66" s="349">
        <v>46143</v>
      </c>
      <c r="B66" s="17">
        <f>SUM(B35:B65)</f>
        <v>87075</v>
      </c>
      <c r="C66" s="17">
        <f>SUM(C35:C65)</f>
        <v>69445</v>
      </c>
      <c r="D66" s="17">
        <f>SUM(D35:D65)</f>
        <v>80925</v>
      </c>
      <c r="E66" s="17">
        <f>SUM(E35:E65)</f>
        <v>82332</v>
      </c>
      <c r="F66" s="312">
        <f>(IF(ISBLANK(E66),0,E66-C66))/C66</f>
        <v>0.18557131542947655</v>
      </c>
      <c r="G66" s="156">
        <f>AVERAGE(G35:G65)</f>
        <v>2.7954294857446053E-2</v>
      </c>
      <c r="H66" s="18">
        <f>AVERAGE(H35:H65)</f>
        <v>3.5314987431922913E-2</v>
      </c>
      <c r="I66" s="17">
        <f>SUM(I35:I65)</f>
        <v>28.700000000000003</v>
      </c>
      <c r="J66" s="17">
        <f>SUM(J35:J65)</f>
        <v>26.363999999999997</v>
      </c>
      <c r="K66" s="164">
        <f>(IF(ISBLANK(J66),0,J66-I66))/I66</f>
        <v>-8.1393728222996703E-2</v>
      </c>
      <c r="L66" s="163">
        <f t="shared" si="21"/>
        <v>0.78887859861704834</v>
      </c>
      <c r="M66" s="18">
        <f>AVERAGE(M35:M65)</f>
        <v>1</v>
      </c>
      <c r="N66" s="18">
        <f>AVERAGE(N35:N65)</f>
        <v>0.99970000000000003</v>
      </c>
      <c r="O66" s="17">
        <f>SUM(O35:O65)</f>
        <v>0</v>
      </c>
      <c r="P66" s="17">
        <f>SUM(P35:P65)</f>
        <v>0</v>
      </c>
      <c r="Q66" s="19"/>
    </row>
  </sheetData>
  <mergeCells count="4">
    <mergeCell ref="A1:Q1"/>
    <mergeCell ref="B2:C2"/>
    <mergeCell ref="E2:G2"/>
    <mergeCell ref="I2:J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A7D4-D80C-4037-96BD-053FB187190C}">
  <dimension ref="A1:Q66"/>
  <sheetViews>
    <sheetView workbookViewId="0">
      <pane xSplit="1" ySplit="3" topLeftCell="B37" activePane="bottomRight" state="frozen"/>
      <selection pane="topRight"/>
      <selection pane="bottomLeft"/>
      <selection pane="bottomRight" activeCell="B40" sqref="B40:C40"/>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9.453125" customWidth="1"/>
    <col min="8" max="8" width="10" customWidth="1"/>
    <col min="9" max="10" width="9.7265625" bestFit="1" customWidth="1"/>
    <col min="11" max="11" width="9" bestFit="1" customWidth="1"/>
    <col min="12" max="12" width="9.453125" customWidth="1"/>
    <col min="13" max="14" width="9.26953125" bestFit="1" customWidth="1"/>
    <col min="15" max="16" width="9.7265625" bestFit="1" customWidth="1"/>
    <col min="17" max="17" width="49.7265625" bestFit="1" customWidth="1"/>
    <col min="18" max="18" width="10" customWidth="1"/>
  </cols>
  <sheetData>
    <row r="1" spans="1:17" ht="18.5">
      <c r="A1" s="405" t="s">
        <v>319</v>
      </c>
      <c r="B1" s="406"/>
      <c r="C1" s="406"/>
      <c r="D1" s="406"/>
      <c r="E1" s="406"/>
      <c r="F1" s="406"/>
      <c r="G1" s="406"/>
      <c r="H1" s="406"/>
      <c r="I1" s="406"/>
      <c r="J1" s="406"/>
      <c r="K1" s="406"/>
      <c r="L1" s="406"/>
      <c r="M1" s="406"/>
      <c r="N1" s="406"/>
      <c r="O1" s="406"/>
      <c r="P1" s="406"/>
      <c r="Q1" s="406"/>
    </row>
    <row r="2" spans="1:17" ht="18.5">
      <c r="A2" s="7">
        <v>46113</v>
      </c>
      <c r="B2" s="407" t="s">
        <v>172</v>
      </c>
      <c r="C2" s="408"/>
      <c r="D2" s="8">
        <v>1297</v>
      </c>
      <c r="E2" s="407" t="s">
        <v>173</v>
      </c>
      <c r="F2" s="407"/>
      <c r="G2" s="408"/>
      <c r="H2" s="8">
        <v>1100</v>
      </c>
      <c r="I2" s="409" t="s">
        <v>174</v>
      </c>
      <c r="J2" s="410"/>
      <c r="K2" s="102" t="s">
        <v>320</v>
      </c>
      <c r="L2" s="10" t="s">
        <v>175</v>
      </c>
      <c r="M2" s="10" t="s">
        <v>175</v>
      </c>
      <c r="N2" s="10" t="s">
        <v>175</v>
      </c>
      <c r="O2" s="10" t="s">
        <v>175</v>
      </c>
      <c r="P2" s="10" t="s">
        <v>175</v>
      </c>
      <c r="Q2" s="11" t="s">
        <v>175</v>
      </c>
    </row>
    <row r="3" spans="1:17" ht="52">
      <c r="A3" s="12" t="s">
        <v>2</v>
      </c>
      <c r="B3" s="12" t="s">
        <v>3</v>
      </c>
      <c r="C3" s="12" t="s">
        <v>4</v>
      </c>
      <c r="D3" s="12" t="s">
        <v>5</v>
      </c>
      <c r="E3" s="12" t="s">
        <v>6</v>
      </c>
      <c r="F3" s="204" t="s">
        <v>7</v>
      </c>
      <c r="G3" s="151" t="s">
        <v>8</v>
      </c>
      <c r="H3" s="12" t="s">
        <v>9</v>
      </c>
      <c r="I3" s="12" t="s">
        <v>10</v>
      </c>
      <c r="J3" s="12" t="s">
        <v>11</v>
      </c>
      <c r="K3" s="195" t="s">
        <v>12</v>
      </c>
      <c r="L3" s="12" t="s">
        <v>13</v>
      </c>
      <c r="M3" s="12" t="s">
        <v>14</v>
      </c>
      <c r="N3" s="12" t="s">
        <v>15</v>
      </c>
      <c r="O3" s="12" t="s">
        <v>16</v>
      </c>
      <c r="P3" s="12" t="s">
        <v>17</v>
      </c>
      <c r="Q3" s="194" t="s">
        <v>156</v>
      </c>
    </row>
    <row r="4" spans="1:17">
      <c r="A4" s="13">
        <f>A2</f>
        <v>46113</v>
      </c>
      <c r="B4" s="1">
        <f>181404/30</f>
        <v>6046.8</v>
      </c>
      <c r="C4" s="1">
        <f>180441/30</f>
        <v>6014.7</v>
      </c>
      <c r="D4" s="200">
        <v>6196</v>
      </c>
      <c r="E4" s="205">
        <v>6274</v>
      </c>
      <c r="F4" s="150">
        <f>(IF(ISBLANK(E4),0,E4-C4))/C4</f>
        <v>4.3111044607378621E-2</v>
      </c>
      <c r="G4" s="2">
        <f t="shared" ref="G4:G23" si="0">D4/($D$2*24)</f>
        <v>0.1990490876381393</v>
      </c>
      <c r="H4" s="95">
        <f t="shared" ref="H4:H21" si="1">D4/($H$2*24)</f>
        <v>0.23469696969696971</v>
      </c>
      <c r="I4" s="3">
        <f>178.7/30</f>
        <v>5.9566666666666661</v>
      </c>
      <c r="J4" s="201">
        <v>6.4809999999999999</v>
      </c>
      <c r="K4" s="20">
        <f>(IF(ISBLANK(J4),0,J4-I4))/I4</f>
        <v>8.8024622271964267E-2</v>
      </c>
      <c r="L4" s="4">
        <f t="shared" ref="L4:L35" si="2">D4/($D$2*J4)</f>
        <v>0.73710509231836807</v>
      </c>
      <c r="M4" s="5">
        <v>1</v>
      </c>
      <c r="N4" s="5">
        <v>0.99339999999999995</v>
      </c>
      <c r="O4" s="6"/>
      <c r="P4" s="6"/>
      <c r="Q4" s="146" t="s">
        <v>321</v>
      </c>
    </row>
    <row r="5" spans="1:17">
      <c r="A5" s="13">
        <f>A4+1</f>
        <v>46114</v>
      </c>
      <c r="B5" s="1">
        <f t="shared" ref="B5:B33" si="3">181404/30</f>
        <v>6046.8</v>
      </c>
      <c r="C5" s="1">
        <f t="shared" ref="C5:C33" si="4">180441/30</f>
        <v>6014.7</v>
      </c>
      <c r="D5" s="200">
        <v>6381</v>
      </c>
      <c r="E5" s="205">
        <v>6472</v>
      </c>
      <c r="F5" s="150">
        <f t="shared" ref="F5:F33" si="5">(IF(ISBLANK(E5),0,E5-C5))/C5</f>
        <v>7.6030392205762576E-2</v>
      </c>
      <c r="G5" s="2">
        <f t="shared" si="0"/>
        <v>0.2049922898997687</v>
      </c>
      <c r="H5" s="95">
        <f t="shared" si="1"/>
        <v>0.24170454545454545</v>
      </c>
      <c r="I5" s="3">
        <f t="shared" ref="I5:I33" si="6">178.7/30</f>
        <v>5.9566666666666661</v>
      </c>
      <c r="J5" s="201">
        <v>6.5919999999999996</v>
      </c>
      <c r="K5" s="20">
        <f t="shared" ref="K5:K34" si="7">(IF(ISBLANK(J5),0,J5-I5))/I5</f>
        <v>0.10665920537213211</v>
      </c>
      <c r="L5" s="4">
        <f t="shared" si="2"/>
        <v>0.74633115254770166</v>
      </c>
      <c r="M5" s="5">
        <v>1</v>
      </c>
      <c r="N5" s="5">
        <v>1</v>
      </c>
      <c r="O5" s="6"/>
      <c r="P5" s="6"/>
      <c r="Q5" s="146"/>
    </row>
    <row r="6" spans="1:17">
      <c r="A6" s="13">
        <f t="shared" ref="A6:A33" si="8">A5+1</f>
        <v>46115</v>
      </c>
      <c r="B6" s="1">
        <f t="shared" si="3"/>
        <v>6046.8</v>
      </c>
      <c r="C6" s="1">
        <f t="shared" si="4"/>
        <v>6014.7</v>
      </c>
      <c r="D6" s="200">
        <v>5876</v>
      </c>
      <c r="E6" s="205">
        <v>5936</v>
      </c>
      <c r="F6" s="150">
        <f t="shared" si="5"/>
        <v>-1.3084609373701069E-2</v>
      </c>
      <c r="G6" s="2">
        <f t="shared" si="0"/>
        <v>0.18876895399640195</v>
      </c>
      <c r="H6" s="95">
        <f t="shared" si="1"/>
        <v>0.22257575757575757</v>
      </c>
      <c r="I6" s="3">
        <f t="shared" si="6"/>
        <v>5.9566666666666661</v>
      </c>
      <c r="J6" s="201">
        <v>5.9690000000000003</v>
      </c>
      <c r="K6" s="20">
        <f t="shared" si="7"/>
        <v>2.0705092333521313E-3</v>
      </c>
      <c r="L6" s="4">
        <f t="shared" si="2"/>
        <v>0.75899730204617966</v>
      </c>
      <c r="M6" s="5">
        <v>1</v>
      </c>
      <c r="N6" s="5">
        <v>1</v>
      </c>
      <c r="O6" s="6"/>
      <c r="P6" s="6"/>
      <c r="Q6" s="146"/>
    </row>
    <row r="7" spans="1:17">
      <c r="A7" s="13">
        <f t="shared" si="8"/>
        <v>46116</v>
      </c>
      <c r="B7" s="1">
        <f t="shared" si="3"/>
        <v>6046.8</v>
      </c>
      <c r="C7" s="1">
        <f t="shared" si="4"/>
        <v>6014.7</v>
      </c>
      <c r="D7" s="200">
        <v>4341</v>
      </c>
      <c r="E7" s="205">
        <v>4385</v>
      </c>
      <c r="F7" s="150">
        <f t="shared" si="5"/>
        <v>-0.27095283222770877</v>
      </c>
      <c r="G7" s="2">
        <f t="shared" si="0"/>
        <v>0.13945643793369314</v>
      </c>
      <c r="H7" s="95">
        <f t="shared" si="1"/>
        <v>0.16443181818181818</v>
      </c>
      <c r="I7" s="3">
        <f t="shared" si="6"/>
        <v>5.9566666666666661</v>
      </c>
      <c r="J7" s="201">
        <v>4.3730000000000002</v>
      </c>
      <c r="K7" s="20">
        <f t="shared" si="7"/>
        <v>-0.2658645775041969</v>
      </c>
      <c r="L7" s="4">
        <f t="shared" si="2"/>
        <v>0.76536805634773275</v>
      </c>
      <c r="M7" s="5">
        <v>1</v>
      </c>
      <c r="N7" s="5">
        <v>1</v>
      </c>
      <c r="O7" s="6"/>
      <c r="P7" s="6"/>
      <c r="Q7" s="146" t="s">
        <v>322</v>
      </c>
    </row>
    <row r="8" spans="1:17">
      <c r="A8" s="13">
        <f t="shared" si="8"/>
        <v>46117</v>
      </c>
      <c r="B8" s="1">
        <f t="shared" si="3"/>
        <v>6046.8</v>
      </c>
      <c r="C8" s="1">
        <f t="shared" si="4"/>
        <v>6014.7</v>
      </c>
      <c r="D8" s="200">
        <v>4892</v>
      </c>
      <c r="E8" s="205">
        <v>4927</v>
      </c>
      <c r="F8" s="150">
        <f t="shared" si="5"/>
        <v>-0.1808402746604153</v>
      </c>
      <c r="G8" s="2">
        <f t="shared" si="0"/>
        <v>0.15715754304805962</v>
      </c>
      <c r="H8" s="95">
        <f t="shared" si="1"/>
        <v>0.1853030303030303</v>
      </c>
      <c r="I8" s="3">
        <f t="shared" si="6"/>
        <v>5.9566666666666661</v>
      </c>
      <c r="J8" s="201">
        <v>4.9939999999999998</v>
      </c>
      <c r="K8" s="20">
        <f t="shared" si="7"/>
        <v>-0.16161163961947395</v>
      </c>
      <c r="L8" s="4">
        <f t="shared" si="2"/>
        <v>0.75526252165667418</v>
      </c>
      <c r="M8" s="5">
        <v>1</v>
      </c>
      <c r="N8" s="5">
        <v>1</v>
      </c>
      <c r="O8" s="6"/>
      <c r="P8" s="6"/>
      <c r="Q8" s="146" t="s">
        <v>323</v>
      </c>
    </row>
    <row r="9" spans="1:17">
      <c r="A9" s="13">
        <f t="shared" si="8"/>
        <v>46118</v>
      </c>
      <c r="B9" s="1">
        <f t="shared" si="3"/>
        <v>6046.8</v>
      </c>
      <c r="C9" s="1">
        <f t="shared" si="4"/>
        <v>6014.7</v>
      </c>
      <c r="D9" s="200">
        <v>3108</v>
      </c>
      <c r="E9" s="205">
        <v>3150</v>
      </c>
      <c r="F9" s="150">
        <f t="shared" si="5"/>
        <v>-0.47628310638934607</v>
      </c>
      <c r="G9" s="2">
        <f t="shared" si="0"/>
        <v>9.9845797995373936E-2</v>
      </c>
      <c r="H9" s="95">
        <f t="shared" si="1"/>
        <v>0.11772727272727272</v>
      </c>
      <c r="I9" s="3">
        <f t="shared" si="6"/>
        <v>5.9566666666666661</v>
      </c>
      <c r="J9" s="201">
        <v>3.6909999999999998</v>
      </c>
      <c r="K9" s="20">
        <f t="shared" si="7"/>
        <v>-0.38035814213766084</v>
      </c>
      <c r="L9" s="4">
        <f t="shared" si="2"/>
        <v>0.64922762175263471</v>
      </c>
      <c r="M9" s="5">
        <v>1</v>
      </c>
      <c r="N9" s="5">
        <v>0.96250000000000002</v>
      </c>
      <c r="O9" s="6"/>
      <c r="P9" s="6"/>
      <c r="Q9" s="146" t="s">
        <v>324</v>
      </c>
    </row>
    <row r="10" spans="1:17">
      <c r="A10" s="13">
        <f t="shared" si="8"/>
        <v>46119</v>
      </c>
      <c r="B10" s="1">
        <f t="shared" si="3"/>
        <v>6046.8</v>
      </c>
      <c r="C10" s="1">
        <f t="shared" si="4"/>
        <v>6014.7</v>
      </c>
      <c r="D10" s="200">
        <v>5514</v>
      </c>
      <c r="E10" s="205">
        <v>5574</v>
      </c>
      <c r="F10" s="150">
        <f t="shared" si="5"/>
        <v>-7.3270487306100029E-2</v>
      </c>
      <c r="G10" s="2">
        <f t="shared" si="0"/>
        <v>0.17713955281418658</v>
      </c>
      <c r="H10" s="95">
        <f t="shared" si="1"/>
        <v>0.20886363636363636</v>
      </c>
      <c r="I10" s="3">
        <f t="shared" si="6"/>
        <v>5.9566666666666661</v>
      </c>
      <c r="J10" s="201">
        <v>5.5279999999999996</v>
      </c>
      <c r="K10" s="20">
        <f t="shared" si="7"/>
        <v>-7.1964185786233897E-2</v>
      </c>
      <c r="L10" s="4">
        <f t="shared" si="2"/>
        <v>0.76905739282570151</v>
      </c>
      <c r="M10" s="5">
        <v>1</v>
      </c>
      <c r="N10" s="15">
        <v>1</v>
      </c>
      <c r="O10" s="6"/>
      <c r="P10" s="6"/>
      <c r="Q10" s="146"/>
    </row>
    <row r="11" spans="1:17">
      <c r="A11" s="13">
        <f t="shared" si="8"/>
        <v>46120</v>
      </c>
      <c r="B11" s="1">
        <f t="shared" si="3"/>
        <v>6046.8</v>
      </c>
      <c r="C11" s="1">
        <f t="shared" si="4"/>
        <v>6014.7</v>
      </c>
      <c r="D11" s="200">
        <v>5803</v>
      </c>
      <c r="E11" s="205">
        <v>5862</v>
      </c>
      <c r="F11" s="150">
        <f t="shared" si="5"/>
        <v>-2.5387799890268813E-2</v>
      </c>
      <c r="G11" s="2">
        <f t="shared" si="0"/>
        <v>0.18642379850938062</v>
      </c>
      <c r="H11" s="95">
        <f t="shared" si="1"/>
        <v>0.21981060606060607</v>
      </c>
      <c r="I11" s="3">
        <f t="shared" si="6"/>
        <v>5.9566666666666661</v>
      </c>
      <c r="J11" s="201">
        <v>5.9429999999999996</v>
      </c>
      <c r="K11" s="20">
        <f t="shared" si="7"/>
        <v>-2.2943480693900105E-3</v>
      </c>
      <c r="L11" s="4">
        <f t="shared" si="2"/>
        <v>0.75284724284454563</v>
      </c>
      <c r="M11" s="5">
        <v>1</v>
      </c>
      <c r="N11" s="15">
        <v>1</v>
      </c>
      <c r="O11" s="6"/>
      <c r="P11" s="6"/>
      <c r="Q11" s="146"/>
    </row>
    <row r="12" spans="1:17">
      <c r="A12" s="13">
        <f t="shared" si="8"/>
        <v>46121</v>
      </c>
      <c r="B12" s="1">
        <f t="shared" si="3"/>
        <v>6046.8</v>
      </c>
      <c r="C12" s="1">
        <f t="shared" si="4"/>
        <v>6014.7</v>
      </c>
      <c r="D12" s="200">
        <v>5824</v>
      </c>
      <c r="E12" s="205">
        <v>5908</v>
      </c>
      <c r="F12" s="150">
        <f t="shared" si="5"/>
        <v>-1.7739870650240214E-2</v>
      </c>
      <c r="G12" s="2">
        <f t="shared" si="0"/>
        <v>0.18709843227961964</v>
      </c>
      <c r="H12" s="95">
        <f t="shared" si="1"/>
        <v>0.22060606060606061</v>
      </c>
      <c r="I12" s="3">
        <f t="shared" si="6"/>
        <v>5.9566666666666661</v>
      </c>
      <c r="J12" s="201">
        <v>5.9740000000000002</v>
      </c>
      <c r="K12" s="20">
        <f t="shared" si="7"/>
        <v>2.9099048684948108E-3</v>
      </c>
      <c r="L12" s="4">
        <f t="shared" si="2"/>
        <v>0.75165088294457161</v>
      </c>
      <c r="M12" s="5">
        <v>1</v>
      </c>
      <c r="N12" s="5">
        <v>1</v>
      </c>
      <c r="O12" s="6"/>
      <c r="P12" s="6"/>
      <c r="Q12" s="146"/>
    </row>
    <row r="13" spans="1:17">
      <c r="A13" s="13">
        <f t="shared" si="8"/>
        <v>46122</v>
      </c>
      <c r="B13" s="1">
        <f t="shared" si="3"/>
        <v>6046.8</v>
      </c>
      <c r="C13" s="1">
        <f t="shared" si="4"/>
        <v>6014.7</v>
      </c>
      <c r="D13" s="200">
        <v>5868</v>
      </c>
      <c r="E13" s="205">
        <v>5926</v>
      </c>
      <c r="F13" s="150">
        <f t="shared" si="5"/>
        <v>-1.4747202686750765E-2</v>
      </c>
      <c r="G13" s="2">
        <f t="shared" si="0"/>
        <v>0.18851195065535853</v>
      </c>
      <c r="H13" s="95">
        <f t="shared" si="1"/>
        <v>0.22227272727272726</v>
      </c>
      <c r="I13" s="3">
        <f t="shared" si="6"/>
        <v>5.9566666666666661</v>
      </c>
      <c r="J13" s="201">
        <v>5.9630000000000001</v>
      </c>
      <c r="K13" s="20">
        <f t="shared" si="7"/>
        <v>1.0632344711808566E-3</v>
      </c>
      <c r="L13" s="4">
        <f t="shared" si="2"/>
        <v>0.75872661675810904</v>
      </c>
      <c r="M13" s="5">
        <v>1</v>
      </c>
      <c r="N13" s="15">
        <v>1</v>
      </c>
      <c r="O13" s="6"/>
      <c r="P13" s="6"/>
      <c r="Q13" s="146"/>
    </row>
    <row r="14" spans="1:17">
      <c r="A14" s="13">
        <f t="shared" si="8"/>
        <v>46123</v>
      </c>
      <c r="B14" s="1">
        <f t="shared" si="3"/>
        <v>6046.8</v>
      </c>
      <c r="C14" s="1">
        <f t="shared" si="4"/>
        <v>6014.7</v>
      </c>
      <c r="D14" s="200">
        <v>5737</v>
      </c>
      <c r="E14" s="205">
        <v>5822</v>
      </c>
      <c r="F14" s="150">
        <f t="shared" si="5"/>
        <v>-3.2038173142467589E-2</v>
      </c>
      <c r="G14" s="2">
        <f t="shared" si="0"/>
        <v>0.18430352094577229</v>
      </c>
      <c r="H14" s="95">
        <f t="shared" si="1"/>
        <v>0.21731060606060607</v>
      </c>
      <c r="I14" s="3">
        <f t="shared" si="6"/>
        <v>5.9566666666666661</v>
      </c>
      <c r="J14" s="201">
        <v>5.9509999999999996</v>
      </c>
      <c r="K14" s="20">
        <f t="shared" si="7"/>
        <v>-9.5131505316169347E-4</v>
      </c>
      <c r="L14" s="4">
        <f t="shared" si="2"/>
        <v>0.74328423839666202</v>
      </c>
      <c r="M14" s="5">
        <v>1</v>
      </c>
      <c r="N14" s="15">
        <v>0.99839999999999995</v>
      </c>
      <c r="O14" s="6"/>
      <c r="P14" s="6"/>
      <c r="Q14" s="146" t="s">
        <v>321</v>
      </c>
    </row>
    <row r="15" spans="1:17">
      <c r="A15" s="13">
        <f t="shared" si="8"/>
        <v>46124</v>
      </c>
      <c r="B15" s="1">
        <f t="shared" si="3"/>
        <v>6046.8</v>
      </c>
      <c r="C15" s="1">
        <f t="shared" si="4"/>
        <v>6014.7</v>
      </c>
      <c r="D15" s="200">
        <v>5624</v>
      </c>
      <c r="E15" s="205">
        <v>5671</v>
      </c>
      <c r="F15" s="150">
        <f t="shared" si="5"/>
        <v>-5.7143332169517988E-2</v>
      </c>
      <c r="G15" s="2">
        <f t="shared" si="0"/>
        <v>0.1806733487535338</v>
      </c>
      <c r="H15" s="95">
        <f t="shared" si="1"/>
        <v>0.21303030303030304</v>
      </c>
      <c r="I15" s="3">
        <f t="shared" si="6"/>
        <v>5.9566666666666661</v>
      </c>
      <c r="J15" s="201">
        <v>5.7069999999999999</v>
      </c>
      <c r="K15" s="20">
        <f t="shared" si="7"/>
        <v>-4.1913822048125285E-2</v>
      </c>
      <c r="L15" s="4">
        <f t="shared" si="2"/>
        <v>0.7597968056920994</v>
      </c>
      <c r="M15" s="5">
        <v>1</v>
      </c>
      <c r="N15" s="15">
        <v>1</v>
      </c>
      <c r="O15" s="6"/>
      <c r="P15" s="6"/>
      <c r="Q15" s="146"/>
    </row>
    <row r="16" spans="1:17">
      <c r="A16" s="13">
        <f t="shared" si="8"/>
        <v>46125</v>
      </c>
      <c r="B16" s="1">
        <f t="shared" si="3"/>
        <v>6046.8</v>
      </c>
      <c r="C16" s="1">
        <f t="shared" si="4"/>
        <v>6014.7</v>
      </c>
      <c r="D16" s="200">
        <v>6092</v>
      </c>
      <c r="E16" s="205">
        <v>6077</v>
      </c>
      <c r="F16" s="150">
        <f t="shared" si="5"/>
        <v>1.035795634029963E-2</v>
      </c>
      <c r="G16" s="2">
        <f t="shared" si="0"/>
        <v>0.19570804420457466</v>
      </c>
      <c r="H16" s="95">
        <f t="shared" si="1"/>
        <v>0.23075757575757574</v>
      </c>
      <c r="I16" s="3">
        <f t="shared" si="6"/>
        <v>5.9566666666666661</v>
      </c>
      <c r="J16" s="201">
        <v>6.3</v>
      </c>
      <c r="K16" s="20">
        <f t="shared" si="7"/>
        <v>5.7638500279798617E-2</v>
      </c>
      <c r="L16" s="4">
        <f t="shared" si="2"/>
        <v>0.74555445411266541</v>
      </c>
      <c r="M16" s="5">
        <v>1</v>
      </c>
      <c r="N16" s="15">
        <v>1</v>
      </c>
      <c r="O16" s="6"/>
      <c r="P16" s="6"/>
      <c r="Q16" s="146"/>
    </row>
    <row r="17" spans="1:17">
      <c r="A17" s="13">
        <f t="shared" si="8"/>
        <v>46126</v>
      </c>
      <c r="B17" s="1">
        <f t="shared" si="3"/>
        <v>6046.8</v>
      </c>
      <c r="C17" s="1">
        <f t="shared" si="4"/>
        <v>6014.7</v>
      </c>
      <c r="D17" s="200">
        <v>6083</v>
      </c>
      <c r="E17" s="205">
        <v>6158</v>
      </c>
      <c r="F17" s="150">
        <f t="shared" si="5"/>
        <v>2.3824962176002159E-2</v>
      </c>
      <c r="G17" s="2">
        <f t="shared" si="0"/>
        <v>0.19541891544590079</v>
      </c>
      <c r="H17" s="95">
        <f t="shared" si="1"/>
        <v>0.23041666666666666</v>
      </c>
      <c r="I17" s="3">
        <f t="shared" si="6"/>
        <v>5.9566666666666661</v>
      </c>
      <c r="J17" s="201">
        <v>6.298</v>
      </c>
      <c r="K17" s="20">
        <f t="shared" si="7"/>
        <v>5.7302742025741572E-2</v>
      </c>
      <c r="L17" s="4">
        <f t="shared" si="2"/>
        <v>0.74468942056234022</v>
      </c>
      <c r="M17" s="5">
        <v>1</v>
      </c>
      <c r="N17" s="15">
        <v>1</v>
      </c>
      <c r="O17" s="6"/>
      <c r="P17" s="6"/>
      <c r="Q17" s="146"/>
    </row>
    <row r="18" spans="1:17">
      <c r="A18" s="13">
        <f t="shared" si="8"/>
        <v>46127</v>
      </c>
      <c r="B18" s="1">
        <f t="shared" si="3"/>
        <v>6046.8</v>
      </c>
      <c r="C18" s="1">
        <f t="shared" si="4"/>
        <v>6014.7</v>
      </c>
      <c r="D18" s="200">
        <v>6201</v>
      </c>
      <c r="E18" s="205">
        <v>6281</v>
      </c>
      <c r="F18" s="150">
        <f t="shared" si="5"/>
        <v>4.4274859926513407E-2</v>
      </c>
      <c r="G18" s="2">
        <f t="shared" si="0"/>
        <v>0.19920971472629145</v>
      </c>
      <c r="H18" s="95">
        <f t="shared" si="1"/>
        <v>0.23488636363636364</v>
      </c>
      <c r="I18" s="3">
        <f t="shared" si="6"/>
        <v>5.9566666666666661</v>
      </c>
      <c r="J18" s="201">
        <v>6.5049999999999999</v>
      </c>
      <c r="K18" s="20">
        <f t="shared" si="7"/>
        <v>9.2053721320649221E-2</v>
      </c>
      <c r="L18" s="4">
        <f t="shared" si="2"/>
        <v>0.73497819422459554</v>
      </c>
      <c r="M18" s="5">
        <v>1</v>
      </c>
      <c r="N18" s="15">
        <v>1</v>
      </c>
      <c r="O18" s="6"/>
      <c r="P18" s="6"/>
      <c r="Q18" s="146"/>
    </row>
    <row r="19" spans="1:17">
      <c r="A19" s="13">
        <f t="shared" si="8"/>
        <v>46128</v>
      </c>
      <c r="B19" s="1">
        <f t="shared" si="3"/>
        <v>6046.8</v>
      </c>
      <c r="C19" s="1">
        <f t="shared" si="4"/>
        <v>6014.7</v>
      </c>
      <c r="D19" s="200">
        <v>5962</v>
      </c>
      <c r="E19" s="205">
        <v>6029</v>
      </c>
      <c r="F19" s="150">
        <f t="shared" si="5"/>
        <v>2.377508437661094E-3</v>
      </c>
      <c r="G19" s="2">
        <f t="shared" si="0"/>
        <v>0.19153173991261888</v>
      </c>
      <c r="H19" s="95">
        <f t="shared" si="1"/>
        <v>0.22583333333333333</v>
      </c>
      <c r="I19" s="3">
        <f t="shared" si="6"/>
        <v>5.9566666666666661</v>
      </c>
      <c r="J19" s="201">
        <v>6.2430000000000003</v>
      </c>
      <c r="K19" s="20">
        <f t="shared" si="7"/>
        <v>4.8069390039171947E-2</v>
      </c>
      <c r="L19" s="4">
        <f t="shared" si="2"/>
        <v>0.73630654459440215</v>
      </c>
      <c r="M19" s="5">
        <v>1</v>
      </c>
      <c r="N19" s="15">
        <v>1</v>
      </c>
      <c r="O19" s="6"/>
      <c r="P19" s="6"/>
      <c r="Q19" s="146"/>
    </row>
    <row r="20" spans="1:17">
      <c r="A20" s="13">
        <f t="shared" si="8"/>
        <v>46129</v>
      </c>
      <c r="B20" s="1">
        <f t="shared" si="3"/>
        <v>6046.8</v>
      </c>
      <c r="C20" s="1">
        <f t="shared" si="4"/>
        <v>6014.7</v>
      </c>
      <c r="D20" s="200">
        <v>5340</v>
      </c>
      <c r="E20" s="205">
        <v>5377</v>
      </c>
      <c r="F20" s="150">
        <f t="shared" si="5"/>
        <v>-0.10602357557317901</v>
      </c>
      <c r="G20" s="2">
        <f t="shared" si="0"/>
        <v>0.17154973014649191</v>
      </c>
      <c r="H20" s="95">
        <f t="shared" si="1"/>
        <v>0.20227272727272727</v>
      </c>
      <c r="I20" s="3">
        <f t="shared" si="6"/>
        <v>5.9566666666666661</v>
      </c>
      <c r="J20" s="201">
        <v>5.4370000000000003</v>
      </c>
      <c r="K20" s="20">
        <f t="shared" si="7"/>
        <v>-8.7241186345830876E-2</v>
      </c>
      <c r="L20" s="4">
        <f t="shared" si="2"/>
        <v>0.75725464843034862</v>
      </c>
      <c r="M20" s="5">
        <v>1</v>
      </c>
      <c r="N20" s="15">
        <v>1</v>
      </c>
      <c r="O20" s="6"/>
      <c r="P20" s="6"/>
      <c r="Q20" s="146" t="s">
        <v>323</v>
      </c>
    </row>
    <row r="21" spans="1:17">
      <c r="A21" s="13">
        <f t="shared" si="8"/>
        <v>46130</v>
      </c>
      <c r="B21" s="1">
        <f t="shared" si="3"/>
        <v>6046.8</v>
      </c>
      <c r="C21" s="1">
        <f t="shared" si="4"/>
        <v>6014.7</v>
      </c>
      <c r="D21" s="200">
        <v>5965</v>
      </c>
      <c r="E21" s="205">
        <v>6049</v>
      </c>
      <c r="F21" s="150">
        <f t="shared" si="5"/>
        <v>5.7026950637604837E-3</v>
      </c>
      <c r="G21" s="2">
        <f t="shared" si="0"/>
        <v>0.19162811616551015</v>
      </c>
      <c r="H21" s="95">
        <f t="shared" si="1"/>
        <v>0.2259469696969697</v>
      </c>
      <c r="I21" s="3">
        <f t="shared" si="6"/>
        <v>5.9566666666666661</v>
      </c>
      <c r="J21" s="201">
        <v>6.1749999999999998</v>
      </c>
      <c r="K21" s="20">
        <f t="shared" si="7"/>
        <v>3.6653609401231184E-2</v>
      </c>
      <c r="L21" s="4">
        <f t="shared" si="2"/>
        <v>0.74478943934773179</v>
      </c>
      <c r="M21" s="5">
        <v>1</v>
      </c>
      <c r="N21" s="15">
        <v>1</v>
      </c>
      <c r="O21" s="6"/>
      <c r="P21" s="6"/>
      <c r="Q21" s="146"/>
    </row>
    <row r="22" spans="1:17">
      <c r="A22" s="13">
        <f t="shared" si="8"/>
        <v>46131</v>
      </c>
      <c r="B22" s="1">
        <f t="shared" si="3"/>
        <v>6046.8</v>
      </c>
      <c r="C22" s="1">
        <f t="shared" si="4"/>
        <v>6014.7</v>
      </c>
      <c r="D22" s="200">
        <v>6058</v>
      </c>
      <c r="E22" s="205">
        <v>6111</v>
      </c>
      <c r="F22" s="150">
        <f t="shared" si="5"/>
        <v>1.6010773604668592E-2</v>
      </c>
      <c r="G22" s="2">
        <f t="shared" si="0"/>
        <v>0.19461578000514007</v>
      </c>
      <c r="H22" s="95">
        <f>E22/($D$2*24)</f>
        <v>0.1963184271395528</v>
      </c>
      <c r="I22" s="3">
        <f t="shared" si="6"/>
        <v>5.9566666666666661</v>
      </c>
      <c r="J22" s="201">
        <v>6.351</v>
      </c>
      <c r="K22" s="20">
        <f t="shared" si="7"/>
        <v>6.6200335758254153E-2</v>
      </c>
      <c r="L22" s="4">
        <f t="shared" si="2"/>
        <v>0.73543988665145044</v>
      </c>
      <c r="M22" s="5">
        <v>1</v>
      </c>
      <c r="N22" s="15">
        <v>1</v>
      </c>
      <c r="O22" s="6"/>
      <c r="P22" s="6"/>
      <c r="Q22" s="146"/>
    </row>
    <row r="23" spans="1:17">
      <c r="A23" s="13">
        <f t="shared" si="8"/>
        <v>46132</v>
      </c>
      <c r="B23" s="1">
        <f t="shared" si="3"/>
        <v>6046.8</v>
      </c>
      <c r="C23" s="1">
        <f t="shared" si="4"/>
        <v>6014.7</v>
      </c>
      <c r="D23" s="200">
        <v>5920</v>
      </c>
      <c r="E23" s="205">
        <v>6023</v>
      </c>
      <c r="F23" s="150">
        <f t="shared" si="5"/>
        <v>1.3799524498312771E-3</v>
      </c>
      <c r="G23" s="2">
        <f t="shared" si="0"/>
        <v>0.19018247237214084</v>
      </c>
      <c r="H23" s="95">
        <f>E23/($D$2*24)</f>
        <v>0.19349139038807506</v>
      </c>
      <c r="I23" s="3">
        <f t="shared" si="6"/>
        <v>5.9566666666666661</v>
      </c>
      <c r="J23" s="201">
        <v>6.1989999999999998</v>
      </c>
      <c r="K23" s="20">
        <f t="shared" si="7"/>
        <v>4.068270844991613E-2</v>
      </c>
      <c r="L23" s="4">
        <f t="shared" si="2"/>
        <v>0.73630897514621396</v>
      </c>
      <c r="M23" s="5">
        <v>1</v>
      </c>
      <c r="N23" s="15">
        <v>1</v>
      </c>
      <c r="O23" s="6"/>
      <c r="P23" s="6"/>
      <c r="Q23" s="146"/>
    </row>
    <row r="24" spans="1:17">
      <c r="A24" s="13">
        <f t="shared" si="8"/>
        <v>46133</v>
      </c>
      <c r="B24" s="1">
        <f t="shared" si="3"/>
        <v>6046.8</v>
      </c>
      <c r="C24" s="1">
        <f t="shared" si="4"/>
        <v>6014.7</v>
      </c>
      <c r="D24" s="14">
        <v>6106</v>
      </c>
      <c r="E24" s="154">
        <v>6166</v>
      </c>
      <c r="F24" s="150">
        <f>(IF(ISBLANK(E24),0,E24-C24))/C24</f>
        <v>2.5155036826441914E-2</v>
      </c>
      <c r="G24" s="2">
        <f t="shared" ref="G24:G33" si="9">D24/($D$2*24)</f>
        <v>0.19615780005140065</v>
      </c>
      <c r="H24" s="95">
        <f t="shared" ref="H24:H33" si="10">E24/($D$2*24)</f>
        <v>0.19808532510922641</v>
      </c>
      <c r="I24" s="3">
        <f t="shared" si="6"/>
        <v>5.9566666666666661</v>
      </c>
      <c r="J24" s="14">
        <v>6.3310000000000004</v>
      </c>
      <c r="K24" s="20">
        <f>(IF(ISBLANK(J24),0,J24-I24))/I24</f>
        <v>6.2842753217683442E-2</v>
      </c>
      <c r="L24" s="4">
        <f t="shared" si="2"/>
        <v>0.74360878237776273</v>
      </c>
      <c r="M24" s="5">
        <v>1</v>
      </c>
      <c r="N24" s="5">
        <v>1</v>
      </c>
      <c r="O24" s="6"/>
      <c r="P24" s="6"/>
      <c r="Q24" s="146"/>
    </row>
    <row r="25" spans="1:17">
      <c r="A25" s="13">
        <f t="shared" si="8"/>
        <v>46134</v>
      </c>
      <c r="B25" s="1">
        <f t="shared" si="3"/>
        <v>6046.8</v>
      </c>
      <c r="C25" s="1">
        <f t="shared" si="4"/>
        <v>6014.7</v>
      </c>
      <c r="D25" s="14">
        <v>6291</v>
      </c>
      <c r="E25" s="154">
        <v>6352</v>
      </c>
      <c r="F25" s="150">
        <f t="shared" si="5"/>
        <v>5.6079272449166238E-2</v>
      </c>
      <c r="G25" s="2">
        <f t="shared" si="9"/>
        <v>0.20210100231303008</v>
      </c>
      <c r="H25" s="95">
        <f t="shared" si="10"/>
        <v>0.20406065278848626</v>
      </c>
      <c r="I25" s="3">
        <f t="shared" si="6"/>
        <v>5.9566666666666661</v>
      </c>
      <c r="J25" s="14">
        <v>6.6619999999999999</v>
      </c>
      <c r="K25" s="20">
        <f t="shared" si="7"/>
        <v>0.11841074426412992</v>
      </c>
      <c r="L25" s="4">
        <f t="shared" si="2"/>
        <v>0.72807325960863434</v>
      </c>
      <c r="M25" s="5">
        <v>1</v>
      </c>
      <c r="N25" s="5">
        <v>1</v>
      </c>
      <c r="O25" s="6"/>
      <c r="P25" s="6"/>
      <c r="Q25" s="146"/>
    </row>
    <row r="26" spans="1:17">
      <c r="A26" s="13">
        <f t="shared" si="8"/>
        <v>46135</v>
      </c>
      <c r="B26" s="1">
        <f t="shared" si="3"/>
        <v>6046.8</v>
      </c>
      <c r="C26" s="1">
        <f t="shared" si="4"/>
        <v>6014.7</v>
      </c>
      <c r="D26" s="14">
        <v>508</v>
      </c>
      <c r="E26" s="154">
        <v>549</v>
      </c>
      <c r="F26" s="150">
        <f t="shared" si="5"/>
        <v>-0.9087236271135718</v>
      </c>
      <c r="G26" s="2">
        <f t="shared" si="9"/>
        <v>1.6319712156258031E-2</v>
      </c>
      <c r="H26" s="95">
        <f t="shared" si="10"/>
        <v>1.7636854279105628E-2</v>
      </c>
      <c r="I26" s="3">
        <f t="shared" si="6"/>
        <v>5.9566666666666661</v>
      </c>
      <c r="J26" s="14">
        <v>4.2089999999999996</v>
      </c>
      <c r="K26" s="20">
        <f t="shared" si="7"/>
        <v>-0.29339675433687745</v>
      </c>
      <c r="L26" s="4">
        <f t="shared" si="2"/>
        <v>9.3056092124065765E-2</v>
      </c>
      <c r="M26" s="5">
        <v>1</v>
      </c>
      <c r="N26" s="5">
        <v>1</v>
      </c>
      <c r="O26" s="6"/>
      <c r="P26" s="6"/>
      <c r="Q26" s="146" t="s">
        <v>308</v>
      </c>
    </row>
    <row r="27" spans="1:17">
      <c r="A27" s="13">
        <f t="shared" si="8"/>
        <v>46136</v>
      </c>
      <c r="B27" s="1">
        <f t="shared" si="3"/>
        <v>6046.8</v>
      </c>
      <c r="C27" s="1">
        <f t="shared" si="4"/>
        <v>6014.7</v>
      </c>
      <c r="D27" s="14">
        <v>5249</v>
      </c>
      <c r="E27" s="154">
        <v>5278</v>
      </c>
      <c r="F27" s="150">
        <f t="shared" si="5"/>
        <v>-0.122483249372371</v>
      </c>
      <c r="G27" s="2">
        <f t="shared" si="9"/>
        <v>0.16862631714212284</v>
      </c>
      <c r="H27" s="95">
        <f t="shared" si="10"/>
        <v>0.16955795425340531</v>
      </c>
      <c r="I27" s="3">
        <f t="shared" si="6"/>
        <v>5.9566666666666661</v>
      </c>
      <c r="J27" s="14">
        <v>5.4539999999999997</v>
      </c>
      <c r="K27" s="20">
        <f t="shared" si="7"/>
        <v>-8.4387241186345788E-2</v>
      </c>
      <c r="L27" s="4">
        <f t="shared" si="2"/>
        <v>0.74202999842518302</v>
      </c>
      <c r="M27" s="5">
        <v>1</v>
      </c>
      <c r="N27" s="5">
        <v>1</v>
      </c>
      <c r="O27" s="6"/>
      <c r="P27" s="6"/>
      <c r="Q27" s="146" t="s">
        <v>323</v>
      </c>
    </row>
    <row r="28" spans="1:17">
      <c r="A28" s="13">
        <f t="shared" si="8"/>
        <v>46137</v>
      </c>
      <c r="B28" s="1">
        <f t="shared" si="3"/>
        <v>6046.8</v>
      </c>
      <c r="C28" s="1">
        <f t="shared" si="4"/>
        <v>6014.7</v>
      </c>
      <c r="D28" s="159">
        <v>5260</v>
      </c>
      <c r="E28" s="159">
        <v>5327</v>
      </c>
      <c r="F28" s="150">
        <f t="shared" si="5"/>
        <v>-0.11433654213842749</v>
      </c>
      <c r="G28" s="2">
        <f t="shared" si="9"/>
        <v>0.16897969673605756</v>
      </c>
      <c r="H28" s="95">
        <f t="shared" si="10"/>
        <v>0.17113209971729632</v>
      </c>
      <c r="I28" s="3">
        <f t="shared" si="6"/>
        <v>5.9566666666666661</v>
      </c>
      <c r="J28" s="159">
        <v>5.5259999999999998</v>
      </c>
      <c r="K28" s="20">
        <f t="shared" si="7"/>
        <v>-7.2299944040290942E-2</v>
      </c>
      <c r="L28" s="4">
        <f t="shared" si="2"/>
        <v>0.73389661991773103</v>
      </c>
      <c r="M28" s="5">
        <v>1</v>
      </c>
      <c r="N28" s="5">
        <v>1</v>
      </c>
      <c r="O28" s="6"/>
      <c r="P28" s="6"/>
      <c r="Q28" s="146" t="s">
        <v>323</v>
      </c>
    </row>
    <row r="29" spans="1:17">
      <c r="A29" s="13">
        <f t="shared" si="8"/>
        <v>46138</v>
      </c>
      <c r="B29" s="1">
        <f t="shared" si="3"/>
        <v>6046.8</v>
      </c>
      <c r="C29" s="1">
        <f t="shared" si="4"/>
        <v>6014.7</v>
      </c>
      <c r="D29" s="159">
        <v>5901</v>
      </c>
      <c r="E29" s="159">
        <v>5975</v>
      </c>
      <c r="F29" s="150">
        <f t="shared" si="5"/>
        <v>-6.6004954528072592E-3</v>
      </c>
      <c r="G29" s="2">
        <f t="shared" si="9"/>
        <v>0.18957208943716269</v>
      </c>
      <c r="H29" s="95">
        <f t="shared" si="10"/>
        <v>0.19194937034181445</v>
      </c>
      <c r="I29" s="3">
        <f t="shared" si="6"/>
        <v>5.9566666666666661</v>
      </c>
      <c r="J29" s="159">
        <v>6.2549999999999999</v>
      </c>
      <c r="K29" s="20">
        <f t="shared" si="7"/>
        <v>5.0083939563514347E-2</v>
      </c>
      <c r="L29" s="4">
        <f t="shared" si="2"/>
        <v>0.72737492349990485</v>
      </c>
      <c r="M29" s="5">
        <v>1</v>
      </c>
      <c r="N29" s="5">
        <v>1</v>
      </c>
      <c r="O29" s="6"/>
      <c r="P29" s="6"/>
      <c r="Q29" s="147"/>
    </row>
    <row r="30" spans="1:17">
      <c r="A30" s="13">
        <f t="shared" si="8"/>
        <v>46139</v>
      </c>
      <c r="B30" s="1">
        <f t="shared" si="3"/>
        <v>6046.8</v>
      </c>
      <c r="C30" s="1">
        <f t="shared" si="4"/>
        <v>6014.7</v>
      </c>
      <c r="D30" s="159">
        <v>5729</v>
      </c>
      <c r="E30" s="159">
        <v>5805</v>
      </c>
      <c r="F30" s="150">
        <f t="shared" si="5"/>
        <v>-3.486458177465207E-2</v>
      </c>
      <c r="G30" s="2">
        <f t="shared" si="9"/>
        <v>0.18404651760472887</v>
      </c>
      <c r="H30" s="95">
        <f t="shared" si="10"/>
        <v>0.18648804934464147</v>
      </c>
      <c r="I30" s="3">
        <f t="shared" si="6"/>
        <v>5.9566666666666661</v>
      </c>
      <c r="J30" s="275">
        <v>6.19</v>
      </c>
      <c r="K30" s="20">
        <f t="shared" si="7"/>
        <v>3.9171796306659366E-2</v>
      </c>
      <c r="L30" s="4">
        <f t="shared" si="2"/>
        <v>0.71358908279701005</v>
      </c>
      <c r="M30" s="5">
        <v>1</v>
      </c>
      <c r="N30" s="5">
        <v>1</v>
      </c>
      <c r="O30" s="6"/>
      <c r="P30" s="6"/>
      <c r="Q30" s="147" t="s">
        <v>325</v>
      </c>
    </row>
    <row r="31" spans="1:17">
      <c r="A31" s="13">
        <f t="shared" si="8"/>
        <v>46140</v>
      </c>
      <c r="B31" s="1">
        <f t="shared" si="3"/>
        <v>6046.8</v>
      </c>
      <c r="C31" s="1">
        <f t="shared" si="4"/>
        <v>6014.7</v>
      </c>
      <c r="D31" s="159">
        <v>5392</v>
      </c>
      <c r="E31" s="159">
        <v>5445</v>
      </c>
      <c r="F31" s="150">
        <f t="shared" si="5"/>
        <v>-9.471794104444109E-2</v>
      </c>
      <c r="G31" s="2">
        <f t="shared" si="9"/>
        <v>0.17322025186327422</v>
      </c>
      <c r="H31" s="95">
        <f t="shared" si="10"/>
        <v>0.17492289899768698</v>
      </c>
      <c r="I31" s="3">
        <f t="shared" si="6"/>
        <v>5.9566666666666661</v>
      </c>
      <c r="J31" s="159">
        <v>5.6070000000000002</v>
      </c>
      <c r="K31" s="20">
        <f t="shared" si="7"/>
        <v>-5.8701734750979173E-2</v>
      </c>
      <c r="L31" s="4">
        <f t="shared" si="2"/>
        <v>0.74144570085938666</v>
      </c>
      <c r="M31" s="5">
        <v>1</v>
      </c>
      <c r="N31" s="5">
        <v>1</v>
      </c>
      <c r="O31" s="6"/>
      <c r="P31" s="6"/>
      <c r="Q31" s="147" t="s">
        <v>325</v>
      </c>
    </row>
    <row r="32" spans="1:17">
      <c r="A32" s="13">
        <f t="shared" si="8"/>
        <v>46141</v>
      </c>
      <c r="B32" s="1">
        <f t="shared" si="3"/>
        <v>6046.8</v>
      </c>
      <c r="C32" s="1">
        <f t="shared" si="4"/>
        <v>6014.7</v>
      </c>
      <c r="D32" s="159">
        <v>4992</v>
      </c>
      <c r="E32" s="159">
        <v>5066</v>
      </c>
      <c r="F32" s="150">
        <f t="shared" si="5"/>
        <v>-0.15773022760902453</v>
      </c>
      <c r="G32" s="2">
        <f t="shared" si="9"/>
        <v>0.16037008481110254</v>
      </c>
      <c r="H32" s="95">
        <f t="shared" si="10"/>
        <v>0.16274736571575429</v>
      </c>
      <c r="I32" s="3">
        <f t="shared" si="6"/>
        <v>5.9566666666666661</v>
      </c>
      <c r="J32" s="159">
        <v>5.2030000000000003</v>
      </c>
      <c r="K32" s="20">
        <f t="shared" si="7"/>
        <v>-0.12652490207050909</v>
      </c>
      <c r="L32" s="4">
        <f t="shared" si="2"/>
        <v>0.73974284748538555</v>
      </c>
      <c r="M32" s="5">
        <v>1</v>
      </c>
      <c r="N32" s="5">
        <v>1</v>
      </c>
      <c r="O32" s="6"/>
      <c r="P32" s="6"/>
      <c r="Q32" s="6"/>
    </row>
    <row r="33" spans="1:17">
      <c r="A33" s="13">
        <f t="shared" si="8"/>
        <v>46142</v>
      </c>
      <c r="B33" s="1">
        <f t="shared" si="3"/>
        <v>6046.8</v>
      </c>
      <c r="C33" s="1">
        <f t="shared" si="4"/>
        <v>6014.7</v>
      </c>
      <c r="D33" s="159">
        <v>5457</v>
      </c>
      <c r="E33" s="159">
        <v>5473</v>
      </c>
      <c r="F33" s="278">
        <f t="shared" si="5"/>
        <v>-9.0062679767901943E-2</v>
      </c>
      <c r="G33" s="2">
        <f t="shared" si="9"/>
        <v>0.17530840400925213</v>
      </c>
      <c r="H33" s="95">
        <f t="shared" si="10"/>
        <v>0.175822410691339</v>
      </c>
      <c r="I33" s="3">
        <f t="shared" si="6"/>
        <v>5.9566666666666661</v>
      </c>
      <c r="J33" s="159">
        <v>5.7270000000000003</v>
      </c>
      <c r="K33" s="20">
        <f t="shared" si="7"/>
        <v>-3.8556239507554421E-2</v>
      </c>
      <c r="L33" s="4">
        <f t="shared" si="2"/>
        <v>0.73466067683290559</v>
      </c>
      <c r="M33" s="5">
        <v>1</v>
      </c>
      <c r="N33" s="5">
        <v>1</v>
      </c>
      <c r="O33" s="6"/>
      <c r="P33" s="6"/>
      <c r="Q33" s="6"/>
    </row>
    <row r="34" spans="1:17">
      <c r="A34" s="349">
        <v>46113</v>
      </c>
      <c r="B34" s="17">
        <f>SUM(B4:B33)</f>
        <v>181403.99999999994</v>
      </c>
      <c r="C34" s="17">
        <f>SUM(C4:C33)</f>
        <v>180441.00000000006</v>
      </c>
      <c r="D34" s="17">
        <f>SUM(D4:D33)</f>
        <v>163670</v>
      </c>
      <c r="E34" s="277">
        <f>SUM(E4:E33)</f>
        <v>165448</v>
      </c>
      <c r="F34" s="276">
        <f>(IF(ISBLANK(E34),0,E34-C34))/C34</f>
        <v>-8.3090871808513878E-2</v>
      </c>
      <c r="G34" s="156">
        <f>AVERAGE(G4:G33)</f>
        <v>0.17526557011907823</v>
      </c>
      <c r="H34" s="18">
        <f>AVERAGE(H4:H33)</f>
        <v>0.19535532561544511</v>
      </c>
      <c r="I34" s="17">
        <f>SUM(I4:I33)</f>
        <v>178.70000000000005</v>
      </c>
      <c r="J34" s="17">
        <f>SUM(J4:J33)</f>
        <v>173.83799999999999</v>
      </c>
      <c r="K34" s="164">
        <f t="shared" si="7"/>
        <v>-2.7207610520425574E-2</v>
      </c>
      <c r="L34" s="163">
        <f t="shared" si="2"/>
        <v>0.72591269161941763</v>
      </c>
      <c r="M34" s="18">
        <f>AVERAGE(M4:M33)</f>
        <v>1</v>
      </c>
      <c r="N34" s="18">
        <f>AVERAGE(N4:N33)</f>
        <v>0.99847666666666668</v>
      </c>
      <c r="O34" s="17">
        <f>SUM(O4:O33)</f>
        <v>0</v>
      </c>
      <c r="P34" s="17">
        <f>SUM(P4:P33)</f>
        <v>0</v>
      </c>
      <c r="Q34" s="19"/>
    </row>
    <row r="35" spans="1:17">
      <c r="A35" s="13">
        <v>46143</v>
      </c>
      <c r="B35" s="1">
        <v>5675</v>
      </c>
      <c r="C35" s="1">
        <v>5645</v>
      </c>
      <c r="D35" s="159">
        <v>579</v>
      </c>
      <c r="E35" s="159">
        <v>602</v>
      </c>
      <c r="F35" s="150">
        <f>(IF(ISBLANK(E35),0,E35-C35))/C35</f>
        <v>-0.89335695305580154</v>
      </c>
      <c r="G35" s="2">
        <f t="shared" ref="G35:G54" si="11">D35/($D$2*24)</f>
        <v>1.8600616808018503E-2</v>
      </c>
      <c r="H35" s="95">
        <f t="shared" ref="H35:H52" si="12">D35/($H$2*24)</f>
        <v>2.1931818181818181E-2</v>
      </c>
      <c r="I35" s="3">
        <v>5.5449999999999999</v>
      </c>
      <c r="J35" s="159">
        <v>4.5949999999999998</v>
      </c>
      <c r="K35" s="20">
        <f>(IF(ISBLANK(J35),0,J35-I35))/I35</f>
        <v>-0.17132551848512176</v>
      </c>
      <c r="L35" s="4">
        <f t="shared" si="2"/>
        <v>9.7152296712175013E-2</v>
      </c>
      <c r="M35" s="5">
        <v>1</v>
      </c>
      <c r="N35" s="5">
        <v>1</v>
      </c>
      <c r="O35" s="6"/>
      <c r="P35" s="6"/>
      <c r="Q35" s="146" t="s">
        <v>326</v>
      </c>
    </row>
    <row r="36" spans="1:17">
      <c r="A36" s="13">
        <f>A35+1</f>
        <v>46144</v>
      </c>
      <c r="B36" s="1">
        <v>5675</v>
      </c>
      <c r="C36" s="1">
        <v>5645</v>
      </c>
      <c r="D36" s="159">
        <v>5560</v>
      </c>
      <c r="E36" s="159">
        <v>5614</v>
      </c>
      <c r="F36" s="150">
        <f t="shared" ref="F36:F54" si="13">(IF(ISBLANK(E36),0,E36-C36))/C36</f>
        <v>-5.4915854738706816E-3</v>
      </c>
      <c r="G36" s="2">
        <f t="shared" si="11"/>
        <v>0.17861732202518632</v>
      </c>
      <c r="H36" s="95">
        <f t="shared" si="12"/>
        <v>0.2106060606060606</v>
      </c>
      <c r="I36" s="3">
        <v>5.5449999999999999</v>
      </c>
      <c r="J36" s="275">
        <v>5.65</v>
      </c>
      <c r="K36" s="20">
        <f t="shared" ref="K36:K54" si="14">(IF(ISBLANK(J36),0,J36-I36))/I36</f>
        <v>1.8935978358881951E-2</v>
      </c>
      <c r="L36" s="4">
        <f t="shared" ref="L36:L66" si="15">D36/($D$2*J36)</f>
        <v>0.75872844754061441</v>
      </c>
      <c r="M36" s="5">
        <v>1</v>
      </c>
      <c r="N36" s="5">
        <v>1</v>
      </c>
      <c r="O36" s="6"/>
      <c r="P36" s="6"/>
      <c r="Q36" s="146"/>
    </row>
    <row r="37" spans="1:17">
      <c r="A37" s="13">
        <f t="shared" ref="A37:A65" si="16">A36+1</f>
        <v>46145</v>
      </c>
      <c r="B37" s="1">
        <v>5675</v>
      </c>
      <c r="C37" s="1">
        <v>5645</v>
      </c>
      <c r="D37" s="159">
        <v>4393</v>
      </c>
      <c r="E37" s="159">
        <v>4455</v>
      </c>
      <c r="F37" s="150">
        <f t="shared" si="13"/>
        <v>-0.21080602302922941</v>
      </c>
      <c r="G37" s="2">
        <f t="shared" si="11"/>
        <v>0.14112695965047545</v>
      </c>
      <c r="H37" s="95">
        <f t="shared" si="12"/>
        <v>0.16640151515151516</v>
      </c>
      <c r="I37" s="3">
        <v>5.5449999999999999</v>
      </c>
      <c r="J37" s="159">
        <v>4.4039999999999999</v>
      </c>
      <c r="K37" s="20">
        <f t="shared" si="14"/>
        <v>-0.20577096483318305</v>
      </c>
      <c r="L37" s="4">
        <f t="shared" si="15"/>
        <v>0.769084248776433</v>
      </c>
      <c r="M37" s="5">
        <v>1</v>
      </c>
      <c r="N37" s="5">
        <v>1</v>
      </c>
      <c r="O37" s="6"/>
      <c r="P37" s="6"/>
      <c r="Q37" s="146" t="s">
        <v>327</v>
      </c>
    </row>
    <row r="38" spans="1:17">
      <c r="A38" s="13">
        <f t="shared" si="16"/>
        <v>46146</v>
      </c>
      <c r="B38" s="1">
        <v>5675</v>
      </c>
      <c r="C38" s="1">
        <v>5645</v>
      </c>
      <c r="D38" s="159">
        <v>5166</v>
      </c>
      <c r="E38" s="159">
        <v>5196</v>
      </c>
      <c r="F38" s="150">
        <f t="shared" si="13"/>
        <v>-7.9539415411868916E-2</v>
      </c>
      <c r="G38" s="2">
        <f t="shared" si="11"/>
        <v>0.16595990747879721</v>
      </c>
      <c r="H38" s="95">
        <f t="shared" si="12"/>
        <v>0.19568181818181818</v>
      </c>
      <c r="I38" s="3">
        <v>5.5449999999999999</v>
      </c>
      <c r="J38" s="159">
        <v>5.218</v>
      </c>
      <c r="K38" s="20">
        <f t="shared" si="14"/>
        <v>-5.8972046889089261E-2</v>
      </c>
      <c r="L38" s="4">
        <f t="shared" si="15"/>
        <v>0.76332651964184239</v>
      </c>
      <c r="M38" s="5">
        <v>1</v>
      </c>
      <c r="N38" s="5">
        <v>1</v>
      </c>
      <c r="O38" s="6"/>
      <c r="P38" s="6"/>
      <c r="Q38" s="146" t="s">
        <v>325</v>
      </c>
    </row>
    <row r="39" spans="1:17">
      <c r="A39" s="13">
        <f t="shared" si="16"/>
        <v>46147</v>
      </c>
      <c r="B39" s="1">
        <v>5675</v>
      </c>
      <c r="C39" s="1">
        <v>5675</v>
      </c>
      <c r="D39" s="159">
        <v>5180</v>
      </c>
      <c r="E39" s="159">
        <v>5233</v>
      </c>
      <c r="F39" s="150">
        <f t="shared" si="13"/>
        <v>-7.7885462555066079E-2</v>
      </c>
      <c r="G39" s="2">
        <f t="shared" si="11"/>
        <v>0.16640966332562324</v>
      </c>
      <c r="H39" s="95">
        <f t="shared" si="12"/>
        <v>0.1962121212121212</v>
      </c>
      <c r="I39" s="3">
        <v>5.5449999999999999</v>
      </c>
      <c r="J39" s="159">
        <v>5.2210000000000001</v>
      </c>
      <c r="K39" s="20">
        <f t="shared" si="14"/>
        <v>-5.8431018935978331E-2</v>
      </c>
      <c r="L39" s="4">
        <f t="shared" si="15"/>
        <v>0.76495535717582031</v>
      </c>
      <c r="M39" s="5">
        <v>1</v>
      </c>
      <c r="N39" s="5">
        <v>1</v>
      </c>
      <c r="O39" s="6"/>
      <c r="P39" s="6"/>
      <c r="Q39" s="146" t="s">
        <v>325</v>
      </c>
    </row>
    <row r="40" spans="1:17">
      <c r="A40" s="13">
        <f t="shared" si="16"/>
        <v>46148</v>
      </c>
      <c r="B40" s="1"/>
      <c r="C40" s="1"/>
      <c r="D40" s="200"/>
      <c r="E40" s="205"/>
      <c r="F40" s="150" t="e">
        <f t="shared" si="13"/>
        <v>#DIV/0!</v>
      </c>
      <c r="G40" s="2">
        <f t="shared" si="11"/>
        <v>0</v>
      </c>
      <c r="H40" s="95">
        <f t="shared" si="12"/>
        <v>0</v>
      </c>
      <c r="I40" s="3"/>
      <c r="J40" s="201"/>
      <c r="K40" s="20" t="e">
        <f t="shared" si="14"/>
        <v>#DIV/0!</v>
      </c>
      <c r="L40" s="4" t="e">
        <f t="shared" si="15"/>
        <v>#DIV/0!</v>
      </c>
      <c r="M40" s="5"/>
      <c r="N40" s="5"/>
      <c r="O40" s="6"/>
      <c r="P40" s="6"/>
      <c r="Q40" s="146"/>
    </row>
    <row r="41" spans="1:17">
      <c r="A41" s="13">
        <f t="shared" si="16"/>
        <v>46149</v>
      </c>
      <c r="B41" s="1"/>
      <c r="C41" s="1"/>
      <c r="D41" s="200"/>
      <c r="E41" s="205"/>
      <c r="F41" s="150" t="e">
        <f t="shared" si="13"/>
        <v>#DIV/0!</v>
      </c>
      <c r="G41" s="2">
        <f t="shared" si="11"/>
        <v>0</v>
      </c>
      <c r="H41" s="95">
        <f t="shared" si="12"/>
        <v>0</v>
      </c>
      <c r="I41" s="3"/>
      <c r="J41" s="201"/>
      <c r="K41" s="20" t="e">
        <f t="shared" si="14"/>
        <v>#DIV/0!</v>
      </c>
      <c r="L41" s="4" t="e">
        <f t="shared" si="15"/>
        <v>#DIV/0!</v>
      </c>
      <c r="M41" s="5"/>
      <c r="N41" s="15"/>
      <c r="O41" s="6"/>
      <c r="P41" s="6"/>
      <c r="Q41" s="146"/>
    </row>
    <row r="42" spans="1:17">
      <c r="A42" s="13">
        <f t="shared" si="16"/>
        <v>46150</v>
      </c>
      <c r="B42" s="1"/>
      <c r="C42" s="1"/>
      <c r="D42" s="200"/>
      <c r="E42" s="205"/>
      <c r="F42" s="150" t="e">
        <f t="shared" si="13"/>
        <v>#DIV/0!</v>
      </c>
      <c r="G42" s="2">
        <f t="shared" si="11"/>
        <v>0</v>
      </c>
      <c r="H42" s="95">
        <f t="shared" si="12"/>
        <v>0</v>
      </c>
      <c r="I42" s="3"/>
      <c r="J42" s="201"/>
      <c r="K42" s="20" t="e">
        <f t="shared" si="14"/>
        <v>#DIV/0!</v>
      </c>
      <c r="L42" s="4" t="e">
        <f t="shared" si="15"/>
        <v>#DIV/0!</v>
      </c>
      <c r="M42" s="5"/>
      <c r="N42" s="15"/>
      <c r="O42" s="6"/>
      <c r="P42" s="6"/>
      <c r="Q42" s="146"/>
    </row>
    <row r="43" spans="1:17">
      <c r="A43" s="13">
        <f t="shared" si="16"/>
        <v>46151</v>
      </c>
      <c r="B43" s="1"/>
      <c r="C43" s="1"/>
      <c r="D43" s="200"/>
      <c r="E43" s="205"/>
      <c r="F43" s="150" t="e">
        <f t="shared" si="13"/>
        <v>#DIV/0!</v>
      </c>
      <c r="G43" s="2">
        <f t="shared" si="11"/>
        <v>0</v>
      </c>
      <c r="H43" s="95">
        <f t="shared" si="12"/>
        <v>0</v>
      </c>
      <c r="I43" s="3"/>
      <c r="J43" s="201"/>
      <c r="K43" s="20" t="e">
        <f t="shared" si="14"/>
        <v>#DIV/0!</v>
      </c>
      <c r="L43" s="4" t="e">
        <f t="shared" si="15"/>
        <v>#DIV/0!</v>
      </c>
      <c r="M43" s="5"/>
      <c r="N43" s="5"/>
      <c r="O43" s="6"/>
      <c r="P43" s="6"/>
      <c r="Q43" s="146"/>
    </row>
    <row r="44" spans="1:17">
      <c r="A44" s="13">
        <f t="shared" si="16"/>
        <v>46152</v>
      </c>
      <c r="B44" s="1"/>
      <c r="C44" s="1"/>
      <c r="D44" s="200"/>
      <c r="E44" s="205"/>
      <c r="F44" s="150" t="e">
        <f t="shared" si="13"/>
        <v>#DIV/0!</v>
      </c>
      <c r="G44" s="2">
        <f t="shared" si="11"/>
        <v>0</v>
      </c>
      <c r="H44" s="95">
        <f t="shared" si="12"/>
        <v>0</v>
      </c>
      <c r="I44" s="3"/>
      <c r="J44" s="201"/>
      <c r="K44" s="20" t="e">
        <f t="shared" si="14"/>
        <v>#DIV/0!</v>
      </c>
      <c r="L44" s="4" t="e">
        <f t="shared" si="15"/>
        <v>#DIV/0!</v>
      </c>
      <c r="M44" s="5"/>
      <c r="N44" s="15"/>
      <c r="O44" s="6"/>
      <c r="P44" s="6"/>
      <c r="Q44" s="146"/>
    </row>
    <row r="45" spans="1:17">
      <c r="A45" s="13">
        <f t="shared" si="16"/>
        <v>46153</v>
      </c>
      <c r="B45" s="1"/>
      <c r="C45" s="1"/>
      <c r="D45" s="200"/>
      <c r="E45" s="205"/>
      <c r="F45" s="150" t="e">
        <f t="shared" si="13"/>
        <v>#DIV/0!</v>
      </c>
      <c r="G45" s="2">
        <f t="shared" si="11"/>
        <v>0</v>
      </c>
      <c r="H45" s="95">
        <f t="shared" si="12"/>
        <v>0</v>
      </c>
      <c r="I45" s="3"/>
      <c r="J45" s="201"/>
      <c r="K45" s="20" t="e">
        <f t="shared" si="14"/>
        <v>#DIV/0!</v>
      </c>
      <c r="L45" s="4" t="e">
        <f t="shared" si="15"/>
        <v>#DIV/0!</v>
      </c>
      <c r="M45" s="5"/>
      <c r="N45" s="15"/>
      <c r="O45" s="6"/>
      <c r="P45" s="6"/>
      <c r="Q45" s="146"/>
    </row>
    <row r="46" spans="1:17">
      <c r="A46" s="13">
        <f t="shared" si="16"/>
        <v>46154</v>
      </c>
      <c r="B46" s="1"/>
      <c r="C46" s="1"/>
      <c r="D46" s="200"/>
      <c r="E46" s="205"/>
      <c r="F46" s="150" t="e">
        <f t="shared" si="13"/>
        <v>#DIV/0!</v>
      </c>
      <c r="G46" s="2">
        <f t="shared" si="11"/>
        <v>0</v>
      </c>
      <c r="H46" s="95">
        <f t="shared" si="12"/>
        <v>0</v>
      </c>
      <c r="I46" s="3"/>
      <c r="J46" s="201"/>
      <c r="K46" s="20" t="e">
        <f t="shared" si="14"/>
        <v>#DIV/0!</v>
      </c>
      <c r="L46" s="4" t="e">
        <f t="shared" si="15"/>
        <v>#DIV/0!</v>
      </c>
      <c r="M46" s="5"/>
      <c r="N46" s="15"/>
      <c r="O46" s="6"/>
      <c r="P46" s="6"/>
      <c r="Q46" s="146"/>
    </row>
    <row r="47" spans="1:17">
      <c r="A47" s="13">
        <f t="shared" si="16"/>
        <v>46155</v>
      </c>
      <c r="B47" s="1"/>
      <c r="C47" s="1"/>
      <c r="D47" s="200"/>
      <c r="E47" s="205"/>
      <c r="F47" s="150" t="e">
        <f t="shared" si="13"/>
        <v>#DIV/0!</v>
      </c>
      <c r="G47" s="2">
        <f t="shared" si="11"/>
        <v>0</v>
      </c>
      <c r="H47" s="95">
        <f t="shared" si="12"/>
        <v>0</v>
      </c>
      <c r="I47" s="3"/>
      <c r="J47" s="201"/>
      <c r="K47" s="20" t="e">
        <f t="shared" si="14"/>
        <v>#DIV/0!</v>
      </c>
      <c r="L47" s="4" t="e">
        <f t="shared" si="15"/>
        <v>#DIV/0!</v>
      </c>
      <c r="M47" s="5"/>
      <c r="N47" s="15"/>
      <c r="O47" s="6"/>
      <c r="P47" s="6"/>
      <c r="Q47" s="146"/>
    </row>
    <row r="48" spans="1:17">
      <c r="A48" s="13">
        <f t="shared" si="16"/>
        <v>46156</v>
      </c>
      <c r="B48" s="1"/>
      <c r="C48" s="1"/>
      <c r="D48" s="200"/>
      <c r="E48" s="205"/>
      <c r="F48" s="150" t="e">
        <f t="shared" si="13"/>
        <v>#DIV/0!</v>
      </c>
      <c r="G48" s="2">
        <f t="shared" si="11"/>
        <v>0</v>
      </c>
      <c r="H48" s="95">
        <f t="shared" si="12"/>
        <v>0</v>
      </c>
      <c r="I48" s="3"/>
      <c r="J48" s="201"/>
      <c r="K48" s="20" t="e">
        <f t="shared" si="14"/>
        <v>#DIV/0!</v>
      </c>
      <c r="L48" s="4" t="e">
        <f t="shared" si="15"/>
        <v>#DIV/0!</v>
      </c>
      <c r="M48" s="5"/>
      <c r="N48" s="15"/>
      <c r="O48" s="6"/>
      <c r="P48" s="6"/>
      <c r="Q48" s="146"/>
    </row>
    <row r="49" spans="1:17">
      <c r="A49" s="13">
        <f t="shared" si="16"/>
        <v>46157</v>
      </c>
      <c r="B49" s="1"/>
      <c r="C49" s="1"/>
      <c r="D49" s="200"/>
      <c r="E49" s="205"/>
      <c r="F49" s="150" t="e">
        <f t="shared" si="13"/>
        <v>#DIV/0!</v>
      </c>
      <c r="G49" s="2">
        <f t="shared" si="11"/>
        <v>0</v>
      </c>
      <c r="H49" s="95">
        <f t="shared" si="12"/>
        <v>0</v>
      </c>
      <c r="I49" s="3"/>
      <c r="J49" s="201"/>
      <c r="K49" s="20" t="e">
        <f t="shared" si="14"/>
        <v>#DIV/0!</v>
      </c>
      <c r="L49" s="4" t="e">
        <f t="shared" si="15"/>
        <v>#DIV/0!</v>
      </c>
      <c r="M49" s="5"/>
      <c r="N49" s="15"/>
      <c r="O49" s="6"/>
      <c r="P49" s="6"/>
      <c r="Q49" s="146"/>
    </row>
    <row r="50" spans="1:17">
      <c r="A50" s="13">
        <f t="shared" si="16"/>
        <v>46158</v>
      </c>
      <c r="B50" s="1"/>
      <c r="C50" s="1"/>
      <c r="D50" s="200"/>
      <c r="E50" s="205"/>
      <c r="F50" s="150" t="e">
        <f t="shared" si="13"/>
        <v>#DIV/0!</v>
      </c>
      <c r="G50" s="2">
        <f t="shared" si="11"/>
        <v>0</v>
      </c>
      <c r="H50" s="95">
        <f t="shared" si="12"/>
        <v>0</v>
      </c>
      <c r="I50" s="3"/>
      <c r="J50" s="201"/>
      <c r="K50" s="20" t="e">
        <f t="shared" si="14"/>
        <v>#DIV/0!</v>
      </c>
      <c r="L50" s="4" t="e">
        <f t="shared" si="15"/>
        <v>#DIV/0!</v>
      </c>
      <c r="M50" s="5"/>
      <c r="N50" s="15"/>
      <c r="O50" s="6"/>
      <c r="P50" s="6"/>
      <c r="Q50" s="146"/>
    </row>
    <row r="51" spans="1:17">
      <c r="A51" s="13">
        <f t="shared" si="16"/>
        <v>46159</v>
      </c>
      <c r="B51" s="1"/>
      <c r="C51" s="1"/>
      <c r="D51" s="200"/>
      <c r="E51" s="205"/>
      <c r="F51" s="150" t="e">
        <f t="shared" si="13"/>
        <v>#DIV/0!</v>
      </c>
      <c r="G51" s="2">
        <f t="shared" si="11"/>
        <v>0</v>
      </c>
      <c r="H51" s="95">
        <f t="shared" si="12"/>
        <v>0</v>
      </c>
      <c r="I51" s="3"/>
      <c r="J51" s="201"/>
      <c r="K51" s="20" t="e">
        <f t="shared" si="14"/>
        <v>#DIV/0!</v>
      </c>
      <c r="L51" s="4" t="e">
        <f t="shared" si="15"/>
        <v>#DIV/0!</v>
      </c>
      <c r="M51" s="5"/>
      <c r="N51" s="15"/>
      <c r="O51" s="6"/>
      <c r="P51" s="6"/>
      <c r="Q51" s="146"/>
    </row>
    <row r="52" spans="1:17">
      <c r="A52" s="13">
        <f t="shared" si="16"/>
        <v>46160</v>
      </c>
      <c r="B52" s="1"/>
      <c r="C52" s="1"/>
      <c r="D52" s="200"/>
      <c r="E52" s="205"/>
      <c r="F52" s="150" t="e">
        <f t="shared" si="13"/>
        <v>#DIV/0!</v>
      </c>
      <c r="G52" s="2">
        <f t="shared" si="11"/>
        <v>0</v>
      </c>
      <c r="H52" s="95">
        <f t="shared" si="12"/>
        <v>0</v>
      </c>
      <c r="I52" s="3"/>
      <c r="J52" s="201"/>
      <c r="K52" s="20" t="e">
        <f t="shared" si="14"/>
        <v>#DIV/0!</v>
      </c>
      <c r="L52" s="4" t="e">
        <f t="shared" si="15"/>
        <v>#DIV/0!</v>
      </c>
      <c r="M52" s="5"/>
      <c r="N52" s="15"/>
      <c r="O52" s="6"/>
      <c r="P52" s="6"/>
      <c r="Q52" s="146"/>
    </row>
    <row r="53" spans="1:17">
      <c r="A53" s="13">
        <f t="shared" si="16"/>
        <v>46161</v>
      </c>
      <c r="B53" s="1"/>
      <c r="C53" s="1"/>
      <c r="D53" s="200"/>
      <c r="E53" s="205"/>
      <c r="F53" s="150" t="e">
        <f t="shared" si="13"/>
        <v>#DIV/0!</v>
      </c>
      <c r="G53" s="2">
        <f t="shared" si="11"/>
        <v>0</v>
      </c>
      <c r="H53" s="95">
        <f>E53/($D$2*24)</f>
        <v>0</v>
      </c>
      <c r="I53" s="3"/>
      <c r="J53" s="201"/>
      <c r="K53" s="20" t="e">
        <f t="shared" si="14"/>
        <v>#DIV/0!</v>
      </c>
      <c r="L53" s="4" t="e">
        <f t="shared" si="15"/>
        <v>#DIV/0!</v>
      </c>
      <c r="M53" s="5"/>
      <c r="N53" s="15"/>
      <c r="O53" s="6"/>
      <c r="P53" s="6"/>
      <c r="Q53" s="146"/>
    </row>
    <row r="54" spans="1:17">
      <c r="A54" s="13">
        <f t="shared" si="16"/>
        <v>46162</v>
      </c>
      <c r="B54" s="1"/>
      <c r="C54" s="1"/>
      <c r="D54" s="200"/>
      <c r="E54" s="205"/>
      <c r="F54" s="150" t="e">
        <f t="shared" si="13"/>
        <v>#DIV/0!</v>
      </c>
      <c r="G54" s="2">
        <f t="shared" si="11"/>
        <v>0</v>
      </c>
      <c r="H54" s="95">
        <f>E54/($D$2*24)</f>
        <v>0</v>
      </c>
      <c r="I54" s="3"/>
      <c r="J54" s="201"/>
      <c r="K54" s="20" t="e">
        <f t="shared" si="14"/>
        <v>#DIV/0!</v>
      </c>
      <c r="L54" s="4" t="e">
        <f t="shared" si="15"/>
        <v>#DIV/0!</v>
      </c>
      <c r="M54" s="5"/>
      <c r="N54" s="15"/>
      <c r="O54" s="6"/>
      <c r="P54" s="6"/>
      <c r="Q54" s="146"/>
    </row>
    <row r="55" spans="1:17">
      <c r="A55" s="13">
        <f t="shared" si="16"/>
        <v>46163</v>
      </c>
      <c r="B55" s="1"/>
      <c r="C55" s="1"/>
      <c r="D55" s="14"/>
      <c r="E55" s="154"/>
      <c r="F55" s="150" t="e">
        <f>(IF(ISBLANK(E55),0,E55-C55))/C55</f>
        <v>#DIV/0!</v>
      </c>
      <c r="G55" s="2">
        <f t="shared" ref="G55:G64" si="17">D55/($D$2*24)</f>
        <v>0</v>
      </c>
      <c r="H55" s="95">
        <f t="shared" ref="H55:H64" si="18">E55/($D$2*24)</f>
        <v>0</v>
      </c>
      <c r="I55" s="3"/>
      <c r="J55" s="14"/>
      <c r="K55" s="20" t="e">
        <f>(IF(ISBLANK(J55),0,J55-I55))/I55</f>
        <v>#DIV/0!</v>
      </c>
      <c r="L55" s="4" t="e">
        <f t="shared" si="15"/>
        <v>#DIV/0!</v>
      </c>
      <c r="M55" s="5"/>
      <c r="N55" s="5"/>
      <c r="O55" s="6"/>
      <c r="P55" s="6"/>
      <c r="Q55" s="146"/>
    </row>
    <row r="56" spans="1:17">
      <c r="A56" s="13">
        <f t="shared" si="16"/>
        <v>46164</v>
      </c>
      <c r="B56" s="1"/>
      <c r="C56" s="1"/>
      <c r="D56" s="14"/>
      <c r="E56" s="154"/>
      <c r="F56" s="150" t="e">
        <f t="shared" ref="F56:F64" si="19">(IF(ISBLANK(E56),0,E56-C56))/C56</f>
        <v>#DIV/0!</v>
      </c>
      <c r="G56" s="2">
        <f t="shared" si="17"/>
        <v>0</v>
      </c>
      <c r="H56" s="95">
        <f t="shared" si="18"/>
        <v>0</v>
      </c>
      <c r="I56" s="3"/>
      <c r="J56" s="14"/>
      <c r="K56" s="20" t="e">
        <f t="shared" ref="K56:K64" si="20">(IF(ISBLANK(J56),0,J56-I56))/I56</f>
        <v>#DIV/0!</v>
      </c>
      <c r="L56" s="4" t="e">
        <f t="shared" si="15"/>
        <v>#DIV/0!</v>
      </c>
      <c r="M56" s="5"/>
      <c r="N56" s="5"/>
      <c r="O56" s="6"/>
      <c r="P56" s="6"/>
      <c r="Q56" s="146"/>
    </row>
    <row r="57" spans="1:17">
      <c r="A57" s="13">
        <f t="shared" si="16"/>
        <v>46165</v>
      </c>
      <c r="B57" s="1"/>
      <c r="C57" s="1"/>
      <c r="D57" s="14"/>
      <c r="E57" s="154"/>
      <c r="F57" s="150" t="e">
        <f t="shared" si="19"/>
        <v>#DIV/0!</v>
      </c>
      <c r="G57" s="2">
        <f t="shared" si="17"/>
        <v>0</v>
      </c>
      <c r="H57" s="95">
        <f t="shared" si="18"/>
        <v>0</v>
      </c>
      <c r="I57" s="3"/>
      <c r="J57" s="14"/>
      <c r="K57" s="20" t="e">
        <f t="shared" si="20"/>
        <v>#DIV/0!</v>
      </c>
      <c r="L57" s="4" t="e">
        <f t="shared" si="15"/>
        <v>#DIV/0!</v>
      </c>
      <c r="M57" s="5"/>
      <c r="N57" s="5"/>
      <c r="O57" s="6"/>
      <c r="P57" s="6"/>
      <c r="Q57" s="146"/>
    </row>
    <row r="58" spans="1:17">
      <c r="A58" s="13">
        <f t="shared" si="16"/>
        <v>46166</v>
      </c>
      <c r="B58" s="1"/>
      <c r="C58" s="1"/>
      <c r="D58" s="14"/>
      <c r="E58" s="154"/>
      <c r="F58" s="150" t="e">
        <f t="shared" si="19"/>
        <v>#DIV/0!</v>
      </c>
      <c r="G58" s="2">
        <f t="shared" si="17"/>
        <v>0</v>
      </c>
      <c r="H58" s="95">
        <f t="shared" si="18"/>
        <v>0</v>
      </c>
      <c r="I58" s="3"/>
      <c r="J58" s="14"/>
      <c r="K58" s="20" t="e">
        <f t="shared" si="20"/>
        <v>#DIV/0!</v>
      </c>
      <c r="L58" s="4" t="e">
        <f t="shared" si="15"/>
        <v>#DIV/0!</v>
      </c>
      <c r="M58" s="5"/>
      <c r="N58" s="5"/>
      <c r="O58" s="6"/>
      <c r="P58" s="6"/>
      <c r="Q58" s="146"/>
    </row>
    <row r="59" spans="1:17">
      <c r="A59" s="13">
        <f t="shared" si="16"/>
        <v>46167</v>
      </c>
      <c r="B59" s="1"/>
      <c r="C59" s="1"/>
      <c r="D59" s="159"/>
      <c r="E59" s="159"/>
      <c r="F59" s="150" t="e">
        <f t="shared" si="19"/>
        <v>#DIV/0!</v>
      </c>
      <c r="G59" s="2">
        <f t="shared" si="17"/>
        <v>0</v>
      </c>
      <c r="H59" s="95">
        <f t="shared" si="18"/>
        <v>0</v>
      </c>
      <c r="I59" s="3"/>
      <c r="J59" s="159"/>
      <c r="K59" s="20" t="e">
        <f t="shared" si="20"/>
        <v>#DIV/0!</v>
      </c>
      <c r="L59" s="4" t="e">
        <f t="shared" si="15"/>
        <v>#DIV/0!</v>
      </c>
      <c r="M59" s="5"/>
      <c r="N59" s="5"/>
      <c r="O59" s="6"/>
      <c r="P59" s="6"/>
      <c r="Q59" s="146"/>
    </row>
    <row r="60" spans="1:17">
      <c r="A60" s="13">
        <f t="shared" si="16"/>
        <v>46168</v>
      </c>
      <c r="B60" s="1"/>
      <c r="C60" s="1"/>
      <c r="D60" s="159"/>
      <c r="E60" s="159"/>
      <c r="F60" s="150" t="e">
        <f t="shared" si="19"/>
        <v>#DIV/0!</v>
      </c>
      <c r="G60" s="2">
        <f t="shared" si="17"/>
        <v>0</v>
      </c>
      <c r="H60" s="95">
        <f t="shared" si="18"/>
        <v>0</v>
      </c>
      <c r="I60" s="3"/>
      <c r="J60" s="159"/>
      <c r="K60" s="20" t="e">
        <f t="shared" si="20"/>
        <v>#DIV/0!</v>
      </c>
      <c r="L60" s="4" t="e">
        <f t="shared" si="15"/>
        <v>#DIV/0!</v>
      </c>
      <c r="M60" s="5"/>
      <c r="N60" s="5"/>
      <c r="O60" s="6"/>
      <c r="P60" s="6"/>
      <c r="Q60" s="147"/>
    </row>
    <row r="61" spans="1:17">
      <c r="A61" s="13">
        <f t="shared" si="16"/>
        <v>46169</v>
      </c>
      <c r="B61" s="1"/>
      <c r="C61" s="1"/>
      <c r="D61" s="159"/>
      <c r="E61" s="159"/>
      <c r="F61" s="150" t="e">
        <f t="shared" si="19"/>
        <v>#DIV/0!</v>
      </c>
      <c r="G61" s="2">
        <f t="shared" si="17"/>
        <v>0</v>
      </c>
      <c r="H61" s="95">
        <f t="shared" si="18"/>
        <v>0</v>
      </c>
      <c r="I61" s="3"/>
      <c r="J61" s="275"/>
      <c r="K61" s="20" t="e">
        <f t="shared" si="20"/>
        <v>#DIV/0!</v>
      </c>
      <c r="L61" s="4" t="e">
        <f t="shared" si="15"/>
        <v>#DIV/0!</v>
      </c>
      <c r="M61" s="5"/>
      <c r="N61" s="5"/>
      <c r="O61" s="6"/>
      <c r="P61" s="6"/>
      <c r="Q61" s="147"/>
    </row>
    <row r="62" spans="1:17">
      <c r="A62" s="13">
        <f t="shared" si="16"/>
        <v>46170</v>
      </c>
      <c r="B62" s="1"/>
      <c r="C62" s="1"/>
      <c r="D62" s="159"/>
      <c r="E62" s="159"/>
      <c r="F62" s="150" t="e">
        <f t="shared" si="19"/>
        <v>#DIV/0!</v>
      </c>
      <c r="G62" s="2">
        <f t="shared" si="17"/>
        <v>0</v>
      </c>
      <c r="H62" s="95">
        <f t="shared" si="18"/>
        <v>0</v>
      </c>
      <c r="I62" s="3"/>
      <c r="J62" s="159"/>
      <c r="K62" s="20" t="e">
        <f t="shared" si="20"/>
        <v>#DIV/0!</v>
      </c>
      <c r="L62" s="4" t="e">
        <f t="shared" si="15"/>
        <v>#DIV/0!</v>
      </c>
      <c r="M62" s="5"/>
      <c r="N62" s="5"/>
      <c r="O62" s="6"/>
      <c r="P62" s="6"/>
      <c r="Q62" s="147"/>
    </row>
    <row r="63" spans="1:17">
      <c r="A63" s="13">
        <f t="shared" si="16"/>
        <v>46171</v>
      </c>
      <c r="B63" s="1"/>
      <c r="C63" s="1"/>
      <c r="D63" s="159"/>
      <c r="E63" s="159"/>
      <c r="F63" s="150" t="e">
        <f t="shared" si="19"/>
        <v>#DIV/0!</v>
      </c>
      <c r="G63" s="2">
        <f t="shared" si="17"/>
        <v>0</v>
      </c>
      <c r="H63" s="95">
        <f t="shared" si="18"/>
        <v>0</v>
      </c>
      <c r="I63" s="3"/>
      <c r="J63" s="159"/>
      <c r="K63" s="20" t="e">
        <f t="shared" si="20"/>
        <v>#DIV/0!</v>
      </c>
      <c r="L63" s="4" t="e">
        <f t="shared" si="15"/>
        <v>#DIV/0!</v>
      </c>
      <c r="M63" s="5"/>
      <c r="N63" s="5"/>
      <c r="O63" s="6"/>
      <c r="P63" s="6"/>
      <c r="Q63" s="6"/>
    </row>
    <row r="64" spans="1:17">
      <c r="A64" s="13">
        <f t="shared" si="16"/>
        <v>46172</v>
      </c>
      <c r="B64" s="1"/>
      <c r="C64" s="1"/>
      <c r="D64" s="159"/>
      <c r="E64" s="159"/>
      <c r="F64" s="278" t="e">
        <f t="shared" si="19"/>
        <v>#DIV/0!</v>
      </c>
      <c r="G64" s="2">
        <f t="shared" si="17"/>
        <v>0</v>
      </c>
      <c r="H64" s="95">
        <f t="shared" si="18"/>
        <v>0</v>
      </c>
      <c r="I64" s="3"/>
      <c r="J64" s="159"/>
      <c r="K64" s="20" t="e">
        <f t="shared" si="20"/>
        <v>#DIV/0!</v>
      </c>
      <c r="L64" s="4" t="e">
        <f t="shared" si="15"/>
        <v>#DIV/0!</v>
      </c>
      <c r="M64" s="5"/>
      <c r="N64" s="5"/>
      <c r="O64" s="6"/>
      <c r="P64" s="6"/>
      <c r="Q64" s="6"/>
    </row>
    <row r="65" spans="1:17">
      <c r="A65" s="13">
        <f t="shared" si="16"/>
        <v>46173</v>
      </c>
      <c r="B65" s="1"/>
      <c r="C65" s="1"/>
      <c r="D65" s="159"/>
      <c r="E65" s="159"/>
      <c r="F65" s="278" t="e">
        <f t="shared" ref="F65" si="21">(IF(ISBLANK(E65),0,E65-C65))/C65</f>
        <v>#DIV/0!</v>
      </c>
      <c r="G65" s="2">
        <f t="shared" ref="G65" si="22">D65/($D$2*24)</f>
        <v>0</v>
      </c>
      <c r="H65" s="95">
        <f t="shared" ref="H65" si="23">E65/($D$2*24)</f>
        <v>0</v>
      </c>
      <c r="I65" s="3"/>
      <c r="J65" s="159"/>
      <c r="K65" s="20" t="e">
        <f t="shared" ref="K65" si="24">(IF(ISBLANK(J65),0,J65-I65))/I65</f>
        <v>#DIV/0!</v>
      </c>
      <c r="L65" s="4" t="e">
        <f t="shared" si="15"/>
        <v>#DIV/0!</v>
      </c>
      <c r="M65" s="5"/>
      <c r="N65" s="5"/>
      <c r="O65" s="6"/>
      <c r="P65" s="6"/>
      <c r="Q65" s="6"/>
    </row>
    <row r="66" spans="1:17">
      <c r="A66" s="349">
        <v>46143</v>
      </c>
      <c r="B66" s="17">
        <f>SUM(B35:B65)</f>
        <v>28375</v>
      </c>
      <c r="C66" s="17">
        <f>SUM(C35:C65)</f>
        <v>28255</v>
      </c>
      <c r="D66" s="17">
        <f>SUM(D35:D65)</f>
        <v>20878</v>
      </c>
      <c r="E66" s="277">
        <f>SUM(E35:E65)</f>
        <v>21100</v>
      </c>
      <c r="F66" s="276">
        <f>(IF(ISBLANK(E66),0,E66-C66))/C66</f>
        <v>-0.25322951689966378</v>
      </c>
      <c r="G66" s="156">
        <f>AVERAGE(G35:G65)</f>
        <v>2.1635950622196799E-2</v>
      </c>
      <c r="H66" s="18">
        <f>AVERAGE(H35:H65)</f>
        <v>2.5510752688172041E-2</v>
      </c>
      <c r="I66" s="17">
        <f>SUM(I35:I65)</f>
        <v>27.725000000000001</v>
      </c>
      <c r="J66" s="17">
        <f>SUM(J35:J65)</f>
        <v>25.088000000000001</v>
      </c>
      <c r="K66" s="164">
        <f>(IF(ISBLANK(J66),0,J66-I66))/I66</f>
        <v>-9.511271415689812E-2</v>
      </c>
      <c r="L66" s="163">
        <f t="shared" si="15"/>
        <v>0.64162736220162697</v>
      </c>
      <c r="M66" s="18">
        <f>AVERAGE(M35:M65)</f>
        <v>1</v>
      </c>
      <c r="N66" s="18">
        <f>AVERAGE(N35:N65)</f>
        <v>1</v>
      </c>
      <c r="O66" s="17">
        <f>SUM(O35:O65)</f>
        <v>0</v>
      </c>
      <c r="P66" s="17">
        <f>SUM(P35:P65)</f>
        <v>0</v>
      </c>
      <c r="Q66" s="19"/>
    </row>
  </sheetData>
  <mergeCells count="4">
    <mergeCell ref="A1:Q1"/>
    <mergeCell ref="B2:C2"/>
    <mergeCell ref="E2:G2"/>
    <mergeCell ref="I2:J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5676-B053-4D9D-B415-32533375323D}">
  <dimension ref="A1:Q66"/>
  <sheetViews>
    <sheetView topLeftCell="A32" workbookViewId="0">
      <selection activeCell="O45" sqref="O45"/>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11.1796875" customWidth="1"/>
    <col min="8" max="8" width="9.54296875" customWidth="1"/>
    <col min="9" max="9" width="11.54296875" customWidth="1"/>
    <col min="10" max="10" width="9.7265625" bestFit="1" customWidth="1"/>
    <col min="11" max="11" width="9" bestFit="1" customWidth="1"/>
    <col min="12" max="12" width="9.54296875" customWidth="1"/>
    <col min="13" max="14" width="9.26953125" bestFit="1" customWidth="1"/>
    <col min="15" max="16" width="9.7265625" bestFit="1" customWidth="1"/>
    <col min="17" max="17" width="78.81640625" customWidth="1"/>
    <col min="18" max="18" width="10" customWidth="1"/>
  </cols>
  <sheetData>
    <row r="1" spans="1:17" ht="18.5">
      <c r="A1" s="405" t="s">
        <v>328</v>
      </c>
      <c r="B1" s="406"/>
      <c r="C1" s="406"/>
      <c r="D1" s="406"/>
      <c r="E1" s="406"/>
      <c r="F1" s="406"/>
      <c r="G1" s="406"/>
      <c r="H1" s="406"/>
      <c r="I1" s="406"/>
      <c r="J1" s="406"/>
      <c r="K1" s="406"/>
      <c r="L1" s="406"/>
      <c r="M1" s="406"/>
      <c r="N1" s="406"/>
      <c r="O1" s="406"/>
      <c r="P1" s="406"/>
      <c r="Q1" s="406"/>
    </row>
    <row r="2" spans="1:17" ht="18.5">
      <c r="A2" s="7">
        <v>46113</v>
      </c>
      <c r="B2" s="407" t="s">
        <v>172</v>
      </c>
      <c r="C2" s="408"/>
      <c r="D2" s="8">
        <v>2795</v>
      </c>
      <c r="E2" s="407" t="s">
        <v>173</v>
      </c>
      <c r="F2" s="407"/>
      <c r="G2" s="408"/>
      <c r="H2" s="8">
        <v>2200</v>
      </c>
      <c r="I2" s="409" t="s">
        <v>174</v>
      </c>
      <c r="J2" s="410"/>
      <c r="K2" s="9">
        <v>46054</v>
      </c>
      <c r="L2" s="10" t="s">
        <v>175</v>
      </c>
      <c r="M2" s="10" t="s">
        <v>175</v>
      </c>
      <c r="N2" s="10" t="s">
        <v>175</v>
      </c>
      <c r="O2" s="10" t="s">
        <v>175</v>
      </c>
      <c r="P2" s="10" t="s">
        <v>175</v>
      </c>
      <c r="Q2" s="11" t="s">
        <v>175</v>
      </c>
    </row>
    <row r="3" spans="1:17" ht="52">
      <c r="A3" s="12" t="s">
        <v>2</v>
      </c>
      <c r="B3" s="12" t="s">
        <v>3</v>
      </c>
      <c r="C3" s="12" t="s">
        <v>4</v>
      </c>
      <c r="D3" s="12" t="s">
        <v>5</v>
      </c>
      <c r="E3" s="12" t="s">
        <v>6</v>
      </c>
      <c r="F3" s="204" t="s">
        <v>7</v>
      </c>
      <c r="G3" s="151" t="s">
        <v>8</v>
      </c>
      <c r="H3" s="12" t="s">
        <v>9</v>
      </c>
      <c r="I3" s="12" t="s">
        <v>10</v>
      </c>
      <c r="J3" s="12" t="s">
        <v>11</v>
      </c>
      <c r="K3" s="195" t="s">
        <v>12</v>
      </c>
      <c r="L3" s="12" t="s">
        <v>13</v>
      </c>
      <c r="M3" s="12" t="s">
        <v>14</v>
      </c>
      <c r="N3" s="12" t="s">
        <v>15</v>
      </c>
      <c r="O3" s="12" t="s">
        <v>16</v>
      </c>
      <c r="P3" s="12" t="s">
        <v>17</v>
      </c>
      <c r="Q3" s="194" t="s">
        <v>156</v>
      </c>
    </row>
    <row r="4" spans="1:17">
      <c r="A4" s="13">
        <f>A2</f>
        <v>46113</v>
      </c>
      <c r="B4" s="1">
        <v>12577</v>
      </c>
      <c r="C4" s="1">
        <v>12438</v>
      </c>
      <c r="D4" s="200">
        <v>15879</v>
      </c>
      <c r="E4" s="200">
        <v>15960</v>
      </c>
      <c r="F4" s="279">
        <f t="shared" ref="F4:F33" si="0">(IF(ISBLANK(E4),0,E4-C4))/C4</f>
        <v>0.28316449589966231</v>
      </c>
      <c r="G4" s="152">
        <f t="shared" ref="G4:G23" si="1">D4/($D$2*24)</f>
        <v>0.23671735241502684</v>
      </c>
      <c r="H4" s="149">
        <f t="shared" ref="H4:H21" si="2">D4/($H$2*24)</f>
        <v>0.30073863636363635</v>
      </c>
      <c r="I4" s="3">
        <v>6.01</v>
      </c>
      <c r="J4" s="201">
        <v>6.9249999999999998</v>
      </c>
      <c r="K4" s="153">
        <v>6.9249999999999998</v>
      </c>
      <c r="L4" s="4">
        <f t="shared" ref="L4:L35" si="3">D4/($D$2*J4)</f>
        <v>0.82039226829756595</v>
      </c>
      <c r="M4" s="5">
        <v>1</v>
      </c>
      <c r="N4" s="138">
        <v>0.99380000000000002</v>
      </c>
      <c r="O4" s="6"/>
      <c r="P4" s="6"/>
      <c r="Q4" s="148" t="s">
        <v>329</v>
      </c>
    </row>
    <row r="5" spans="1:17">
      <c r="A5" s="13">
        <f>A4+1</f>
        <v>46114</v>
      </c>
      <c r="B5" s="1">
        <v>12577</v>
      </c>
      <c r="C5" s="1">
        <v>12438</v>
      </c>
      <c r="D5" s="200">
        <v>16181</v>
      </c>
      <c r="E5" s="200">
        <v>16268</v>
      </c>
      <c r="F5" s="279">
        <f t="shared" si="0"/>
        <v>0.3079273195047435</v>
      </c>
      <c r="G5" s="152">
        <f t="shared" si="1"/>
        <v>0.24121943947525343</v>
      </c>
      <c r="H5" s="149">
        <f t="shared" si="2"/>
        <v>0.30645833333333333</v>
      </c>
      <c r="I5" s="3">
        <v>6.01</v>
      </c>
      <c r="J5" s="201">
        <v>6.6779999999999999</v>
      </c>
      <c r="K5" s="153">
        <v>6.6779999999999999</v>
      </c>
      <c r="L5" s="4">
        <f t="shared" si="3"/>
        <v>0.8669162245292128</v>
      </c>
      <c r="M5" s="5">
        <v>1</v>
      </c>
      <c r="N5" s="5">
        <v>1</v>
      </c>
      <c r="O5" s="6"/>
      <c r="P5" s="6"/>
      <c r="Q5" s="148"/>
    </row>
    <row r="6" spans="1:17">
      <c r="A6" s="13">
        <f t="shared" ref="A6:A33" si="4">A5+1</f>
        <v>46115</v>
      </c>
      <c r="B6" s="1">
        <v>12577</v>
      </c>
      <c r="C6" s="1">
        <v>12438</v>
      </c>
      <c r="D6" s="200">
        <v>14733</v>
      </c>
      <c r="E6" s="200">
        <v>14806</v>
      </c>
      <c r="F6" s="279">
        <f t="shared" si="0"/>
        <v>0.1903843061585464</v>
      </c>
      <c r="G6" s="152">
        <f t="shared" si="1"/>
        <v>0.21963327370304114</v>
      </c>
      <c r="H6" s="149">
        <f t="shared" si="2"/>
        <v>0.27903409090909093</v>
      </c>
      <c r="I6" s="3">
        <v>6.01</v>
      </c>
      <c r="J6" s="201">
        <v>6.4290000000000003</v>
      </c>
      <c r="K6" s="153">
        <v>6.4290000000000003</v>
      </c>
      <c r="L6" s="4">
        <f t="shared" si="3"/>
        <v>0.81990956118727443</v>
      </c>
      <c r="M6" s="5">
        <v>1</v>
      </c>
      <c r="N6" s="5">
        <v>1</v>
      </c>
      <c r="O6" s="6"/>
      <c r="P6" s="6"/>
      <c r="Q6" s="148"/>
    </row>
    <row r="7" spans="1:17">
      <c r="A7" s="13">
        <f t="shared" si="4"/>
        <v>46116</v>
      </c>
      <c r="B7" s="1">
        <v>12577</v>
      </c>
      <c r="C7" s="1">
        <v>12438</v>
      </c>
      <c r="D7" s="200">
        <v>10365</v>
      </c>
      <c r="E7" s="200">
        <v>10398</v>
      </c>
      <c r="F7" s="279">
        <f t="shared" si="0"/>
        <v>-0.16401350699469369</v>
      </c>
      <c r="G7" s="152">
        <f t="shared" si="1"/>
        <v>0.1545169946332737</v>
      </c>
      <c r="H7" s="149">
        <f t="shared" si="2"/>
        <v>0.19630681818181819</v>
      </c>
      <c r="I7" s="3">
        <v>6.01</v>
      </c>
      <c r="J7" s="201">
        <v>4.9829999999999997</v>
      </c>
      <c r="K7" s="153">
        <v>4.9829999999999997</v>
      </c>
      <c r="L7" s="4">
        <f t="shared" si="3"/>
        <v>0.7442118946816314</v>
      </c>
      <c r="M7" s="5">
        <v>1</v>
      </c>
      <c r="N7" s="5">
        <v>1</v>
      </c>
      <c r="O7" s="6"/>
      <c r="P7" s="6"/>
      <c r="Q7" s="148" t="s">
        <v>330</v>
      </c>
    </row>
    <row r="8" spans="1:17">
      <c r="A8" s="13">
        <f t="shared" si="4"/>
        <v>46117</v>
      </c>
      <c r="B8" s="1">
        <v>12577</v>
      </c>
      <c r="C8" s="1">
        <v>12438</v>
      </c>
      <c r="D8" s="200">
        <v>12098</v>
      </c>
      <c r="E8" s="200">
        <v>12149</v>
      </c>
      <c r="F8" s="279">
        <f t="shared" si="0"/>
        <v>-2.3235246824248271E-2</v>
      </c>
      <c r="G8" s="152">
        <f t="shared" si="1"/>
        <v>0.18035181872391176</v>
      </c>
      <c r="H8" s="149">
        <f t="shared" si="2"/>
        <v>0.22912878787878788</v>
      </c>
      <c r="I8" s="3">
        <v>6.01</v>
      </c>
      <c r="J8" s="201">
        <v>5.4320000000000004</v>
      </c>
      <c r="K8" s="153">
        <v>5.4320000000000004</v>
      </c>
      <c r="L8" s="4">
        <f t="shared" si="3"/>
        <v>0.79684161439136258</v>
      </c>
      <c r="M8" s="5">
        <v>1</v>
      </c>
      <c r="N8" s="5">
        <v>1</v>
      </c>
      <c r="O8" s="6"/>
      <c r="P8" s="6"/>
      <c r="Q8" s="148" t="s">
        <v>331</v>
      </c>
    </row>
    <row r="9" spans="1:17">
      <c r="A9" s="13">
        <f t="shared" si="4"/>
        <v>46118</v>
      </c>
      <c r="B9" s="1">
        <v>12577</v>
      </c>
      <c r="C9" s="1">
        <v>12438</v>
      </c>
      <c r="D9" s="200">
        <v>9237</v>
      </c>
      <c r="E9" s="200">
        <v>9272</v>
      </c>
      <c r="F9" s="279">
        <f t="shared" si="0"/>
        <v>-0.25454253095352952</v>
      </c>
      <c r="G9" s="152">
        <f t="shared" si="1"/>
        <v>0.13770125223613597</v>
      </c>
      <c r="H9" s="149">
        <f t="shared" si="2"/>
        <v>0.17494318181818183</v>
      </c>
      <c r="I9" s="3">
        <v>6.01</v>
      </c>
      <c r="J9" s="201">
        <v>3.8809999999999998</v>
      </c>
      <c r="K9" s="153">
        <v>3.8809999999999998</v>
      </c>
      <c r="L9" s="4">
        <f t="shared" si="3"/>
        <v>0.85154085381789835</v>
      </c>
      <c r="M9" s="5">
        <v>1</v>
      </c>
      <c r="N9" s="5">
        <v>1</v>
      </c>
      <c r="O9" s="6"/>
      <c r="P9" s="6"/>
      <c r="Q9" s="148" t="s">
        <v>331</v>
      </c>
    </row>
    <row r="10" spans="1:17">
      <c r="A10" s="13">
        <f t="shared" si="4"/>
        <v>46119</v>
      </c>
      <c r="B10" s="1">
        <v>12577</v>
      </c>
      <c r="C10" s="1">
        <v>12438</v>
      </c>
      <c r="D10" s="200">
        <v>13303</v>
      </c>
      <c r="E10" s="200">
        <v>13254</v>
      </c>
      <c r="F10" s="279">
        <f t="shared" si="0"/>
        <v>6.5605402797877466E-2</v>
      </c>
      <c r="G10" s="152">
        <f t="shared" si="1"/>
        <v>0.19831544424567679</v>
      </c>
      <c r="H10" s="149">
        <f t="shared" si="2"/>
        <v>0.25195075757575758</v>
      </c>
      <c r="I10" s="3">
        <v>6.01</v>
      </c>
      <c r="J10" s="201">
        <v>6.0739999999999998</v>
      </c>
      <c r="K10" s="153">
        <v>6.0739999999999998</v>
      </c>
      <c r="L10" s="4">
        <f t="shared" si="3"/>
        <v>0.78359740893912477</v>
      </c>
      <c r="M10" s="5">
        <v>1</v>
      </c>
      <c r="N10" s="15">
        <v>0.99550000000000005</v>
      </c>
      <c r="O10" s="6"/>
      <c r="P10" s="6"/>
      <c r="Q10" s="148" t="s">
        <v>332</v>
      </c>
    </row>
    <row r="11" spans="1:17">
      <c r="A11" s="13">
        <f t="shared" si="4"/>
        <v>46120</v>
      </c>
      <c r="B11" s="1">
        <v>12577</v>
      </c>
      <c r="C11" s="1">
        <v>12438</v>
      </c>
      <c r="D11" s="200">
        <v>14611</v>
      </c>
      <c r="E11" s="200">
        <v>14781</v>
      </c>
      <c r="F11" s="279">
        <f t="shared" si="0"/>
        <v>0.188374336710082</v>
      </c>
      <c r="G11" s="152">
        <f t="shared" si="1"/>
        <v>0.21781454979129397</v>
      </c>
      <c r="H11" s="149">
        <f t="shared" si="2"/>
        <v>0.27672348484848486</v>
      </c>
      <c r="I11" s="3">
        <v>6.01</v>
      </c>
      <c r="J11" s="201">
        <v>6.2679999999999998</v>
      </c>
      <c r="K11" s="153">
        <v>6.2679999999999998</v>
      </c>
      <c r="L11" s="4">
        <f t="shared" si="3"/>
        <v>0.83400593410833701</v>
      </c>
      <c r="M11" s="5">
        <v>1</v>
      </c>
      <c r="N11" s="15">
        <v>0.99980000000000002</v>
      </c>
      <c r="O11" s="6"/>
      <c r="P11" s="6"/>
      <c r="Q11" s="148" t="s">
        <v>333</v>
      </c>
    </row>
    <row r="12" spans="1:17">
      <c r="A12" s="13">
        <f t="shared" si="4"/>
        <v>46121</v>
      </c>
      <c r="B12" s="1">
        <v>12577</v>
      </c>
      <c r="C12" s="1">
        <v>12438</v>
      </c>
      <c r="D12" s="200">
        <v>14548</v>
      </c>
      <c r="E12" s="200">
        <v>14625</v>
      </c>
      <c r="F12" s="279">
        <f t="shared" si="0"/>
        <v>0.17583212735166426</v>
      </c>
      <c r="G12" s="152">
        <f t="shared" si="1"/>
        <v>0.21687537268932619</v>
      </c>
      <c r="H12" s="149">
        <f t="shared" si="2"/>
        <v>0.27553030303030301</v>
      </c>
      <c r="I12" s="3">
        <v>6.01</v>
      </c>
      <c r="J12" s="201">
        <v>6.3010000000000002</v>
      </c>
      <c r="K12" s="153">
        <v>6.3010000000000002</v>
      </c>
      <c r="L12" s="4">
        <f t="shared" si="3"/>
        <v>0.82606077520136922</v>
      </c>
      <c r="M12" s="5">
        <v>1</v>
      </c>
      <c r="N12" s="5">
        <v>0.99929999999999997</v>
      </c>
      <c r="O12" s="6"/>
      <c r="P12" s="6"/>
      <c r="Q12" s="148" t="s">
        <v>334</v>
      </c>
    </row>
    <row r="13" spans="1:17">
      <c r="A13" s="13">
        <f t="shared" si="4"/>
        <v>46122</v>
      </c>
      <c r="B13" s="1">
        <v>12577</v>
      </c>
      <c r="C13" s="1">
        <v>12438</v>
      </c>
      <c r="D13" s="200">
        <v>14498</v>
      </c>
      <c r="E13" s="200">
        <v>14561</v>
      </c>
      <c r="F13" s="279">
        <f t="shared" si="0"/>
        <v>0.17068660556359544</v>
      </c>
      <c r="G13" s="152">
        <f t="shared" si="1"/>
        <v>0.21612999403697078</v>
      </c>
      <c r="H13" s="149">
        <f t="shared" si="2"/>
        <v>0.27458333333333335</v>
      </c>
      <c r="I13" s="3">
        <v>6.01</v>
      </c>
      <c r="J13" s="201">
        <v>6.1710000000000003</v>
      </c>
      <c r="K13" s="153">
        <v>6.1710000000000003</v>
      </c>
      <c r="L13" s="4">
        <f t="shared" si="3"/>
        <v>0.84056390485939048</v>
      </c>
      <c r="M13" s="5">
        <v>1</v>
      </c>
      <c r="N13" s="15">
        <v>0.99729999999999996</v>
      </c>
      <c r="O13" s="6"/>
      <c r="P13" s="6"/>
      <c r="Q13" s="145" t="s">
        <v>335</v>
      </c>
    </row>
    <row r="14" spans="1:17">
      <c r="A14" s="13">
        <f t="shared" si="4"/>
        <v>46123</v>
      </c>
      <c r="B14" s="1">
        <v>12577</v>
      </c>
      <c r="C14" s="1">
        <v>12438</v>
      </c>
      <c r="D14" s="200">
        <v>14537</v>
      </c>
      <c r="E14" s="200">
        <v>14609</v>
      </c>
      <c r="F14" s="279">
        <f t="shared" si="0"/>
        <v>0.17454574690464705</v>
      </c>
      <c r="G14" s="152">
        <f t="shared" si="1"/>
        <v>0.216711389385808</v>
      </c>
      <c r="H14" s="149">
        <f t="shared" si="2"/>
        <v>0.2753219696969697</v>
      </c>
      <c r="I14" s="3">
        <v>6.01</v>
      </c>
      <c r="J14" s="201">
        <v>5.899</v>
      </c>
      <c r="K14" s="153">
        <v>5.899</v>
      </c>
      <c r="L14" s="4">
        <f t="shared" si="3"/>
        <v>0.88168729365305831</v>
      </c>
      <c r="M14" s="5">
        <v>1</v>
      </c>
      <c r="N14" s="15">
        <v>0.99950000000000006</v>
      </c>
      <c r="O14" s="6"/>
      <c r="P14" s="6"/>
      <c r="Q14" s="148" t="s">
        <v>336</v>
      </c>
    </row>
    <row r="15" spans="1:17">
      <c r="A15" s="13">
        <f t="shared" si="4"/>
        <v>46124</v>
      </c>
      <c r="B15" s="1">
        <v>12577</v>
      </c>
      <c r="C15" s="1">
        <v>12438</v>
      </c>
      <c r="D15" s="200">
        <v>14255</v>
      </c>
      <c r="E15" s="200">
        <v>13208</v>
      </c>
      <c r="F15" s="279">
        <f t="shared" si="0"/>
        <v>6.1907059012703006E-2</v>
      </c>
      <c r="G15" s="152">
        <f t="shared" si="1"/>
        <v>0.21250745378652355</v>
      </c>
      <c r="H15" s="149">
        <f t="shared" si="2"/>
        <v>0.26998106060606059</v>
      </c>
      <c r="I15" s="3">
        <v>6.01</v>
      </c>
      <c r="J15" s="201">
        <v>6.0250000000000004</v>
      </c>
      <c r="K15" s="153">
        <v>6.0250000000000004</v>
      </c>
      <c r="L15" s="4">
        <f t="shared" si="3"/>
        <v>0.84650272047743824</v>
      </c>
      <c r="M15" s="5">
        <v>1</v>
      </c>
      <c r="N15" s="15">
        <v>0.998</v>
      </c>
      <c r="O15" s="6"/>
      <c r="P15" s="6"/>
      <c r="Q15" s="148" t="s">
        <v>337</v>
      </c>
    </row>
    <row r="16" spans="1:17">
      <c r="A16" s="13">
        <f t="shared" si="4"/>
        <v>46125</v>
      </c>
      <c r="B16" s="1">
        <v>12577</v>
      </c>
      <c r="C16" s="1">
        <v>12438</v>
      </c>
      <c r="D16" s="200">
        <v>15351</v>
      </c>
      <c r="E16" s="200">
        <v>15426</v>
      </c>
      <c r="F16" s="279">
        <f t="shared" si="0"/>
        <v>0.2402315484804631</v>
      </c>
      <c r="G16" s="152">
        <f t="shared" si="1"/>
        <v>0.22884615384615384</v>
      </c>
      <c r="H16" s="149">
        <f t="shared" si="2"/>
        <v>0.29073863636363634</v>
      </c>
      <c r="I16" s="3">
        <v>6.01</v>
      </c>
      <c r="J16" s="201">
        <v>6.508</v>
      </c>
      <c r="K16" s="153">
        <v>6.508</v>
      </c>
      <c r="L16" s="4">
        <f t="shared" si="3"/>
        <v>0.8439317289962649</v>
      </c>
      <c r="M16" s="5">
        <v>1</v>
      </c>
      <c r="N16" s="15">
        <v>0.99909999999999999</v>
      </c>
      <c r="O16" s="6"/>
      <c r="P16" s="6"/>
      <c r="Q16" s="148" t="s">
        <v>338</v>
      </c>
    </row>
    <row r="17" spans="1:17">
      <c r="A17" s="13">
        <f t="shared" si="4"/>
        <v>46126</v>
      </c>
      <c r="B17" s="1">
        <v>12577</v>
      </c>
      <c r="C17" s="1">
        <v>12438</v>
      </c>
      <c r="D17" s="200">
        <v>14993</v>
      </c>
      <c r="E17" s="200">
        <v>15057</v>
      </c>
      <c r="F17" s="279">
        <f t="shared" si="0"/>
        <v>0.21056439942112881</v>
      </c>
      <c r="G17" s="152">
        <f t="shared" si="1"/>
        <v>0.22350924269528921</v>
      </c>
      <c r="H17" s="149">
        <f t="shared" si="2"/>
        <v>0.28395833333333331</v>
      </c>
      <c r="I17" s="3">
        <v>6.01</v>
      </c>
      <c r="J17" s="201">
        <v>6.58</v>
      </c>
      <c r="K17" s="153">
        <v>6.58</v>
      </c>
      <c r="L17" s="4">
        <f t="shared" si="3"/>
        <v>0.81523128034755943</v>
      </c>
      <c r="M17" s="5">
        <v>1</v>
      </c>
      <c r="N17" s="15">
        <v>0.99919999999999998</v>
      </c>
      <c r="O17" s="6"/>
      <c r="P17" s="6"/>
      <c r="Q17" s="148" t="s">
        <v>339</v>
      </c>
    </row>
    <row r="18" spans="1:17">
      <c r="A18" s="13">
        <f t="shared" si="4"/>
        <v>46127</v>
      </c>
      <c r="B18" s="1">
        <v>12577</v>
      </c>
      <c r="C18" s="1">
        <v>12438</v>
      </c>
      <c r="D18" s="200">
        <v>15559</v>
      </c>
      <c r="E18" s="200">
        <v>15301</v>
      </c>
      <c r="F18" s="279">
        <f t="shared" si="0"/>
        <v>0.23018170123814119</v>
      </c>
      <c r="G18" s="152">
        <f t="shared" si="1"/>
        <v>0.23194692903995229</v>
      </c>
      <c r="H18" s="149">
        <f t="shared" si="2"/>
        <v>0.2946780303030303</v>
      </c>
      <c r="I18" s="3">
        <v>6.01</v>
      </c>
      <c r="J18" s="201">
        <v>6.7510000000000003</v>
      </c>
      <c r="K18" s="153">
        <v>6.7510000000000003</v>
      </c>
      <c r="L18" s="4">
        <f t="shared" si="3"/>
        <v>0.82457803243354388</v>
      </c>
      <c r="M18" s="5">
        <v>1</v>
      </c>
      <c r="N18" s="15">
        <v>0.99980000000000002</v>
      </c>
      <c r="O18" s="6"/>
      <c r="P18" s="6"/>
      <c r="Q18" s="148" t="s">
        <v>340</v>
      </c>
    </row>
    <row r="19" spans="1:17">
      <c r="A19" s="13">
        <f t="shared" si="4"/>
        <v>46128</v>
      </c>
      <c r="B19" s="1">
        <v>12577</v>
      </c>
      <c r="C19" s="1">
        <v>12438</v>
      </c>
      <c r="D19" s="200">
        <v>15043</v>
      </c>
      <c r="E19" s="200">
        <v>15120</v>
      </c>
      <c r="F19" s="279">
        <f t="shared" si="0"/>
        <v>0.21562952243125905</v>
      </c>
      <c r="G19" s="152">
        <f t="shared" si="1"/>
        <v>0.22425462134764459</v>
      </c>
      <c r="H19" s="149">
        <f t="shared" si="2"/>
        <v>0.28490530303030304</v>
      </c>
      <c r="I19" s="3">
        <v>6.01</v>
      </c>
      <c r="J19" s="201">
        <v>6.5469999999999997</v>
      </c>
      <c r="K19" s="153">
        <v>6.5469999999999997</v>
      </c>
      <c r="L19" s="4">
        <f t="shared" si="3"/>
        <v>0.82207284440865602</v>
      </c>
      <c r="M19" s="5">
        <v>1</v>
      </c>
      <c r="N19" s="15">
        <v>0.99950000000000006</v>
      </c>
      <c r="O19" s="6"/>
      <c r="P19" s="6"/>
      <c r="Q19" s="148"/>
    </row>
    <row r="20" spans="1:17">
      <c r="A20" s="13">
        <f t="shared" si="4"/>
        <v>46129</v>
      </c>
      <c r="B20" s="1">
        <v>12577</v>
      </c>
      <c r="C20" s="1">
        <v>12438</v>
      </c>
      <c r="D20" s="200">
        <v>13370</v>
      </c>
      <c r="E20" s="200">
        <v>13423</v>
      </c>
      <c r="F20" s="279">
        <f t="shared" si="0"/>
        <v>7.9192796269496699E-2</v>
      </c>
      <c r="G20" s="152">
        <f t="shared" si="1"/>
        <v>0.19931425163983305</v>
      </c>
      <c r="H20" s="149">
        <f t="shared" si="2"/>
        <v>0.25321969696969698</v>
      </c>
      <c r="I20" s="3">
        <v>6.01</v>
      </c>
      <c r="J20" s="201">
        <v>5.74</v>
      </c>
      <c r="K20" s="153">
        <v>5.74</v>
      </c>
      <c r="L20" s="4">
        <f t="shared" si="3"/>
        <v>0.83336969326759447</v>
      </c>
      <c r="M20" s="5">
        <v>1</v>
      </c>
      <c r="N20" s="15">
        <v>1</v>
      </c>
      <c r="O20" s="6"/>
      <c r="P20" s="6"/>
      <c r="Q20" s="148" t="s">
        <v>331</v>
      </c>
    </row>
    <row r="21" spans="1:17">
      <c r="A21" s="13">
        <f t="shared" si="4"/>
        <v>46130</v>
      </c>
      <c r="B21" s="1">
        <v>12577</v>
      </c>
      <c r="C21" s="1">
        <v>12438</v>
      </c>
      <c r="D21" s="200">
        <v>15082</v>
      </c>
      <c r="E21" s="200">
        <v>15157</v>
      </c>
      <c r="F21" s="279">
        <f t="shared" si="0"/>
        <v>0.21860427721498632</v>
      </c>
      <c r="G21" s="152">
        <f t="shared" si="1"/>
        <v>0.22483601669648182</v>
      </c>
      <c r="H21" s="149">
        <f t="shared" si="2"/>
        <v>0.28564393939393939</v>
      </c>
      <c r="I21" s="3">
        <v>6.01</v>
      </c>
      <c r="J21" s="201">
        <v>6.4109999999999996</v>
      </c>
      <c r="K21" s="153">
        <v>6.4109999999999996</v>
      </c>
      <c r="L21" s="4">
        <f t="shared" si="3"/>
        <v>0.84168841065599187</v>
      </c>
      <c r="M21" s="5">
        <v>1</v>
      </c>
      <c r="N21" s="15">
        <v>1</v>
      </c>
      <c r="O21" s="6"/>
      <c r="P21" s="6"/>
      <c r="Q21" s="148"/>
    </row>
    <row r="22" spans="1:17">
      <c r="A22" s="13">
        <f t="shared" si="4"/>
        <v>46131</v>
      </c>
      <c r="B22" s="1">
        <v>12577</v>
      </c>
      <c r="C22" s="1">
        <v>12438</v>
      </c>
      <c r="D22" s="200">
        <v>15225</v>
      </c>
      <c r="E22" s="200">
        <v>15293</v>
      </c>
      <c r="F22" s="279">
        <f t="shared" si="0"/>
        <v>0.22953851101463257</v>
      </c>
      <c r="G22" s="152">
        <f t="shared" si="1"/>
        <v>0.22696779964221825</v>
      </c>
      <c r="H22" s="149">
        <f>E22/($D$2*24)</f>
        <v>0.22798151460942159</v>
      </c>
      <c r="I22" s="3">
        <v>6.01</v>
      </c>
      <c r="J22" s="201">
        <v>6.6669999999999998</v>
      </c>
      <c r="K22" s="153">
        <v>6.6669999999999998</v>
      </c>
      <c r="L22" s="4">
        <f t="shared" si="3"/>
        <v>0.8170432265506582</v>
      </c>
      <c r="M22" s="5">
        <v>1</v>
      </c>
      <c r="N22" s="15">
        <v>0.99880000000000002</v>
      </c>
      <c r="O22" s="6"/>
      <c r="P22" s="6"/>
      <c r="Q22" s="144" t="s">
        <v>341</v>
      </c>
    </row>
    <row r="23" spans="1:17">
      <c r="A23" s="13">
        <f t="shared" si="4"/>
        <v>46132</v>
      </c>
      <c r="B23" s="1">
        <v>12577</v>
      </c>
      <c r="C23" s="1">
        <v>12438</v>
      </c>
      <c r="D23" s="200">
        <v>14959</v>
      </c>
      <c r="E23" s="200">
        <v>15025</v>
      </c>
      <c r="F23" s="279">
        <f t="shared" si="0"/>
        <v>0.20799163852709437</v>
      </c>
      <c r="G23" s="152">
        <f t="shared" si="1"/>
        <v>0.22300238521168753</v>
      </c>
      <c r="H23" s="149">
        <f>E23/($D$2*24)</f>
        <v>0.22398628503279666</v>
      </c>
      <c r="I23" s="3">
        <v>6.01</v>
      </c>
      <c r="J23" s="201">
        <v>6.3490000000000002</v>
      </c>
      <c r="K23" s="153">
        <v>6.3490000000000002</v>
      </c>
      <c r="L23" s="4">
        <f t="shared" si="3"/>
        <v>0.84297641283359592</v>
      </c>
      <c r="M23" s="5">
        <v>1</v>
      </c>
      <c r="N23" s="15">
        <v>0.999</v>
      </c>
      <c r="O23" s="6"/>
      <c r="P23" s="6"/>
      <c r="Q23" s="144" t="s">
        <v>342</v>
      </c>
    </row>
    <row r="24" spans="1:17">
      <c r="A24" s="13">
        <f t="shared" si="4"/>
        <v>46133</v>
      </c>
      <c r="B24" s="1">
        <v>12577</v>
      </c>
      <c r="C24" s="1">
        <v>12438</v>
      </c>
      <c r="D24" s="14">
        <v>14886</v>
      </c>
      <c r="E24" s="14">
        <v>14946</v>
      </c>
      <c r="F24" s="279">
        <f t="shared" si="0"/>
        <v>0.20164013506994694</v>
      </c>
      <c r="G24" s="152">
        <f t="shared" ref="G24:G33" si="5">D24/($D$2*24)</f>
        <v>0.22191413237924865</v>
      </c>
      <c r="H24" s="149">
        <f t="shared" ref="H24:H33" si="6">E24/($D$2*24)</f>
        <v>0.22280858676207513</v>
      </c>
      <c r="I24" s="3">
        <v>6.01</v>
      </c>
      <c r="J24" s="14">
        <v>6.7279999999999998</v>
      </c>
      <c r="K24" s="153">
        <v>6.7279999999999998</v>
      </c>
      <c r="L24" s="4">
        <f t="shared" si="3"/>
        <v>0.79160808220897272</v>
      </c>
      <c r="M24" s="5">
        <v>1</v>
      </c>
      <c r="N24" s="15">
        <v>0.99929999999999997</v>
      </c>
      <c r="O24" s="6"/>
      <c r="P24" s="6"/>
      <c r="Q24" s="144" t="s">
        <v>343</v>
      </c>
    </row>
    <row r="25" spans="1:17">
      <c r="A25" s="13">
        <f t="shared" si="4"/>
        <v>46134</v>
      </c>
      <c r="B25" s="1">
        <v>12577</v>
      </c>
      <c r="C25" s="1">
        <v>12438</v>
      </c>
      <c r="D25" s="14">
        <v>15485</v>
      </c>
      <c r="E25" s="14">
        <v>15563</v>
      </c>
      <c r="F25" s="279">
        <f t="shared" si="0"/>
        <v>0.25124618105804791</v>
      </c>
      <c r="G25" s="152">
        <f t="shared" si="5"/>
        <v>0.23084376863446632</v>
      </c>
      <c r="H25" s="149">
        <f t="shared" si="6"/>
        <v>0.23200655933214073</v>
      </c>
      <c r="I25" s="3">
        <v>6.01</v>
      </c>
      <c r="J25" s="14">
        <v>6.6669999999999998</v>
      </c>
      <c r="K25" s="153">
        <v>6.6669999999999998</v>
      </c>
      <c r="L25" s="4">
        <f t="shared" si="3"/>
        <v>0.83099601728321459</v>
      </c>
      <c r="M25" s="5">
        <v>1</v>
      </c>
      <c r="N25" s="15">
        <v>0.99860000000000004</v>
      </c>
      <c r="O25" s="6"/>
      <c r="P25" s="6"/>
      <c r="Q25" s="148"/>
    </row>
    <row r="26" spans="1:17">
      <c r="A26" s="13">
        <f t="shared" si="4"/>
        <v>46135</v>
      </c>
      <c r="B26" s="1">
        <v>12577</v>
      </c>
      <c r="C26" s="1">
        <v>12438</v>
      </c>
      <c r="D26" s="14">
        <v>2860</v>
      </c>
      <c r="E26" s="14">
        <v>2872</v>
      </c>
      <c r="F26" s="279">
        <f t="shared" si="0"/>
        <v>-0.76909470976041161</v>
      </c>
      <c r="G26" s="152">
        <f t="shared" si="5"/>
        <v>4.2635658914728682E-2</v>
      </c>
      <c r="H26" s="149">
        <f t="shared" si="6"/>
        <v>4.2814549791293975E-2</v>
      </c>
      <c r="I26" s="3">
        <v>6.01</v>
      </c>
      <c r="J26" s="14">
        <v>7.008</v>
      </c>
      <c r="K26" s="153">
        <v>7.008</v>
      </c>
      <c r="L26" s="4">
        <f t="shared" si="3"/>
        <v>0.14601253052989274</v>
      </c>
      <c r="M26" s="5">
        <v>1</v>
      </c>
      <c r="N26" s="5">
        <v>1</v>
      </c>
      <c r="O26" s="6"/>
      <c r="P26" s="6"/>
      <c r="Q26" s="148" t="s">
        <v>308</v>
      </c>
    </row>
    <row r="27" spans="1:17">
      <c r="A27" s="13">
        <f t="shared" si="4"/>
        <v>46136</v>
      </c>
      <c r="B27" s="1">
        <v>12577</v>
      </c>
      <c r="C27" s="1">
        <v>12438</v>
      </c>
      <c r="D27" s="14">
        <v>13229</v>
      </c>
      <c r="E27" s="14">
        <v>13315</v>
      </c>
      <c r="F27" s="279">
        <f t="shared" si="0"/>
        <v>7.0509728252130574E-2</v>
      </c>
      <c r="G27" s="152">
        <f t="shared" si="5"/>
        <v>0.19721228384019082</v>
      </c>
      <c r="H27" s="149">
        <f t="shared" si="6"/>
        <v>0.1984943351222421</v>
      </c>
      <c r="I27" s="3">
        <v>6.01</v>
      </c>
      <c r="J27" s="14">
        <v>5.66</v>
      </c>
      <c r="K27" s="153">
        <v>5.66</v>
      </c>
      <c r="L27" s="4">
        <f t="shared" si="3"/>
        <v>0.83623583253791156</v>
      </c>
      <c r="M27" s="5">
        <v>1</v>
      </c>
      <c r="N27" s="15">
        <v>0.99590000000000001</v>
      </c>
      <c r="O27" s="6"/>
      <c r="P27" s="6"/>
      <c r="Q27" s="148" t="s">
        <v>344</v>
      </c>
    </row>
    <row r="28" spans="1:17">
      <c r="A28" s="13">
        <f t="shared" si="4"/>
        <v>46137</v>
      </c>
      <c r="B28" s="1">
        <v>12577</v>
      </c>
      <c r="C28" s="1">
        <v>12438</v>
      </c>
      <c r="D28" s="159">
        <v>13039</v>
      </c>
      <c r="E28" s="159">
        <v>13091</v>
      </c>
      <c r="F28" s="279">
        <f t="shared" si="0"/>
        <v>5.2500401993889695E-2</v>
      </c>
      <c r="G28" s="152">
        <f t="shared" si="5"/>
        <v>0.19437984496124031</v>
      </c>
      <c r="H28" s="149">
        <f t="shared" si="6"/>
        <v>0.19515503875968992</v>
      </c>
      <c r="I28" s="3">
        <v>6.01</v>
      </c>
      <c r="J28" s="159">
        <v>5.55</v>
      </c>
      <c r="K28" s="162">
        <f t="shared" ref="K28:K34" si="7">(IF(ISBLANK(J28),0,J28-I28))/I28</f>
        <v>-7.6539101497504161E-2</v>
      </c>
      <c r="L28" s="4">
        <f t="shared" si="3"/>
        <v>0.84056149172428241</v>
      </c>
      <c r="M28" s="5">
        <v>1</v>
      </c>
      <c r="N28" s="5">
        <v>1</v>
      </c>
      <c r="O28" s="6"/>
      <c r="P28" s="6"/>
      <c r="Q28" s="148"/>
    </row>
    <row r="29" spans="1:17">
      <c r="A29" s="13">
        <f t="shared" si="4"/>
        <v>46138</v>
      </c>
      <c r="B29" s="1">
        <v>12577</v>
      </c>
      <c r="C29" s="1">
        <v>12438</v>
      </c>
      <c r="D29" s="159">
        <v>14685</v>
      </c>
      <c r="E29" s="159">
        <v>14754</v>
      </c>
      <c r="F29" s="279">
        <f t="shared" si="0"/>
        <v>0.18620356970574048</v>
      </c>
      <c r="G29" s="166">
        <f t="shared" si="5"/>
        <v>0.21891771019677997</v>
      </c>
      <c r="H29" s="149">
        <f t="shared" si="6"/>
        <v>0.2199463327370304</v>
      </c>
      <c r="I29" s="3">
        <v>6.01</v>
      </c>
      <c r="J29" s="159">
        <v>6.4640000000000004</v>
      </c>
      <c r="K29" s="162">
        <f t="shared" si="7"/>
        <v>7.5540765391015077E-2</v>
      </c>
      <c r="L29" s="4">
        <f t="shared" si="3"/>
        <v>0.81281328043358891</v>
      </c>
      <c r="M29" s="5">
        <v>1</v>
      </c>
      <c r="N29" s="15">
        <v>0.99780000000000002</v>
      </c>
      <c r="O29" s="6"/>
      <c r="P29" s="6"/>
      <c r="Q29" s="144" t="s">
        <v>345</v>
      </c>
    </row>
    <row r="30" spans="1:17">
      <c r="A30" s="13">
        <f t="shared" si="4"/>
        <v>46139</v>
      </c>
      <c r="B30" s="1">
        <v>12577</v>
      </c>
      <c r="C30" s="1">
        <v>12438</v>
      </c>
      <c r="D30" s="159">
        <v>14622</v>
      </c>
      <c r="E30" s="159">
        <v>14696</v>
      </c>
      <c r="F30" s="279">
        <f t="shared" si="0"/>
        <v>0.18154044058530311</v>
      </c>
      <c r="G30" s="149">
        <f t="shared" si="5"/>
        <v>0.21797853309481216</v>
      </c>
      <c r="H30" s="152">
        <f t="shared" si="6"/>
        <v>0.21908169350029816</v>
      </c>
      <c r="I30" s="3">
        <v>6.01</v>
      </c>
      <c r="J30" s="159">
        <v>6.4109999999999996</v>
      </c>
      <c r="K30" s="162">
        <f t="shared" si="7"/>
        <v>6.6722129783693809E-2</v>
      </c>
      <c r="L30" s="4">
        <f t="shared" si="3"/>
        <v>0.81601696993846395</v>
      </c>
      <c r="M30" s="5">
        <v>1</v>
      </c>
      <c r="N30" s="5">
        <v>1</v>
      </c>
      <c r="O30" s="6"/>
      <c r="P30" s="6"/>
      <c r="Q30" s="14" t="s">
        <v>325</v>
      </c>
    </row>
    <row r="31" spans="1:17">
      <c r="A31" s="13">
        <f t="shared" si="4"/>
        <v>46140</v>
      </c>
      <c r="B31" s="1">
        <v>12577</v>
      </c>
      <c r="C31" s="1">
        <v>12438</v>
      </c>
      <c r="D31" s="159">
        <v>13414</v>
      </c>
      <c r="E31" s="159">
        <v>13472</v>
      </c>
      <c r="F31" s="279">
        <f t="shared" si="0"/>
        <v>8.3132336388486897E-2</v>
      </c>
      <c r="G31" s="149">
        <f t="shared" si="5"/>
        <v>0.19997018485390577</v>
      </c>
      <c r="H31" s="152">
        <f t="shared" si="6"/>
        <v>0.20083482409063805</v>
      </c>
      <c r="I31" s="3">
        <v>6.01</v>
      </c>
      <c r="J31" s="159">
        <v>5.9160000000000004</v>
      </c>
      <c r="K31" s="162">
        <f t="shared" si="7"/>
        <v>-1.5640599001663796E-2</v>
      </c>
      <c r="L31" s="4">
        <f t="shared" si="3"/>
        <v>0.81123807242963797</v>
      </c>
      <c r="M31" s="5">
        <v>1</v>
      </c>
      <c r="N31" s="5">
        <v>1</v>
      </c>
      <c r="O31" s="6"/>
      <c r="P31" s="6"/>
      <c r="Q31" s="14" t="s">
        <v>325</v>
      </c>
    </row>
    <row r="32" spans="1:17">
      <c r="A32" s="13">
        <f t="shared" si="4"/>
        <v>46141</v>
      </c>
      <c r="B32" s="1">
        <v>12577</v>
      </c>
      <c r="C32" s="1">
        <v>12438</v>
      </c>
      <c r="D32" s="159">
        <v>12442</v>
      </c>
      <c r="E32" s="159">
        <v>12492</v>
      </c>
      <c r="F32" s="279">
        <f t="shared" si="0"/>
        <v>4.3415340086830683E-3</v>
      </c>
      <c r="G32" s="149">
        <f t="shared" si="5"/>
        <v>0.18548002385211687</v>
      </c>
      <c r="H32" s="152">
        <f t="shared" si="6"/>
        <v>0.18622540250447228</v>
      </c>
      <c r="I32" s="3">
        <v>6.01</v>
      </c>
      <c r="J32" s="159">
        <v>5.3860000000000001</v>
      </c>
      <c r="K32" s="162">
        <f t="shared" si="7"/>
        <v>-0.10382695507487516</v>
      </c>
      <c r="L32" s="4">
        <f t="shared" si="3"/>
        <v>0.82649843528607592</v>
      </c>
      <c r="M32" s="5">
        <v>1</v>
      </c>
      <c r="N32" s="5">
        <v>1</v>
      </c>
      <c r="O32" s="6"/>
      <c r="P32" s="6"/>
      <c r="Q32" s="6"/>
    </row>
    <row r="33" spans="1:17">
      <c r="A33" s="13">
        <f t="shared" si="4"/>
        <v>46142</v>
      </c>
      <c r="B33" s="1">
        <v>12577</v>
      </c>
      <c r="C33" s="1">
        <v>12438</v>
      </c>
      <c r="D33" s="159">
        <v>13767</v>
      </c>
      <c r="E33" s="159">
        <v>13828</v>
      </c>
      <c r="F33" s="279">
        <f t="shared" si="0"/>
        <v>0.11175430133461971</v>
      </c>
      <c r="G33" s="149">
        <f t="shared" si="5"/>
        <v>0.20523255813953489</v>
      </c>
      <c r="H33" s="152">
        <f t="shared" si="6"/>
        <v>0.20614192009540847</v>
      </c>
      <c r="I33" s="3">
        <v>6.01</v>
      </c>
      <c r="J33" s="159">
        <v>6.1260000000000003</v>
      </c>
      <c r="K33" s="162">
        <f t="shared" si="7"/>
        <v>1.9301164725457662E-2</v>
      </c>
      <c r="L33" s="4">
        <f t="shared" si="3"/>
        <v>0.80404528164362332</v>
      </c>
      <c r="M33" s="5">
        <v>1</v>
      </c>
      <c r="N33" s="15">
        <v>0.99980000000000002</v>
      </c>
      <c r="O33" s="6"/>
      <c r="P33" s="6"/>
      <c r="Q33" s="144" t="s">
        <v>346</v>
      </c>
    </row>
    <row r="34" spans="1:17">
      <c r="A34" s="349">
        <v>46113</v>
      </c>
      <c r="B34" s="17">
        <f>SUM(B4:B33)</f>
        <v>377310</v>
      </c>
      <c r="C34" s="17">
        <f>SUM(C4:C33)</f>
        <v>373140</v>
      </c>
      <c r="D34" s="17">
        <f>SUM(D4:D33)</f>
        <v>412256</v>
      </c>
      <c r="E34" s="17">
        <f>SUM(E4:E33)</f>
        <v>412722</v>
      </c>
      <c r="F34" s="165">
        <f>(IF(ISBLANK(E34),0,E34-C34))/C34</f>
        <v>0.1060781476121563</v>
      </c>
      <c r="G34" s="156">
        <f>AVERAGE(G4:G33)</f>
        <v>0.20485788113695094</v>
      </c>
      <c r="H34" s="18">
        <f>AVERAGE(H4:H33)</f>
        <v>0.23931072464357345</v>
      </c>
      <c r="I34" s="17">
        <f>SUM(I4:I33)</f>
        <v>180.29999999999995</v>
      </c>
      <c r="J34" s="17">
        <f>SUM(J4:J33)</f>
        <v>184.53500000000003</v>
      </c>
      <c r="K34" s="164">
        <f t="shared" si="7"/>
        <v>2.3488630061009826E-2</v>
      </c>
      <c r="L34" s="163">
        <f t="shared" si="3"/>
        <v>0.79929376225975901</v>
      </c>
      <c r="M34" s="18">
        <f>AVERAGE(M4:M33)</f>
        <v>1</v>
      </c>
      <c r="N34" s="18">
        <f>AVERAGE(N4:N33)</f>
        <v>0.999</v>
      </c>
      <c r="O34" s="17">
        <f>SUM(O4:O33)</f>
        <v>0</v>
      </c>
      <c r="P34" s="17">
        <f>SUM(P4:P33)</f>
        <v>0</v>
      </c>
      <c r="Q34" s="19"/>
    </row>
    <row r="35" spans="1:17">
      <c r="A35" s="13">
        <v>46143</v>
      </c>
      <c r="B35" s="1">
        <v>12884</v>
      </c>
      <c r="C35" s="1">
        <v>12742</v>
      </c>
      <c r="D35" s="159">
        <v>2269</v>
      </c>
      <c r="E35" s="159">
        <v>2271</v>
      </c>
      <c r="F35" s="150">
        <f>(IF(ISBLANK(E35),0,E35-C35))/C35</f>
        <v>-0.82177052268089779</v>
      </c>
      <c r="G35" s="2">
        <f t="shared" ref="G35:G54" si="8">D35/($D$2*24)</f>
        <v>3.3825283243887894E-2</v>
      </c>
      <c r="H35" s="95">
        <f t="shared" ref="H35:H52" si="9">D35/($H$2*24)</f>
        <v>4.2973484848484851E-2</v>
      </c>
      <c r="I35" s="3">
        <v>5.7</v>
      </c>
      <c r="J35" s="159">
        <v>5.9539999999999997</v>
      </c>
      <c r="K35" s="20">
        <f>(IF(ISBLANK(J35),0,J35-I35))/I35</f>
        <v>4.456140350877185E-2</v>
      </c>
      <c r="L35" s="4">
        <f t="shared" si="3"/>
        <v>0.13634645580337748</v>
      </c>
      <c r="M35" s="5">
        <v>1</v>
      </c>
      <c r="N35" s="5">
        <v>1</v>
      </c>
      <c r="O35" s="6"/>
      <c r="P35" s="6"/>
      <c r="Q35" s="146" t="s">
        <v>326</v>
      </c>
    </row>
    <row r="36" spans="1:17">
      <c r="A36" s="13">
        <f>A35+1</f>
        <v>46144</v>
      </c>
      <c r="B36" s="1">
        <v>12884</v>
      </c>
      <c r="C36" s="1">
        <v>12742</v>
      </c>
      <c r="D36" s="159">
        <v>13975</v>
      </c>
      <c r="E36" s="159">
        <v>14044</v>
      </c>
      <c r="F36" s="150">
        <f t="shared" ref="F36:F54" si="10">(IF(ISBLANK(E36),0,E36-C36))/C36</f>
        <v>0.10218176110500707</v>
      </c>
      <c r="G36" s="2">
        <f t="shared" si="8"/>
        <v>0.20833333333333334</v>
      </c>
      <c r="H36" s="95">
        <f t="shared" si="9"/>
        <v>0.26467803030303028</v>
      </c>
      <c r="I36" s="3">
        <v>5.7</v>
      </c>
      <c r="J36" s="159">
        <v>6.1749999999999998</v>
      </c>
      <c r="K36" s="20">
        <f t="shared" ref="K36:K54" si="11">(IF(ISBLANK(J36),0,J36-I36))/I36</f>
        <v>8.3333333333333273E-2</v>
      </c>
      <c r="L36" s="4">
        <f t="shared" ref="L36:L66" si="12">D36/($D$2*J36)</f>
        <v>0.80971659919028338</v>
      </c>
      <c r="M36" s="5">
        <v>1</v>
      </c>
      <c r="N36" s="5">
        <v>1</v>
      </c>
      <c r="O36" s="6"/>
      <c r="P36" s="6"/>
      <c r="Q36" s="146"/>
    </row>
    <row r="37" spans="1:17">
      <c r="A37" s="13">
        <f t="shared" ref="A37:A65" si="13">A36+1</f>
        <v>46145</v>
      </c>
      <c r="B37" s="1">
        <v>12884</v>
      </c>
      <c r="C37" s="1">
        <v>12742</v>
      </c>
      <c r="D37" s="159">
        <v>11056</v>
      </c>
      <c r="E37" s="159">
        <v>11090</v>
      </c>
      <c r="F37" s="150">
        <f t="shared" si="10"/>
        <v>-0.12964997645581541</v>
      </c>
      <c r="G37" s="2">
        <f t="shared" si="8"/>
        <v>0.16481812760882528</v>
      </c>
      <c r="H37" s="95">
        <f t="shared" si="9"/>
        <v>0.20939393939393938</v>
      </c>
      <c r="I37" s="3">
        <v>5.7</v>
      </c>
      <c r="J37" s="275">
        <v>4.5999999999999996</v>
      </c>
      <c r="K37" s="20">
        <f t="shared" si="11"/>
        <v>-0.19298245614035098</v>
      </c>
      <c r="L37" s="4">
        <f t="shared" si="12"/>
        <v>0.85992066578517556</v>
      </c>
      <c r="M37" s="5">
        <v>1</v>
      </c>
      <c r="N37" s="5">
        <v>1</v>
      </c>
      <c r="O37" s="6"/>
      <c r="P37" s="6"/>
      <c r="Q37" s="146" t="s">
        <v>331</v>
      </c>
    </row>
    <row r="38" spans="1:17">
      <c r="A38" s="13">
        <f t="shared" si="13"/>
        <v>46146</v>
      </c>
      <c r="B38" s="1">
        <v>12884</v>
      </c>
      <c r="C38" s="1">
        <v>12742</v>
      </c>
      <c r="D38" s="159">
        <v>13109</v>
      </c>
      <c r="E38" s="159">
        <v>13047</v>
      </c>
      <c r="F38" s="150">
        <f t="shared" si="10"/>
        <v>2.3936587662847276E-2</v>
      </c>
      <c r="G38" s="2">
        <f t="shared" si="8"/>
        <v>0.19542337507453786</v>
      </c>
      <c r="H38" s="95">
        <f t="shared" si="9"/>
        <v>0.24827651515151516</v>
      </c>
      <c r="I38" s="3">
        <v>5.7</v>
      </c>
      <c r="J38" s="201">
        <v>5.548</v>
      </c>
      <c r="K38" s="20">
        <f t="shared" si="11"/>
        <v>-2.6666666666666689E-2</v>
      </c>
      <c r="L38" s="4">
        <f t="shared" si="12"/>
        <v>0.8453786953476764</v>
      </c>
      <c r="M38" s="5">
        <v>1</v>
      </c>
      <c r="N38" s="5">
        <v>1</v>
      </c>
      <c r="O38" s="6"/>
      <c r="P38" s="6"/>
      <c r="Q38" s="146" t="s">
        <v>347</v>
      </c>
    </row>
    <row r="39" spans="1:17">
      <c r="A39" s="13">
        <f t="shared" si="13"/>
        <v>46147</v>
      </c>
      <c r="B39" s="1">
        <v>12884</v>
      </c>
      <c r="C39" s="1">
        <v>12742</v>
      </c>
      <c r="D39" s="159">
        <v>13093</v>
      </c>
      <c r="E39" s="159">
        <v>13165</v>
      </c>
      <c r="F39" s="150">
        <f t="shared" si="10"/>
        <v>3.3197300266834089E-2</v>
      </c>
      <c r="G39" s="2">
        <f t="shared" si="8"/>
        <v>0.19518485390578413</v>
      </c>
      <c r="H39" s="95">
        <f t="shared" si="9"/>
        <v>0.24797348484848486</v>
      </c>
      <c r="I39" s="3">
        <v>5.7</v>
      </c>
      <c r="J39" s="159">
        <v>5.2789999999999999</v>
      </c>
      <c r="K39" s="20">
        <f t="shared" si="11"/>
        <v>-7.3859649122807056E-2</v>
      </c>
      <c r="L39" s="4">
        <f t="shared" si="12"/>
        <v>0.88737194425815857</v>
      </c>
      <c r="M39" s="5">
        <v>1</v>
      </c>
      <c r="N39" s="5">
        <v>1</v>
      </c>
      <c r="O39" s="6"/>
      <c r="P39" s="6"/>
      <c r="Q39" s="146" t="s">
        <v>347</v>
      </c>
    </row>
    <row r="40" spans="1:17">
      <c r="A40" s="13">
        <f t="shared" si="13"/>
        <v>46148</v>
      </c>
      <c r="B40" s="1"/>
      <c r="C40" s="1"/>
      <c r="D40" s="200"/>
      <c r="E40" s="205"/>
      <c r="F40" s="150" t="e">
        <f t="shared" si="10"/>
        <v>#DIV/0!</v>
      </c>
      <c r="G40" s="2">
        <f t="shared" si="8"/>
        <v>0</v>
      </c>
      <c r="H40" s="95">
        <f t="shared" si="9"/>
        <v>0</v>
      </c>
      <c r="I40" s="3"/>
      <c r="J40" s="201"/>
      <c r="K40" s="20" t="e">
        <f t="shared" si="11"/>
        <v>#DIV/0!</v>
      </c>
      <c r="L40" s="4" t="e">
        <f t="shared" si="12"/>
        <v>#DIV/0!</v>
      </c>
      <c r="M40" s="5"/>
      <c r="N40" s="5"/>
      <c r="O40" s="6"/>
      <c r="P40" s="6"/>
      <c r="Q40" s="146"/>
    </row>
    <row r="41" spans="1:17">
      <c r="A41" s="13">
        <f t="shared" si="13"/>
        <v>46149</v>
      </c>
      <c r="B41" s="1"/>
      <c r="C41" s="1"/>
      <c r="D41" s="200"/>
      <c r="E41" s="205"/>
      <c r="F41" s="150" t="e">
        <f t="shared" si="10"/>
        <v>#DIV/0!</v>
      </c>
      <c r="G41" s="2">
        <f t="shared" si="8"/>
        <v>0</v>
      </c>
      <c r="H41" s="95">
        <f t="shared" si="9"/>
        <v>0</v>
      </c>
      <c r="I41" s="3"/>
      <c r="J41" s="201"/>
      <c r="K41" s="20" t="e">
        <f t="shared" si="11"/>
        <v>#DIV/0!</v>
      </c>
      <c r="L41" s="4" t="e">
        <f t="shared" si="12"/>
        <v>#DIV/0!</v>
      </c>
      <c r="M41" s="5"/>
      <c r="N41" s="15"/>
      <c r="O41" s="6"/>
      <c r="P41" s="6"/>
      <c r="Q41" s="146"/>
    </row>
    <row r="42" spans="1:17">
      <c r="A42" s="13">
        <f t="shared" si="13"/>
        <v>46150</v>
      </c>
      <c r="B42" s="1"/>
      <c r="C42" s="1"/>
      <c r="D42" s="200"/>
      <c r="E42" s="205"/>
      <c r="F42" s="150" t="e">
        <f t="shared" si="10"/>
        <v>#DIV/0!</v>
      </c>
      <c r="G42" s="2">
        <f t="shared" si="8"/>
        <v>0</v>
      </c>
      <c r="H42" s="95">
        <f t="shared" si="9"/>
        <v>0</v>
      </c>
      <c r="I42" s="3"/>
      <c r="J42" s="201"/>
      <c r="K42" s="20" t="e">
        <f t="shared" si="11"/>
        <v>#DIV/0!</v>
      </c>
      <c r="L42" s="4" t="e">
        <f t="shared" si="12"/>
        <v>#DIV/0!</v>
      </c>
      <c r="M42" s="5"/>
      <c r="N42" s="15"/>
      <c r="O42" s="6"/>
      <c r="P42" s="6"/>
      <c r="Q42" s="146"/>
    </row>
    <row r="43" spans="1:17">
      <c r="A43" s="13">
        <f t="shared" si="13"/>
        <v>46151</v>
      </c>
      <c r="B43" s="1"/>
      <c r="C43" s="1"/>
      <c r="D43" s="200"/>
      <c r="E43" s="205"/>
      <c r="F43" s="150" t="e">
        <f t="shared" si="10"/>
        <v>#DIV/0!</v>
      </c>
      <c r="G43" s="2">
        <f t="shared" si="8"/>
        <v>0</v>
      </c>
      <c r="H43" s="95">
        <f t="shared" si="9"/>
        <v>0</v>
      </c>
      <c r="I43" s="3"/>
      <c r="J43" s="201"/>
      <c r="K43" s="20" t="e">
        <f t="shared" si="11"/>
        <v>#DIV/0!</v>
      </c>
      <c r="L43" s="4" t="e">
        <f t="shared" si="12"/>
        <v>#DIV/0!</v>
      </c>
      <c r="M43" s="5"/>
      <c r="N43" s="5"/>
      <c r="O43" s="6"/>
      <c r="P43" s="6"/>
      <c r="Q43" s="146"/>
    </row>
    <row r="44" spans="1:17">
      <c r="A44" s="13">
        <f t="shared" si="13"/>
        <v>46152</v>
      </c>
      <c r="B44" s="1"/>
      <c r="C44" s="1"/>
      <c r="D44" s="200"/>
      <c r="E44" s="205"/>
      <c r="F44" s="150" t="e">
        <f t="shared" si="10"/>
        <v>#DIV/0!</v>
      </c>
      <c r="G44" s="2">
        <f t="shared" si="8"/>
        <v>0</v>
      </c>
      <c r="H44" s="95">
        <f t="shared" si="9"/>
        <v>0</v>
      </c>
      <c r="I44" s="3"/>
      <c r="J44" s="201"/>
      <c r="K44" s="20" t="e">
        <f t="shared" si="11"/>
        <v>#DIV/0!</v>
      </c>
      <c r="L44" s="4" t="e">
        <f t="shared" si="12"/>
        <v>#DIV/0!</v>
      </c>
      <c r="M44" s="5"/>
      <c r="N44" s="15"/>
      <c r="O44" s="6"/>
      <c r="P44" s="6"/>
      <c r="Q44" s="146"/>
    </row>
    <row r="45" spans="1:17">
      <c r="A45" s="13">
        <f t="shared" si="13"/>
        <v>46153</v>
      </c>
      <c r="B45" s="1"/>
      <c r="C45" s="1"/>
      <c r="D45" s="200"/>
      <c r="E45" s="205"/>
      <c r="F45" s="150" t="e">
        <f t="shared" si="10"/>
        <v>#DIV/0!</v>
      </c>
      <c r="G45" s="2">
        <f t="shared" si="8"/>
        <v>0</v>
      </c>
      <c r="H45" s="95">
        <f t="shared" si="9"/>
        <v>0</v>
      </c>
      <c r="I45" s="3"/>
      <c r="J45" s="201"/>
      <c r="K45" s="20" t="e">
        <f t="shared" si="11"/>
        <v>#DIV/0!</v>
      </c>
      <c r="L45" s="4" t="e">
        <f t="shared" si="12"/>
        <v>#DIV/0!</v>
      </c>
      <c r="M45" s="5"/>
      <c r="N45" s="15"/>
      <c r="O45" s="6"/>
      <c r="P45" s="6"/>
      <c r="Q45" s="146"/>
    </row>
    <row r="46" spans="1:17">
      <c r="A46" s="13">
        <f t="shared" si="13"/>
        <v>46154</v>
      </c>
      <c r="B46" s="1"/>
      <c r="C46" s="1"/>
      <c r="D46" s="200"/>
      <c r="E46" s="205"/>
      <c r="F46" s="150" t="e">
        <f t="shared" si="10"/>
        <v>#DIV/0!</v>
      </c>
      <c r="G46" s="2">
        <f t="shared" si="8"/>
        <v>0</v>
      </c>
      <c r="H46" s="95">
        <f t="shared" si="9"/>
        <v>0</v>
      </c>
      <c r="I46" s="3"/>
      <c r="J46" s="201"/>
      <c r="K46" s="20" t="e">
        <f t="shared" si="11"/>
        <v>#DIV/0!</v>
      </c>
      <c r="L46" s="4" t="e">
        <f t="shared" si="12"/>
        <v>#DIV/0!</v>
      </c>
      <c r="M46" s="5"/>
      <c r="N46" s="15"/>
      <c r="O46" s="6"/>
      <c r="P46" s="6"/>
      <c r="Q46" s="146"/>
    </row>
    <row r="47" spans="1:17">
      <c r="A47" s="13">
        <f t="shared" si="13"/>
        <v>46155</v>
      </c>
      <c r="B47" s="1"/>
      <c r="C47" s="1"/>
      <c r="D47" s="200"/>
      <c r="E47" s="205"/>
      <c r="F47" s="150" t="e">
        <f t="shared" si="10"/>
        <v>#DIV/0!</v>
      </c>
      <c r="G47" s="2">
        <f t="shared" si="8"/>
        <v>0</v>
      </c>
      <c r="H47" s="95">
        <f t="shared" si="9"/>
        <v>0</v>
      </c>
      <c r="I47" s="3"/>
      <c r="J47" s="201"/>
      <c r="K47" s="20" t="e">
        <f t="shared" si="11"/>
        <v>#DIV/0!</v>
      </c>
      <c r="L47" s="4" t="e">
        <f t="shared" si="12"/>
        <v>#DIV/0!</v>
      </c>
      <c r="M47" s="5"/>
      <c r="N47" s="15"/>
      <c r="O47" s="6"/>
      <c r="P47" s="6"/>
      <c r="Q47" s="146"/>
    </row>
    <row r="48" spans="1:17">
      <c r="A48" s="13">
        <f t="shared" si="13"/>
        <v>46156</v>
      </c>
      <c r="B48" s="1"/>
      <c r="C48" s="1"/>
      <c r="D48" s="200"/>
      <c r="E48" s="205"/>
      <c r="F48" s="150" t="e">
        <f t="shared" si="10"/>
        <v>#DIV/0!</v>
      </c>
      <c r="G48" s="2">
        <f t="shared" si="8"/>
        <v>0</v>
      </c>
      <c r="H48" s="95">
        <f t="shared" si="9"/>
        <v>0</v>
      </c>
      <c r="I48" s="3"/>
      <c r="J48" s="201"/>
      <c r="K48" s="20" t="e">
        <f t="shared" si="11"/>
        <v>#DIV/0!</v>
      </c>
      <c r="L48" s="4" t="e">
        <f t="shared" si="12"/>
        <v>#DIV/0!</v>
      </c>
      <c r="M48" s="5"/>
      <c r="N48" s="15"/>
      <c r="O48" s="6"/>
      <c r="P48" s="6"/>
      <c r="Q48" s="146"/>
    </row>
    <row r="49" spans="1:17">
      <c r="A49" s="13">
        <f t="shared" si="13"/>
        <v>46157</v>
      </c>
      <c r="B49" s="1"/>
      <c r="C49" s="1"/>
      <c r="D49" s="200"/>
      <c r="E49" s="205"/>
      <c r="F49" s="150" t="e">
        <f t="shared" si="10"/>
        <v>#DIV/0!</v>
      </c>
      <c r="G49" s="2">
        <f t="shared" si="8"/>
        <v>0</v>
      </c>
      <c r="H49" s="95">
        <f t="shared" si="9"/>
        <v>0</v>
      </c>
      <c r="I49" s="3"/>
      <c r="J49" s="201"/>
      <c r="K49" s="20" t="e">
        <f t="shared" si="11"/>
        <v>#DIV/0!</v>
      </c>
      <c r="L49" s="4" t="e">
        <f t="shared" si="12"/>
        <v>#DIV/0!</v>
      </c>
      <c r="M49" s="5"/>
      <c r="N49" s="15"/>
      <c r="O49" s="6"/>
      <c r="P49" s="6"/>
      <c r="Q49" s="146"/>
    </row>
    <row r="50" spans="1:17">
      <c r="A50" s="13">
        <f t="shared" si="13"/>
        <v>46158</v>
      </c>
      <c r="B50" s="1"/>
      <c r="C50" s="1"/>
      <c r="D50" s="200"/>
      <c r="E50" s="205"/>
      <c r="F50" s="150" t="e">
        <f t="shared" si="10"/>
        <v>#DIV/0!</v>
      </c>
      <c r="G50" s="2">
        <f t="shared" si="8"/>
        <v>0</v>
      </c>
      <c r="H50" s="95">
        <f t="shared" si="9"/>
        <v>0</v>
      </c>
      <c r="I50" s="3"/>
      <c r="J50" s="201"/>
      <c r="K50" s="20" t="e">
        <f t="shared" si="11"/>
        <v>#DIV/0!</v>
      </c>
      <c r="L50" s="4" t="e">
        <f t="shared" si="12"/>
        <v>#DIV/0!</v>
      </c>
      <c r="M50" s="5"/>
      <c r="N50" s="15"/>
      <c r="O50" s="6"/>
      <c r="P50" s="6"/>
      <c r="Q50" s="146"/>
    </row>
    <row r="51" spans="1:17">
      <c r="A51" s="13">
        <f t="shared" si="13"/>
        <v>46159</v>
      </c>
      <c r="B51" s="1"/>
      <c r="C51" s="1"/>
      <c r="D51" s="200"/>
      <c r="E51" s="205"/>
      <c r="F51" s="150" t="e">
        <f t="shared" si="10"/>
        <v>#DIV/0!</v>
      </c>
      <c r="G51" s="2">
        <f t="shared" si="8"/>
        <v>0</v>
      </c>
      <c r="H51" s="95">
        <f t="shared" si="9"/>
        <v>0</v>
      </c>
      <c r="I51" s="3"/>
      <c r="J51" s="201"/>
      <c r="K51" s="20" t="e">
        <f t="shared" si="11"/>
        <v>#DIV/0!</v>
      </c>
      <c r="L51" s="4" t="e">
        <f t="shared" si="12"/>
        <v>#DIV/0!</v>
      </c>
      <c r="M51" s="5"/>
      <c r="N51" s="15"/>
      <c r="O51" s="6"/>
      <c r="P51" s="6"/>
      <c r="Q51" s="146"/>
    </row>
    <row r="52" spans="1:17">
      <c r="A52" s="13">
        <f t="shared" si="13"/>
        <v>46160</v>
      </c>
      <c r="B52" s="1"/>
      <c r="C52" s="1"/>
      <c r="D52" s="200"/>
      <c r="E52" s="205"/>
      <c r="F52" s="150" t="e">
        <f t="shared" si="10"/>
        <v>#DIV/0!</v>
      </c>
      <c r="G52" s="2">
        <f t="shared" si="8"/>
        <v>0</v>
      </c>
      <c r="H52" s="95">
        <f t="shared" si="9"/>
        <v>0</v>
      </c>
      <c r="I52" s="3"/>
      <c r="J52" s="201"/>
      <c r="K52" s="20" t="e">
        <f t="shared" si="11"/>
        <v>#DIV/0!</v>
      </c>
      <c r="L52" s="4" t="e">
        <f t="shared" si="12"/>
        <v>#DIV/0!</v>
      </c>
      <c r="M52" s="5"/>
      <c r="N52" s="15"/>
      <c r="O52" s="6"/>
      <c r="P52" s="6"/>
      <c r="Q52" s="146"/>
    </row>
    <row r="53" spans="1:17">
      <c r="A53" s="13">
        <f t="shared" si="13"/>
        <v>46161</v>
      </c>
      <c r="B53" s="1"/>
      <c r="C53" s="1"/>
      <c r="D53" s="200"/>
      <c r="E53" s="205"/>
      <c r="F53" s="150" t="e">
        <f t="shared" si="10"/>
        <v>#DIV/0!</v>
      </c>
      <c r="G53" s="2">
        <f t="shared" si="8"/>
        <v>0</v>
      </c>
      <c r="H53" s="95">
        <f>E53/($D$2*24)</f>
        <v>0</v>
      </c>
      <c r="I53" s="3"/>
      <c r="J53" s="201"/>
      <c r="K53" s="20" t="e">
        <f t="shared" si="11"/>
        <v>#DIV/0!</v>
      </c>
      <c r="L53" s="4" t="e">
        <f t="shared" si="12"/>
        <v>#DIV/0!</v>
      </c>
      <c r="M53" s="5"/>
      <c r="N53" s="15"/>
      <c r="O53" s="6"/>
      <c r="P53" s="6"/>
      <c r="Q53" s="146"/>
    </row>
    <row r="54" spans="1:17">
      <c r="A54" s="13">
        <f t="shared" si="13"/>
        <v>46162</v>
      </c>
      <c r="B54" s="1"/>
      <c r="C54" s="1"/>
      <c r="D54" s="200"/>
      <c r="E54" s="205"/>
      <c r="F54" s="150" t="e">
        <f t="shared" si="10"/>
        <v>#DIV/0!</v>
      </c>
      <c r="G54" s="2">
        <f t="shared" si="8"/>
        <v>0</v>
      </c>
      <c r="H54" s="95">
        <f>E54/($D$2*24)</f>
        <v>0</v>
      </c>
      <c r="I54" s="3"/>
      <c r="J54" s="201"/>
      <c r="K54" s="20" t="e">
        <f t="shared" si="11"/>
        <v>#DIV/0!</v>
      </c>
      <c r="L54" s="4" t="e">
        <f t="shared" si="12"/>
        <v>#DIV/0!</v>
      </c>
      <c r="M54" s="5"/>
      <c r="N54" s="15"/>
      <c r="O54" s="6"/>
      <c r="P54" s="6"/>
      <c r="Q54" s="146"/>
    </row>
    <row r="55" spans="1:17">
      <c r="A55" s="13">
        <f t="shared" si="13"/>
        <v>46163</v>
      </c>
      <c r="B55" s="1"/>
      <c r="C55" s="1"/>
      <c r="D55" s="14"/>
      <c r="E55" s="154"/>
      <c r="F55" s="150" t="e">
        <f>(IF(ISBLANK(E55),0,E55-C55))/C55</f>
        <v>#DIV/0!</v>
      </c>
      <c r="G55" s="2">
        <f t="shared" ref="G55:H65" si="14">D55/($D$2*24)</f>
        <v>0</v>
      </c>
      <c r="H55" s="95">
        <f t="shared" si="14"/>
        <v>0</v>
      </c>
      <c r="I55" s="3"/>
      <c r="J55" s="14"/>
      <c r="K55" s="20" t="e">
        <f>(IF(ISBLANK(J55),0,J55-I55))/I55</f>
        <v>#DIV/0!</v>
      </c>
      <c r="L55" s="4" t="e">
        <f t="shared" si="12"/>
        <v>#DIV/0!</v>
      </c>
      <c r="M55" s="5"/>
      <c r="N55" s="5"/>
      <c r="O55" s="6"/>
      <c r="P55" s="6"/>
      <c r="Q55" s="146"/>
    </row>
    <row r="56" spans="1:17">
      <c r="A56" s="13">
        <f t="shared" si="13"/>
        <v>46164</v>
      </c>
      <c r="B56" s="1"/>
      <c r="C56" s="1"/>
      <c r="D56" s="14"/>
      <c r="E56" s="154"/>
      <c r="F56" s="150" t="e">
        <f t="shared" ref="F56:F65" si="15">(IF(ISBLANK(E56),0,E56-C56))/C56</f>
        <v>#DIV/0!</v>
      </c>
      <c r="G56" s="2">
        <f t="shared" si="14"/>
        <v>0</v>
      </c>
      <c r="H56" s="95">
        <f t="shared" si="14"/>
        <v>0</v>
      </c>
      <c r="I56" s="3"/>
      <c r="J56" s="14"/>
      <c r="K56" s="20" t="e">
        <f t="shared" ref="K56:K65" si="16">(IF(ISBLANK(J56),0,J56-I56))/I56</f>
        <v>#DIV/0!</v>
      </c>
      <c r="L56" s="4" t="e">
        <f t="shared" si="12"/>
        <v>#DIV/0!</v>
      </c>
      <c r="M56" s="5"/>
      <c r="N56" s="5"/>
      <c r="O56" s="6"/>
      <c r="P56" s="6"/>
      <c r="Q56" s="146"/>
    </row>
    <row r="57" spans="1:17">
      <c r="A57" s="13">
        <f t="shared" si="13"/>
        <v>46165</v>
      </c>
      <c r="B57" s="1"/>
      <c r="C57" s="1"/>
      <c r="D57" s="14"/>
      <c r="E57" s="154"/>
      <c r="F57" s="150" t="e">
        <f t="shared" si="15"/>
        <v>#DIV/0!</v>
      </c>
      <c r="G57" s="2">
        <f t="shared" si="14"/>
        <v>0</v>
      </c>
      <c r="H57" s="95">
        <f t="shared" si="14"/>
        <v>0</v>
      </c>
      <c r="I57" s="3"/>
      <c r="J57" s="14"/>
      <c r="K57" s="20" t="e">
        <f t="shared" si="16"/>
        <v>#DIV/0!</v>
      </c>
      <c r="L57" s="4" t="e">
        <f t="shared" si="12"/>
        <v>#DIV/0!</v>
      </c>
      <c r="M57" s="5"/>
      <c r="N57" s="5"/>
      <c r="O57" s="6"/>
      <c r="P57" s="6"/>
      <c r="Q57" s="146"/>
    </row>
    <row r="58" spans="1:17">
      <c r="A58" s="13">
        <f t="shared" si="13"/>
        <v>46166</v>
      </c>
      <c r="B58" s="1"/>
      <c r="C58" s="1"/>
      <c r="D58" s="14"/>
      <c r="E58" s="154"/>
      <c r="F58" s="150" t="e">
        <f t="shared" si="15"/>
        <v>#DIV/0!</v>
      </c>
      <c r="G58" s="2">
        <f t="shared" si="14"/>
        <v>0</v>
      </c>
      <c r="H58" s="95">
        <f t="shared" si="14"/>
        <v>0</v>
      </c>
      <c r="I58" s="3"/>
      <c r="J58" s="14"/>
      <c r="K58" s="20" t="e">
        <f t="shared" si="16"/>
        <v>#DIV/0!</v>
      </c>
      <c r="L58" s="4" t="e">
        <f t="shared" si="12"/>
        <v>#DIV/0!</v>
      </c>
      <c r="M58" s="5"/>
      <c r="N58" s="5"/>
      <c r="O58" s="6"/>
      <c r="P58" s="6"/>
      <c r="Q58" s="146"/>
    </row>
    <row r="59" spans="1:17">
      <c r="A59" s="13">
        <f t="shared" si="13"/>
        <v>46167</v>
      </c>
      <c r="B59" s="1"/>
      <c r="C59" s="1"/>
      <c r="D59" s="159"/>
      <c r="E59" s="159"/>
      <c r="F59" s="150" t="e">
        <f t="shared" si="15"/>
        <v>#DIV/0!</v>
      </c>
      <c r="G59" s="2">
        <f t="shared" si="14"/>
        <v>0</v>
      </c>
      <c r="H59" s="95">
        <f t="shared" si="14"/>
        <v>0</v>
      </c>
      <c r="I59" s="3"/>
      <c r="J59" s="159"/>
      <c r="K59" s="20" t="e">
        <f t="shared" si="16"/>
        <v>#DIV/0!</v>
      </c>
      <c r="L59" s="4" t="e">
        <f t="shared" si="12"/>
        <v>#DIV/0!</v>
      </c>
      <c r="M59" s="5"/>
      <c r="N59" s="5"/>
      <c r="O59" s="6"/>
      <c r="P59" s="6"/>
      <c r="Q59" s="146"/>
    </row>
    <row r="60" spans="1:17">
      <c r="A60" s="13">
        <f t="shared" si="13"/>
        <v>46168</v>
      </c>
      <c r="B60" s="1"/>
      <c r="C60" s="1"/>
      <c r="D60" s="159"/>
      <c r="E60" s="159"/>
      <c r="F60" s="150" t="e">
        <f t="shared" si="15"/>
        <v>#DIV/0!</v>
      </c>
      <c r="G60" s="2">
        <f t="shared" si="14"/>
        <v>0</v>
      </c>
      <c r="H60" s="95">
        <f t="shared" si="14"/>
        <v>0</v>
      </c>
      <c r="I60" s="3"/>
      <c r="J60" s="159"/>
      <c r="K60" s="20" t="e">
        <f t="shared" si="16"/>
        <v>#DIV/0!</v>
      </c>
      <c r="L60" s="4" t="e">
        <f t="shared" si="12"/>
        <v>#DIV/0!</v>
      </c>
      <c r="M60" s="5"/>
      <c r="N60" s="5"/>
      <c r="O60" s="6"/>
      <c r="P60" s="6"/>
      <c r="Q60" s="147"/>
    </row>
    <row r="61" spans="1:17">
      <c r="A61" s="13">
        <f t="shared" si="13"/>
        <v>46169</v>
      </c>
      <c r="B61" s="1"/>
      <c r="C61" s="1"/>
      <c r="D61" s="159"/>
      <c r="E61" s="159"/>
      <c r="F61" s="150" t="e">
        <f t="shared" si="15"/>
        <v>#DIV/0!</v>
      </c>
      <c r="G61" s="2">
        <f t="shared" si="14"/>
        <v>0</v>
      </c>
      <c r="H61" s="95">
        <f t="shared" si="14"/>
        <v>0</v>
      </c>
      <c r="I61" s="3"/>
      <c r="J61" s="275"/>
      <c r="K61" s="20" t="e">
        <f t="shared" si="16"/>
        <v>#DIV/0!</v>
      </c>
      <c r="L61" s="4" t="e">
        <f t="shared" si="12"/>
        <v>#DIV/0!</v>
      </c>
      <c r="M61" s="5"/>
      <c r="N61" s="5"/>
      <c r="O61" s="6"/>
      <c r="P61" s="6"/>
      <c r="Q61" s="147"/>
    </row>
    <row r="62" spans="1:17">
      <c r="A62" s="13">
        <f t="shared" si="13"/>
        <v>46170</v>
      </c>
      <c r="B62" s="1"/>
      <c r="C62" s="1"/>
      <c r="D62" s="159"/>
      <c r="E62" s="159"/>
      <c r="F62" s="150" t="e">
        <f t="shared" si="15"/>
        <v>#DIV/0!</v>
      </c>
      <c r="G62" s="2">
        <f t="shared" si="14"/>
        <v>0</v>
      </c>
      <c r="H62" s="95">
        <f t="shared" si="14"/>
        <v>0</v>
      </c>
      <c r="I62" s="3"/>
      <c r="J62" s="159"/>
      <c r="K62" s="20" t="e">
        <f t="shared" si="16"/>
        <v>#DIV/0!</v>
      </c>
      <c r="L62" s="4" t="e">
        <f t="shared" si="12"/>
        <v>#DIV/0!</v>
      </c>
      <c r="M62" s="5"/>
      <c r="N62" s="5"/>
      <c r="O62" s="6"/>
      <c r="P62" s="6"/>
      <c r="Q62" s="147"/>
    </row>
    <row r="63" spans="1:17">
      <c r="A63" s="13">
        <f t="shared" si="13"/>
        <v>46171</v>
      </c>
      <c r="B63" s="1"/>
      <c r="C63" s="1"/>
      <c r="D63" s="159"/>
      <c r="E63" s="159"/>
      <c r="F63" s="150" t="e">
        <f t="shared" si="15"/>
        <v>#DIV/0!</v>
      </c>
      <c r="G63" s="2">
        <f t="shared" si="14"/>
        <v>0</v>
      </c>
      <c r="H63" s="95">
        <f t="shared" si="14"/>
        <v>0</v>
      </c>
      <c r="I63" s="3"/>
      <c r="J63" s="159"/>
      <c r="K63" s="20" t="e">
        <f t="shared" si="16"/>
        <v>#DIV/0!</v>
      </c>
      <c r="L63" s="4" t="e">
        <f t="shared" si="12"/>
        <v>#DIV/0!</v>
      </c>
      <c r="M63" s="5"/>
      <c r="N63" s="5"/>
      <c r="O63" s="6"/>
      <c r="P63" s="6"/>
      <c r="Q63" s="6"/>
    </row>
    <row r="64" spans="1:17">
      <c r="A64" s="13">
        <f t="shared" si="13"/>
        <v>46172</v>
      </c>
      <c r="B64" s="1"/>
      <c r="C64" s="1"/>
      <c r="D64" s="159"/>
      <c r="E64" s="159"/>
      <c r="F64" s="278" t="e">
        <f t="shared" si="15"/>
        <v>#DIV/0!</v>
      </c>
      <c r="G64" s="2">
        <f t="shared" si="14"/>
        <v>0</v>
      </c>
      <c r="H64" s="95">
        <f t="shared" si="14"/>
        <v>0</v>
      </c>
      <c r="I64" s="3"/>
      <c r="J64" s="159"/>
      <c r="K64" s="20" t="e">
        <f t="shared" si="16"/>
        <v>#DIV/0!</v>
      </c>
      <c r="L64" s="4" t="e">
        <f t="shared" si="12"/>
        <v>#DIV/0!</v>
      </c>
      <c r="M64" s="5"/>
      <c r="N64" s="5"/>
      <c r="O64" s="6"/>
      <c r="P64" s="6"/>
      <c r="Q64" s="6"/>
    </row>
    <row r="65" spans="1:17">
      <c r="A65" s="13">
        <f t="shared" si="13"/>
        <v>46173</v>
      </c>
      <c r="B65" s="1"/>
      <c r="C65" s="1"/>
      <c r="D65" s="159"/>
      <c r="E65" s="159"/>
      <c r="F65" s="278" t="e">
        <f t="shared" si="15"/>
        <v>#DIV/0!</v>
      </c>
      <c r="G65" s="2">
        <f t="shared" si="14"/>
        <v>0</v>
      </c>
      <c r="H65" s="95">
        <f t="shared" si="14"/>
        <v>0</v>
      </c>
      <c r="I65" s="3"/>
      <c r="J65" s="159"/>
      <c r="K65" s="20" t="e">
        <f t="shared" si="16"/>
        <v>#DIV/0!</v>
      </c>
      <c r="L65" s="4" t="e">
        <f t="shared" si="12"/>
        <v>#DIV/0!</v>
      </c>
      <c r="M65" s="5"/>
      <c r="N65" s="5"/>
      <c r="O65" s="6"/>
      <c r="P65" s="6"/>
      <c r="Q65" s="6"/>
    </row>
    <row r="66" spans="1:17">
      <c r="A66" s="349">
        <v>46143</v>
      </c>
      <c r="B66" s="17">
        <f>SUM(B35:B65)</f>
        <v>64420</v>
      </c>
      <c r="C66" s="17">
        <f>SUM(C35:C65)</f>
        <v>63710</v>
      </c>
      <c r="D66" s="17">
        <f>SUM(D35:D65)</f>
        <v>53502</v>
      </c>
      <c r="E66" s="277">
        <f>SUM(E35:E65)</f>
        <v>53617</v>
      </c>
      <c r="F66" s="276">
        <f>(IF(ISBLANK(E66),0,E66-C66))/C66</f>
        <v>-0.15842097002040495</v>
      </c>
      <c r="G66" s="156">
        <f>AVERAGE(G35:G65)</f>
        <v>2.5728547521495757E-2</v>
      </c>
      <c r="H66" s="18">
        <f>AVERAGE(H35:H65)</f>
        <v>3.2686950146627564E-2</v>
      </c>
      <c r="I66" s="17">
        <f>SUM(I35:I65)</f>
        <v>28.5</v>
      </c>
      <c r="J66" s="17">
        <f>SUM(J35:J65)</f>
        <v>27.556000000000001</v>
      </c>
      <c r="K66" s="164">
        <f>(IF(ISBLANK(J66),0,J66-I66))/I66</f>
        <v>-3.3122807017543825E-2</v>
      </c>
      <c r="L66" s="163">
        <f t="shared" si="12"/>
        <v>0.69465957889362906</v>
      </c>
      <c r="M66" s="18">
        <f>AVERAGE(M35:M65)</f>
        <v>1</v>
      </c>
      <c r="N66" s="18">
        <f>AVERAGE(N35:N65)</f>
        <v>1</v>
      </c>
      <c r="O66" s="17">
        <f>SUM(O35:O65)</f>
        <v>0</v>
      </c>
      <c r="P66" s="17">
        <f>SUM(P35:P65)</f>
        <v>0</v>
      </c>
      <c r="Q66" s="19"/>
    </row>
  </sheetData>
  <mergeCells count="4">
    <mergeCell ref="A1:Q1"/>
    <mergeCell ref="B2:C2"/>
    <mergeCell ref="E2:G2"/>
    <mergeCell ref="I2:J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C24D-73E9-4BBB-8C40-822D72700089}">
  <dimension ref="A1:Q66"/>
  <sheetViews>
    <sheetView workbookViewId="0">
      <pane xSplit="1" ySplit="3" topLeftCell="B4" activePane="bottomRight" state="frozen"/>
      <selection pane="topRight"/>
      <selection pane="bottomLeft"/>
      <selection pane="bottomRight" activeCell="B38" sqref="B38:B39"/>
    </sheetView>
  </sheetViews>
  <sheetFormatPr defaultRowHeight="14.5"/>
  <cols>
    <col min="1" max="1" width="10.81640625" bestFit="1" customWidth="1"/>
    <col min="2" max="3" width="11" bestFit="1" customWidth="1"/>
    <col min="4" max="6" width="9.7265625" bestFit="1" customWidth="1"/>
    <col min="7" max="8" width="6.7265625" bestFit="1" customWidth="1"/>
    <col min="9" max="10" width="9.7265625" bestFit="1" customWidth="1"/>
    <col min="11" max="11" width="10.1796875" bestFit="1" customWidth="1"/>
    <col min="12" max="12" width="7" bestFit="1" customWidth="1"/>
    <col min="13" max="13" width="9.26953125" bestFit="1" customWidth="1"/>
    <col min="14" max="14" width="9.54296875" bestFit="1" customWidth="1"/>
    <col min="15" max="16" width="9.7265625" bestFit="1" customWidth="1"/>
    <col min="17" max="17" width="49.7265625" bestFit="1" customWidth="1"/>
    <col min="18" max="18" width="10" customWidth="1"/>
  </cols>
  <sheetData>
    <row r="1" spans="1:17" ht="18.5">
      <c r="A1" s="405" t="s">
        <v>348</v>
      </c>
      <c r="B1" s="406"/>
      <c r="C1" s="406"/>
      <c r="D1" s="406"/>
      <c r="E1" s="406"/>
      <c r="F1" s="406"/>
      <c r="G1" s="406"/>
      <c r="H1" s="406"/>
      <c r="I1" s="406"/>
      <c r="J1" s="406"/>
      <c r="K1" s="406"/>
      <c r="L1" s="406"/>
      <c r="M1" s="406"/>
      <c r="N1" s="406"/>
      <c r="O1" s="406"/>
      <c r="P1" s="406"/>
      <c r="Q1" s="406"/>
    </row>
    <row r="2" spans="1:17" ht="18.5">
      <c r="A2" s="7">
        <v>46113</v>
      </c>
      <c r="B2" s="407" t="s">
        <v>172</v>
      </c>
      <c r="C2" s="408"/>
      <c r="D2" s="8">
        <v>7018</v>
      </c>
      <c r="E2" s="407" t="s">
        <v>173</v>
      </c>
      <c r="F2" s="407"/>
      <c r="G2" s="408"/>
      <c r="H2" s="8">
        <v>5720</v>
      </c>
      <c r="I2" s="409" t="s">
        <v>174</v>
      </c>
      <c r="J2" s="410"/>
      <c r="K2" s="9">
        <v>45654</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87">
        <v>35003.933333333334</v>
      </c>
      <c r="C4" s="126">
        <v>34275.833333333336</v>
      </c>
      <c r="D4" s="49">
        <v>41771</v>
      </c>
      <c r="E4" s="49">
        <v>37280</v>
      </c>
      <c r="F4" s="20">
        <f>(IF(ISBLANK(E4),0,E4-C4))/C4</f>
        <v>8.7646787094891848E-2</v>
      </c>
      <c r="G4" s="2">
        <f t="shared" ref="G4:G23" si="0">D4/($D$2*24)</f>
        <v>0.24799919255248409</v>
      </c>
      <c r="H4" s="2">
        <f t="shared" ref="H4:H21" si="1">D4/($H$2*24)</f>
        <v>0.30427593240093243</v>
      </c>
      <c r="I4" s="26">
        <v>6.68</v>
      </c>
      <c r="J4" s="206">
        <v>6.89</v>
      </c>
      <c r="K4" s="20">
        <f>(IF(ISBLANK(J4),0,J4-I4))/I4</f>
        <v>3.1437125748502992E-2</v>
      </c>
      <c r="L4" s="4">
        <f t="shared" ref="L4:L35" si="2">D4/($D$2*J4)</f>
        <v>0.86385785504493739</v>
      </c>
      <c r="M4" s="5">
        <v>1</v>
      </c>
      <c r="N4" s="5">
        <v>1</v>
      </c>
      <c r="O4" s="6" t="s">
        <v>175</v>
      </c>
      <c r="P4" s="6" t="s">
        <v>175</v>
      </c>
      <c r="Q4" s="6"/>
    </row>
    <row r="5" spans="1:17">
      <c r="A5" s="13">
        <f>A4+1</f>
        <v>46114</v>
      </c>
      <c r="B5" s="87">
        <v>35003.933333333334</v>
      </c>
      <c r="C5" s="126">
        <v>34275.833333333336</v>
      </c>
      <c r="D5" s="50">
        <v>39979</v>
      </c>
      <c r="E5" s="50">
        <v>35670</v>
      </c>
      <c r="F5" s="20">
        <f t="shared" ref="F5:F33" si="3">(IF(ISBLANK(E5),0,E5-C5))/C5</f>
        <v>4.0674916729474049E-2</v>
      </c>
      <c r="G5" s="2">
        <f t="shared" si="0"/>
        <v>0.237359884107533</v>
      </c>
      <c r="H5" s="2">
        <f t="shared" si="1"/>
        <v>0.29122231934731935</v>
      </c>
      <c r="I5" s="27">
        <v>6.68</v>
      </c>
      <c r="J5" s="55">
        <v>6.66</v>
      </c>
      <c r="K5" s="20">
        <f t="shared" ref="K5:K34" si="4">(IF(ISBLANK(J5),0,J5-I5))/I5</f>
        <v>-2.9940119760478406E-3</v>
      </c>
      <c r="L5" s="4">
        <f t="shared" si="2"/>
        <v>0.8553509337208397</v>
      </c>
      <c r="M5" s="5">
        <v>1</v>
      </c>
      <c r="N5" s="5">
        <v>1</v>
      </c>
      <c r="O5" s="6" t="s">
        <v>175</v>
      </c>
      <c r="P5" s="6" t="s">
        <v>175</v>
      </c>
      <c r="Q5" s="6"/>
    </row>
    <row r="6" spans="1:17">
      <c r="A6" s="13">
        <f t="shared" ref="A6:A33" si="5">A5+1</f>
        <v>46115</v>
      </c>
      <c r="B6" s="87">
        <v>35003.933333333334</v>
      </c>
      <c r="C6" s="126">
        <v>34275.833333333336</v>
      </c>
      <c r="D6" s="50">
        <v>40187</v>
      </c>
      <c r="E6" s="50">
        <v>35710</v>
      </c>
      <c r="F6" s="20">
        <f t="shared" si="3"/>
        <v>4.1841919719919206E-2</v>
      </c>
      <c r="G6" s="2">
        <f t="shared" si="0"/>
        <v>0.23859480383775056</v>
      </c>
      <c r="H6" s="2">
        <f t="shared" si="1"/>
        <v>0.29273747086247087</v>
      </c>
      <c r="I6" s="27">
        <v>6.68</v>
      </c>
      <c r="J6" s="55">
        <v>6.91</v>
      </c>
      <c r="K6" s="20">
        <f t="shared" si="4"/>
        <v>3.4431137724550961E-2</v>
      </c>
      <c r="L6" s="4">
        <f t="shared" si="2"/>
        <v>0.82869396412532759</v>
      </c>
      <c r="M6" s="5">
        <v>1</v>
      </c>
      <c r="N6" s="5">
        <v>1</v>
      </c>
      <c r="O6" s="6" t="s">
        <v>175</v>
      </c>
      <c r="P6" s="6" t="s">
        <v>175</v>
      </c>
      <c r="Q6" s="6"/>
    </row>
    <row r="7" spans="1:17">
      <c r="A7" s="13">
        <f t="shared" si="5"/>
        <v>46116</v>
      </c>
      <c r="B7" s="87">
        <v>35003.933333333334</v>
      </c>
      <c r="C7" s="126">
        <v>34275.833333333336</v>
      </c>
      <c r="D7" s="50">
        <v>28250</v>
      </c>
      <c r="E7" s="50">
        <v>25260</v>
      </c>
      <c r="F7" s="20">
        <f t="shared" si="3"/>
        <v>-0.26303761153387961</v>
      </c>
      <c r="G7" s="2">
        <f t="shared" si="0"/>
        <v>0.16772347297425666</v>
      </c>
      <c r="H7" s="2">
        <f t="shared" si="1"/>
        <v>0.20578379953379952</v>
      </c>
      <c r="I7" s="27">
        <v>6.68</v>
      </c>
      <c r="J7" s="55">
        <v>4.5999999999999996</v>
      </c>
      <c r="K7" s="20">
        <f t="shared" si="4"/>
        <v>-0.31137724550898205</v>
      </c>
      <c r="L7" s="4">
        <f t="shared" si="2"/>
        <v>0.87507898943090445</v>
      </c>
      <c r="M7" s="5">
        <v>1</v>
      </c>
      <c r="N7" s="5">
        <v>1</v>
      </c>
      <c r="O7" s="6" t="s">
        <v>175</v>
      </c>
      <c r="P7" s="6" t="s">
        <v>175</v>
      </c>
      <c r="Q7" s="14"/>
    </row>
    <row r="8" spans="1:17">
      <c r="A8" s="13">
        <f t="shared" si="5"/>
        <v>46117</v>
      </c>
      <c r="B8" s="87">
        <v>35003.933333333334</v>
      </c>
      <c r="C8" s="126">
        <v>34275.833333333336</v>
      </c>
      <c r="D8" s="50">
        <v>36810</v>
      </c>
      <c r="E8" s="50">
        <v>32900</v>
      </c>
      <c r="F8" s="20">
        <f t="shared" si="3"/>
        <v>-4.014004035885349E-2</v>
      </c>
      <c r="G8" s="2">
        <f t="shared" si="0"/>
        <v>0.21854516956397835</v>
      </c>
      <c r="H8" s="2">
        <f t="shared" si="1"/>
        <v>0.26813811188811187</v>
      </c>
      <c r="I8" s="27">
        <v>6.68</v>
      </c>
      <c r="J8" s="50">
        <v>6.28</v>
      </c>
      <c r="K8" s="20">
        <f t="shared" si="4"/>
        <v>-5.9880239520958008E-2</v>
      </c>
      <c r="L8" s="4">
        <f t="shared" si="2"/>
        <v>0.83520446967125483</v>
      </c>
      <c r="M8" s="5">
        <v>1</v>
      </c>
      <c r="N8" s="5">
        <v>1</v>
      </c>
      <c r="O8" s="6" t="s">
        <v>175</v>
      </c>
      <c r="P8" s="6" t="s">
        <v>175</v>
      </c>
      <c r="Q8" s="14"/>
    </row>
    <row r="9" spans="1:17">
      <c r="A9" s="13">
        <f t="shared" si="5"/>
        <v>46118</v>
      </c>
      <c r="B9" s="87">
        <v>35003.933333333334</v>
      </c>
      <c r="C9" s="126">
        <v>34275.833333333336</v>
      </c>
      <c r="D9" s="50">
        <v>41109</v>
      </c>
      <c r="E9" s="51">
        <v>36560</v>
      </c>
      <c r="F9" s="20">
        <f t="shared" si="3"/>
        <v>6.6640733266878915E-2</v>
      </c>
      <c r="G9" s="2">
        <f t="shared" si="0"/>
        <v>0.24406882302650329</v>
      </c>
      <c r="H9" s="2">
        <f t="shared" si="1"/>
        <v>0.29945367132867134</v>
      </c>
      <c r="I9" s="27">
        <v>6.68</v>
      </c>
      <c r="J9" s="50">
        <v>6.89</v>
      </c>
      <c r="K9" s="20">
        <f t="shared" si="4"/>
        <v>3.1437125748502992E-2</v>
      </c>
      <c r="L9" s="4">
        <f t="shared" si="2"/>
        <v>0.85016716293702166</v>
      </c>
      <c r="M9" s="5">
        <v>1</v>
      </c>
      <c r="N9" s="5">
        <v>1</v>
      </c>
      <c r="O9" s="6"/>
      <c r="P9" s="6"/>
      <c r="Q9" s="14"/>
    </row>
    <row r="10" spans="1:17">
      <c r="A10" s="13">
        <f t="shared" si="5"/>
        <v>46119</v>
      </c>
      <c r="B10" s="87">
        <v>35003.933333333334</v>
      </c>
      <c r="C10" s="126">
        <v>34275.833333333336</v>
      </c>
      <c r="D10" s="52">
        <v>44408</v>
      </c>
      <c r="E10" s="207">
        <v>39280</v>
      </c>
      <c r="F10" s="20">
        <f t="shared" si="3"/>
        <v>0.14599693661714999</v>
      </c>
      <c r="G10" s="2">
        <f t="shared" si="0"/>
        <v>0.26365536240144388</v>
      </c>
      <c r="H10" s="2">
        <f t="shared" si="1"/>
        <v>0.32348484848484849</v>
      </c>
      <c r="I10" s="27">
        <v>6.68</v>
      </c>
      <c r="J10" s="55">
        <v>7.58</v>
      </c>
      <c r="K10" s="20">
        <f t="shared" si="4"/>
        <v>0.13473053892215575</v>
      </c>
      <c r="L10" s="4">
        <f t="shared" si="2"/>
        <v>0.83479270417343709</v>
      </c>
      <c r="M10" s="5">
        <v>1</v>
      </c>
      <c r="N10" s="5">
        <v>1</v>
      </c>
      <c r="O10" s="6"/>
      <c r="P10" s="6"/>
      <c r="Q10" s="202"/>
    </row>
    <row r="11" spans="1:17">
      <c r="A11" s="13">
        <f t="shared" si="5"/>
        <v>46120</v>
      </c>
      <c r="B11" s="87">
        <v>35003.933333333334</v>
      </c>
      <c r="C11" s="126">
        <v>34275.833333333336</v>
      </c>
      <c r="D11" s="52">
        <v>42047</v>
      </c>
      <c r="E11" s="53">
        <v>36410</v>
      </c>
      <c r="F11" s="20">
        <f t="shared" si="3"/>
        <v>6.226447205270956E-2</v>
      </c>
      <c r="G11" s="2">
        <f t="shared" si="0"/>
        <v>0.24963783604065737</v>
      </c>
      <c r="H11" s="2">
        <f t="shared" si="1"/>
        <v>0.30628642191142191</v>
      </c>
      <c r="I11" s="27">
        <v>6.68</v>
      </c>
      <c r="J11" s="55">
        <v>7.1</v>
      </c>
      <c r="K11" s="20">
        <f t="shared" si="4"/>
        <v>6.2874251497005984E-2</v>
      </c>
      <c r="L11" s="4">
        <f t="shared" si="2"/>
        <v>0.84384620633461649</v>
      </c>
      <c r="M11" s="5">
        <v>1</v>
      </c>
      <c r="N11" s="5">
        <v>1</v>
      </c>
      <c r="O11" s="6"/>
      <c r="P11" s="6"/>
      <c r="Q11" s="14"/>
    </row>
    <row r="12" spans="1:17">
      <c r="A12" s="13">
        <f t="shared" si="5"/>
        <v>46121</v>
      </c>
      <c r="B12" s="87">
        <v>35003.933333333334</v>
      </c>
      <c r="C12" s="126">
        <v>34275.833333333336</v>
      </c>
      <c r="D12" s="52">
        <v>35295</v>
      </c>
      <c r="E12" s="53">
        <v>31470</v>
      </c>
      <c r="F12" s="20">
        <f t="shared" si="3"/>
        <v>-8.1860397267268056E-2</v>
      </c>
      <c r="G12" s="2">
        <f t="shared" si="0"/>
        <v>0.20955044172128812</v>
      </c>
      <c r="H12" s="2">
        <f t="shared" si="1"/>
        <v>0.25710227272727271</v>
      </c>
      <c r="I12" s="27">
        <v>6.68</v>
      </c>
      <c r="J12" s="55">
        <v>6.25</v>
      </c>
      <c r="K12" s="20">
        <f t="shared" si="4"/>
        <v>-6.4371257485029906E-2</v>
      </c>
      <c r="L12" s="4">
        <f t="shared" si="2"/>
        <v>0.80467369620974638</v>
      </c>
      <c r="M12" s="5">
        <v>1</v>
      </c>
      <c r="N12" s="5">
        <v>0.95450000000000002</v>
      </c>
      <c r="O12" s="6">
        <v>1500</v>
      </c>
      <c r="P12" s="6"/>
      <c r="Q12" s="6" t="s">
        <v>349</v>
      </c>
    </row>
    <row r="13" spans="1:17">
      <c r="A13" s="13">
        <f t="shared" si="5"/>
        <v>46122</v>
      </c>
      <c r="B13" s="87">
        <v>35003.933333333334</v>
      </c>
      <c r="C13" s="126">
        <v>34275.833333333336</v>
      </c>
      <c r="D13" s="52">
        <v>35202</v>
      </c>
      <c r="E13" s="53">
        <v>31610</v>
      </c>
      <c r="F13" s="20">
        <f t="shared" si="3"/>
        <v>-7.7775886800709987E-2</v>
      </c>
      <c r="G13" s="2">
        <f t="shared" si="0"/>
        <v>0.20899829011114276</v>
      </c>
      <c r="H13" s="2">
        <f t="shared" si="1"/>
        <v>0.25642482517482518</v>
      </c>
      <c r="I13" s="27">
        <v>6.68</v>
      </c>
      <c r="J13" s="55">
        <v>5.8</v>
      </c>
      <c r="K13" s="20">
        <f t="shared" si="4"/>
        <v>-0.13173652694610777</v>
      </c>
      <c r="L13" s="4">
        <f t="shared" si="2"/>
        <v>0.86482051080472866</v>
      </c>
      <c r="M13" s="5">
        <v>1</v>
      </c>
      <c r="N13" s="15">
        <v>1</v>
      </c>
      <c r="O13" s="6"/>
      <c r="P13" s="6"/>
      <c r="Q13" s="16"/>
    </row>
    <row r="14" spans="1:17">
      <c r="A14" s="13">
        <f t="shared" si="5"/>
        <v>46123</v>
      </c>
      <c r="B14" s="87">
        <v>35003.933333333334</v>
      </c>
      <c r="C14" s="126">
        <v>34275.833333333336</v>
      </c>
      <c r="D14" s="52">
        <v>40345</v>
      </c>
      <c r="E14" s="53">
        <v>36320</v>
      </c>
      <c r="F14" s="20">
        <f t="shared" si="3"/>
        <v>5.963871532420794E-2</v>
      </c>
      <c r="G14" s="2">
        <f t="shared" si="0"/>
        <v>0.23953286786358888</v>
      </c>
      <c r="H14" s="2">
        <f t="shared" si="1"/>
        <v>0.29388840326340326</v>
      </c>
      <c r="I14" s="27">
        <v>6.68</v>
      </c>
      <c r="J14" s="55">
        <v>6.62</v>
      </c>
      <c r="K14" s="20">
        <f t="shared" si="4"/>
        <v>-8.982035928143655E-3</v>
      </c>
      <c r="L14" s="4">
        <f t="shared" si="2"/>
        <v>0.86839710403718007</v>
      </c>
      <c r="M14" s="5">
        <v>1</v>
      </c>
      <c r="N14" s="15">
        <v>1</v>
      </c>
      <c r="O14" s="6"/>
      <c r="P14" s="6"/>
      <c r="Q14" s="6"/>
    </row>
    <row r="15" spans="1:17">
      <c r="A15" s="13">
        <f t="shared" si="5"/>
        <v>46124</v>
      </c>
      <c r="B15" s="87">
        <v>35003.933333333334</v>
      </c>
      <c r="C15" s="126">
        <v>34275.833333333336</v>
      </c>
      <c r="D15" s="52">
        <v>40452</v>
      </c>
      <c r="E15" s="53">
        <v>34980</v>
      </c>
      <c r="F15" s="20">
        <f t="shared" si="3"/>
        <v>2.0544115144294984E-2</v>
      </c>
      <c r="G15" s="2">
        <f t="shared" si="0"/>
        <v>0.24016813907096038</v>
      </c>
      <c r="H15" s="2">
        <f t="shared" si="1"/>
        <v>0.29466783216783216</v>
      </c>
      <c r="I15" s="27">
        <v>6.68</v>
      </c>
      <c r="J15" s="55">
        <v>6.35</v>
      </c>
      <c r="K15" s="20">
        <f t="shared" si="4"/>
        <v>-4.9401197604790434E-2</v>
      </c>
      <c r="L15" s="4">
        <f t="shared" si="2"/>
        <v>0.90772210042567714</v>
      </c>
      <c r="M15" s="5">
        <v>1</v>
      </c>
      <c r="N15" s="15">
        <v>1</v>
      </c>
      <c r="O15" s="6"/>
      <c r="P15" s="6"/>
      <c r="Q15" s="6"/>
    </row>
    <row r="16" spans="1:17">
      <c r="A16" s="13">
        <f t="shared" si="5"/>
        <v>46125</v>
      </c>
      <c r="B16" s="87">
        <v>35003.933333333334</v>
      </c>
      <c r="C16" s="126">
        <v>34275.833333333336</v>
      </c>
      <c r="D16" s="54">
        <v>39774</v>
      </c>
      <c r="E16" s="122">
        <v>35470</v>
      </c>
      <c r="F16" s="20">
        <f t="shared" si="3"/>
        <v>3.4839901777248231E-2</v>
      </c>
      <c r="G16" s="2">
        <f t="shared" si="0"/>
        <v>0.23614277571957823</v>
      </c>
      <c r="H16" s="2">
        <f t="shared" si="1"/>
        <v>0.28972902097902098</v>
      </c>
      <c r="I16" s="27">
        <v>6.68</v>
      </c>
      <c r="J16" s="125">
        <v>6.69</v>
      </c>
      <c r="K16" s="20">
        <f t="shared" si="4"/>
        <v>1.4970059880240532E-3</v>
      </c>
      <c r="L16" s="4">
        <f t="shared" si="2"/>
        <v>0.84714897119131194</v>
      </c>
      <c r="M16" s="5">
        <v>1</v>
      </c>
      <c r="N16" s="15">
        <v>1</v>
      </c>
      <c r="O16" s="6"/>
      <c r="P16" s="6"/>
      <c r="Q16" s="14"/>
    </row>
    <row r="17" spans="1:17">
      <c r="A17" s="13">
        <f t="shared" si="5"/>
        <v>46126</v>
      </c>
      <c r="B17" s="87">
        <v>35003.933333333334</v>
      </c>
      <c r="C17" s="126">
        <v>34275.833333333336</v>
      </c>
      <c r="D17" s="119">
        <v>42045</v>
      </c>
      <c r="E17" s="118">
        <v>37500</v>
      </c>
      <c r="F17" s="121">
        <f t="shared" si="3"/>
        <v>9.4065303542340245E-2</v>
      </c>
      <c r="G17" s="2">
        <f t="shared" si="0"/>
        <v>0.2496259618124822</v>
      </c>
      <c r="H17" s="2">
        <f t="shared" si="1"/>
        <v>0.30627185314685312</v>
      </c>
      <c r="I17" s="124">
        <v>6.68</v>
      </c>
      <c r="J17" s="118">
        <v>6.91</v>
      </c>
      <c r="K17" s="121">
        <f t="shared" si="4"/>
        <v>3.4431137724550961E-2</v>
      </c>
      <c r="L17" s="4">
        <f t="shared" si="2"/>
        <v>0.86700768212728985</v>
      </c>
      <c r="M17" s="5">
        <v>1</v>
      </c>
      <c r="N17" s="15">
        <v>1</v>
      </c>
      <c r="O17" s="6"/>
      <c r="P17" s="6"/>
      <c r="Q17" s="203"/>
    </row>
    <row r="18" spans="1:17">
      <c r="A18" s="13">
        <f t="shared" si="5"/>
        <v>46127</v>
      </c>
      <c r="B18" s="87">
        <v>35003.933333333334</v>
      </c>
      <c r="C18" s="126">
        <v>34275.833333333336</v>
      </c>
      <c r="D18" s="120">
        <v>40405</v>
      </c>
      <c r="E18" s="118">
        <v>35760</v>
      </c>
      <c r="F18" s="121">
        <f t="shared" si="3"/>
        <v>4.3300673457975662E-2</v>
      </c>
      <c r="G18" s="2">
        <f t="shared" si="0"/>
        <v>0.23988909470884393</v>
      </c>
      <c r="H18" s="2">
        <f t="shared" si="1"/>
        <v>0.29432546620046618</v>
      </c>
      <c r="I18" s="124">
        <v>6.68</v>
      </c>
      <c r="J18" s="118">
        <v>6.63</v>
      </c>
      <c r="K18" s="121">
        <f t="shared" si="4"/>
        <v>-7.4850299401197345E-3</v>
      </c>
      <c r="L18" s="4">
        <f t="shared" si="2"/>
        <v>0.86837681342567941</v>
      </c>
      <c r="M18" s="5">
        <v>1</v>
      </c>
      <c r="N18" s="15">
        <v>1</v>
      </c>
      <c r="O18" s="6"/>
      <c r="P18" s="6"/>
      <c r="Q18" s="14"/>
    </row>
    <row r="19" spans="1:17">
      <c r="A19" s="13">
        <f t="shared" si="5"/>
        <v>46128</v>
      </c>
      <c r="B19" s="87">
        <v>35003.933333333334</v>
      </c>
      <c r="C19" s="126">
        <v>34275.833333333336</v>
      </c>
      <c r="D19" s="120">
        <v>38033</v>
      </c>
      <c r="E19" s="118">
        <v>33740</v>
      </c>
      <c r="F19" s="121">
        <f t="shared" si="3"/>
        <v>-1.5632977559505067E-2</v>
      </c>
      <c r="G19" s="2">
        <f t="shared" si="0"/>
        <v>0.22580626009309396</v>
      </c>
      <c r="H19" s="2">
        <f t="shared" si="1"/>
        <v>0.2770469114219114</v>
      </c>
      <c r="I19" s="124">
        <v>6.68</v>
      </c>
      <c r="J19" s="118">
        <v>6.28</v>
      </c>
      <c r="K19" s="121">
        <f t="shared" si="4"/>
        <v>-5.9880239520958008E-2</v>
      </c>
      <c r="L19" s="4">
        <f t="shared" si="2"/>
        <v>0.8629538602283845</v>
      </c>
      <c r="M19" s="5">
        <v>1</v>
      </c>
      <c r="N19" s="15">
        <v>1</v>
      </c>
      <c r="O19" s="6"/>
      <c r="P19" s="6"/>
      <c r="Q19" s="14"/>
    </row>
    <row r="20" spans="1:17">
      <c r="A20" s="13">
        <f t="shared" si="5"/>
        <v>46129</v>
      </c>
      <c r="B20" s="87">
        <v>35003.933333333334</v>
      </c>
      <c r="C20" s="126">
        <v>34275.833333333336</v>
      </c>
      <c r="D20" s="120">
        <v>40346</v>
      </c>
      <c r="E20" s="118">
        <v>35850</v>
      </c>
      <c r="F20" s="121">
        <f t="shared" si="3"/>
        <v>4.5926430186477282E-2</v>
      </c>
      <c r="G20" s="2">
        <f t="shared" si="0"/>
        <v>0.23953880497767646</v>
      </c>
      <c r="H20" s="2">
        <f t="shared" si="1"/>
        <v>0.29389568764568763</v>
      </c>
      <c r="I20" s="124">
        <v>6.68</v>
      </c>
      <c r="J20" s="118">
        <v>6.69</v>
      </c>
      <c r="K20" s="121">
        <f t="shared" si="4"/>
        <v>1.4970059880240532E-3</v>
      </c>
      <c r="L20" s="4">
        <f t="shared" si="2"/>
        <v>0.85933203579435491</v>
      </c>
      <c r="M20" s="5">
        <v>1</v>
      </c>
      <c r="N20" s="15">
        <v>1</v>
      </c>
      <c r="O20" s="6"/>
      <c r="P20" s="6"/>
      <c r="Q20" s="6"/>
    </row>
    <row r="21" spans="1:17">
      <c r="A21" s="13">
        <f t="shared" si="5"/>
        <v>46130</v>
      </c>
      <c r="B21" s="87">
        <v>35003.933333333334</v>
      </c>
      <c r="C21" s="126">
        <v>34275.833333333336</v>
      </c>
      <c r="D21" s="120">
        <v>39724</v>
      </c>
      <c r="E21" s="118">
        <v>35290</v>
      </c>
      <c r="F21" s="121">
        <f t="shared" si="3"/>
        <v>2.9588388320244997E-2</v>
      </c>
      <c r="G21" s="2">
        <f t="shared" si="0"/>
        <v>0.23584592001519902</v>
      </c>
      <c r="H21" s="2">
        <f t="shared" si="1"/>
        <v>0.28936480186480185</v>
      </c>
      <c r="I21" s="124">
        <v>6.68</v>
      </c>
      <c r="J21" s="118">
        <v>6.57</v>
      </c>
      <c r="K21" s="121">
        <f t="shared" si="4"/>
        <v>-1.6467065868263388E-2</v>
      </c>
      <c r="L21" s="4">
        <f t="shared" si="2"/>
        <v>0.86153760736145757</v>
      </c>
      <c r="M21" s="5">
        <v>1</v>
      </c>
      <c r="N21" s="15">
        <v>1</v>
      </c>
      <c r="O21" s="6"/>
      <c r="P21" s="6"/>
      <c r="Q21" s="14"/>
    </row>
    <row r="22" spans="1:17">
      <c r="A22" s="13">
        <f t="shared" si="5"/>
        <v>46131</v>
      </c>
      <c r="B22" s="87">
        <v>35003.933333333334</v>
      </c>
      <c r="C22" s="126">
        <v>34275.833333333336</v>
      </c>
      <c r="D22" s="120">
        <v>37336</v>
      </c>
      <c r="E22" s="118">
        <v>33220</v>
      </c>
      <c r="F22" s="121">
        <f t="shared" si="3"/>
        <v>-3.0804016435292184E-2</v>
      </c>
      <c r="G22" s="2">
        <f t="shared" si="0"/>
        <v>0.22166809157404768</v>
      </c>
      <c r="H22" s="2">
        <f>E22/($D$2*24)</f>
        <v>0.19723092998955069</v>
      </c>
      <c r="I22" s="124">
        <v>6.68</v>
      </c>
      <c r="J22" s="118">
        <v>6.15</v>
      </c>
      <c r="K22" s="121">
        <f t="shared" si="4"/>
        <v>-7.9341317365269365E-2</v>
      </c>
      <c r="L22" s="4">
        <f t="shared" si="2"/>
        <v>0.86504621102067381</v>
      </c>
      <c r="M22" s="5">
        <v>1</v>
      </c>
      <c r="N22" s="15">
        <v>1</v>
      </c>
      <c r="O22" s="6"/>
      <c r="P22" s="6"/>
      <c r="Q22" s="14"/>
    </row>
    <row r="23" spans="1:17">
      <c r="A23" s="13">
        <f t="shared" si="5"/>
        <v>46132</v>
      </c>
      <c r="B23" s="87">
        <v>35003.933333333334</v>
      </c>
      <c r="C23" s="126">
        <v>34275.833333333336</v>
      </c>
      <c r="D23" s="120">
        <v>37751</v>
      </c>
      <c r="E23" s="118">
        <v>33710</v>
      </c>
      <c r="F23" s="121">
        <f t="shared" si="3"/>
        <v>-1.6508229802338938E-2</v>
      </c>
      <c r="G23" s="2">
        <f t="shared" si="0"/>
        <v>0.22413199392039518</v>
      </c>
      <c r="H23" s="2">
        <f>E23/($D$2*24)</f>
        <v>0.200140115892467</v>
      </c>
      <c r="I23" s="124">
        <v>6.68</v>
      </c>
      <c r="J23" s="118">
        <v>6.21</v>
      </c>
      <c r="K23" s="121">
        <f t="shared" si="4"/>
        <v>-7.035928143712572E-2</v>
      </c>
      <c r="L23" s="4">
        <f t="shared" si="2"/>
        <v>0.86621060452326637</v>
      </c>
      <c r="M23" s="5">
        <v>1</v>
      </c>
      <c r="N23" s="15">
        <v>1</v>
      </c>
      <c r="O23" s="6"/>
      <c r="P23" s="6"/>
      <c r="Q23" s="14"/>
    </row>
    <row r="24" spans="1:17">
      <c r="A24" s="13">
        <f t="shared" si="5"/>
        <v>46133</v>
      </c>
      <c r="B24" s="87">
        <v>35003.933333333334</v>
      </c>
      <c r="C24" s="126">
        <v>34275.833333333336</v>
      </c>
      <c r="D24" s="120">
        <v>41086</v>
      </c>
      <c r="E24" s="118">
        <v>36920</v>
      </c>
      <c r="F24" s="121">
        <f>(IF(ISBLANK(E24),0,E24-C24))/C24</f>
        <v>7.7143760180885382E-2</v>
      </c>
      <c r="G24" s="2">
        <f t="shared" ref="G24:G33" si="6">D24/($D$2*24)</f>
        <v>0.24393226940248883</v>
      </c>
      <c r="H24" s="2">
        <f t="shared" ref="H24:H33" si="7">E24/($D$2*24)</f>
        <v>0.2191982521136126</v>
      </c>
      <c r="I24" s="124">
        <v>6.68</v>
      </c>
      <c r="J24" s="118">
        <v>6.78</v>
      </c>
      <c r="K24" s="121">
        <f>(IF(ISBLANK(J24),0,J24-I24))/I24</f>
        <v>1.4970059880239601E-2</v>
      </c>
      <c r="L24" s="4">
        <f t="shared" si="2"/>
        <v>0.86347705983181888</v>
      </c>
      <c r="M24" s="5">
        <v>1</v>
      </c>
      <c r="N24" s="15">
        <v>1</v>
      </c>
      <c r="O24" s="6"/>
      <c r="P24" s="6"/>
      <c r="Q24" s="6"/>
    </row>
    <row r="25" spans="1:17">
      <c r="A25" s="13">
        <f t="shared" si="5"/>
        <v>46134</v>
      </c>
      <c r="B25" s="87">
        <v>35003.933333333334</v>
      </c>
      <c r="C25" s="126">
        <v>34275.833333333336</v>
      </c>
      <c r="D25" s="120">
        <v>41453</v>
      </c>
      <c r="E25" s="118">
        <v>37080</v>
      </c>
      <c r="F25" s="121">
        <f t="shared" si="3"/>
        <v>8.1811772142666037E-2</v>
      </c>
      <c r="G25" s="2">
        <f t="shared" si="6"/>
        <v>0.24611119027263229</v>
      </c>
      <c r="H25" s="2">
        <f t="shared" si="7"/>
        <v>0.22014819036762612</v>
      </c>
      <c r="I25" s="124">
        <v>6.68</v>
      </c>
      <c r="J25" s="118">
        <v>6.8</v>
      </c>
      <c r="K25" s="121">
        <f t="shared" si="4"/>
        <v>1.7964071856287442E-2</v>
      </c>
      <c r="L25" s="4">
        <f t="shared" si="2"/>
        <v>0.86862773037399621</v>
      </c>
      <c r="M25" s="5">
        <v>1</v>
      </c>
      <c r="N25" s="15">
        <v>1</v>
      </c>
      <c r="O25" s="6"/>
      <c r="P25" s="6"/>
      <c r="Q25" s="6"/>
    </row>
    <row r="26" spans="1:17">
      <c r="A26" s="13">
        <f t="shared" si="5"/>
        <v>46135</v>
      </c>
      <c r="B26" s="87">
        <v>35003.933333333334</v>
      </c>
      <c r="C26" s="126">
        <v>34275.833333333336</v>
      </c>
      <c r="D26" s="120">
        <v>37875</v>
      </c>
      <c r="E26" s="118">
        <v>33540</v>
      </c>
      <c r="F26" s="121">
        <f t="shared" si="3"/>
        <v>-2.1467992511730882E-2</v>
      </c>
      <c r="G26" s="2">
        <f t="shared" si="6"/>
        <v>0.22486819606725564</v>
      </c>
      <c r="H26" s="2">
        <f t="shared" si="7"/>
        <v>0.19913080649757767</v>
      </c>
      <c r="I26" s="124">
        <v>6.68</v>
      </c>
      <c r="J26" s="118">
        <v>6.22</v>
      </c>
      <c r="K26" s="121">
        <f t="shared" si="4"/>
        <v>-6.8862275449101798E-2</v>
      </c>
      <c r="L26" s="4">
        <f t="shared" si="2"/>
        <v>0.86765863434310853</v>
      </c>
      <c r="M26" s="5">
        <v>1</v>
      </c>
      <c r="N26" s="15">
        <v>1</v>
      </c>
      <c r="O26" s="6"/>
      <c r="P26" s="6"/>
      <c r="Q26" s="6"/>
    </row>
    <row r="27" spans="1:17">
      <c r="A27" s="13">
        <f t="shared" si="5"/>
        <v>46136</v>
      </c>
      <c r="B27" s="87">
        <v>35003.933333333298</v>
      </c>
      <c r="C27" s="126">
        <v>34275.833333333336</v>
      </c>
      <c r="D27" s="120">
        <v>37416</v>
      </c>
      <c r="E27" s="118">
        <v>33530</v>
      </c>
      <c r="F27" s="121">
        <f t="shared" si="3"/>
        <v>-2.1759743259342171E-2</v>
      </c>
      <c r="G27" s="2">
        <f t="shared" si="6"/>
        <v>0.22214306070105444</v>
      </c>
      <c r="H27" s="2">
        <f t="shared" si="7"/>
        <v>0.19907143535670183</v>
      </c>
      <c r="I27" s="124">
        <v>6.68</v>
      </c>
      <c r="J27" s="118">
        <v>6.1</v>
      </c>
      <c r="K27" s="121">
        <f t="shared" si="4"/>
        <v>-8.682634730538924E-2</v>
      </c>
      <c r="L27" s="4">
        <f t="shared" si="2"/>
        <v>0.87400548472546014</v>
      </c>
      <c r="M27" s="5">
        <v>1</v>
      </c>
      <c r="N27" s="15">
        <v>1</v>
      </c>
      <c r="O27" s="6"/>
      <c r="P27" s="6"/>
      <c r="Q27" s="6"/>
    </row>
    <row r="28" spans="1:17">
      <c r="A28" s="13">
        <f t="shared" si="5"/>
        <v>46137</v>
      </c>
      <c r="B28" s="87">
        <v>35003.933333333298</v>
      </c>
      <c r="C28" s="126">
        <v>34275.833333333336</v>
      </c>
      <c r="D28" s="6">
        <v>38536</v>
      </c>
      <c r="E28" s="123">
        <v>34060</v>
      </c>
      <c r="F28" s="20">
        <f t="shared" si="3"/>
        <v>-6.2969536359437622E-3</v>
      </c>
      <c r="G28" s="2">
        <f t="shared" si="6"/>
        <v>0.22879262847914886</v>
      </c>
      <c r="H28" s="2">
        <f t="shared" si="7"/>
        <v>0.2022181058231215</v>
      </c>
      <c r="I28" s="3">
        <v>6.68</v>
      </c>
      <c r="J28" s="123">
        <v>6.33</v>
      </c>
      <c r="K28" s="20">
        <f t="shared" si="4"/>
        <v>-5.2395209580838271E-2</v>
      </c>
      <c r="L28" s="4">
        <f t="shared" si="2"/>
        <v>0.86746020276454539</v>
      </c>
      <c r="M28" s="5">
        <v>1</v>
      </c>
      <c r="N28" s="15">
        <v>1</v>
      </c>
      <c r="O28" s="6"/>
      <c r="P28" s="6"/>
      <c r="Q28" s="6"/>
    </row>
    <row r="29" spans="1:17">
      <c r="A29" s="13">
        <f t="shared" si="5"/>
        <v>46138</v>
      </c>
      <c r="B29" s="87">
        <v>35003.933333333298</v>
      </c>
      <c r="C29" s="126">
        <v>34275.833333333336</v>
      </c>
      <c r="D29" s="6">
        <v>37909</v>
      </c>
      <c r="E29" s="6">
        <v>33740</v>
      </c>
      <c r="F29" s="20">
        <f t="shared" si="3"/>
        <v>-1.5632977559505067E-2</v>
      </c>
      <c r="G29" s="2">
        <f t="shared" si="6"/>
        <v>0.2250700579462335</v>
      </c>
      <c r="H29" s="2">
        <f t="shared" si="7"/>
        <v>0.20031822931509452</v>
      </c>
      <c r="I29" s="3">
        <v>6.68</v>
      </c>
      <c r="J29" s="6">
        <v>6.35</v>
      </c>
      <c r="K29" s="20">
        <f t="shared" si="4"/>
        <v>-4.9401197604790434E-2</v>
      </c>
      <c r="L29" s="4">
        <f t="shared" si="2"/>
        <v>0.85065848672592193</v>
      </c>
      <c r="M29" s="5">
        <v>1</v>
      </c>
      <c r="N29" s="15">
        <v>1</v>
      </c>
      <c r="O29" s="6"/>
      <c r="P29" s="6"/>
      <c r="Q29" s="6"/>
    </row>
    <row r="30" spans="1:17">
      <c r="A30" s="13">
        <f t="shared" si="5"/>
        <v>46139</v>
      </c>
      <c r="B30" s="87">
        <v>35003.933333333298</v>
      </c>
      <c r="C30" s="126">
        <v>34275.833333333336</v>
      </c>
      <c r="D30" s="288">
        <v>36573</v>
      </c>
      <c r="E30" s="288">
        <v>32579</v>
      </c>
      <c r="F30" s="20">
        <f t="shared" si="3"/>
        <v>-4.950523935717592E-2</v>
      </c>
      <c r="G30" s="2">
        <f t="shared" si="6"/>
        <v>0.21713807352522085</v>
      </c>
      <c r="H30" s="2">
        <f t="shared" si="7"/>
        <v>0.19342523985940913</v>
      </c>
      <c r="I30" s="3">
        <v>6.68</v>
      </c>
      <c r="J30" s="6">
        <v>6.1</v>
      </c>
      <c r="K30" s="20">
        <f t="shared" si="4"/>
        <v>-8.682634730538924E-2</v>
      </c>
      <c r="L30" s="4">
        <f t="shared" si="2"/>
        <v>0.85431373190250837</v>
      </c>
      <c r="M30" s="5">
        <v>1</v>
      </c>
      <c r="N30" s="15">
        <v>1</v>
      </c>
      <c r="O30" s="6"/>
      <c r="P30" s="6"/>
      <c r="Q30" s="6"/>
    </row>
    <row r="31" spans="1:17">
      <c r="A31" s="13">
        <f t="shared" si="5"/>
        <v>46140</v>
      </c>
      <c r="B31" s="87">
        <v>35003.933333333298</v>
      </c>
      <c r="C31" s="346">
        <v>34275.833333333336</v>
      </c>
      <c r="D31" s="118">
        <v>33981</v>
      </c>
      <c r="E31" s="118">
        <v>29890</v>
      </c>
      <c r="F31" s="121">
        <f t="shared" si="3"/>
        <v>-0.12795701538985199</v>
      </c>
      <c r="G31" s="2">
        <f t="shared" si="6"/>
        <v>0.20174907381020235</v>
      </c>
      <c r="H31" s="2">
        <f t="shared" si="7"/>
        <v>0.17746034007789493</v>
      </c>
      <c r="I31" s="3">
        <v>6.68</v>
      </c>
      <c r="J31" s="347">
        <v>5.64</v>
      </c>
      <c r="K31" s="20">
        <f t="shared" si="4"/>
        <v>-0.15568862275449102</v>
      </c>
      <c r="L31" s="4">
        <f t="shared" si="2"/>
        <v>0.85850669706469085</v>
      </c>
      <c r="M31" s="5">
        <v>1</v>
      </c>
      <c r="N31" s="15">
        <v>1</v>
      </c>
      <c r="O31" s="6"/>
      <c r="P31" s="6"/>
      <c r="Q31" s="6"/>
    </row>
    <row r="32" spans="1:17">
      <c r="A32" s="13">
        <f t="shared" si="5"/>
        <v>46141</v>
      </c>
      <c r="B32" s="87">
        <v>35003.933333333298</v>
      </c>
      <c r="C32" s="346">
        <v>34275.833333333336</v>
      </c>
      <c r="D32" s="118">
        <v>36243</v>
      </c>
      <c r="E32" s="118">
        <v>31940</v>
      </c>
      <c r="F32" s="121">
        <f t="shared" si="3"/>
        <v>-6.8148112129537392E-2</v>
      </c>
      <c r="G32" s="2">
        <f t="shared" si="6"/>
        <v>0.21517882587631804</v>
      </c>
      <c r="H32" s="2">
        <f t="shared" si="7"/>
        <v>0.18963142395744276</v>
      </c>
      <c r="I32" s="3">
        <v>6.68</v>
      </c>
      <c r="J32" s="348">
        <v>5.95</v>
      </c>
      <c r="K32" s="20">
        <f t="shared" si="4"/>
        <v>-0.10928143712574843</v>
      </c>
      <c r="L32" s="4">
        <f t="shared" si="2"/>
        <v>0.8679482052154005</v>
      </c>
      <c r="M32" s="5">
        <v>1</v>
      </c>
      <c r="N32" s="15">
        <v>1</v>
      </c>
      <c r="O32" s="6"/>
      <c r="P32" s="6"/>
      <c r="Q32" s="6"/>
    </row>
    <row r="33" spans="1:17">
      <c r="A33" s="13">
        <f t="shared" si="5"/>
        <v>46142</v>
      </c>
      <c r="B33" s="87">
        <v>35003.933333333298</v>
      </c>
      <c r="C33" s="346">
        <v>34275.833333333336</v>
      </c>
      <c r="D33" s="118">
        <v>41627</v>
      </c>
      <c r="E33" s="118">
        <v>36570</v>
      </c>
      <c r="F33" s="121">
        <f t="shared" si="3"/>
        <v>6.6932484014490215E-2</v>
      </c>
      <c r="G33" s="2">
        <f t="shared" si="6"/>
        <v>0.24714424812387195</v>
      </c>
      <c r="H33" s="2">
        <f t="shared" si="7"/>
        <v>0.2171202621829581</v>
      </c>
      <c r="I33" s="3">
        <v>6.68</v>
      </c>
      <c r="J33" s="348">
        <v>6.71</v>
      </c>
      <c r="K33" s="20">
        <f t="shared" si="4"/>
        <v>4.4910179640718934E-3</v>
      </c>
      <c r="L33" s="4">
        <f t="shared" si="2"/>
        <v>0.883973465718767</v>
      </c>
      <c r="M33" s="5">
        <v>1</v>
      </c>
      <c r="N33" s="15">
        <v>1</v>
      </c>
      <c r="O33" s="6"/>
      <c r="P33" s="6"/>
      <c r="Q33" s="6"/>
    </row>
    <row r="34" spans="1:17">
      <c r="A34" s="349">
        <v>46113</v>
      </c>
      <c r="B34" s="89">
        <f>SUM(B4:B33)</f>
        <v>1050118.0000000002</v>
      </c>
      <c r="C34" s="89">
        <f>SUM(C4:C33)</f>
        <v>1028275.0000000005</v>
      </c>
      <c r="D34" s="256">
        <f>SUM(D4:D33)</f>
        <v>1163968</v>
      </c>
      <c r="E34" s="256">
        <f>SUM(E4:E33)</f>
        <v>1033839</v>
      </c>
      <c r="F34" s="92">
        <f>(IF(ISBLANK(E34),0,E34-C34))/C34</f>
        <v>5.4110038656969509E-3</v>
      </c>
      <c r="G34" s="90">
        <f>AVERAGE(G4:G33)</f>
        <v>0.23035369367657779</v>
      </c>
      <c r="H34" s="90">
        <f>AVERAGE(H4:H33)</f>
        <v>0.25197309939277024</v>
      </c>
      <c r="I34" s="89">
        <f>SUM(I4:I33)</f>
        <v>200.40000000000012</v>
      </c>
      <c r="J34" s="89">
        <f>SUM(J4:J33)</f>
        <v>193.04</v>
      </c>
      <c r="K34" s="92">
        <f t="shared" si="4"/>
        <v>-3.6726546906188241E-2</v>
      </c>
      <c r="L34" s="93">
        <f t="shared" si="2"/>
        <v>0.85917250024417702</v>
      </c>
      <c r="M34" s="90">
        <f>AVERAGE(M4:M33)</f>
        <v>1</v>
      </c>
      <c r="N34" s="90">
        <f>AVERAGE(N4:N33)</f>
        <v>0.99848333333333328</v>
      </c>
      <c r="O34" s="89">
        <f>SUM(O4:O33)</f>
        <v>1500</v>
      </c>
      <c r="P34" s="89">
        <f>SUM(P4:P33)</f>
        <v>0</v>
      </c>
      <c r="Q34" s="19"/>
    </row>
    <row r="35" spans="1:17">
      <c r="A35" s="13">
        <v>46143</v>
      </c>
      <c r="B35" s="87">
        <v>31688</v>
      </c>
      <c r="C35" s="126">
        <v>31028</v>
      </c>
      <c r="D35" s="49">
        <v>40554</v>
      </c>
      <c r="E35" s="49">
        <v>35860</v>
      </c>
      <c r="F35" s="20">
        <f>(IF(ISBLANK(E35),0,E35-C35))/C35</f>
        <v>0.15573030810880495</v>
      </c>
      <c r="G35" s="2">
        <f t="shared" ref="G35:G54" si="8">D35/($D$2*24)</f>
        <v>0.24077372470789399</v>
      </c>
      <c r="H35" s="2">
        <f t="shared" ref="H35:H52" si="9">D35/($H$2*24)</f>
        <v>0.29541083916083916</v>
      </c>
      <c r="I35" s="26">
        <v>5.96</v>
      </c>
      <c r="J35" s="206">
        <v>6.67</v>
      </c>
      <c r="K35" s="20">
        <f>(IF(ISBLANK(J35),0,J35-I35))/I35</f>
        <v>0.11912751677852348</v>
      </c>
      <c r="L35" s="4">
        <f t="shared" si="2"/>
        <v>0.86635223283200236</v>
      </c>
      <c r="M35" s="5">
        <v>1</v>
      </c>
      <c r="N35" s="5"/>
      <c r="O35" s="6"/>
      <c r="P35" s="6"/>
      <c r="Q35" s="6"/>
    </row>
    <row r="36" spans="1:17">
      <c r="A36" s="13">
        <f>A35+1</f>
        <v>46144</v>
      </c>
      <c r="B36" s="87">
        <v>31688</v>
      </c>
      <c r="C36" s="126">
        <v>31028</v>
      </c>
      <c r="D36" s="50">
        <v>37692</v>
      </c>
      <c r="E36" s="50">
        <v>32990</v>
      </c>
      <c r="F36" s="20">
        <f t="shared" ref="F36:F54" si="10">(IF(ISBLANK(E36),0,E36-C36))/C36</f>
        <v>6.3233208714709291E-2</v>
      </c>
      <c r="G36" s="2">
        <f t="shared" si="8"/>
        <v>0.22378170418922769</v>
      </c>
      <c r="H36" s="2">
        <f t="shared" si="9"/>
        <v>0.27456293706293705</v>
      </c>
      <c r="I36" s="26">
        <v>5.96</v>
      </c>
      <c r="J36" s="55">
        <v>6.85</v>
      </c>
      <c r="K36" s="20">
        <f t="shared" ref="K36:K54" si="11">(IF(ISBLANK(J36),0,J36-I36))/I36</f>
        <v>0.14932885906040264</v>
      </c>
      <c r="L36" s="4">
        <f t="shared" ref="L36:L66" si="12">D36/($D$2*J36)</f>
        <v>0.78405268621043289</v>
      </c>
      <c r="M36" s="5">
        <v>1</v>
      </c>
      <c r="N36" s="5"/>
      <c r="O36" s="6"/>
      <c r="P36" s="6"/>
      <c r="Q36" s="6"/>
    </row>
    <row r="37" spans="1:17">
      <c r="A37" s="13">
        <f t="shared" ref="A37:A65" si="13">A36+1</f>
        <v>46145</v>
      </c>
      <c r="B37" s="87">
        <v>31688</v>
      </c>
      <c r="C37" s="126">
        <v>31028</v>
      </c>
      <c r="D37" s="50">
        <v>42512</v>
      </c>
      <c r="E37" s="50">
        <v>37000</v>
      </c>
      <c r="F37" s="20">
        <f t="shared" si="10"/>
        <v>0.19247131623050148</v>
      </c>
      <c r="G37" s="2">
        <f t="shared" si="8"/>
        <v>0.25239859409138404</v>
      </c>
      <c r="H37" s="2">
        <f t="shared" si="9"/>
        <v>0.30967365967365967</v>
      </c>
      <c r="I37" s="26">
        <v>5.96</v>
      </c>
      <c r="J37" s="55">
        <v>7</v>
      </c>
      <c r="K37" s="20">
        <f t="shared" si="11"/>
        <v>0.17449664429530201</v>
      </c>
      <c r="L37" s="4">
        <f t="shared" si="12"/>
        <v>0.8653666083133168</v>
      </c>
      <c r="M37" s="5">
        <v>1</v>
      </c>
      <c r="N37" s="5"/>
      <c r="O37" s="6"/>
      <c r="P37" s="6"/>
      <c r="Q37" s="6"/>
    </row>
    <row r="38" spans="1:17">
      <c r="A38" s="13">
        <f t="shared" si="13"/>
        <v>46146</v>
      </c>
      <c r="B38" s="87">
        <v>31688</v>
      </c>
      <c r="C38" s="126">
        <v>31028</v>
      </c>
      <c r="D38" s="50">
        <v>39479</v>
      </c>
      <c r="E38" s="50">
        <v>34570</v>
      </c>
      <c r="F38" s="20">
        <f t="shared" si="10"/>
        <v>0.11415495681320098</v>
      </c>
      <c r="G38" s="2">
        <f t="shared" si="8"/>
        <v>0.23439132706374086</v>
      </c>
      <c r="H38" s="2">
        <f t="shared" si="9"/>
        <v>0.28758012820512818</v>
      </c>
      <c r="I38" s="26">
        <v>5.96</v>
      </c>
      <c r="J38" s="55">
        <v>6.52</v>
      </c>
      <c r="K38" s="20">
        <f t="shared" si="11"/>
        <v>9.3959731543624095E-2</v>
      </c>
      <c r="L38" s="4">
        <f t="shared" si="12"/>
        <v>0.86279016097082528</v>
      </c>
      <c r="M38" s="5">
        <v>1</v>
      </c>
      <c r="N38" s="5"/>
      <c r="O38" s="6"/>
      <c r="P38" s="6"/>
      <c r="Q38" s="14"/>
    </row>
    <row r="39" spans="1:17">
      <c r="A39" s="13">
        <f t="shared" si="13"/>
        <v>46147</v>
      </c>
      <c r="B39" s="87">
        <v>31688</v>
      </c>
      <c r="C39" s="126">
        <v>31028</v>
      </c>
      <c r="D39" s="50"/>
      <c r="E39" s="50"/>
      <c r="F39" s="20">
        <f t="shared" si="10"/>
        <v>0</v>
      </c>
      <c r="G39" s="2">
        <f t="shared" si="8"/>
        <v>0</v>
      </c>
      <c r="H39" s="2">
        <f t="shared" si="9"/>
        <v>0</v>
      </c>
      <c r="I39" s="26">
        <v>5.96</v>
      </c>
      <c r="J39" s="50"/>
      <c r="K39" s="20">
        <f t="shared" si="11"/>
        <v>0</v>
      </c>
      <c r="L39" s="4" t="e">
        <f t="shared" si="12"/>
        <v>#DIV/0!</v>
      </c>
      <c r="M39" s="5">
        <v>1</v>
      </c>
      <c r="N39" s="5"/>
      <c r="O39" s="6"/>
      <c r="P39" s="6"/>
      <c r="Q39" s="14"/>
    </row>
    <row r="40" spans="1:17">
      <c r="A40" s="13">
        <f t="shared" si="13"/>
        <v>46148</v>
      </c>
      <c r="B40" s="87"/>
      <c r="C40" s="126"/>
      <c r="D40" s="50"/>
      <c r="E40" s="51"/>
      <c r="F40" s="20" t="e">
        <f t="shared" si="10"/>
        <v>#DIV/0!</v>
      </c>
      <c r="G40" s="2">
        <f t="shared" si="8"/>
        <v>0</v>
      </c>
      <c r="H40" s="2">
        <f t="shared" si="9"/>
        <v>0</v>
      </c>
      <c r="I40" s="27"/>
      <c r="J40" s="50"/>
      <c r="K40" s="20" t="e">
        <f t="shared" si="11"/>
        <v>#DIV/0!</v>
      </c>
      <c r="L40" s="4" t="e">
        <f t="shared" si="12"/>
        <v>#DIV/0!</v>
      </c>
      <c r="M40" s="5"/>
      <c r="N40" s="5"/>
      <c r="O40" s="6"/>
      <c r="P40" s="6"/>
      <c r="Q40" s="14"/>
    </row>
    <row r="41" spans="1:17">
      <c r="A41" s="13">
        <f t="shared" si="13"/>
        <v>46149</v>
      </c>
      <c r="B41" s="87"/>
      <c r="C41" s="126"/>
      <c r="D41" s="52"/>
      <c r="E41" s="207"/>
      <c r="F41" s="20" t="e">
        <f t="shared" si="10"/>
        <v>#DIV/0!</v>
      </c>
      <c r="G41" s="2">
        <f t="shared" si="8"/>
        <v>0</v>
      </c>
      <c r="H41" s="2">
        <f t="shared" si="9"/>
        <v>0</v>
      </c>
      <c r="I41" s="27"/>
      <c r="J41" s="55"/>
      <c r="K41" s="20" t="e">
        <f t="shared" si="11"/>
        <v>#DIV/0!</v>
      </c>
      <c r="L41" s="4" t="e">
        <f t="shared" si="12"/>
        <v>#DIV/0!</v>
      </c>
      <c r="M41" s="5"/>
      <c r="N41" s="5"/>
      <c r="O41" s="6"/>
      <c r="P41" s="6"/>
      <c r="Q41" s="202"/>
    </row>
    <row r="42" spans="1:17">
      <c r="A42" s="13">
        <f t="shared" si="13"/>
        <v>46150</v>
      </c>
      <c r="B42" s="87"/>
      <c r="C42" s="126"/>
      <c r="D42" s="52"/>
      <c r="E42" s="53"/>
      <c r="F42" s="20" t="e">
        <f t="shared" si="10"/>
        <v>#DIV/0!</v>
      </c>
      <c r="G42" s="2">
        <f t="shared" si="8"/>
        <v>0</v>
      </c>
      <c r="H42" s="2">
        <f t="shared" si="9"/>
        <v>0</v>
      </c>
      <c r="I42" s="27"/>
      <c r="J42" s="55"/>
      <c r="K42" s="20" t="e">
        <f t="shared" si="11"/>
        <v>#DIV/0!</v>
      </c>
      <c r="L42" s="4" t="e">
        <f t="shared" si="12"/>
        <v>#DIV/0!</v>
      </c>
      <c r="M42" s="5"/>
      <c r="N42" s="5"/>
      <c r="O42" s="6"/>
      <c r="P42" s="6"/>
      <c r="Q42" s="14"/>
    </row>
    <row r="43" spans="1:17">
      <c r="A43" s="13">
        <f t="shared" si="13"/>
        <v>46151</v>
      </c>
      <c r="B43" s="87"/>
      <c r="C43" s="126"/>
      <c r="D43" s="52"/>
      <c r="E43" s="53"/>
      <c r="F43" s="20" t="e">
        <f t="shared" si="10"/>
        <v>#DIV/0!</v>
      </c>
      <c r="G43" s="2">
        <f t="shared" si="8"/>
        <v>0</v>
      </c>
      <c r="H43" s="2">
        <f t="shared" si="9"/>
        <v>0</v>
      </c>
      <c r="I43" s="27"/>
      <c r="J43" s="55"/>
      <c r="K43" s="20" t="e">
        <f t="shared" si="11"/>
        <v>#DIV/0!</v>
      </c>
      <c r="L43" s="4" t="e">
        <f t="shared" si="12"/>
        <v>#DIV/0!</v>
      </c>
      <c r="M43" s="5"/>
      <c r="N43" s="5"/>
      <c r="O43" s="6"/>
      <c r="P43" s="6"/>
      <c r="Q43" s="6"/>
    </row>
    <row r="44" spans="1:17">
      <c r="A44" s="13">
        <f t="shared" si="13"/>
        <v>46152</v>
      </c>
      <c r="B44" s="87"/>
      <c r="C44" s="126"/>
      <c r="D44" s="52"/>
      <c r="E44" s="53"/>
      <c r="F44" s="20" t="e">
        <f t="shared" si="10"/>
        <v>#DIV/0!</v>
      </c>
      <c r="G44" s="2">
        <f t="shared" si="8"/>
        <v>0</v>
      </c>
      <c r="H44" s="2">
        <f t="shared" si="9"/>
        <v>0</v>
      </c>
      <c r="I44" s="27"/>
      <c r="J44" s="55"/>
      <c r="K44" s="20" t="e">
        <f t="shared" si="11"/>
        <v>#DIV/0!</v>
      </c>
      <c r="L44" s="4" t="e">
        <f t="shared" si="12"/>
        <v>#DIV/0!</v>
      </c>
      <c r="M44" s="5"/>
      <c r="N44" s="15"/>
      <c r="O44" s="6"/>
      <c r="P44" s="6"/>
      <c r="Q44" s="16"/>
    </row>
    <row r="45" spans="1:17">
      <c r="A45" s="13">
        <f t="shared" si="13"/>
        <v>46153</v>
      </c>
      <c r="B45" s="87"/>
      <c r="C45" s="126"/>
      <c r="D45" s="52"/>
      <c r="E45" s="53"/>
      <c r="F45" s="20" t="e">
        <f t="shared" si="10"/>
        <v>#DIV/0!</v>
      </c>
      <c r="G45" s="2">
        <f t="shared" si="8"/>
        <v>0</v>
      </c>
      <c r="H45" s="2">
        <f t="shared" si="9"/>
        <v>0</v>
      </c>
      <c r="I45" s="27"/>
      <c r="J45" s="55"/>
      <c r="K45" s="20" t="e">
        <f t="shared" si="11"/>
        <v>#DIV/0!</v>
      </c>
      <c r="L45" s="4" t="e">
        <f t="shared" si="12"/>
        <v>#DIV/0!</v>
      </c>
      <c r="M45" s="5"/>
      <c r="N45" s="15"/>
      <c r="O45" s="6"/>
      <c r="P45" s="6"/>
      <c r="Q45" s="6"/>
    </row>
    <row r="46" spans="1:17">
      <c r="A46" s="13">
        <f t="shared" si="13"/>
        <v>46154</v>
      </c>
      <c r="B46" s="87"/>
      <c r="C46" s="126"/>
      <c r="D46" s="52"/>
      <c r="E46" s="53"/>
      <c r="F46" s="20" t="e">
        <f t="shared" si="10"/>
        <v>#DIV/0!</v>
      </c>
      <c r="G46" s="2">
        <f t="shared" si="8"/>
        <v>0</v>
      </c>
      <c r="H46" s="2">
        <f t="shared" si="9"/>
        <v>0</v>
      </c>
      <c r="I46" s="27"/>
      <c r="J46" s="55"/>
      <c r="K46" s="20" t="e">
        <f t="shared" si="11"/>
        <v>#DIV/0!</v>
      </c>
      <c r="L46" s="4" t="e">
        <f t="shared" si="12"/>
        <v>#DIV/0!</v>
      </c>
      <c r="M46" s="5"/>
      <c r="N46" s="15"/>
      <c r="O46" s="6"/>
      <c r="P46" s="6"/>
      <c r="Q46" s="6"/>
    </row>
    <row r="47" spans="1:17">
      <c r="A47" s="13">
        <f t="shared" si="13"/>
        <v>46155</v>
      </c>
      <c r="B47" s="87"/>
      <c r="C47" s="126"/>
      <c r="D47" s="54"/>
      <c r="E47" s="122"/>
      <c r="F47" s="20" t="e">
        <f t="shared" si="10"/>
        <v>#DIV/0!</v>
      </c>
      <c r="G47" s="2">
        <f t="shared" si="8"/>
        <v>0</v>
      </c>
      <c r="H47" s="2">
        <f t="shared" si="9"/>
        <v>0</v>
      </c>
      <c r="I47" s="27"/>
      <c r="J47" s="125"/>
      <c r="K47" s="20" t="e">
        <f t="shared" si="11"/>
        <v>#DIV/0!</v>
      </c>
      <c r="L47" s="4" t="e">
        <f t="shared" si="12"/>
        <v>#DIV/0!</v>
      </c>
      <c r="M47" s="5"/>
      <c r="N47" s="15"/>
      <c r="O47" s="6"/>
      <c r="P47" s="6"/>
      <c r="Q47" s="14"/>
    </row>
    <row r="48" spans="1:17">
      <c r="A48" s="13">
        <f t="shared" si="13"/>
        <v>46156</v>
      </c>
      <c r="B48" s="87"/>
      <c r="C48" s="126"/>
      <c r="D48" s="119"/>
      <c r="E48" s="118"/>
      <c r="F48" s="121" t="e">
        <f t="shared" si="10"/>
        <v>#DIV/0!</v>
      </c>
      <c r="G48" s="2">
        <f t="shared" si="8"/>
        <v>0</v>
      </c>
      <c r="H48" s="2">
        <f t="shared" si="9"/>
        <v>0</v>
      </c>
      <c r="I48" s="124"/>
      <c r="J48" s="118"/>
      <c r="K48" s="121" t="e">
        <f t="shared" si="11"/>
        <v>#DIV/0!</v>
      </c>
      <c r="L48" s="4" t="e">
        <f t="shared" si="12"/>
        <v>#DIV/0!</v>
      </c>
      <c r="M48" s="5"/>
      <c r="N48" s="15"/>
      <c r="O48" s="6"/>
      <c r="P48" s="6"/>
      <c r="Q48" s="203"/>
    </row>
    <row r="49" spans="1:17">
      <c r="A49" s="13">
        <f t="shared" si="13"/>
        <v>46157</v>
      </c>
      <c r="B49" s="87"/>
      <c r="C49" s="126"/>
      <c r="D49" s="120"/>
      <c r="E49" s="118"/>
      <c r="F49" s="121" t="e">
        <f t="shared" si="10"/>
        <v>#DIV/0!</v>
      </c>
      <c r="G49" s="2">
        <f t="shared" si="8"/>
        <v>0</v>
      </c>
      <c r="H49" s="2">
        <f t="shared" si="9"/>
        <v>0</v>
      </c>
      <c r="I49" s="124"/>
      <c r="J49" s="118"/>
      <c r="K49" s="121" t="e">
        <f t="shared" si="11"/>
        <v>#DIV/0!</v>
      </c>
      <c r="L49" s="4" t="e">
        <f t="shared" si="12"/>
        <v>#DIV/0!</v>
      </c>
      <c r="M49" s="5"/>
      <c r="N49" s="15"/>
      <c r="O49" s="6"/>
      <c r="P49" s="6"/>
      <c r="Q49" s="14"/>
    </row>
    <row r="50" spans="1:17">
      <c r="A50" s="13">
        <f t="shared" si="13"/>
        <v>46158</v>
      </c>
      <c r="B50" s="87"/>
      <c r="C50" s="126"/>
      <c r="D50" s="120"/>
      <c r="E50" s="118"/>
      <c r="F50" s="121" t="e">
        <f t="shared" si="10"/>
        <v>#DIV/0!</v>
      </c>
      <c r="G50" s="2">
        <f t="shared" si="8"/>
        <v>0</v>
      </c>
      <c r="H50" s="2">
        <f t="shared" si="9"/>
        <v>0</v>
      </c>
      <c r="I50" s="124"/>
      <c r="J50" s="118"/>
      <c r="K50" s="121" t="e">
        <f t="shared" si="11"/>
        <v>#DIV/0!</v>
      </c>
      <c r="L50" s="4" t="e">
        <f t="shared" si="12"/>
        <v>#DIV/0!</v>
      </c>
      <c r="M50" s="5"/>
      <c r="N50" s="15"/>
      <c r="O50" s="6"/>
      <c r="P50" s="6"/>
      <c r="Q50" s="14"/>
    </row>
    <row r="51" spans="1:17">
      <c r="A51" s="13">
        <f t="shared" si="13"/>
        <v>46159</v>
      </c>
      <c r="B51" s="87"/>
      <c r="C51" s="126"/>
      <c r="D51" s="120"/>
      <c r="E51" s="118"/>
      <c r="F51" s="121" t="e">
        <f t="shared" si="10"/>
        <v>#DIV/0!</v>
      </c>
      <c r="G51" s="2">
        <f t="shared" si="8"/>
        <v>0</v>
      </c>
      <c r="H51" s="2">
        <f t="shared" si="9"/>
        <v>0</v>
      </c>
      <c r="I51" s="124"/>
      <c r="J51" s="118"/>
      <c r="K51" s="121" t="e">
        <f t="shared" si="11"/>
        <v>#DIV/0!</v>
      </c>
      <c r="L51" s="4" t="e">
        <f t="shared" si="12"/>
        <v>#DIV/0!</v>
      </c>
      <c r="M51" s="5"/>
      <c r="N51" s="15"/>
      <c r="O51" s="6"/>
      <c r="P51" s="6"/>
      <c r="Q51" s="6"/>
    </row>
    <row r="52" spans="1:17">
      <c r="A52" s="13">
        <f t="shared" si="13"/>
        <v>46160</v>
      </c>
      <c r="B52" s="87"/>
      <c r="C52" s="126"/>
      <c r="D52" s="120"/>
      <c r="E52" s="118"/>
      <c r="F52" s="121" t="e">
        <f t="shared" si="10"/>
        <v>#DIV/0!</v>
      </c>
      <c r="G52" s="2">
        <f t="shared" si="8"/>
        <v>0</v>
      </c>
      <c r="H52" s="2">
        <f t="shared" si="9"/>
        <v>0</v>
      </c>
      <c r="I52" s="124"/>
      <c r="J52" s="118"/>
      <c r="K52" s="121" t="e">
        <f t="shared" si="11"/>
        <v>#DIV/0!</v>
      </c>
      <c r="L52" s="4" t="e">
        <f t="shared" si="12"/>
        <v>#DIV/0!</v>
      </c>
      <c r="M52" s="5"/>
      <c r="N52" s="15"/>
      <c r="O52" s="6"/>
      <c r="P52" s="6"/>
      <c r="Q52" s="14"/>
    </row>
    <row r="53" spans="1:17">
      <c r="A53" s="13">
        <f t="shared" si="13"/>
        <v>46161</v>
      </c>
      <c r="B53" s="87"/>
      <c r="C53" s="126"/>
      <c r="D53" s="120"/>
      <c r="E53" s="118"/>
      <c r="F53" s="121" t="e">
        <f t="shared" si="10"/>
        <v>#DIV/0!</v>
      </c>
      <c r="G53" s="2">
        <f t="shared" si="8"/>
        <v>0</v>
      </c>
      <c r="H53" s="2">
        <f>E53/($D$2*24)</f>
        <v>0</v>
      </c>
      <c r="I53" s="124"/>
      <c r="J53" s="118"/>
      <c r="K53" s="121" t="e">
        <f t="shared" si="11"/>
        <v>#DIV/0!</v>
      </c>
      <c r="L53" s="4" t="e">
        <f t="shared" si="12"/>
        <v>#DIV/0!</v>
      </c>
      <c r="M53" s="5"/>
      <c r="N53" s="15"/>
      <c r="O53" s="6"/>
      <c r="P53" s="6"/>
      <c r="Q53" s="14"/>
    </row>
    <row r="54" spans="1:17">
      <c r="A54" s="13">
        <f t="shared" si="13"/>
        <v>46162</v>
      </c>
      <c r="B54" s="87"/>
      <c r="C54" s="126"/>
      <c r="D54" s="120"/>
      <c r="E54" s="118"/>
      <c r="F54" s="121" t="e">
        <f t="shared" si="10"/>
        <v>#DIV/0!</v>
      </c>
      <c r="G54" s="2">
        <f t="shared" si="8"/>
        <v>0</v>
      </c>
      <c r="H54" s="2">
        <f>E54/($D$2*24)</f>
        <v>0</v>
      </c>
      <c r="I54" s="124"/>
      <c r="J54" s="118"/>
      <c r="K54" s="121" t="e">
        <f t="shared" si="11"/>
        <v>#DIV/0!</v>
      </c>
      <c r="L54" s="4" t="e">
        <f t="shared" si="12"/>
        <v>#DIV/0!</v>
      </c>
      <c r="M54" s="5"/>
      <c r="N54" s="15"/>
      <c r="O54" s="6"/>
      <c r="P54" s="6"/>
      <c r="Q54" s="14"/>
    </row>
    <row r="55" spans="1:17">
      <c r="A55" s="13">
        <f t="shared" si="13"/>
        <v>46163</v>
      </c>
      <c r="B55" s="87"/>
      <c r="C55" s="126"/>
      <c r="D55" s="120"/>
      <c r="E55" s="118"/>
      <c r="F55" s="121" t="e">
        <f>(IF(ISBLANK(E55),0,E55-C55))/C55</f>
        <v>#DIV/0!</v>
      </c>
      <c r="G55" s="2">
        <f t="shared" ref="G55:G64" si="14">D55/($D$2*24)</f>
        <v>0</v>
      </c>
      <c r="H55" s="2">
        <f t="shared" ref="H55:H64" si="15">E55/($D$2*24)</f>
        <v>0</v>
      </c>
      <c r="I55" s="124"/>
      <c r="J55" s="118"/>
      <c r="K55" s="121" t="e">
        <f>(IF(ISBLANK(J55),0,J55-I55))/I55</f>
        <v>#DIV/0!</v>
      </c>
      <c r="L55" s="4" t="e">
        <f t="shared" si="12"/>
        <v>#DIV/0!</v>
      </c>
      <c r="M55" s="5"/>
      <c r="N55" s="15"/>
      <c r="O55" s="6"/>
      <c r="P55" s="6"/>
      <c r="Q55" s="6"/>
    </row>
    <row r="56" spans="1:17">
      <c r="A56" s="13">
        <f t="shared" si="13"/>
        <v>46164</v>
      </c>
      <c r="B56" s="87"/>
      <c r="C56" s="126"/>
      <c r="D56" s="120"/>
      <c r="E56" s="118"/>
      <c r="F56" s="121" t="e">
        <f t="shared" ref="F56:F64" si="16">(IF(ISBLANK(E56),0,E56-C56))/C56</f>
        <v>#DIV/0!</v>
      </c>
      <c r="G56" s="2">
        <f t="shared" si="14"/>
        <v>0</v>
      </c>
      <c r="H56" s="2">
        <f t="shared" si="15"/>
        <v>0</v>
      </c>
      <c r="I56" s="124"/>
      <c r="J56" s="118"/>
      <c r="K56" s="121" t="e">
        <f t="shared" ref="K56:K64" si="17">(IF(ISBLANK(J56),0,J56-I56))/I56</f>
        <v>#DIV/0!</v>
      </c>
      <c r="L56" s="4" t="e">
        <f t="shared" si="12"/>
        <v>#DIV/0!</v>
      </c>
      <c r="M56" s="5"/>
      <c r="N56" s="15"/>
      <c r="O56" s="6"/>
      <c r="P56" s="6"/>
      <c r="Q56" s="6"/>
    </row>
    <row r="57" spans="1:17">
      <c r="A57" s="13">
        <f t="shared" si="13"/>
        <v>46165</v>
      </c>
      <c r="B57" s="87"/>
      <c r="C57" s="126"/>
      <c r="D57" s="120"/>
      <c r="E57" s="118"/>
      <c r="F57" s="121" t="e">
        <f t="shared" si="16"/>
        <v>#DIV/0!</v>
      </c>
      <c r="G57" s="2">
        <f t="shared" si="14"/>
        <v>0</v>
      </c>
      <c r="H57" s="2">
        <f t="shared" si="15"/>
        <v>0</v>
      </c>
      <c r="I57" s="124"/>
      <c r="J57" s="118"/>
      <c r="K57" s="121" t="e">
        <f t="shared" si="17"/>
        <v>#DIV/0!</v>
      </c>
      <c r="L57" s="4" t="e">
        <f t="shared" si="12"/>
        <v>#DIV/0!</v>
      </c>
      <c r="M57" s="5"/>
      <c r="N57" s="15"/>
      <c r="O57" s="6"/>
      <c r="P57" s="6"/>
      <c r="Q57" s="6"/>
    </row>
    <row r="58" spans="1:17">
      <c r="A58" s="13">
        <f t="shared" si="13"/>
        <v>46166</v>
      </c>
      <c r="B58" s="87"/>
      <c r="C58" s="126"/>
      <c r="D58" s="120"/>
      <c r="E58" s="118"/>
      <c r="F58" s="121" t="e">
        <f t="shared" si="16"/>
        <v>#DIV/0!</v>
      </c>
      <c r="G58" s="2">
        <f t="shared" si="14"/>
        <v>0</v>
      </c>
      <c r="H58" s="2">
        <f t="shared" si="15"/>
        <v>0</v>
      </c>
      <c r="I58" s="124"/>
      <c r="J58" s="118"/>
      <c r="K58" s="121" t="e">
        <f t="shared" si="17"/>
        <v>#DIV/0!</v>
      </c>
      <c r="L58" s="4" t="e">
        <f t="shared" si="12"/>
        <v>#DIV/0!</v>
      </c>
      <c r="M58" s="5"/>
      <c r="N58" s="15"/>
      <c r="O58" s="6"/>
      <c r="P58" s="6"/>
      <c r="Q58" s="6"/>
    </row>
    <row r="59" spans="1:17">
      <c r="A59" s="13">
        <f t="shared" si="13"/>
        <v>46167</v>
      </c>
      <c r="B59" s="87"/>
      <c r="C59" s="126"/>
      <c r="D59" s="6"/>
      <c r="E59" s="123"/>
      <c r="F59" s="20" t="e">
        <f t="shared" si="16"/>
        <v>#DIV/0!</v>
      </c>
      <c r="G59" s="2">
        <f t="shared" si="14"/>
        <v>0</v>
      </c>
      <c r="H59" s="2">
        <f t="shared" si="15"/>
        <v>0</v>
      </c>
      <c r="I59" s="3"/>
      <c r="J59" s="123"/>
      <c r="K59" s="20" t="e">
        <f t="shared" si="17"/>
        <v>#DIV/0!</v>
      </c>
      <c r="L59" s="4" t="e">
        <f t="shared" si="12"/>
        <v>#DIV/0!</v>
      </c>
      <c r="M59" s="5"/>
      <c r="N59" s="15"/>
      <c r="O59" s="6"/>
      <c r="P59" s="6"/>
      <c r="Q59" s="6"/>
    </row>
    <row r="60" spans="1:17">
      <c r="A60" s="13">
        <f t="shared" si="13"/>
        <v>46168</v>
      </c>
      <c r="B60" s="87"/>
      <c r="C60" s="126"/>
      <c r="D60" s="6"/>
      <c r="E60" s="6"/>
      <c r="F60" s="20" t="e">
        <f t="shared" si="16"/>
        <v>#DIV/0!</v>
      </c>
      <c r="G60" s="2">
        <f t="shared" si="14"/>
        <v>0</v>
      </c>
      <c r="H60" s="2">
        <f t="shared" si="15"/>
        <v>0</v>
      </c>
      <c r="I60" s="3"/>
      <c r="J60" s="6"/>
      <c r="K60" s="20" t="e">
        <f t="shared" si="17"/>
        <v>#DIV/0!</v>
      </c>
      <c r="L60" s="4" t="e">
        <f t="shared" si="12"/>
        <v>#DIV/0!</v>
      </c>
      <c r="M60" s="5"/>
      <c r="N60" s="15"/>
      <c r="O60" s="6"/>
      <c r="P60" s="6"/>
      <c r="Q60" s="6"/>
    </row>
    <row r="61" spans="1:17">
      <c r="A61" s="13">
        <f t="shared" si="13"/>
        <v>46169</v>
      </c>
      <c r="B61" s="87"/>
      <c r="C61" s="126"/>
      <c r="D61" s="288"/>
      <c r="E61" s="288"/>
      <c r="F61" s="20" t="e">
        <f t="shared" si="16"/>
        <v>#DIV/0!</v>
      </c>
      <c r="G61" s="2">
        <f t="shared" si="14"/>
        <v>0</v>
      </c>
      <c r="H61" s="2">
        <f t="shared" si="15"/>
        <v>0</v>
      </c>
      <c r="I61" s="3"/>
      <c r="J61" s="6"/>
      <c r="K61" s="20" t="e">
        <f t="shared" si="17"/>
        <v>#DIV/0!</v>
      </c>
      <c r="L61" s="4" t="e">
        <f t="shared" si="12"/>
        <v>#DIV/0!</v>
      </c>
      <c r="M61" s="5"/>
      <c r="N61" s="15"/>
      <c r="O61" s="6"/>
      <c r="P61" s="6"/>
      <c r="Q61" s="6"/>
    </row>
    <row r="62" spans="1:17">
      <c r="A62" s="13">
        <f t="shared" si="13"/>
        <v>46170</v>
      </c>
      <c r="B62" s="87"/>
      <c r="C62" s="346"/>
      <c r="D62" s="118"/>
      <c r="E62" s="118"/>
      <c r="F62" s="121" t="e">
        <f t="shared" si="16"/>
        <v>#DIV/0!</v>
      </c>
      <c r="G62" s="2">
        <f t="shared" si="14"/>
        <v>0</v>
      </c>
      <c r="H62" s="2">
        <f t="shared" si="15"/>
        <v>0</v>
      </c>
      <c r="I62" s="3"/>
      <c r="J62" s="347"/>
      <c r="K62" s="20" t="e">
        <f t="shared" si="17"/>
        <v>#DIV/0!</v>
      </c>
      <c r="L62" s="4" t="e">
        <f t="shared" si="12"/>
        <v>#DIV/0!</v>
      </c>
      <c r="M62" s="5"/>
      <c r="N62" s="15"/>
      <c r="O62" s="6"/>
      <c r="P62" s="6"/>
      <c r="Q62" s="6"/>
    </row>
    <row r="63" spans="1:17">
      <c r="A63" s="13">
        <f t="shared" si="13"/>
        <v>46171</v>
      </c>
      <c r="B63" s="87"/>
      <c r="C63" s="346"/>
      <c r="D63" s="118"/>
      <c r="E63" s="118"/>
      <c r="F63" s="121" t="e">
        <f t="shared" si="16"/>
        <v>#DIV/0!</v>
      </c>
      <c r="G63" s="2">
        <f t="shared" si="14"/>
        <v>0</v>
      </c>
      <c r="H63" s="2">
        <f t="shared" si="15"/>
        <v>0</v>
      </c>
      <c r="I63" s="3"/>
      <c r="J63" s="348"/>
      <c r="K63" s="20" t="e">
        <f t="shared" si="17"/>
        <v>#DIV/0!</v>
      </c>
      <c r="L63" s="4" t="e">
        <f t="shared" si="12"/>
        <v>#DIV/0!</v>
      </c>
      <c r="M63" s="5"/>
      <c r="N63" s="15"/>
      <c r="O63" s="6"/>
      <c r="P63" s="6"/>
      <c r="Q63" s="6"/>
    </row>
    <row r="64" spans="1:17">
      <c r="A64" s="13">
        <f t="shared" si="13"/>
        <v>46172</v>
      </c>
      <c r="B64" s="87"/>
      <c r="C64" s="346"/>
      <c r="D64" s="118"/>
      <c r="E64" s="118"/>
      <c r="F64" s="121" t="e">
        <f t="shared" si="16"/>
        <v>#DIV/0!</v>
      </c>
      <c r="G64" s="2">
        <f t="shared" si="14"/>
        <v>0</v>
      </c>
      <c r="H64" s="2">
        <f t="shared" si="15"/>
        <v>0</v>
      </c>
      <c r="I64" s="3"/>
      <c r="J64" s="348"/>
      <c r="K64" s="20" t="e">
        <f t="shared" si="17"/>
        <v>#DIV/0!</v>
      </c>
      <c r="L64" s="4" t="e">
        <f t="shared" si="12"/>
        <v>#DIV/0!</v>
      </c>
      <c r="M64" s="5"/>
      <c r="N64" s="15"/>
      <c r="O64" s="6"/>
      <c r="P64" s="6"/>
      <c r="Q64" s="6"/>
    </row>
    <row r="65" spans="1:17">
      <c r="A65" s="13">
        <f t="shared" si="13"/>
        <v>46173</v>
      </c>
      <c r="B65" s="87"/>
      <c r="C65" s="346"/>
      <c r="D65" s="118"/>
      <c r="E65" s="118"/>
      <c r="F65" s="121" t="e">
        <f t="shared" ref="F65" si="18">(IF(ISBLANK(E65),0,E65-C65))/C65</f>
        <v>#DIV/0!</v>
      </c>
      <c r="G65" s="2">
        <f t="shared" ref="G65" si="19">D65/($D$2*24)</f>
        <v>0</v>
      </c>
      <c r="H65" s="2">
        <f t="shared" ref="H65" si="20">E65/($D$2*24)</f>
        <v>0</v>
      </c>
      <c r="I65" s="3"/>
      <c r="J65" s="348"/>
      <c r="K65" s="20" t="e">
        <f t="shared" ref="K65" si="21">(IF(ISBLANK(J65),0,J65-I65))/I65</f>
        <v>#DIV/0!</v>
      </c>
      <c r="L65" s="4" t="e">
        <f t="shared" si="12"/>
        <v>#DIV/0!</v>
      </c>
      <c r="M65" s="5"/>
      <c r="N65" s="15"/>
      <c r="O65" s="6"/>
      <c r="P65" s="6"/>
      <c r="Q65" s="6"/>
    </row>
    <row r="66" spans="1:17">
      <c r="A66" s="349">
        <v>46143</v>
      </c>
      <c r="B66" s="89">
        <f>SUM(B35:B65)</f>
        <v>158440</v>
      </c>
      <c r="C66" s="89">
        <f>SUM(C35:C65)</f>
        <v>155140</v>
      </c>
      <c r="D66" s="256">
        <f>SUM(D35:D65)</f>
        <v>160237</v>
      </c>
      <c r="E66" s="256">
        <f>SUM(E35:E65)</f>
        <v>140420</v>
      </c>
      <c r="F66" s="92">
        <f>(IF(ISBLANK(E66),0,E66-C66))/C66</f>
        <v>-9.4882042026556659E-2</v>
      </c>
      <c r="G66" s="90">
        <f>AVERAGE(G35:G65)</f>
        <v>3.0688559679104728E-2</v>
      </c>
      <c r="H66" s="90">
        <f>AVERAGE(H35:H65)</f>
        <v>3.7652502067824646E-2</v>
      </c>
      <c r="I66" s="89">
        <f>SUM(I35:I65)</f>
        <v>29.8</v>
      </c>
      <c r="J66" s="89">
        <f>SUM(J35:J65)</f>
        <v>27.04</v>
      </c>
      <c r="K66" s="92">
        <f>(IF(ISBLANK(J66),0,J66-I66))/I66</f>
        <v>-9.2617449664429585E-2</v>
      </c>
      <c r="L66" s="93">
        <f t="shared" si="12"/>
        <v>0.84438936395169817</v>
      </c>
      <c r="M66" s="90">
        <f>AVERAGE(M35:M65)</f>
        <v>1</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8237-B716-43A5-B273-361296B3E139}">
  <dimension ref="A1:Q66"/>
  <sheetViews>
    <sheetView workbookViewId="0">
      <pane xSplit="1" ySplit="3" topLeftCell="M34" activePane="bottomRight" state="frozen"/>
      <selection pane="topRight"/>
      <selection pane="bottomLeft"/>
      <selection pane="bottomRight" activeCell="Q31" sqref="Q31"/>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6.81640625" bestFit="1" customWidth="1"/>
    <col min="9" max="10" width="9.7265625" bestFit="1" customWidth="1"/>
    <col min="11" max="11" width="9" bestFit="1" customWidth="1"/>
    <col min="12" max="12" width="7" bestFit="1" customWidth="1"/>
    <col min="13" max="13" width="13.453125" customWidth="1"/>
    <col min="14" max="14" width="13" bestFit="1" customWidth="1"/>
    <col min="15" max="16" width="9.7265625" bestFit="1" customWidth="1"/>
    <col min="17" max="17" width="49.7265625" bestFit="1" customWidth="1"/>
    <col min="18" max="18" width="10" customWidth="1"/>
  </cols>
  <sheetData>
    <row r="1" spans="1:17" ht="18.5">
      <c r="A1" s="405" t="s">
        <v>350</v>
      </c>
      <c r="B1" s="406"/>
      <c r="C1" s="406"/>
      <c r="D1" s="406"/>
      <c r="E1" s="406"/>
      <c r="F1" s="406"/>
      <c r="G1" s="406"/>
      <c r="H1" s="406"/>
      <c r="I1" s="406"/>
      <c r="J1" s="406"/>
      <c r="K1" s="406"/>
      <c r="L1" s="406"/>
      <c r="M1" s="406"/>
      <c r="N1" s="406"/>
      <c r="O1" s="406"/>
      <c r="P1" s="406"/>
      <c r="Q1" s="406"/>
    </row>
    <row r="2" spans="1:17" ht="18.5">
      <c r="A2" s="7">
        <v>46113</v>
      </c>
      <c r="B2" s="407" t="s">
        <v>172</v>
      </c>
      <c r="C2" s="408"/>
      <c r="D2" s="8">
        <v>32065</v>
      </c>
      <c r="E2" s="407" t="s">
        <v>173</v>
      </c>
      <c r="F2" s="407"/>
      <c r="G2" s="408"/>
      <c r="H2" s="8">
        <v>24200</v>
      </c>
      <c r="I2" s="409" t="s">
        <v>174</v>
      </c>
      <c r="J2" s="410"/>
      <c r="K2" s="9" t="s">
        <v>351</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195167</v>
      </c>
      <c r="C4" s="1">
        <v>189250</v>
      </c>
      <c r="D4" s="200">
        <v>156857</v>
      </c>
      <c r="E4" s="200">
        <v>153300</v>
      </c>
      <c r="F4" s="20">
        <f>(IF(ISBLANK(E4),0,E4-C4))/C4</f>
        <v>-0.18996036988110965</v>
      </c>
      <c r="G4" s="2">
        <f t="shared" ref="G4:G23" si="0">D4/($D$2*24)</f>
        <v>0.2038268621030199</v>
      </c>
      <c r="H4" s="2">
        <f t="shared" ref="H4:H21" si="1">D4/($H$2*24)</f>
        <v>0.27007059228650138</v>
      </c>
      <c r="I4" s="3">
        <v>7.37</v>
      </c>
      <c r="J4" s="201">
        <v>5.86</v>
      </c>
      <c r="K4" s="20">
        <f>(IF(ISBLANK(J4),0,J4-I4))/I4</f>
        <v>-0.20488466757123469</v>
      </c>
      <c r="L4" s="4">
        <f t="shared" ref="L4:L24" si="2">D4/($D$2*J4)</f>
        <v>0.83478578335707798</v>
      </c>
      <c r="M4" s="59">
        <v>0.99929999999999997</v>
      </c>
      <c r="N4" s="58">
        <v>1</v>
      </c>
      <c r="O4" s="6">
        <v>12622.171469999999</v>
      </c>
      <c r="P4" s="6">
        <v>1401.664</v>
      </c>
      <c r="Q4" s="6" t="s">
        <v>352</v>
      </c>
    </row>
    <row r="5" spans="1:17">
      <c r="A5" s="13">
        <f>A4+1</f>
        <v>46114</v>
      </c>
      <c r="B5" s="1">
        <v>195167</v>
      </c>
      <c r="C5" s="1">
        <v>189250</v>
      </c>
      <c r="D5" s="200">
        <v>146157</v>
      </c>
      <c r="E5" s="200">
        <v>142050</v>
      </c>
      <c r="F5" s="20">
        <f t="shared" ref="F5:F33" si="3">(IF(ISBLANK(E5),0,E5-C5))/C5</f>
        <v>-0.24940554821664465</v>
      </c>
      <c r="G5" s="2">
        <f t="shared" si="0"/>
        <v>0.18992281303602057</v>
      </c>
      <c r="H5" s="2">
        <f t="shared" si="1"/>
        <v>0.25164772727272727</v>
      </c>
      <c r="I5" s="3">
        <v>7.37</v>
      </c>
      <c r="J5" s="201">
        <v>5.48</v>
      </c>
      <c r="K5" s="20">
        <f t="shared" ref="K5:K34" si="4">(IF(ISBLANK(J5),0,J5-I5))/I5</f>
        <v>-0.25644504748982355</v>
      </c>
      <c r="L5" s="4">
        <f t="shared" si="2"/>
        <v>0.8317787432234478</v>
      </c>
      <c r="M5" s="82">
        <v>1</v>
      </c>
      <c r="N5" s="58">
        <v>1</v>
      </c>
      <c r="O5" s="6">
        <v>10233.392690000001</v>
      </c>
      <c r="P5" s="6"/>
      <c r="Q5" s="6" t="s">
        <v>353</v>
      </c>
    </row>
    <row r="6" spans="1:17">
      <c r="A6" s="13">
        <f t="shared" ref="A6:A33" si="5">A5+1</f>
        <v>46115</v>
      </c>
      <c r="B6" s="1">
        <v>195167</v>
      </c>
      <c r="C6" s="1">
        <v>189250</v>
      </c>
      <c r="D6" s="200">
        <v>115843</v>
      </c>
      <c r="E6" s="200">
        <v>113250</v>
      </c>
      <c r="F6" s="20">
        <f t="shared" si="3"/>
        <v>-0.40158520475561427</v>
      </c>
      <c r="G6" s="2">
        <f t="shared" si="0"/>
        <v>0.15053147252975727</v>
      </c>
      <c r="H6" s="2">
        <f t="shared" si="1"/>
        <v>0.19945420110192838</v>
      </c>
      <c r="I6" s="3">
        <v>7.37</v>
      </c>
      <c r="J6" s="201">
        <v>4.07</v>
      </c>
      <c r="K6" s="20">
        <f t="shared" si="4"/>
        <v>-0.44776119402985071</v>
      </c>
      <c r="L6" s="4">
        <f t="shared" si="2"/>
        <v>0.88765487486834749</v>
      </c>
      <c r="M6" s="82">
        <v>1</v>
      </c>
      <c r="N6" s="58">
        <v>1</v>
      </c>
      <c r="O6" s="6"/>
      <c r="P6" s="6" t="s">
        <v>175</v>
      </c>
      <c r="Q6" s="6"/>
    </row>
    <row r="7" spans="1:17">
      <c r="A7" s="13">
        <f t="shared" si="5"/>
        <v>46116</v>
      </c>
      <c r="B7" s="1">
        <v>195167</v>
      </c>
      <c r="C7" s="1">
        <v>189250</v>
      </c>
      <c r="D7" s="200">
        <v>190967</v>
      </c>
      <c r="E7" s="200">
        <v>185100</v>
      </c>
      <c r="F7" s="20">
        <f t="shared" si="3"/>
        <v>-2.1928665785997357E-2</v>
      </c>
      <c r="G7" s="2">
        <f t="shared" si="0"/>
        <v>0.24815089141847288</v>
      </c>
      <c r="H7" s="2">
        <f t="shared" si="1"/>
        <v>0.32879993112947659</v>
      </c>
      <c r="I7" s="3">
        <v>7.37</v>
      </c>
      <c r="J7" s="201">
        <v>7.16</v>
      </c>
      <c r="K7" s="20">
        <f t="shared" si="4"/>
        <v>-2.8493894165535952E-2</v>
      </c>
      <c r="L7" s="4">
        <f t="shared" si="2"/>
        <v>0.83179069749208789</v>
      </c>
      <c r="M7" s="82">
        <v>1</v>
      </c>
      <c r="N7" s="58">
        <v>1</v>
      </c>
      <c r="O7" s="6"/>
      <c r="P7" s="6" t="s">
        <v>175</v>
      </c>
      <c r="Q7" s="14"/>
    </row>
    <row r="8" spans="1:17">
      <c r="A8" s="13">
        <f t="shared" si="5"/>
        <v>46117</v>
      </c>
      <c r="B8" s="1">
        <v>195167</v>
      </c>
      <c r="C8" s="1">
        <v>189250</v>
      </c>
      <c r="D8" s="200">
        <v>155329</v>
      </c>
      <c r="E8" s="200">
        <v>151050</v>
      </c>
      <c r="F8" s="20">
        <f t="shared" si="3"/>
        <v>-0.20184940554821665</v>
      </c>
      <c r="G8" s="2">
        <f t="shared" si="0"/>
        <v>0.20184131191849888</v>
      </c>
      <c r="H8" s="2">
        <f t="shared" si="1"/>
        <v>0.26743973829201101</v>
      </c>
      <c r="I8" s="3">
        <v>7.37</v>
      </c>
      <c r="J8" s="201">
        <v>6.67</v>
      </c>
      <c r="K8" s="20">
        <f t="shared" si="4"/>
        <v>-9.4979647218453214E-2</v>
      </c>
      <c r="L8" s="4">
        <f t="shared" si="2"/>
        <v>0.72626559011154024</v>
      </c>
      <c r="M8" s="82">
        <v>1</v>
      </c>
      <c r="N8" s="58">
        <v>1</v>
      </c>
      <c r="O8" s="6">
        <v>28396</v>
      </c>
      <c r="P8" s="6" t="s">
        <v>175</v>
      </c>
      <c r="Q8" s="56" t="s">
        <v>354</v>
      </c>
    </row>
    <row r="9" spans="1:17">
      <c r="A9" s="13">
        <f t="shared" si="5"/>
        <v>46118</v>
      </c>
      <c r="B9" s="1">
        <v>195167</v>
      </c>
      <c r="C9" s="1">
        <v>189250</v>
      </c>
      <c r="D9" s="200">
        <v>166366</v>
      </c>
      <c r="E9" s="200">
        <v>161550</v>
      </c>
      <c r="F9" s="20">
        <f t="shared" si="3"/>
        <v>-0.14636723910171731</v>
      </c>
      <c r="G9" s="2">
        <f t="shared" si="0"/>
        <v>0.21618327355891678</v>
      </c>
      <c r="H9" s="2">
        <f t="shared" si="1"/>
        <v>0.28644283746556476</v>
      </c>
      <c r="I9" s="3">
        <v>7.37</v>
      </c>
      <c r="J9" s="201">
        <v>7.42</v>
      </c>
      <c r="K9" s="20">
        <f t="shared" si="4"/>
        <v>6.7842605156037752E-3</v>
      </c>
      <c r="L9" s="4">
        <f t="shared" si="2"/>
        <v>0.69924508967843702</v>
      </c>
      <c r="M9" s="82">
        <v>1</v>
      </c>
      <c r="N9" s="58">
        <v>1</v>
      </c>
      <c r="O9" s="6">
        <v>59357</v>
      </c>
      <c r="P9" s="6"/>
      <c r="Q9" s="56" t="s">
        <v>355</v>
      </c>
    </row>
    <row r="10" spans="1:17">
      <c r="A10" s="13">
        <f t="shared" si="5"/>
        <v>46119</v>
      </c>
      <c r="B10" s="1">
        <v>195167</v>
      </c>
      <c r="C10" s="1">
        <v>189250</v>
      </c>
      <c r="D10" s="200">
        <v>107812</v>
      </c>
      <c r="E10" s="200">
        <v>105300</v>
      </c>
      <c r="F10" s="20">
        <f t="shared" si="3"/>
        <v>-0.44359313077939233</v>
      </c>
      <c r="G10" s="2">
        <f t="shared" si="0"/>
        <v>0.14009563906647954</v>
      </c>
      <c r="H10" s="2">
        <f t="shared" si="1"/>
        <v>0.18562672176308539</v>
      </c>
      <c r="I10" s="3">
        <v>7.37</v>
      </c>
      <c r="J10" s="201">
        <v>6.04</v>
      </c>
      <c r="K10" s="20">
        <f t="shared" si="4"/>
        <v>-0.18046132971506107</v>
      </c>
      <c r="L10" s="4">
        <f t="shared" si="2"/>
        <v>0.55667141350919025</v>
      </c>
      <c r="M10" s="82">
        <v>1</v>
      </c>
      <c r="N10" s="59">
        <v>1</v>
      </c>
      <c r="O10" s="6">
        <v>71613</v>
      </c>
      <c r="P10" s="6"/>
      <c r="Q10" s="208" t="s">
        <v>356</v>
      </c>
    </row>
    <row r="11" spans="1:17">
      <c r="A11" s="13">
        <f t="shared" si="5"/>
        <v>46120</v>
      </c>
      <c r="B11" s="1">
        <v>195167</v>
      </c>
      <c r="C11" s="1">
        <v>189250</v>
      </c>
      <c r="D11" s="200">
        <v>114308</v>
      </c>
      <c r="E11" s="200">
        <v>110850</v>
      </c>
      <c r="F11" s="20">
        <f t="shared" si="3"/>
        <v>-0.41426684280052839</v>
      </c>
      <c r="G11" s="2">
        <f t="shared" si="0"/>
        <v>0.14853682623836997</v>
      </c>
      <c r="H11" s="2">
        <f t="shared" si="1"/>
        <v>0.19681129476584022</v>
      </c>
      <c r="I11" s="3">
        <v>7.37</v>
      </c>
      <c r="J11" s="201">
        <v>6.64</v>
      </c>
      <c r="K11" s="20">
        <f t="shared" si="4"/>
        <v>-9.9050203527815531E-2</v>
      </c>
      <c r="L11" s="4">
        <f t="shared" si="2"/>
        <v>0.53688009483748189</v>
      </c>
      <c r="M11" s="82">
        <v>1</v>
      </c>
      <c r="N11" s="59">
        <v>1</v>
      </c>
      <c r="O11" s="6">
        <v>74828</v>
      </c>
      <c r="P11" s="6"/>
      <c r="Q11" s="56" t="s">
        <v>356</v>
      </c>
    </row>
    <row r="12" spans="1:17">
      <c r="A12" s="13">
        <f t="shared" si="5"/>
        <v>46121</v>
      </c>
      <c r="B12" s="1">
        <v>195167</v>
      </c>
      <c r="C12" s="1">
        <v>189250</v>
      </c>
      <c r="D12" s="200">
        <v>169344</v>
      </c>
      <c r="E12" s="200">
        <v>164250</v>
      </c>
      <c r="F12" s="20">
        <f t="shared" si="3"/>
        <v>-0.13210039630118892</v>
      </c>
      <c r="G12" s="2">
        <f t="shared" si="0"/>
        <v>0.22005301730859192</v>
      </c>
      <c r="H12" s="2">
        <f t="shared" si="1"/>
        <v>0.29157024793388431</v>
      </c>
      <c r="I12" s="3">
        <v>7.37</v>
      </c>
      <c r="J12" s="201">
        <v>7.1</v>
      </c>
      <c r="K12" s="20">
        <f t="shared" si="4"/>
        <v>-3.6635006784260578E-2</v>
      </c>
      <c r="L12" s="4">
        <f t="shared" si="2"/>
        <v>0.74384118526847975</v>
      </c>
      <c r="M12" s="82">
        <v>1</v>
      </c>
      <c r="N12" s="58">
        <v>1</v>
      </c>
      <c r="O12" s="6">
        <v>23263.505440000001</v>
      </c>
      <c r="P12" s="6"/>
      <c r="Q12" s="6" t="s">
        <v>355</v>
      </c>
    </row>
    <row r="13" spans="1:17">
      <c r="A13" s="13">
        <f t="shared" si="5"/>
        <v>46122</v>
      </c>
      <c r="B13" s="1">
        <v>195167</v>
      </c>
      <c r="C13" s="1">
        <v>189250</v>
      </c>
      <c r="D13" s="200">
        <v>176994</v>
      </c>
      <c r="E13" s="200">
        <v>171300</v>
      </c>
      <c r="F13" s="20">
        <f t="shared" si="3"/>
        <v>-9.4848084544253627E-2</v>
      </c>
      <c r="G13" s="2">
        <f t="shared" si="0"/>
        <v>0.22999376266957741</v>
      </c>
      <c r="H13" s="2">
        <f t="shared" si="1"/>
        <v>0.30474173553719008</v>
      </c>
      <c r="I13" s="3">
        <v>7.37</v>
      </c>
      <c r="J13" s="201">
        <v>7.1</v>
      </c>
      <c r="K13" s="20">
        <f t="shared" si="4"/>
        <v>-3.6635006784260578E-2</v>
      </c>
      <c r="L13" s="4">
        <f t="shared" si="2"/>
        <v>0.77744370479857161</v>
      </c>
      <c r="M13" s="82">
        <v>1</v>
      </c>
      <c r="N13" s="59">
        <v>1</v>
      </c>
      <c r="O13" s="6">
        <v>15389.654930000001</v>
      </c>
      <c r="P13" s="6"/>
      <c r="Q13" s="16" t="s">
        <v>357</v>
      </c>
    </row>
    <row r="14" spans="1:17">
      <c r="A14" s="13">
        <f t="shared" si="5"/>
        <v>46123</v>
      </c>
      <c r="B14" s="1">
        <v>195167</v>
      </c>
      <c r="C14" s="1">
        <v>189250</v>
      </c>
      <c r="D14" s="200">
        <v>187807</v>
      </c>
      <c r="E14" s="200">
        <v>181650</v>
      </c>
      <c r="F14" s="20">
        <f t="shared" si="3"/>
        <v>-4.0158520475561427E-2</v>
      </c>
      <c r="G14" s="2">
        <f t="shared" si="0"/>
        <v>0.24404464889027497</v>
      </c>
      <c r="H14" s="2">
        <f t="shared" si="1"/>
        <v>0.32335915977961432</v>
      </c>
      <c r="I14" s="3">
        <v>7.37</v>
      </c>
      <c r="J14" s="201">
        <v>6.96</v>
      </c>
      <c r="K14" s="20">
        <f t="shared" si="4"/>
        <v>-5.5630936227951171E-2</v>
      </c>
      <c r="L14" s="4">
        <f t="shared" si="2"/>
        <v>0.84153327203543093</v>
      </c>
      <c r="M14" s="82">
        <v>1</v>
      </c>
      <c r="N14" s="59">
        <v>1</v>
      </c>
      <c r="O14" s="6"/>
      <c r="P14" s="6"/>
      <c r="Q14" s="6"/>
    </row>
    <row r="15" spans="1:17">
      <c r="A15" s="13">
        <f t="shared" si="5"/>
        <v>46124</v>
      </c>
      <c r="B15" s="1">
        <v>195167</v>
      </c>
      <c r="C15" s="1">
        <v>189250</v>
      </c>
      <c r="D15" s="200">
        <v>190340</v>
      </c>
      <c r="E15" s="200">
        <v>183900</v>
      </c>
      <c r="F15" s="20">
        <f t="shared" si="3"/>
        <v>-2.8269484808454426E-2</v>
      </c>
      <c r="G15" s="2">
        <f t="shared" si="0"/>
        <v>0.24733614013202349</v>
      </c>
      <c r="H15" s="2">
        <f t="shared" si="1"/>
        <v>0.32772038567493111</v>
      </c>
      <c r="I15" s="3">
        <v>7.37</v>
      </c>
      <c r="J15" s="201">
        <v>7.29</v>
      </c>
      <c r="K15" s="20">
        <f t="shared" si="4"/>
        <v>-1.0854816824966088E-2</v>
      </c>
      <c r="L15" s="4">
        <f t="shared" si="2"/>
        <v>0.81427535845933663</v>
      </c>
      <c r="M15" s="82">
        <v>0.99419999999999997</v>
      </c>
      <c r="N15" s="59">
        <v>1</v>
      </c>
      <c r="O15" s="6"/>
      <c r="P15" s="6">
        <v>1400.8320000000001</v>
      </c>
      <c r="Q15" s="6" t="s">
        <v>358</v>
      </c>
    </row>
    <row r="16" spans="1:17">
      <c r="A16" s="13">
        <f t="shared" si="5"/>
        <v>46125</v>
      </c>
      <c r="B16" s="1">
        <v>195167</v>
      </c>
      <c r="C16" s="1">
        <v>189250</v>
      </c>
      <c r="D16" s="200">
        <v>187301</v>
      </c>
      <c r="E16" s="200">
        <v>180900</v>
      </c>
      <c r="F16" s="20">
        <f t="shared" si="3"/>
        <v>-4.4121532364597094E-2</v>
      </c>
      <c r="G16" s="2">
        <f t="shared" si="0"/>
        <v>0.24338713030822809</v>
      </c>
      <c r="H16" s="2">
        <f t="shared" si="1"/>
        <v>0.32248794765840222</v>
      </c>
      <c r="I16" s="3">
        <v>7.37</v>
      </c>
      <c r="J16" s="201">
        <v>7.17</v>
      </c>
      <c r="K16" s="20">
        <f t="shared" si="4"/>
        <v>-2.7137042062415219E-2</v>
      </c>
      <c r="L16" s="4">
        <f t="shared" si="2"/>
        <v>0.81468495500662119</v>
      </c>
      <c r="M16" s="82">
        <v>0.99970000000000003</v>
      </c>
      <c r="N16" s="59">
        <v>1</v>
      </c>
      <c r="O16" s="6"/>
      <c r="P16" s="6">
        <v>807.32640000000004</v>
      </c>
      <c r="Q16" s="56" t="s">
        <v>359</v>
      </c>
    </row>
    <row r="17" spans="1:17">
      <c r="A17" s="13">
        <f t="shared" si="5"/>
        <v>46126</v>
      </c>
      <c r="B17" s="1">
        <v>195167</v>
      </c>
      <c r="C17" s="1">
        <v>189250</v>
      </c>
      <c r="D17" s="200">
        <v>172556</v>
      </c>
      <c r="E17" s="200">
        <v>167400</v>
      </c>
      <c r="F17" s="20">
        <f t="shared" si="3"/>
        <v>-0.1154557463672391</v>
      </c>
      <c r="G17" s="2">
        <f t="shared" si="0"/>
        <v>0.2242268309163678</v>
      </c>
      <c r="H17" s="2">
        <f t="shared" si="1"/>
        <v>0.2971005509641873</v>
      </c>
      <c r="I17" s="3">
        <v>7.37</v>
      </c>
      <c r="J17" s="201">
        <v>7.17</v>
      </c>
      <c r="K17" s="20">
        <f t="shared" si="4"/>
        <v>-2.7137042062415219E-2</v>
      </c>
      <c r="L17" s="4">
        <f t="shared" si="2"/>
        <v>0.7505500616447458</v>
      </c>
      <c r="M17" s="82">
        <v>1</v>
      </c>
      <c r="N17" s="59">
        <v>1</v>
      </c>
      <c r="O17" s="6">
        <v>17636.505229999999</v>
      </c>
      <c r="P17" s="6"/>
      <c r="Q17" s="209" t="s">
        <v>354</v>
      </c>
    </row>
    <row r="18" spans="1:17">
      <c r="A18" s="13">
        <f t="shared" si="5"/>
        <v>46127</v>
      </c>
      <c r="B18" s="1">
        <v>195167</v>
      </c>
      <c r="C18" s="1">
        <v>189250</v>
      </c>
      <c r="D18" s="200">
        <v>164722</v>
      </c>
      <c r="E18" s="200">
        <v>159600</v>
      </c>
      <c r="F18" s="20">
        <f t="shared" si="3"/>
        <v>-0.15667107001321004</v>
      </c>
      <c r="G18" s="2">
        <f t="shared" si="0"/>
        <v>0.21404698788918344</v>
      </c>
      <c r="H18" s="2">
        <f t="shared" si="1"/>
        <v>0.28361225895316805</v>
      </c>
      <c r="I18" s="3">
        <v>7.37</v>
      </c>
      <c r="J18" s="201">
        <v>6.86</v>
      </c>
      <c r="K18" s="20">
        <f t="shared" si="4"/>
        <v>-6.9199457259158728E-2</v>
      </c>
      <c r="L18" s="4">
        <f t="shared" si="2"/>
        <v>0.74885243576390692</v>
      </c>
      <c r="M18" s="82">
        <v>1</v>
      </c>
      <c r="N18" s="59">
        <v>1</v>
      </c>
      <c r="O18" s="6">
        <v>17090.758529999999</v>
      </c>
      <c r="P18" s="6"/>
      <c r="Q18" s="16" t="s">
        <v>354</v>
      </c>
    </row>
    <row r="19" spans="1:17">
      <c r="A19" s="13">
        <f t="shared" si="5"/>
        <v>46128</v>
      </c>
      <c r="B19" s="1">
        <v>195167</v>
      </c>
      <c r="C19" s="1">
        <v>189250</v>
      </c>
      <c r="D19" s="200">
        <v>171719</v>
      </c>
      <c r="E19" s="200">
        <v>166350</v>
      </c>
      <c r="F19" s="20">
        <f t="shared" si="3"/>
        <v>-0.12100396301188904</v>
      </c>
      <c r="G19" s="2">
        <f t="shared" si="0"/>
        <v>0.22313919642393057</v>
      </c>
      <c r="H19" s="2">
        <f t="shared" si="1"/>
        <v>0.29565943526170801</v>
      </c>
      <c r="I19" s="3">
        <v>7.37</v>
      </c>
      <c r="J19" s="201">
        <v>6.78</v>
      </c>
      <c r="K19" s="20">
        <f t="shared" si="4"/>
        <v>-8.0054274084124813E-2</v>
      </c>
      <c r="L19" s="4">
        <f t="shared" si="2"/>
        <v>0.78987326167763028</v>
      </c>
      <c r="M19" s="82">
        <v>1</v>
      </c>
      <c r="N19" s="59">
        <v>1</v>
      </c>
      <c r="O19" s="6">
        <v>8927.3848529999996</v>
      </c>
      <c r="P19" s="6"/>
      <c r="Q19" s="16" t="s">
        <v>354</v>
      </c>
    </row>
    <row r="20" spans="1:17">
      <c r="A20" s="13">
        <f t="shared" si="5"/>
        <v>46129</v>
      </c>
      <c r="B20" s="1">
        <v>195167</v>
      </c>
      <c r="C20" s="1">
        <v>189250</v>
      </c>
      <c r="D20" s="200">
        <v>173336</v>
      </c>
      <c r="E20" s="200">
        <v>167850</v>
      </c>
      <c r="F20" s="20">
        <f t="shared" si="3"/>
        <v>-0.1130779392338177</v>
      </c>
      <c r="G20" s="2">
        <f t="shared" si="0"/>
        <v>0.22524039711003691</v>
      </c>
      <c r="H20" s="2">
        <f t="shared" si="1"/>
        <v>0.29844352617079889</v>
      </c>
      <c r="I20" s="3">
        <v>7.37</v>
      </c>
      <c r="J20" s="201">
        <v>7.53</v>
      </c>
      <c r="K20" s="20">
        <f t="shared" si="4"/>
        <v>2.1709633649932177E-2</v>
      </c>
      <c r="L20" s="4">
        <f t="shared" si="2"/>
        <v>0.71789768003199006</v>
      </c>
      <c r="M20" s="82">
        <v>1</v>
      </c>
      <c r="N20" s="59">
        <v>1</v>
      </c>
      <c r="O20" s="6">
        <v>23321.683649999999</v>
      </c>
      <c r="P20" s="6"/>
      <c r="Q20" s="6" t="s">
        <v>354</v>
      </c>
    </row>
    <row r="21" spans="1:17">
      <c r="A21" s="13">
        <f t="shared" si="5"/>
        <v>46130</v>
      </c>
      <c r="B21" s="1">
        <v>195167</v>
      </c>
      <c r="C21" s="1">
        <v>189250</v>
      </c>
      <c r="D21" s="200">
        <v>177403</v>
      </c>
      <c r="E21" s="200">
        <v>171750</v>
      </c>
      <c r="F21" s="20">
        <f t="shared" si="3"/>
        <v>-9.2470277410832233E-2</v>
      </c>
      <c r="G21" s="2">
        <f t="shared" si="0"/>
        <v>0.23052523519933468</v>
      </c>
      <c r="H21" s="2">
        <f t="shared" si="1"/>
        <v>0.30544593663911845</v>
      </c>
      <c r="I21" s="3">
        <v>7.37</v>
      </c>
      <c r="J21" s="201">
        <v>7.56</v>
      </c>
      <c r="K21" s="20">
        <f t="shared" si="4"/>
        <v>2.5780189959294368E-2</v>
      </c>
      <c r="L21" s="4">
        <f t="shared" si="2"/>
        <v>0.73182614348995145</v>
      </c>
      <c r="M21" s="82">
        <v>0.99870000000000003</v>
      </c>
      <c r="N21" s="59">
        <v>1</v>
      </c>
      <c r="O21" s="6">
        <v>13939.17504</v>
      </c>
      <c r="P21" s="6">
        <v>325.2166848</v>
      </c>
      <c r="Q21" s="16" t="s">
        <v>360</v>
      </c>
    </row>
    <row r="22" spans="1:17">
      <c r="A22" s="13">
        <f t="shared" si="5"/>
        <v>46131</v>
      </c>
      <c r="B22" s="1">
        <v>195167</v>
      </c>
      <c r="C22" s="1">
        <v>189250</v>
      </c>
      <c r="D22" s="200">
        <v>158308</v>
      </c>
      <c r="E22" s="200">
        <v>153750</v>
      </c>
      <c r="F22" s="20">
        <f t="shared" si="3"/>
        <v>-0.18758256274768825</v>
      </c>
      <c r="G22" s="2">
        <f t="shared" si="0"/>
        <v>0.20571235511201205</v>
      </c>
      <c r="H22" s="2">
        <f>E22/($D$2*24)</f>
        <v>0.19978949009823796</v>
      </c>
      <c r="I22" s="3">
        <v>7.37</v>
      </c>
      <c r="J22" s="201">
        <v>7.35</v>
      </c>
      <c r="K22" s="20">
        <f t="shared" si="4"/>
        <v>-2.7137042062415823E-3</v>
      </c>
      <c r="L22" s="4">
        <f t="shared" si="2"/>
        <v>0.67171381261065166</v>
      </c>
      <c r="M22" s="82">
        <v>1</v>
      </c>
      <c r="N22" s="59">
        <v>1</v>
      </c>
      <c r="O22" s="6">
        <v>35724.160000000003</v>
      </c>
      <c r="P22" s="6"/>
      <c r="Q22" s="16" t="s">
        <v>354</v>
      </c>
    </row>
    <row r="23" spans="1:17">
      <c r="A23" s="13">
        <f t="shared" si="5"/>
        <v>46132</v>
      </c>
      <c r="B23" s="1">
        <v>195167</v>
      </c>
      <c r="C23" s="1">
        <v>189250</v>
      </c>
      <c r="D23" s="200">
        <v>170483</v>
      </c>
      <c r="E23" s="200">
        <v>165600</v>
      </c>
      <c r="F23" s="20">
        <f t="shared" si="3"/>
        <v>-0.1249669749009247</v>
      </c>
      <c r="G23" s="2">
        <f t="shared" si="0"/>
        <v>0.22153308384011644</v>
      </c>
      <c r="H23" s="2">
        <f>E23/($D$2*24)</f>
        <v>0.21518789957898019</v>
      </c>
      <c r="I23" s="3">
        <v>7.37</v>
      </c>
      <c r="J23" s="201">
        <v>7.14</v>
      </c>
      <c r="K23" s="20">
        <f t="shared" si="4"/>
        <v>-3.1207598371777532E-2</v>
      </c>
      <c r="L23" s="4">
        <f t="shared" si="2"/>
        <v>0.74464902131131583</v>
      </c>
      <c r="M23" s="82">
        <v>1</v>
      </c>
      <c r="N23" s="59">
        <v>1</v>
      </c>
      <c r="O23" s="6">
        <v>19019.605329999999</v>
      </c>
      <c r="P23" s="6"/>
      <c r="Q23" s="16" t="s">
        <v>354</v>
      </c>
    </row>
    <row r="24" spans="1:17">
      <c r="A24" s="13">
        <f t="shared" si="5"/>
        <v>46133</v>
      </c>
      <c r="B24" s="1">
        <v>195167</v>
      </c>
      <c r="C24" s="1">
        <v>189250</v>
      </c>
      <c r="D24" s="6">
        <v>170968</v>
      </c>
      <c r="E24" s="6">
        <v>165750</v>
      </c>
      <c r="F24" s="20">
        <f>(IF(ISBLANK(E24),0,E24-C24))/C24</f>
        <v>-0.12417437252311757</v>
      </c>
      <c r="G24" s="2">
        <f t="shared" ref="G24:G26" si="6">D24/($D$2*24)</f>
        <v>0.22216331410156454</v>
      </c>
      <c r="H24" s="2">
        <f t="shared" ref="H24:H26" si="7">E24/($D$2*24)</f>
        <v>0.2153828161546858</v>
      </c>
      <c r="I24" s="3">
        <v>7.37</v>
      </c>
      <c r="J24" s="57">
        <v>7.59</v>
      </c>
      <c r="K24" s="20">
        <f>(IF(ISBLANK(J24),0,J24-I24))/I24</f>
        <v>2.9850746268656681E-2</v>
      </c>
      <c r="L24" s="4">
        <f t="shared" si="2"/>
        <v>0.70249269281127125</v>
      </c>
      <c r="M24" s="82">
        <v>1</v>
      </c>
      <c r="N24" s="59">
        <v>1</v>
      </c>
      <c r="O24" s="6">
        <v>23700.736000000001</v>
      </c>
      <c r="P24" s="6"/>
      <c r="Q24" s="6" t="s">
        <v>354</v>
      </c>
    </row>
    <row r="25" spans="1:17">
      <c r="A25" s="13">
        <f t="shared" si="5"/>
        <v>46134</v>
      </c>
      <c r="B25" s="1">
        <v>195167</v>
      </c>
      <c r="C25" s="1">
        <v>189250</v>
      </c>
      <c r="D25" s="6">
        <v>167478</v>
      </c>
      <c r="E25" s="6">
        <v>162450</v>
      </c>
      <c r="F25" s="20">
        <f t="shared" si="3"/>
        <v>-0.14161162483487449</v>
      </c>
      <c r="G25" s="2">
        <f t="shared" si="6"/>
        <v>0.21762825510681427</v>
      </c>
      <c r="H25" s="2">
        <f t="shared" si="7"/>
        <v>0.21109465148916265</v>
      </c>
      <c r="I25" s="3">
        <v>7.37</v>
      </c>
      <c r="J25" s="57">
        <v>7.75</v>
      </c>
      <c r="K25" s="20">
        <f t="shared" si="4"/>
        <v>5.1560379918588861E-2</v>
      </c>
      <c r="L25" s="4">
        <f t="shared" ref="L25:L26" si="8">D25/($D$2*J25)</f>
        <v>0.67394556420174745</v>
      </c>
      <c r="M25" s="82">
        <v>1</v>
      </c>
      <c r="N25" s="59">
        <v>1</v>
      </c>
      <c r="O25" s="6">
        <v>30857.38667</v>
      </c>
      <c r="P25" s="6"/>
      <c r="Q25" s="6" t="s">
        <v>354</v>
      </c>
    </row>
    <row r="26" spans="1:17">
      <c r="A26" s="13">
        <f t="shared" si="5"/>
        <v>46135</v>
      </c>
      <c r="B26" s="1">
        <v>195167</v>
      </c>
      <c r="C26" s="1">
        <v>189250</v>
      </c>
      <c r="D26" s="6">
        <v>174068</v>
      </c>
      <c r="E26" s="6">
        <v>168900</v>
      </c>
      <c r="F26" s="20">
        <f t="shared" si="3"/>
        <v>-0.10752972258916776</v>
      </c>
      <c r="G26" s="2">
        <f t="shared" si="6"/>
        <v>0.22619158999948022</v>
      </c>
      <c r="H26" s="2">
        <f t="shared" si="7"/>
        <v>0.21947606424450336</v>
      </c>
      <c r="I26" s="3">
        <v>7.37</v>
      </c>
      <c r="J26" s="57">
        <v>7.36</v>
      </c>
      <c r="K26" s="20">
        <f t="shared" si="4"/>
        <v>-1.3568521031207309E-3</v>
      </c>
      <c r="L26" s="4">
        <f t="shared" si="8"/>
        <v>0.73758127173743548</v>
      </c>
      <c r="M26" s="82">
        <v>1</v>
      </c>
      <c r="N26" s="59">
        <v>1</v>
      </c>
      <c r="O26" s="6">
        <v>18754.560000000001</v>
      </c>
      <c r="P26" s="6"/>
      <c r="Q26" s="6" t="s">
        <v>354</v>
      </c>
    </row>
    <row r="27" spans="1:17">
      <c r="A27" s="13">
        <f t="shared" si="5"/>
        <v>46136</v>
      </c>
      <c r="B27" s="1">
        <v>195167</v>
      </c>
      <c r="C27" s="1">
        <v>189250</v>
      </c>
      <c r="D27" s="6">
        <v>177429</v>
      </c>
      <c r="E27" s="6">
        <v>171900</v>
      </c>
      <c r="F27" s="20">
        <f t="shared" si="3"/>
        <v>-9.1677675033025097E-2</v>
      </c>
      <c r="G27" s="2">
        <f t="shared" ref="G27:G33" si="9">D27/($D$2*24)</f>
        <v>0.23055902073912365</v>
      </c>
      <c r="H27" s="2">
        <f t="shared" ref="H27:H33" si="10">E27/($D$2*24)</f>
        <v>0.22337439575861531</v>
      </c>
      <c r="I27" s="3">
        <v>7.37</v>
      </c>
      <c r="J27" s="57">
        <v>7.1</v>
      </c>
      <c r="K27" s="20">
        <f t="shared" si="4"/>
        <v>-3.6635006784260578E-2</v>
      </c>
      <c r="L27" s="4">
        <f>D27/($D$2*J27)</f>
        <v>0.77935443630126311</v>
      </c>
      <c r="M27" s="82">
        <v>1</v>
      </c>
      <c r="N27" s="59">
        <v>1</v>
      </c>
      <c r="O27" s="6">
        <v>7923</v>
      </c>
      <c r="P27" s="6"/>
      <c r="Q27" s="6" t="s">
        <v>357</v>
      </c>
    </row>
    <row r="28" spans="1:17">
      <c r="A28" s="13">
        <f t="shared" si="5"/>
        <v>46137</v>
      </c>
      <c r="B28" s="1">
        <v>195167</v>
      </c>
      <c r="C28" s="1">
        <v>189250</v>
      </c>
      <c r="D28" s="6">
        <v>181001</v>
      </c>
      <c r="E28" s="6">
        <v>175200</v>
      </c>
      <c r="F28" s="20">
        <f t="shared" si="3"/>
        <v>-7.4240422721268171E-2</v>
      </c>
      <c r="G28" s="2">
        <f t="shared" si="9"/>
        <v>0.23520063412859296</v>
      </c>
      <c r="H28" s="2">
        <f t="shared" si="10"/>
        <v>0.22766256042413846</v>
      </c>
      <c r="I28" s="3">
        <v>7.37</v>
      </c>
      <c r="J28" s="57">
        <v>7.11</v>
      </c>
      <c r="K28" s="20">
        <f t="shared" si="4"/>
        <v>-3.5278154681139727E-2</v>
      </c>
      <c r="L28" s="4">
        <f t="shared" ref="L28:L33" si="11">D28/($D$2*J28)</f>
        <v>0.79392619115136853</v>
      </c>
      <c r="M28" s="82">
        <v>1</v>
      </c>
      <c r="N28" s="59">
        <v>1</v>
      </c>
      <c r="O28" s="6"/>
      <c r="P28" s="6"/>
      <c r="Q28" s="6"/>
    </row>
    <row r="29" spans="1:17">
      <c r="A29" s="13">
        <f t="shared" si="5"/>
        <v>46138</v>
      </c>
      <c r="B29" s="1">
        <v>195167</v>
      </c>
      <c r="C29" s="1">
        <v>189250</v>
      </c>
      <c r="D29" s="6">
        <v>164661</v>
      </c>
      <c r="E29" s="6">
        <v>159600</v>
      </c>
      <c r="F29" s="20">
        <f t="shared" si="3"/>
        <v>-0.15667107001321004</v>
      </c>
      <c r="G29" s="2">
        <f t="shared" si="9"/>
        <v>0.21396772181506316</v>
      </c>
      <c r="H29" s="2">
        <f t="shared" si="10"/>
        <v>0.20739123655075628</v>
      </c>
      <c r="I29" s="3">
        <v>7.37</v>
      </c>
      <c r="J29" s="6">
        <v>7.31</v>
      </c>
      <c r="K29" s="20">
        <f t="shared" si="4"/>
        <v>-8.141112618724626E-3</v>
      </c>
      <c r="L29" s="4">
        <f t="shared" si="11"/>
        <v>0.70249320431758078</v>
      </c>
      <c r="M29" s="82">
        <v>1</v>
      </c>
      <c r="N29" s="59">
        <v>1</v>
      </c>
      <c r="O29" s="6">
        <v>26325</v>
      </c>
      <c r="P29" s="6"/>
      <c r="Q29" s="6" t="s">
        <v>355</v>
      </c>
    </row>
    <row r="30" spans="1:17">
      <c r="A30" s="13">
        <f t="shared" si="5"/>
        <v>46139</v>
      </c>
      <c r="B30" s="1">
        <v>195167</v>
      </c>
      <c r="C30" s="1">
        <v>189250</v>
      </c>
      <c r="D30" s="6">
        <v>170685</v>
      </c>
      <c r="E30" s="6">
        <v>165600</v>
      </c>
      <c r="F30" s="20">
        <f t="shared" si="3"/>
        <v>-0.1249669749009247</v>
      </c>
      <c r="G30" s="2">
        <f t="shared" si="9"/>
        <v>0.22179557149539997</v>
      </c>
      <c r="H30" s="2">
        <f t="shared" si="10"/>
        <v>0.21518789957898019</v>
      </c>
      <c r="I30" s="3">
        <v>7.37</v>
      </c>
      <c r="J30" s="6">
        <v>7.48</v>
      </c>
      <c r="K30" s="20">
        <f t="shared" si="4"/>
        <v>1.4925373134328401E-2</v>
      </c>
      <c r="L30" s="4">
        <f t="shared" si="11"/>
        <v>0.71164354490502657</v>
      </c>
      <c r="M30" s="59">
        <v>1</v>
      </c>
      <c r="N30" s="59">
        <v>1</v>
      </c>
      <c r="O30" s="6">
        <v>19928</v>
      </c>
      <c r="P30" s="6"/>
      <c r="Q30" s="6" t="s">
        <v>354</v>
      </c>
    </row>
    <row r="31" spans="1:17">
      <c r="A31" s="13">
        <f t="shared" si="5"/>
        <v>46140</v>
      </c>
      <c r="B31" s="1">
        <v>195167</v>
      </c>
      <c r="C31" s="1">
        <v>189250</v>
      </c>
      <c r="D31" s="6">
        <v>164145</v>
      </c>
      <c r="E31" s="6">
        <v>160200</v>
      </c>
      <c r="F31" s="20">
        <f t="shared" si="3"/>
        <v>-0.1535006605019815</v>
      </c>
      <c r="G31" s="2">
        <f t="shared" si="9"/>
        <v>0.2132972087946359</v>
      </c>
      <c r="H31" s="2">
        <f t="shared" si="10"/>
        <v>0.20817090285357867</v>
      </c>
      <c r="I31" s="3">
        <v>7.37</v>
      </c>
      <c r="J31" s="6">
        <v>7.36</v>
      </c>
      <c r="K31" s="20">
        <f t="shared" si="4"/>
        <v>-1.3568521031207309E-3</v>
      </c>
      <c r="L31" s="4">
        <f t="shared" si="11"/>
        <v>0.69553437650424743</v>
      </c>
      <c r="M31" s="59">
        <v>1</v>
      </c>
      <c r="N31" s="59">
        <v>1</v>
      </c>
      <c r="O31" s="6">
        <v>24552</v>
      </c>
      <c r="P31" s="6"/>
      <c r="Q31" s="6" t="s">
        <v>355</v>
      </c>
    </row>
    <row r="32" spans="1:17">
      <c r="A32" s="13">
        <f t="shared" si="5"/>
        <v>46141</v>
      </c>
      <c r="B32" s="1">
        <v>195167</v>
      </c>
      <c r="C32" s="1">
        <v>189250</v>
      </c>
      <c r="D32" s="6">
        <v>156095</v>
      </c>
      <c r="E32" s="6">
        <v>151650</v>
      </c>
      <c r="F32" s="20">
        <f t="shared" si="3"/>
        <v>-0.1986789960369881</v>
      </c>
      <c r="G32" s="2">
        <f t="shared" si="9"/>
        <v>0.20283668589843548</v>
      </c>
      <c r="H32" s="2">
        <f t="shared" si="10"/>
        <v>0.19706065803835959</v>
      </c>
      <c r="I32" s="3">
        <v>7.37</v>
      </c>
      <c r="J32" s="6">
        <v>6.78</v>
      </c>
      <c r="K32" s="20">
        <f t="shared" si="4"/>
        <v>-8.0054274084124813E-2</v>
      </c>
      <c r="L32" s="4">
        <f t="shared" si="11"/>
        <v>0.71800596778207237</v>
      </c>
      <c r="M32" s="59">
        <v>1</v>
      </c>
      <c r="N32" s="59">
        <v>1</v>
      </c>
      <c r="O32" s="6">
        <v>22989</v>
      </c>
      <c r="P32" s="6"/>
      <c r="Q32" s="6" t="s">
        <v>355</v>
      </c>
    </row>
    <row r="33" spans="1:17">
      <c r="A33" s="13">
        <f t="shared" si="5"/>
        <v>46142</v>
      </c>
      <c r="B33" s="1">
        <v>195167</v>
      </c>
      <c r="C33" s="1">
        <v>189250</v>
      </c>
      <c r="D33" s="6">
        <v>158773</v>
      </c>
      <c r="E33" s="6">
        <v>154200</v>
      </c>
      <c r="F33" s="20">
        <f t="shared" si="3"/>
        <v>-0.18520475561426683</v>
      </c>
      <c r="G33" s="2">
        <f t="shared" si="9"/>
        <v>0.20631659649669942</v>
      </c>
      <c r="H33" s="2">
        <f t="shared" si="10"/>
        <v>0.20037423982535474</v>
      </c>
      <c r="I33" s="3">
        <v>7.37</v>
      </c>
      <c r="J33" s="6">
        <v>6.63</v>
      </c>
      <c r="K33" s="20">
        <f t="shared" si="4"/>
        <v>-0.10040705563093626</v>
      </c>
      <c r="L33" s="4">
        <f t="shared" si="11"/>
        <v>0.74684740813284867</v>
      </c>
      <c r="M33" s="59">
        <v>1</v>
      </c>
      <c r="N33" s="59">
        <v>1</v>
      </c>
      <c r="O33" s="6">
        <v>23433</v>
      </c>
      <c r="P33" s="6"/>
      <c r="Q33" s="6" t="s">
        <v>355</v>
      </c>
    </row>
    <row r="34" spans="1:17">
      <c r="A34" s="349">
        <v>46113</v>
      </c>
      <c r="B34" s="17">
        <f>SUM(B4:B33)</f>
        <v>5855010</v>
      </c>
      <c r="C34" s="17">
        <f>SUM(C4:C33)</f>
        <v>5677500</v>
      </c>
      <c r="D34" s="17">
        <f>SUM(D4:D33)</f>
        <v>4939255</v>
      </c>
      <c r="E34" s="17">
        <f>SUM(E4:E33)</f>
        <v>4792200</v>
      </c>
      <c r="F34" s="164">
        <f>(IF(ISBLANK(E34),0,E34-C34))/C34</f>
        <v>-0.15593130779392339</v>
      </c>
      <c r="G34" s="18">
        <f>AVERAGE(G4:G33)</f>
        <v>0.21394281580816743</v>
      </c>
      <c r="H34" s="18">
        <f>AVERAGE(H4:H33)</f>
        <v>0.25255290144151638</v>
      </c>
      <c r="I34" s="17">
        <f>SUM(I4:I33)</f>
        <v>221.10000000000008</v>
      </c>
      <c r="J34" s="17">
        <f>SUM(J4:J33)</f>
        <v>207.82000000000002</v>
      </c>
      <c r="K34" s="164">
        <f t="shared" si="4"/>
        <v>-6.0063319764812544E-2</v>
      </c>
      <c r="L34" s="163">
        <f t="shared" ref="L34:L58" si="12">D34/($D$2*J34)</f>
        <v>0.7412127195740571</v>
      </c>
      <c r="M34" s="18">
        <f>AVERAGE(M4:M33)</f>
        <v>0.99973000000000001</v>
      </c>
      <c r="N34" s="18">
        <f>AVERAGE(N4:N33)</f>
        <v>1</v>
      </c>
      <c r="O34" s="17">
        <f>SUM(O4:O33)</f>
        <v>629824.67983299994</v>
      </c>
      <c r="P34" s="17">
        <f>SUM(P4:P33)</f>
        <v>3935.0390848000002</v>
      </c>
      <c r="Q34" s="19"/>
    </row>
    <row r="35" spans="1:17">
      <c r="A35" s="13">
        <v>46143</v>
      </c>
      <c r="B35" s="1">
        <v>188871</v>
      </c>
      <c r="C35" s="1">
        <v>179504</v>
      </c>
      <c r="D35" s="200">
        <v>161056</v>
      </c>
      <c r="E35" s="200">
        <v>156450</v>
      </c>
      <c r="F35" s="20">
        <f>(IF(ISBLANK(E35),0,E35-C35))/C35</f>
        <v>-0.12843167840270969</v>
      </c>
      <c r="G35" s="2">
        <f t="shared" ref="G35:G54" si="13">D35/($D$2*24)</f>
        <v>0.20928322677893862</v>
      </c>
      <c r="H35" s="2">
        <f t="shared" ref="H35:H52" si="14">D35/($H$2*24)</f>
        <v>0.27730027548209368</v>
      </c>
      <c r="I35" s="3">
        <v>7</v>
      </c>
      <c r="J35" s="201">
        <v>7.02</v>
      </c>
      <c r="K35" s="20">
        <f>(IF(ISBLANK(J35),0,J35-I35))/I35</f>
        <v>2.8571428571427964E-3</v>
      </c>
      <c r="L35" s="4">
        <f t="shared" si="12"/>
        <v>0.71549821121004653</v>
      </c>
      <c r="M35" s="59">
        <v>1</v>
      </c>
      <c r="N35" s="58">
        <v>1</v>
      </c>
      <c r="O35" s="6">
        <v>27291</v>
      </c>
      <c r="P35" s="6"/>
      <c r="Q35" s="6" t="s">
        <v>361</v>
      </c>
    </row>
    <row r="36" spans="1:17">
      <c r="A36" s="13">
        <f>A35+1</f>
        <v>46144</v>
      </c>
      <c r="B36" s="1">
        <v>188871</v>
      </c>
      <c r="C36" s="1">
        <v>179504</v>
      </c>
      <c r="D36" s="200">
        <v>160007</v>
      </c>
      <c r="E36" s="200">
        <v>155550</v>
      </c>
      <c r="F36" s="20">
        <f t="shared" ref="F36:F54" si="15">(IF(ISBLANK(E36),0,E36-C36))/C36</f>
        <v>-0.1334454942508245</v>
      </c>
      <c r="G36" s="2">
        <f t="shared" si="13"/>
        <v>0.20792011019283746</v>
      </c>
      <c r="H36" s="2">
        <f t="shared" si="14"/>
        <v>0.27549414600550964</v>
      </c>
      <c r="I36" s="3">
        <v>7</v>
      </c>
      <c r="J36" s="201">
        <v>7.08</v>
      </c>
      <c r="K36" s="20">
        <f t="shared" ref="K36:K54" si="16">(IF(ISBLANK(J36),0,J36-I36))/I36</f>
        <v>1.1428571428571439E-2</v>
      </c>
      <c r="L36" s="4">
        <f t="shared" si="12"/>
        <v>0.70481393285707616</v>
      </c>
      <c r="M36" s="82">
        <v>1</v>
      </c>
      <c r="N36" s="58">
        <v>1</v>
      </c>
      <c r="O36" s="6">
        <v>26590</v>
      </c>
      <c r="P36" s="6"/>
      <c r="Q36" s="6" t="s">
        <v>362</v>
      </c>
    </row>
    <row r="37" spans="1:17">
      <c r="A37" s="13">
        <f t="shared" ref="A37:A65" si="17">A36+1</f>
        <v>46145</v>
      </c>
      <c r="B37" s="1">
        <v>188871</v>
      </c>
      <c r="C37" s="1">
        <v>179504</v>
      </c>
      <c r="D37" s="200">
        <v>145077</v>
      </c>
      <c r="E37" s="200">
        <v>141150</v>
      </c>
      <c r="F37" s="20">
        <f t="shared" si="15"/>
        <v>-0.21366654782066138</v>
      </c>
      <c r="G37" s="2">
        <f t="shared" si="13"/>
        <v>0.18851941369094027</v>
      </c>
      <c r="H37" s="2">
        <f t="shared" si="14"/>
        <v>0.24978822314049587</v>
      </c>
      <c r="I37" s="3">
        <v>7</v>
      </c>
      <c r="J37" s="201">
        <v>7.11</v>
      </c>
      <c r="K37" s="20">
        <f t="shared" si="16"/>
        <v>1.571428571428576E-2</v>
      </c>
      <c r="L37" s="4">
        <f t="shared" si="12"/>
        <v>0.63635245127743545</v>
      </c>
      <c r="M37" s="82">
        <v>0.98309999999999997</v>
      </c>
      <c r="N37" s="58">
        <v>1</v>
      </c>
      <c r="O37" s="6">
        <v>54107</v>
      </c>
      <c r="P37" s="6">
        <v>4039</v>
      </c>
      <c r="Q37" s="6" t="s">
        <v>363</v>
      </c>
    </row>
    <row r="38" spans="1:17">
      <c r="A38" s="13">
        <f t="shared" si="17"/>
        <v>46146</v>
      </c>
      <c r="B38" s="1">
        <v>188871</v>
      </c>
      <c r="C38" s="1">
        <v>179504</v>
      </c>
      <c r="D38" s="200">
        <v>179795</v>
      </c>
      <c r="E38" s="200">
        <v>172050</v>
      </c>
      <c r="F38" s="20">
        <f t="shared" si="15"/>
        <v>-4.1525537035386396E-2</v>
      </c>
      <c r="G38" s="2">
        <f t="shared" si="13"/>
        <v>0.23363350485991996</v>
      </c>
      <c r="H38" s="2">
        <f t="shared" si="14"/>
        <v>0.30956439393939394</v>
      </c>
      <c r="I38" s="3">
        <v>7</v>
      </c>
      <c r="J38" s="201">
        <v>6.9</v>
      </c>
      <c r="K38" s="20">
        <f t="shared" si="16"/>
        <v>-1.4285714285714235E-2</v>
      </c>
      <c r="L38" s="4">
        <f t="shared" si="12"/>
        <v>0.81263827777363462</v>
      </c>
      <c r="M38" s="82">
        <v>1</v>
      </c>
      <c r="N38" s="58">
        <v>1</v>
      </c>
      <c r="O38" s="6"/>
      <c r="P38" s="6"/>
      <c r="Q38" s="14"/>
    </row>
    <row r="39" spans="1:17">
      <c r="A39" s="13">
        <f t="shared" si="17"/>
        <v>46147</v>
      </c>
      <c r="B39" s="1">
        <v>188871</v>
      </c>
      <c r="C39" s="1">
        <v>179504</v>
      </c>
      <c r="D39" s="200">
        <v>167514</v>
      </c>
      <c r="E39" s="200">
        <v>162450</v>
      </c>
      <c r="F39" s="20">
        <f t="shared" si="15"/>
        <v>-9.5006239415277652E-2</v>
      </c>
      <c r="G39" s="2">
        <f t="shared" si="13"/>
        <v>0.21767503508498362</v>
      </c>
      <c r="H39" s="2">
        <f t="shared" si="14"/>
        <v>0.2884194214876033</v>
      </c>
      <c r="I39" s="3">
        <v>7</v>
      </c>
      <c r="J39" s="201">
        <v>6.42</v>
      </c>
      <c r="K39" s="20">
        <f t="shared" si="16"/>
        <v>-8.2857142857142865E-2</v>
      </c>
      <c r="L39" s="4">
        <f t="shared" si="12"/>
        <v>0.8137384489158267</v>
      </c>
      <c r="M39" s="82">
        <v>1</v>
      </c>
      <c r="N39" s="58">
        <v>1</v>
      </c>
      <c r="O39" s="6"/>
      <c r="P39" s="6"/>
      <c r="Q39" s="56"/>
    </row>
    <row r="40" spans="1:17">
      <c r="A40" s="13">
        <f t="shared" si="17"/>
        <v>46148</v>
      </c>
      <c r="B40" s="1">
        <v>188871</v>
      </c>
      <c r="C40" s="1">
        <v>179504</v>
      </c>
      <c r="D40" s="200">
        <v>173704</v>
      </c>
      <c r="E40" s="200">
        <v>168450</v>
      </c>
      <c r="F40" s="20">
        <f t="shared" si="15"/>
        <v>-6.1580800427845618E-2</v>
      </c>
      <c r="G40" s="2">
        <f t="shared" si="13"/>
        <v>0.22571859244243464</v>
      </c>
      <c r="H40" s="2">
        <f t="shared" si="14"/>
        <v>0.2990771349862259</v>
      </c>
      <c r="I40" s="3">
        <v>7</v>
      </c>
      <c r="J40" s="201">
        <v>6.81</v>
      </c>
      <c r="K40" s="20">
        <f t="shared" si="16"/>
        <v>-2.7142857142857198E-2</v>
      </c>
      <c r="L40" s="4">
        <f t="shared" si="12"/>
        <v>0.79548402622884451</v>
      </c>
      <c r="M40" s="82">
        <v>1</v>
      </c>
      <c r="N40" s="58">
        <v>1</v>
      </c>
      <c r="O40" s="6"/>
      <c r="P40" s="6"/>
      <c r="Q40" s="56"/>
    </row>
    <row r="41" spans="1:17">
      <c r="A41" s="13">
        <f t="shared" si="17"/>
        <v>46149</v>
      </c>
      <c r="B41" s="1"/>
      <c r="C41" s="1"/>
      <c r="D41" s="200"/>
      <c r="E41" s="200"/>
      <c r="F41" s="20" t="e">
        <f t="shared" si="15"/>
        <v>#DIV/0!</v>
      </c>
      <c r="G41" s="2">
        <f t="shared" si="13"/>
        <v>0</v>
      </c>
      <c r="H41" s="2">
        <f t="shared" si="14"/>
        <v>0</v>
      </c>
      <c r="I41" s="3"/>
      <c r="J41" s="201"/>
      <c r="K41" s="20" t="e">
        <f t="shared" si="16"/>
        <v>#DIV/0!</v>
      </c>
      <c r="L41" s="4" t="e">
        <f t="shared" si="12"/>
        <v>#DIV/0!</v>
      </c>
      <c r="M41" s="82"/>
      <c r="N41" s="59"/>
      <c r="O41" s="6"/>
      <c r="P41" s="6"/>
      <c r="Q41" s="208"/>
    </row>
    <row r="42" spans="1:17">
      <c r="A42" s="13">
        <f t="shared" si="17"/>
        <v>46150</v>
      </c>
      <c r="B42" s="1"/>
      <c r="C42" s="1"/>
      <c r="D42" s="200"/>
      <c r="E42" s="200"/>
      <c r="F42" s="20" t="e">
        <f t="shared" si="15"/>
        <v>#DIV/0!</v>
      </c>
      <c r="G42" s="2">
        <f t="shared" si="13"/>
        <v>0</v>
      </c>
      <c r="H42" s="2">
        <f t="shared" si="14"/>
        <v>0</v>
      </c>
      <c r="I42" s="3"/>
      <c r="J42" s="201"/>
      <c r="K42" s="20" t="e">
        <f t="shared" si="16"/>
        <v>#DIV/0!</v>
      </c>
      <c r="L42" s="4" t="e">
        <f t="shared" si="12"/>
        <v>#DIV/0!</v>
      </c>
      <c r="M42" s="82"/>
      <c r="N42" s="59"/>
      <c r="O42" s="6"/>
      <c r="P42" s="6"/>
      <c r="Q42" s="56"/>
    </row>
    <row r="43" spans="1:17">
      <c r="A43" s="13">
        <f t="shared" si="17"/>
        <v>46151</v>
      </c>
      <c r="B43" s="1"/>
      <c r="C43" s="1"/>
      <c r="D43" s="200"/>
      <c r="E43" s="200"/>
      <c r="F43" s="20" t="e">
        <f t="shared" si="15"/>
        <v>#DIV/0!</v>
      </c>
      <c r="G43" s="2">
        <f t="shared" si="13"/>
        <v>0</v>
      </c>
      <c r="H43" s="2">
        <f t="shared" si="14"/>
        <v>0</v>
      </c>
      <c r="I43" s="3"/>
      <c r="J43" s="201"/>
      <c r="K43" s="20" t="e">
        <f t="shared" si="16"/>
        <v>#DIV/0!</v>
      </c>
      <c r="L43" s="4" t="e">
        <f t="shared" si="12"/>
        <v>#DIV/0!</v>
      </c>
      <c r="M43" s="82"/>
      <c r="N43" s="58"/>
      <c r="O43" s="6"/>
      <c r="P43" s="6"/>
      <c r="Q43" s="6"/>
    </row>
    <row r="44" spans="1:17">
      <c r="A44" s="13">
        <f t="shared" si="17"/>
        <v>46152</v>
      </c>
      <c r="B44" s="1"/>
      <c r="C44" s="1"/>
      <c r="D44" s="200"/>
      <c r="E44" s="200"/>
      <c r="F44" s="20" t="e">
        <f t="shared" si="15"/>
        <v>#DIV/0!</v>
      </c>
      <c r="G44" s="2">
        <f t="shared" si="13"/>
        <v>0</v>
      </c>
      <c r="H44" s="2">
        <f t="shared" si="14"/>
        <v>0</v>
      </c>
      <c r="I44" s="3"/>
      <c r="J44" s="201"/>
      <c r="K44" s="20" t="e">
        <f t="shared" si="16"/>
        <v>#DIV/0!</v>
      </c>
      <c r="L44" s="4" t="e">
        <f t="shared" si="12"/>
        <v>#DIV/0!</v>
      </c>
      <c r="M44" s="82"/>
      <c r="N44" s="59"/>
      <c r="O44" s="6"/>
      <c r="P44" s="6"/>
      <c r="Q44" s="16"/>
    </row>
    <row r="45" spans="1:17">
      <c r="A45" s="13">
        <f t="shared" si="17"/>
        <v>46153</v>
      </c>
      <c r="B45" s="1"/>
      <c r="C45" s="1"/>
      <c r="D45" s="200"/>
      <c r="E45" s="200"/>
      <c r="F45" s="20" t="e">
        <f t="shared" si="15"/>
        <v>#DIV/0!</v>
      </c>
      <c r="G45" s="2">
        <f t="shared" si="13"/>
        <v>0</v>
      </c>
      <c r="H45" s="2">
        <f t="shared" si="14"/>
        <v>0</v>
      </c>
      <c r="I45" s="3"/>
      <c r="J45" s="201"/>
      <c r="K45" s="20" t="e">
        <f t="shared" si="16"/>
        <v>#DIV/0!</v>
      </c>
      <c r="L45" s="4" t="e">
        <f t="shared" si="12"/>
        <v>#DIV/0!</v>
      </c>
      <c r="M45" s="82"/>
      <c r="N45" s="59"/>
      <c r="O45" s="6"/>
      <c r="P45" s="6"/>
      <c r="Q45" s="6"/>
    </row>
    <row r="46" spans="1:17">
      <c r="A46" s="13">
        <f t="shared" si="17"/>
        <v>46154</v>
      </c>
      <c r="B46" s="1"/>
      <c r="C46" s="1"/>
      <c r="D46" s="200"/>
      <c r="E46" s="200"/>
      <c r="F46" s="20" t="e">
        <f t="shared" si="15"/>
        <v>#DIV/0!</v>
      </c>
      <c r="G46" s="2">
        <f t="shared" si="13"/>
        <v>0</v>
      </c>
      <c r="H46" s="2">
        <f t="shared" si="14"/>
        <v>0</v>
      </c>
      <c r="I46" s="3"/>
      <c r="J46" s="201"/>
      <c r="K46" s="20" t="e">
        <f t="shared" si="16"/>
        <v>#DIV/0!</v>
      </c>
      <c r="L46" s="4" t="e">
        <f t="shared" si="12"/>
        <v>#DIV/0!</v>
      </c>
      <c r="M46" s="82"/>
      <c r="N46" s="59"/>
      <c r="O46" s="6"/>
      <c r="P46" s="6"/>
      <c r="Q46" s="6"/>
    </row>
    <row r="47" spans="1:17">
      <c r="A47" s="13">
        <f t="shared" si="17"/>
        <v>46155</v>
      </c>
      <c r="B47" s="1"/>
      <c r="C47" s="1"/>
      <c r="D47" s="200"/>
      <c r="E47" s="200"/>
      <c r="F47" s="20" t="e">
        <f t="shared" si="15"/>
        <v>#DIV/0!</v>
      </c>
      <c r="G47" s="2">
        <f t="shared" si="13"/>
        <v>0</v>
      </c>
      <c r="H47" s="2">
        <f t="shared" si="14"/>
        <v>0</v>
      </c>
      <c r="I47" s="3"/>
      <c r="J47" s="201"/>
      <c r="K47" s="20" t="e">
        <f t="shared" si="16"/>
        <v>#DIV/0!</v>
      </c>
      <c r="L47" s="4" t="e">
        <f t="shared" si="12"/>
        <v>#DIV/0!</v>
      </c>
      <c r="M47" s="82"/>
      <c r="N47" s="59"/>
      <c r="O47" s="6"/>
      <c r="P47" s="6"/>
      <c r="Q47" s="56"/>
    </row>
    <row r="48" spans="1:17">
      <c r="A48" s="13">
        <f t="shared" si="17"/>
        <v>46156</v>
      </c>
      <c r="B48" s="1"/>
      <c r="C48" s="1"/>
      <c r="D48" s="200"/>
      <c r="E48" s="200"/>
      <c r="F48" s="20" t="e">
        <f t="shared" si="15"/>
        <v>#DIV/0!</v>
      </c>
      <c r="G48" s="2">
        <f t="shared" si="13"/>
        <v>0</v>
      </c>
      <c r="H48" s="2">
        <f t="shared" si="14"/>
        <v>0</v>
      </c>
      <c r="I48" s="3"/>
      <c r="J48" s="201"/>
      <c r="K48" s="20" t="e">
        <f t="shared" si="16"/>
        <v>#DIV/0!</v>
      </c>
      <c r="L48" s="4" t="e">
        <f t="shared" si="12"/>
        <v>#DIV/0!</v>
      </c>
      <c r="M48" s="82"/>
      <c r="N48" s="59"/>
      <c r="O48" s="6"/>
      <c r="P48" s="6"/>
      <c r="Q48" s="209"/>
    </row>
    <row r="49" spans="1:17">
      <c r="A49" s="13">
        <f t="shared" si="17"/>
        <v>46157</v>
      </c>
      <c r="B49" s="1"/>
      <c r="C49" s="1"/>
      <c r="D49" s="200"/>
      <c r="E49" s="200"/>
      <c r="F49" s="20" t="e">
        <f t="shared" si="15"/>
        <v>#DIV/0!</v>
      </c>
      <c r="G49" s="2">
        <f t="shared" si="13"/>
        <v>0</v>
      </c>
      <c r="H49" s="2">
        <f t="shared" si="14"/>
        <v>0</v>
      </c>
      <c r="I49" s="3"/>
      <c r="J49" s="201"/>
      <c r="K49" s="20" t="e">
        <f t="shared" si="16"/>
        <v>#DIV/0!</v>
      </c>
      <c r="L49" s="4" t="e">
        <f t="shared" si="12"/>
        <v>#DIV/0!</v>
      </c>
      <c r="M49" s="82"/>
      <c r="N49" s="59"/>
      <c r="O49" s="6"/>
      <c r="P49" s="6"/>
      <c r="Q49" s="16"/>
    </row>
    <row r="50" spans="1:17">
      <c r="A50" s="13">
        <f t="shared" si="17"/>
        <v>46158</v>
      </c>
      <c r="B50" s="1"/>
      <c r="C50" s="1"/>
      <c r="D50" s="200"/>
      <c r="E50" s="200"/>
      <c r="F50" s="20" t="e">
        <f t="shared" si="15"/>
        <v>#DIV/0!</v>
      </c>
      <c r="G50" s="2">
        <f t="shared" si="13"/>
        <v>0</v>
      </c>
      <c r="H50" s="2">
        <f t="shared" si="14"/>
        <v>0</v>
      </c>
      <c r="I50" s="3"/>
      <c r="J50" s="201"/>
      <c r="K50" s="20" t="e">
        <f t="shared" si="16"/>
        <v>#DIV/0!</v>
      </c>
      <c r="L50" s="4" t="e">
        <f t="shared" si="12"/>
        <v>#DIV/0!</v>
      </c>
      <c r="M50" s="82"/>
      <c r="N50" s="59"/>
      <c r="O50" s="6"/>
      <c r="P50" s="6"/>
      <c r="Q50" s="16"/>
    </row>
    <row r="51" spans="1:17">
      <c r="A51" s="13">
        <f t="shared" si="17"/>
        <v>46159</v>
      </c>
      <c r="B51" s="1"/>
      <c r="C51" s="1"/>
      <c r="D51" s="200"/>
      <c r="E51" s="200"/>
      <c r="F51" s="20" t="e">
        <f t="shared" si="15"/>
        <v>#DIV/0!</v>
      </c>
      <c r="G51" s="2">
        <f t="shared" si="13"/>
        <v>0</v>
      </c>
      <c r="H51" s="2">
        <f t="shared" si="14"/>
        <v>0</v>
      </c>
      <c r="I51" s="3"/>
      <c r="J51" s="201"/>
      <c r="K51" s="20" t="e">
        <f t="shared" si="16"/>
        <v>#DIV/0!</v>
      </c>
      <c r="L51" s="4" t="e">
        <f t="shared" si="12"/>
        <v>#DIV/0!</v>
      </c>
      <c r="M51" s="82"/>
      <c r="N51" s="59"/>
      <c r="O51" s="6"/>
      <c r="P51" s="6"/>
      <c r="Q51" s="6"/>
    </row>
    <row r="52" spans="1:17">
      <c r="A52" s="13">
        <f t="shared" si="17"/>
        <v>46160</v>
      </c>
      <c r="B52" s="1"/>
      <c r="C52" s="1"/>
      <c r="D52" s="200"/>
      <c r="E52" s="200"/>
      <c r="F52" s="20" t="e">
        <f t="shared" si="15"/>
        <v>#DIV/0!</v>
      </c>
      <c r="G52" s="2">
        <f t="shared" si="13"/>
        <v>0</v>
      </c>
      <c r="H52" s="2">
        <f t="shared" si="14"/>
        <v>0</v>
      </c>
      <c r="I52" s="3"/>
      <c r="J52" s="201"/>
      <c r="K52" s="20" t="e">
        <f t="shared" si="16"/>
        <v>#DIV/0!</v>
      </c>
      <c r="L52" s="4" t="e">
        <f t="shared" si="12"/>
        <v>#DIV/0!</v>
      </c>
      <c r="M52" s="82"/>
      <c r="N52" s="59"/>
      <c r="O52" s="6"/>
      <c r="P52" s="6"/>
      <c r="Q52" s="16"/>
    </row>
    <row r="53" spans="1:17">
      <c r="A53" s="13">
        <f t="shared" si="17"/>
        <v>46161</v>
      </c>
      <c r="B53" s="1"/>
      <c r="C53" s="1"/>
      <c r="D53" s="200"/>
      <c r="E53" s="200"/>
      <c r="F53" s="20" t="e">
        <f t="shared" si="15"/>
        <v>#DIV/0!</v>
      </c>
      <c r="G53" s="2">
        <f t="shared" si="13"/>
        <v>0</v>
      </c>
      <c r="H53" s="2">
        <f>E53/($D$2*24)</f>
        <v>0</v>
      </c>
      <c r="I53" s="3"/>
      <c r="J53" s="201"/>
      <c r="K53" s="20" t="e">
        <f t="shared" si="16"/>
        <v>#DIV/0!</v>
      </c>
      <c r="L53" s="4" t="e">
        <f t="shared" si="12"/>
        <v>#DIV/0!</v>
      </c>
      <c r="M53" s="82"/>
      <c r="N53" s="59"/>
      <c r="O53" s="6"/>
      <c r="P53" s="6"/>
      <c r="Q53" s="16"/>
    </row>
    <row r="54" spans="1:17">
      <c r="A54" s="13">
        <f t="shared" si="17"/>
        <v>46162</v>
      </c>
      <c r="B54" s="1"/>
      <c r="C54" s="1"/>
      <c r="D54" s="200"/>
      <c r="E54" s="200"/>
      <c r="F54" s="20" t="e">
        <f t="shared" si="15"/>
        <v>#DIV/0!</v>
      </c>
      <c r="G54" s="2">
        <f t="shared" si="13"/>
        <v>0</v>
      </c>
      <c r="H54" s="2">
        <f>E54/($D$2*24)</f>
        <v>0</v>
      </c>
      <c r="I54" s="3"/>
      <c r="J54" s="201"/>
      <c r="K54" s="20" t="e">
        <f t="shared" si="16"/>
        <v>#DIV/0!</v>
      </c>
      <c r="L54" s="4" t="e">
        <f t="shared" si="12"/>
        <v>#DIV/0!</v>
      </c>
      <c r="M54" s="82"/>
      <c r="N54" s="59"/>
      <c r="O54" s="6"/>
      <c r="P54" s="6"/>
      <c r="Q54" s="16"/>
    </row>
    <row r="55" spans="1:17">
      <c r="A55" s="13">
        <f t="shared" si="17"/>
        <v>46163</v>
      </c>
      <c r="B55" s="1"/>
      <c r="C55" s="1"/>
      <c r="D55" s="6"/>
      <c r="E55" s="6"/>
      <c r="F55" s="20" t="e">
        <f>(IF(ISBLANK(E55),0,E55-C55))/C55</f>
        <v>#DIV/0!</v>
      </c>
      <c r="G55" s="2">
        <f t="shared" ref="G55:G58" si="18">D55/($D$2*24)</f>
        <v>0</v>
      </c>
      <c r="H55" s="2">
        <f t="shared" ref="H55:H58" si="19">E55/($D$2*24)</f>
        <v>0</v>
      </c>
      <c r="I55" s="3"/>
      <c r="J55" s="57"/>
      <c r="K55" s="20" t="e">
        <f>(IF(ISBLANK(J55),0,J55-I55))/I55</f>
        <v>#DIV/0!</v>
      </c>
      <c r="L55" s="4" t="e">
        <f t="shared" si="12"/>
        <v>#DIV/0!</v>
      </c>
      <c r="M55" s="82"/>
      <c r="N55" s="59"/>
      <c r="O55" s="6"/>
      <c r="P55" s="6"/>
      <c r="Q55" s="6"/>
    </row>
    <row r="56" spans="1:17">
      <c r="A56" s="13">
        <f t="shared" si="17"/>
        <v>46164</v>
      </c>
      <c r="B56" s="1"/>
      <c r="C56" s="1"/>
      <c r="D56" s="6"/>
      <c r="E56" s="6"/>
      <c r="F56" s="20" t="e">
        <f t="shared" ref="F56:F58" si="20">(IF(ISBLANK(E56),0,E56-C56))/C56</f>
        <v>#DIV/0!</v>
      </c>
      <c r="G56" s="2">
        <f t="shared" si="18"/>
        <v>0</v>
      </c>
      <c r="H56" s="2">
        <f t="shared" si="19"/>
        <v>0</v>
      </c>
      <c r="I56" s="3"/>
      <c r="J56" s="57"/>
      <c r="K56" s="20" t="e">
        <f t="shared" ref="K56:K58" si="21">(IF(ISBLANK(J56),0,J56-I56))/I56</f>
        <v>#DIV/0!</v>
      </c>
      <c r="L56" s="4" t="e">
        <f t="shared" si="12"/>
        <v>#DIV/0!</v>
      </c>
      <c r="M56" s="82"/>
      <c r="N56" s="59"/>
      <c r="O56" s="6"/>
      <c r="P56" s="6"/>
      <c r="Q56" s="6"/>
    </row>
    <row r="57" spans="1:17">
      <c r="A57" s="13">
        <f t="shared" si="17"/>
        <v>46165</v>
      </c>
      <c r="B57" s="1"/>
      <c r="C57" s="1"/>
      <c r="D57" s="6"/>
      <c r="E57" s="6"/>
      <c r="F57" s="20" t="e">
        <f t="shared" si="20"/>
        <v>#DIV/0!</v>
      </c>
      <c r="G57" s="2">
        <f t="shared" si="18"/>
        <v>0</v>
      </c>
      <c r="H57" s="2">
        <f t="shared" si="19"/>
        <v>0</v>
      </c>
      <c r="I57" s="3"/>
      <c r="J57" s="57"/>
      <c r="K57" s="20" t="e">
        <f t="shared" si="21"/>
        <v>#DIV/0!</v>
      </c>
      <c r="L57" s="4" t="e">
        <f t="shared" si="12"/>
        <v>#DIV/0!</v>
      </c>
      <c r="M57" s="82"/>
      <c r="N57" s="59"/>
      <c r="O57" s="6"/>
      <c r="P57" s="6"/>
      <c r="Q57" s="6"/>
    </row>
    <row r="58" spans="1:17">
      <c r="A58" s="13">
        <f t="shared" si="17"/>
        <v>46166</v>
      </c>
      <c r="B58" s="1"/>
      <c r="C58" s="1"/>
      <c r="D58" s="6"/>
      <c r="E58" s="6"/>
      <c r="F58" s="20" t="e">
        <f t="shared" si="20"/>
        <v>#DIV/0!</v>
      </c>
      <c r="G58" s="2">
        <f t="shared" si="18"/>
        <v>0</v>
      </c>
      <c r="H58" s="2">
        <f t="shared" si="19"/>
        <v>0</v>
      </c>
      <c r="I58" s="3"/>
      <c r="J58" s="57"/>
      <c r="K58" s="20" t="e">
        <f t="shared" si="21"/>
        <v>#DIV/0!</v>
      </c>
      <c r="L58" s="4" t="e">
        <f t="shared" si="12"/>
        <v>#DIV/0!</v>
      </c>
      <c r="M58" s="82"/>
      <c r="N58" s="59"/>
      <c r="O58" s="6"/>
      <c r="P58" s="6"/>
      <c r="Q58" s="6"/>
    </row>
    <row r="59" spans="1:17">
      <c r="A59" s="13">
        <f t="shared" si="17"/>
        <v>46167</v>
      </c>
      <c r="B59" s="1"/>
      <c r="C59" s="1"/>
      <c r="D59" s="6"/>
      <c r="E59" s="6"/>
      <c r="F59" s="20"/>
      <c r="G59" s="2"/>
      <c r="H59" s="2"/>
      <c r="I59" s="3"/>
      <c r="J59" s="57"/>
      <c r="K59" s="20"/>
      <c r="L59" s="4"/>
      <c r="M59" s="82"/>
      <c r="N59" s="59"/>
      <c r="O59" s="6"/>
      <c r="P59" s="6"/>
      <c r="Q59" s="6"/>
    </row>
    <row r="60" spans="1:17">
      <c r="A60" s="13">
        <f t="shared" si="17"/>
        <v>46168</v>
      </c>
      <c r="B60" s="1"/>
      <c r="C60" s="1"/>
      <c r="D60" s="6"/>
      <c r="E60" s="6"/>
      <c r="F60" s="20"/>
      <c r="G60" s="2"/>
      <c r="H60" s="2"/>
      <c r="I60" s="3"/>
      <c r="J60" s="6"/>
      <c r="K60" s="20"/>
      <c r="L60" s="4"/>
      <c r="M60" s="82"/>
      <c r="N60" s="60"/>
      <c r="O60" s="6"/>
      <c r="P60" s="6"/>
      <c r="Q60" s="6"/>
    </row>
    <row r="61" spans="1:17">
      <c r="A61" s="13">
        <f t="shared" si="17"/>
        <v>46169</v>
      </c>
      <c r="B61" s="1"/>
      <c r="C61" s="1"/>
      <c r="D61" s="6"/>
      <c r="E61" s="6"/>
      <c r="F61" s="20"/>
      <c r="G61" s="2"/>
      <c r="H61" s="2"/>
      <c r="I61" s="3"/>
      <c r="J61" s="6"/>
      <c r="K61" s="20"/>
      <c r="L61" s="4"/>
      <c r="M61" s="60"/>
      <c r="N61" s="60"/>
      <c r="O61" s="6"/>
      <c r="P61" s="6"/>
      <c r="Q61" s="6"/>
    </row>
    <row r="62" spans="1:17">
      <c r="A62" s="13">
        <f t="shared" si="17"/>
        <v>46170</v>
      </c>
      <c r="B62" s="1"/>
      <c r="C62" s="1"/>
      <c r="D62" s="6"/>
      <c r="E62" s="6"/>
      <c r="F62" s="20"/>
      <c r="G62" s="2"/>
      <c r="H62" s="2"/>
      <c r="I62" s="3"/>
      <c r="J62" s="6"/>
      <c r="K62" s="20"/>
      <c r="L62" s="4"/>
      <c r="M62" s="60"/>
      <c r="N62" s="60"/>
      <c r="O62" s="6"/>
      <c r="P62" s="6"/>
      <c r="Q62" s="6"/>
    </row>
    <row r="63" spans="1:17">
      <c r="A63" s="13">
        <f t="shared" si="17"/>
        <v>46171</v>
      </c>
      <c r="B63" s="1"/>
      <c r="C63" s="1"/>
      <c r="D63" s="6"/>
      <c r="E63" s="6"/>
      <c r="F63" s="20"/>
      <c r="G63" s="2"/>
      <c r="H63" s="2"/>
      <c r="I63" s="3"/>
      <c r="J63" s="6"/>
      <c r="K63" s="20"/>
      <c r="L63" s="4"/>
      <c r="M63" s="60"/>
      <c r="N63" s="60"/>
      <c r="O63" s="6"/>
      <c r="P63" s="6"/>
      <c r="Q63" s="6"/>
    </row>
    <row r="64" spans="1:17">
      <c r="A64" s="13">
        <f t="shared" si="17"/>
        <v>46172</v>
      </c>
      <c r="B64" s="1"/>
      <c r="C64" s="1"/>
      <c r="D64" s="6"/>
      <c r="E64" s="6"/>
      <c r="F64" s="20"/>
      <c r="G64" s="2"/>
      <c r="H64" s="2"/>
      <c r="I64" s="3"/>
      <c r="J64" s="6"/>
      <c r="K64" s="20"/>
      <c r="L64" s="4"/>
      <c r="M64" s="60"/>
      <c r="N64" s="60"/>
      <c r="O64" s="6"/>
      <c r="P64" s="6"/>
      <c r="Q64" s="6"/>
    </row>
    <row r="65" spans="1:17">
      <c r="A65" s="13">
        <f t="shared" si="17"/>
        <v>46173</v>
      </c>
      <c r="B65" s="1"/>
      <c r="C65" s="1"/>
      <c r="D65" s="6"/>
      <c r="E65" s="6"/>
      <c r="F65" s="20"/>
      <c r="G65" s="2"/>
      <c r="H65" s="2"/>
      <c r="I65" s="3"/>
      <c r="J65" s="6"/>
      <c r="K65" s="20"/>
      <c r="L65" s="4"/>
      <c r="M65" s="60"/>
      <c r="N65" s="60"/>
      <c r="O65" s="6"/>
      <c r="P65" s="6"/>
      <c r="Q65" s="6"/>
    </row>
    <row r="66" spans="1:17">
      <c r="A66" s="349">
        <v>46143</v>
      </c>
      <c r="B66" s="17">
        <f>SUM(B35:B65)</f>
        <v>1133226</v>
      </c>
      <c r="C66" s="17">
        <f>SUM(C35:C65)</f>
        <v>1077024</v>
      </c>
      <c r="D66" s="17">
        <f>SUM(D35:D65)</f>
        <v>987153</v>
      </c>
      <c r="E66" s="17">
        <f>SUM(E35:E65)</f>
        <v>956100</v>
      </c>
      <c r="F66" s="20">
        <f>(IF(ISBLANK(E66),0,E66-C66))/C66</f>
        <v>-0.1122760495587842</v>
      </c>
      <c r="G66" s="18">
        <f>AVERAGE(G35:G65)</f>
        <v>5.3447911793752266E-2</v>
      </c>
      <c r="H66" s="18">
        <f>AVERAGE(H35:H65)</f>
        <v>7.0818483126721746E-2</v>
      </c>
      <c r="I66" s="17">
        <f>SUM(I35:I65)</f>
        <v>42</v>
      </c>
      <c r="J66" s="17">
        <f>SUM(J35:J65)</f>
        <v>41.34</v>
      </c>
      <c r="K66" s="20">
        <f>(IF(ISBLANK(J66),0,J66-I66))/I66</f>
        <v>-1.5714285714285632E-2</v>
      </c>
      <c r="L66" s="4">
        <f>D66/($D$2*J66)</f>
        <v>0.74470239944850769</v>
      </c>
      <c r="M66" s="18">
        <f>AVERAGE(M35:M65)</f>
        <v>0.99718333333333342</v>
      </c>
      <c r="N66" s="18">
        <f>AVERAGE(N35:N65)</f>
        <v>1</v>
      </c>
      <c r="O66" s="17">
        <f>SUM(O35:O65)</f>
        <v>107988</v>
      </c>
      <c r="P66" s="17">
        <f>SUM(P35:P65)</f>
        <v>4039</v>
      </c>
      <c r="Q66" s="19"/>
    </row>
  </sheetData>
  <mergeCells count="4">
    <mergeCell ref="A1:Q1"/>
    <mergeCell ref="B2:C2"/>
    <mergeCell ref="E2:G2"/>
    <mergeCell ref="I2:J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485B-3A36-45B3-8A1E-AB4C887ADCFA}">
  <dimension ref="A1:Q66"/>
  <sheetViews>
    <sheetView workbookViewId="0">
      <pane xSplit="1" ySplit="3" topLeftCell="B32" activePane="bottomRight" state="frozen"/>
      <selection pane="topRight"/>
      <selection pane="bottomLeft"/>
      <selection pane="bottomRight" activeCell="A39" sqref="A39"/>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364</v>
      </c>
      <c r="B1" s="406"/>
      <c r="C1" s="406"/>
      <c r="D1" s="406"/>
      <c r="E1" s="406"/>
      <c r="F1" s="406"/>
      <c r="G1" s="406"/>
      <c r="H1" s="406"/>
      <c r="I1" s="406"/>
      <c r="J1" s="406"/>
      <c r="K1" s="406"/>
      <c r="L1" s="406"/>
      <c r="M1" s="406"/>
      <c r="N1" s="406"/>
      <c r="O1" s="406"/>
      <c r="P1" s="406"/>
      <c r="Q1" s="406"/>
    </row>
    <row r="2" spans="1:17" ht="18.5">
      <c r="A2" s="7">
        <v>46113</v>
      </c>
      <c r="B2" s="407" t="s">
        <v>172</v>
      </c>
      <c r="C2" s="408"/>
      <c r="D2" s="8">
        <v>1805</v>
      </c>
      <c r="E2" s="407" t="s">
        <v>173</v>
      </c>
      <c r="F2" s="407"/>
      <c r="G2" s="408"/>
      <c r="H2" s="8">
        <v>1582</v>
      </c>
      <c r="I2" s="409" t="s">
        <v>174</v>
      </c>
      <c r="J2" s="410"/>
      <c r="K2" s="9">
        <v>45386</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27">
        <v>11123.833333333334</v>
      </c>
      <c r="C4" s="127">
        <v>10655.266666666666</v>
      </c>
      <c r="D4" s="33">
        <v>12380</v>
      </c>
      <c r="E4" s="33">
        <v>12380</v>
      </c>
      <c r="F4" s="20">
        <f>(IF(ISBLANK(E4),0,E4-C4))/C4</f>
        <v>0.16186674508380836</v>
      </c>
      <c r="G4" s="2">
        <f t="shared" ref="G4:G26" si="0">D4/($D$2*24)</f>
        <v>0.28578024007386887</v>
      </c>
      <c r="H4" s="2">
        <f t="shared" ref="H4:H30" si="1">D4/($H$2*24)</f>
        <v>0.32606405394016014</v>
      </c>
      <c r="I4" s="28">
        <v>9.18</v>
      </c>
      <c r="J4" s="33">
        <v>8.1809999999999992</v>
      </c>
      <c r="K4" s="20">
        <f>(IF(ISBLANK(J4),0,J4-I4))/I4</f>
        <v>-0.10882352941176476</v>
      </c>
      <c r="L4" s="4">
        <f t="shared" ref="L4:L35" si="2">D4/($D$2*J4)</f>
        <v>0.83837254147082929</v>
      </c>
      <c r="M4" s="103">
        <v>1</v>
      </c>
      <c r="N4" s="103">
        <v>1</v>
      </c>
      <c r="O4" s="33" t="s">
        <v>175</v>
      </c>
      <c r="P4" s="6" t="s">
        <v>175</v>
      </c>
      <c r="Q4" s="6"/>
    </row>
    <row r="5" spans="1:17">
      <c r="A5" s="13">
        <f>A4+1</f>
        <v>46114</v>
      </c>
      <c r="B5" s="127">
        <v>11123.833333333334</v>
      </c>
      <c r="C5" s="127">
        <v>10655.266666666666</v>
      </c>
      <c r="D5" s="34">
        <v>8828</v>
      </c>
      <c r="E5" s="34">
        <v>8828</v>
      </c>
      <c r="F5" s="20">
        <f t="shared" ref="F5:F33" si="3">(IF(ISBLANK(E5),0,E5-C5))/C5</f>
        <v>-0.1714895294345832</v>
      </c>
      <c r="G5" s="2">
        <f t="shared" si="0"/>
        <v>0.20378578024007388</v>
      </c>
      <c r="H5" s="2">
        <f t="shared" si="1"/>
        <v>0.23251158870627897</v>
      </c>
      <c r="I5" s="29">
        <v>9.18</v>
      </c>
      <c r="J5" s="34">
        <v>5.8250000000000002</v>
      </c>
      <c r="K5" s="20">
        <f t="shared" ref="K5:K34" si="4">(IF(ISBLANK(J5),0,J5-I5))/I5</f>
        <v>-0.36546840958605659</v>
      </c>
      <c r="L5" s="4">
        <f t="shared" si="2"/>
        <v>0.8396323992724074</v>
      </c>
      <c r="M5" s="103">
        <v>1</v>
      </c>
      <c r="N5" s="103">
        <v>1</v>
      </c>
      <c r="O5" s="34" t="s">
        <v>175</v>
      </c>
      <c r="P5" s="6" t="s">
        <v>175</v>
      </c>
      <c r="Q5" s="6"/>
    </row>
    <row r="6" spans="1:17">
      <c r="A6" s="13">
        <f t="shared" ref="A6:A33" si="5">A5+1</f>
        <v>46115</v>
      </c>
      <c r="B6" s="127">
        <v>11123.833333333334</v>
      </c>
      <c r="C6" s="127">
        <v>10655.266666666666</v>
      </c>
      <c r="D6" s="34">
        <v>3541</v>
      </c>
      <c r="E6" s="34">
        <v>3541</v>
      </c>
      <c r="F6" s="20">
        <f t="shared" si="3"/>
        <v>-0.6676760788092273</v>
      </c>
      <c r="G6" s="2">
        <f t="shared" si="0"/>
        <v>8.174053554939982E-2</v>
      </c>
      <c r="H6" s="2">
        <f t="shared" si="1"/>
        <v>9.3262747576906863E-2</v>
      </c>
      <c r="I6" s="29">
        <v>9.18</v>
      </c>
      <c r="J6" s="34">
        <v>2.17</v>
      </c>
      <c r="K6" s="20">
        <f t="shared" si="4"/>
        <v>-0.76361655773420478</v>
      </c>
      <c r="L6" s="4">
        <f t="shared" si="2"/>
        <v>0.90404278948644956</v>
      </c>
      <c r="M6" s="103">
        <v>1</v>
      </c>
      <c r="N6" s="104">
        <v>0.9083</v>
      </c>
      <c r="O6" s="34">
        <v>389.22</v>
      </c>
      <c r="P6" s="6"/>
      <c r="Q6" s="6"/>
    </row>
    <row r="7" spans="1:17">
      <c r="A7" s="13">
        <f t="shared" si="5"/>
        <v>46116</v>
      </c>
      <c r="B7" s="127">
        <v>11123.833333333334</v>
      </c>
      <c r="C7" s="127">
        <v>10655.266666666666</v>
      </c>
      <c r="D7" s="34">
        <v>12319</v>
      </c>
      <c r="E7" s="34">
        <v>12319</v>
      </c>
      <c r="F7" s="20">
        <f t="shared" si="3"/>
        <v>0.15614187663064905</v>
      </c>
      <c r="G7" s="2">
        <f t="shared" si="0"/>
        <v>0.28437211449676825</v>
      </c>
      <c r="H7" s="2">
        <f t="shared" si="1"/>
        <v>0.32445743784239361</v>
      </c>
      <c r="I7" s="29">
        <v>9.18</v>
      </c>
      <c r="J7" s="34">
        <v>8.2050000000000001</v>
      </c>
      <c r="K7" s="20">
        <f t="shared" si="4"/>
        <v>-0.10620915032679736</v>
      </c>
      <c r="L7" s="4">
        <f t="shared" si="2"/>
        <v>0.83180143180041899</v>
      </c>
      <c r="M7" s="103">
        <v>1</v>
      </c>
      <c r="N7" s="103">
        <v>1</v>
      </c>
      <c r="O7" s="34" t="s">
        <v>175</v>
      </c>
      <c r="P7" s="6"/>
      <c r="Q7" s="14"/>
    </row>
    <row r="8" spans="1:17">
      <c r="A8" s="13">
        <f t="shared" si="5"/>
        <v>46117</v>
      </c>
      <c r="B8" s="127">
        <v>11123.833333333334</v>
      </c>
      <c r="C8" s="127">
        <v>10655.266666666666</v>
      </c>
      <c r="D8" s="34">
        <v>11363</v>
      </c>
      <c r="E8" s="34">
        <v>11363</v>
      </c>
      <c r="F8" s="20">
        <f t="shared" si="3"/>
        <v>6.6420987430316172E-2</v>
      </c>
      <c r="G8" s="2">
        <f t="shared" si="0"/>
        <v>0.26230378578024005</v>
      </c>
      <c r="H8" s="2">
        <f t="shared" si="1"/>
        <v>0.29927833965444584</v>
      </c>
      <c r="I8" s="29">
        <v>9.18</v>
      </c>
      <c r="J8" s="34">
        <v>7.6529999999999996</v>
      </c>
      <c r="K8" s="20">
        <f t="shared" si="4"/>
        <v>-0.16633986928104577</v>
      </c>
      <c r="L8" s="4">
        <f t="shared" si="2"/>
        <v>0.82259125293685642</v>
      </c>
      <c r="M8" s="103">
        <v>1</v>
      </c>
      <c r="N8" s="103">
        <v>1</v>
      </c>
      <c r="O8" s="34" t="s">
        <v>175</v>
      </c>
      <c r="P8" s="6"/>
      <c r="Q8" s="14"/>
    </row>
    <row r="9" spans="1:17">
      <c r="A9" s="13">
        <f t="shared" si="5"/>
        <v>46118</v>
      </c>
      <c r="B9" s="127">
        <v>11123.833333333334</v>
      </c>
      <c r="C9" s="127">
        <v>10655.266666666666</v>
      </c>
      <c r="D9" s="34">
        <v>13121</v>
      </c>
      <c r="E9" s="34">
        <v>13121</v>
      </c>
      <c r="F9" s="20">
        <f t="shared" si="3"/>
        <v>0.23140981924431739</v>
      </c>
      <c r="G9" s="2">
        <f t="shared" si="0"/>
        <v>0.30288550323176361</v>
      </c>
      <c r="H9" s="2">
        <f t="shared" si="1"/>
        <v>0.3455804888327012</v>
      </c>
      <c r="I9" s="29">
        <v>9.18</v>
      </c>
      <c r="J9" s="34">
        <v>8.4410000000000007</v>
      </c>
      <c r="K9" s="20">
        <f t="shared" si="4"/>
        <v>-8.0501089324618635E-2</v>
      </c>
      <c r="L9" s="4">
        <f t="shared" si="2"/>
        <v>0.8611837551904189</v>
      </c>
      <c r="M9" s="103">
        <v>1</v>
      </c>
      <c r="N9" s="103">
        <v>1</v>
      </c>
      <c r="O9" s="34" t="s">
        <v>175</v>
      </c>
      <c r="P9" s="6"/>
      <c r="Q9" s="14"/>
    </row>
    <row r="10" spans="1:17">
      <c r="A10" s="13">
        <f t="shared" si="5"/>
        <v>46119</v>
      </c>
      <c r="B10" s="127">
        <v>11123.833333333334</v>
      </c>
      <c r="C10" s="127">
        <v>10655.266666666666</v>
      </c>
      <c r="D10" s="34">
        <v>11389</v>
      </c>
      <c r="E10" s="34">
        <v>11389</v>
      </c>
      <c r="F10" s="20">
        <f t="shared" si="3"/>
        <v>6.8861095295597197E-2</v>
      </c>
      <c r="G10" s="2">
        <f t="shared" si="0"/>
        <v>0.2629039704524469</v>
      </c>
      <c r="H10" s="2">
        <f t="shared" si="1"/>
        <v>0.29996312684365783</v>
      </c>
      <c r="I10" s="29">
        <v>9.18</v>
      </c>
      <c r="J10" s="34">
        <v>7.0350000000000001</v>
      </c>
      <c r="K10" s="20">
        <f t="shared" si="4"/>
        <v>-0.2336601307189542</v>
      </c>
      <c r="L10" s="4">
        <f t="shared" si="2"/>
        <v>0.89690053885696164</v>
      </c>
      <c r="M10" s="103">
        <v>1</v>
      </c>
      <c r="N10" s="103">
        <v>1</v>
      </c>
      <c r="O10" s="34" t="s">
        <v>175</v>
      </c>
      <c r="P10" s="6"/>
      <c r="Q10" s="202"/>
    </row>
    <row r="11" spans="1:17">
      <c r="A11" s="13">
        <f t="shared" si="5"/>
        <v>46120</v>
      </c>
      <c r="B11" s="127">
        <v>11123.833333333334</v>
      </c>
      <c r="C11" s="127">
        <v>10655.266666666666</v>
      </c>
      <c r="D11" s="34">
        <v>11832</v>
      </c>
      <c r="E11" s="34">
        <v>11832</v>
      </c>
      <c r="F11" s="20">
        <f t="shared" si="3"/>
        <v>0.11043677930788533</v>
      </c>
      <c r="G11" s="2">
        <f t="shared" si="0"/>
        <v>0.27313019390581716</v>
      </c>
      <c r="H11" s="2">
        <f t="shared" si="1"/>
        <v>0.31163084702907712</v>
      </c>
      <c r="I11" s="29">
        <v>9.18</v>
      </c>
      <c r="J11" s="34">
        <v>7.6340000000000003</v>
      </c>
      <c r="K11" s="20">
        <f t="shared" si="4"/>
        <v>-0.16840958605664483</v>
      </c>
      <c r="L11" s="4">
        <f t="shared" si="2"/>
        <v>0.85867496119198483</v>
      </c>
      <c r="M11" s="103">
        <v>1</v>
      </c>
      <c r="N11" s="103">
        <v>1</v>
      </c>
      <c r="O11" s="34" t="s">
        <v>175</v>
      </c>
      <c r="P11" s="6"/>
      <c r="Q11" s="14"/>
    </row>
    <row r="12" spans="1:17">
      <c r="A12" s="13">
        <f t="shared" si="5"/>
        <v>46121</v>
      </c>
      <c r="B12" s="127">
        <v>11123.833333333334</v>
      </c>
      <c r="C12" s="127">
        <v>10655.266666666666</v>
      </c>
      <c r="D12" s="34">
        <v>11674</v>
      </c>
      <c r="E12" s="34">
        <v>11674</v>
      </c>
      <c r="F12" s="20">
        <f t="shared" si="3"/>
        <v>9.5608431511177594E-2</v>
      </c>
      <c r="G12" s="2">
        <f t="shared" si="0"/>
        <v>0.26948291782086797</v>
      </c>
      <c r="H12" s="2">
        <f t="shared" si="1"/>
        <v>0.30746944795617365</v>
      </c>
      <c r="I12" s="29">
        <v>9.18</v>
      </c>
      <c r="J12" s="34">
        <v>7.8470000000000004</v>
      </c>
      <c r="K12" s="20">
        <f t="shared" si="4"/>
        <v>-0.14520697167755983</v>
      </c>
      <c r="L12" s="4">
        <f t="shared" si="2"/>
        <v>0.82421180421827844</v>
      </c>
      <c r="M12" s="103">
        <v>1</v>
      </c>
      <c r="N12" s="103">
        <v>1</v>
      </c>
      <c r="O12" s="34" t="s">
        <v>175</v>
      </c>
      <c r="P12" s="6"/>
      <c r="Q12" s="6"/>
    </row>
    <row r="13" spans="1:17">
      <c r="A13" s="13">
        <f t="shared" si="5"/>
        <v>46122</v>
      </c>
      <c r="B13" s="127">
        <v>11123.833333333334</v>
      </c>
      <c r="C13" s="127">
        <v>10655.266666666666</v>
      </c>
      <c r="D13" s="34">
        <v>11884</v>
      </c>
      <c r="E13" s="34">
        <v>11884</v>
      </c>
      <c r="F13" s="20">
        <f t="shared" si="3"/>
        <v>0.11531699503844736</v>
      </c>
      <c r="G13" s="2">
        <f t="shared" si="0"/>
        <v>0.27433056325023086</v>
      </c>
      <c r="H13" s="2">
        <f t="shared" si="1"/>
        <v>0.31300042140750106</v>
      </c>
      <c r="I13" s="29">
        <v>9.18</v>
      </c>
      <c r="J13" s="34">
        <v>7.8529999999999998</v>
      </c>
      <c r="K13" s="20">
        <f t="shared" si="4"/>
        <v>-0.14455337690631809</v>
      </c>
      <c r="L13" s="4">
        <f t="shared" si="2"/>
        <v>0.83839723901764174</v>
      </c>
      <c r="M13" s="103">
        <v>1</v>
      </c>
      <c r="N13" s="103">
        <v>1</v>
      </c>
      <c r="O13" s="34" t="s">
        <v>175</v>
      </c>
      <c r="P13" s="6"/>
      <c r="Q13" s="16"/>
    </row>
    <row r="14" spans="1:17">
      <c r="A14" s="13">
        <f t="shared" si="5"/>
        <v>46123</v>
      </c>
      <c r="B14" s="127">
        <v>11123.833333333334</v>
      </c>
      <c r="C14" s="127">
        <v>10655.266666666666</v>
      </c>
      <c r="D14" s="34">
        <v>12412</v>
      </c>
      <c r="E14" s="34">
        <v>12412</v>
      </c>
      <c r="F14" s="20">
        <f t="shared" si="3"/>
        <v>0.16486995476415423</v>
      </c>
      <c r="G14" s="2">
        <f t="shared" si="0"/>
        <v>0.28651892890120034</v>
      </c>
      <c r="H14" s="2">
        <f t="shared" si="1"/>
        <v>0.32690686894226717</v>
      </c>
      <c r="I14" s="29">
        <v>9.18</v>
      </c>
      <c r="J14" s="34">
        <v>8.2550000000000008</v>
      </c>
      <c r="K14" s="20">
        <f t="shared" si="4"/>
        <v>-0.10076252723311535</v>
      </c>
      <c r="L14" s="4">
        <f t="shared" si="2"/>
        <v>0.83300475997926204</v>
      </c>
      <c r="M14" s="103">
        <v>1</v>
      </c>
      <c r="N14" s="103">
        <v>1</v>
      </c>
      <c r="O14" s="34" t="s">
        <v>175</v>
      </c>
      <c r="P14" s="6"/>
      <c r="Q14" s="6"/>
    </row>
    <row r="15" spans="1:17">
      <c r="A15" s="13">
        <f t="shared" si="5"/>
        <v>46124</v>
      </c>
      <c r="B15" s="127">
        <v>11123.833333333334</v>
      </c>
      <c r="C15" s="127">
        <v>10655.266666666666</v>
      </c>
      <c r="D15" s="34">
        <v>11516</v>
      </c>
      <c r="E15" s="34">
        <v>11516</v>
      </c>
      <c r="F15" s="20">
        <f t="shared" si="3"/>
        <v>8.0780083714469861E-2</v>
      </c>
      <c r="G15" s="2">
        <f t="shared" si="0"/>
        <v>0.26583564173591873</v>
      </c>
      <c r="H15" s="2">
        <f t="shared" si="1"/>
        <v>0.30330804888327012</v>
      </c>
      <c r="I15" s="29">
        <v>9.18</v>
      </c>
      <c r="J15" s="34">
        <v>8.2010000000000005</v>
      </c>
      <c r="K15" s="20">
        <f t="shared" si="4"/>
        <v>-0.10664488017429186</v>
      </c>
      <c r="L15" s="4">
        <f t="shared" si="2"/>
        <v>0.77796066353640403</v>
      </c>
      <c r="M15" s="104">
        <v>0.93679999999999997</v>
      </c>
      <c r="N15" s="103">
        <v>1</v>
      </c>
      <c r="O15" s="34">
        <v>250.1</v>
      </c>
      <c r="P15" s="6"/>
      <c r="Q15" s="6"/>
    </row>
    <row r="16" spans="1:17">
      <c r="A16" s="13">
        <f t="shared" si="5"/>
        <v>46125</v>
      </c>
      <c r="B16" s="127">
        <v>11123.833333333334</v>
      </c>
      <c r="C16" s="127">
        <v>10655.266666666666</v>
      </c>
      <c r="D16" s="34">
        <v>5481</v>
      </c>
      <c r="E16" s="34">
        <v>5481</v>
      </c>
      <c r="F16" s="20">
        <f t="shared" si="3"/>
        <v>-0.485606491938259</v>
      </c>
      <c r="G16" s="2">
        <f t="shared" si="0"/>
        <v>0.1265235457063712</v>
      </c>
      <c r="H16" s="2">
        <f t="shared" si="1"/>
        <v>0.14435840707964601</v>
      </c>
      <c r="I16" s="29">
        <v>9.18</v>
      </c>
      <c r="J16" s="34">
        <v>8.4600000000000009</v>
      </c>
      <c r="K16" s="20">
        <f t="shared" si="4"/>
        <v>-7.8431372549019482E-2</v>
      </c>
      <c r="L16" s="4">
        <f t="shared" si="2"/>
        <v>0.35893204455708139</v>
      </c>
      <c r="M16" s="104">
        <v>0.5</v>
      </c>
      <c r="N16" s="103">
        <v>1</v>
      </c>
      <c r="O16" s="34">
        <v>5250</v>
      </c>
      <c r="P16" s="6"/>
      <c r="Q16" s="31" t="s">
        <v>365</v>
      </c>
    </row>
    <row r="17" spans="1:17">
      <c r="A17" s="13">
        <f t="shared" si="5"/>
        <v>46126</v>
      </c>
      <c r="B17" s="127">
        <v>11123.833333333334</v>
      </c>
      <c r="C17" s="127">
        <v>10655.266666666666</v>
      </c>
      <c r="D17" s="34">
        <v>8533</v>
      </c>
      <c r="E17" s="34">
        <v>8533</v>
      </c>
      <c r="F17" s="20">
        <f t="shared" si="3"/>
        <v>-0.19917536867527169</v>
      </c>
      <c r="G17" s="2">
        <f t="shared" si="0"/>
        <v>0.19697599261311172</v>
      </c>
      <c r="H17" s="2">
        <f t="shared" si="1"/>
        <v>0.22474188790560473</v>
      </c>
      <c r="I17" s="29">
        <v>9.18</v>
      </c>
      <c r="J17" s="34">
        <v>8.8309999999999995</v>
      </c>
      <c r="K17" s="20">
        <f t="shared" si="4"/>
        <v>-3.8017429193899804E-2</v>
      </c>
      <c r="L17" s="4">
        <f t="shared" si="2"/>
        <v>0.53532146107062406</v>
      </c>
      <c r="M17" s="104">
        <v>0.5</v>
      </c>
      <c r="N17" s="103">
        <v>1</v>
      </c>
      <c r="O17" s="34">
        <v>4310</v>
      </c>
      <c r="P17" s="6"/>
      <c r="Q17" s="32" t="s">
        <v>365</v>
      </c>
    </row>
    <row r="18" spans="1:17">
      <c r="A18" s="13">
        <f t="shared" si="5"/>
        <v>46127</v>
      </c>
      <c r="B18" s="127">
        <v>11123.833333333334</v>
      </c>
      <c r="C18" s="127">
        <v>10655.266666666666</v>
      </c>
      <c r="D18" s="34">
        <v>8646</v>
      </c>
      <c r="E18" s="34">
        <v>8646</v>
      </c>
      <c r="F18" s="20">
        <f t="shared" si="3"/>
        <v>-0.18857028449155033</v>
      </c>
      <c r="G18" s="2">
        <f t="shared" si="0"/>
        <v>0.19958448753462604</v>
      </c>
      <c r="H18" s="2">
        <f t="shared" si="1"/>
        <v>0.2277180783817952</v>
      </c>
      <c r="I18" s="29">
        <v>9.18</v>
      </c>
      <c r="J18" s="34">
        <v>8.9589999999999996</v>
      </c>
      <c r="K18" s="20">
        <f t="shared" si="4"/>
        <v>-2.4074074074074085E-2</v>
      </c>
      <c r="L18" s="4">
        <f t="shared" si="2"/>
        <v>0.53466097788045819</v>
      </c>
      <c r="M18" s="104">
        <v>0.5</v>
      </c>
      <c r="N18" s="103">
        <v>1</v>
      </c>
      <c r="O18" s="34">
        <v>3940</v>
      </c>
      <c r="P18" s="6"/>
      <c r="Q18" s="32" t="s">
        <v>365</v>
      </c>
    </row>
    <row r="19" spans="1:17">
      <c r="A19" s="13">
        <f t="shared" si="5"/>
        <v>46128</v>
      </c>
      <c r="B19" s="127">
        <v>11123.833333333334</v>
      </c>
      <c r="C19" s="127">
        <v>10655.266666666666</v>
      </c>
      <c r="D19" s="34">
        <v>8348</v>
      </c>
      <c r="E19" s="34">
        <v>8348</v>
      </c>
      <c r="F19" s="20">
        <f t="shared" si="3"/>
        <v>-0.21653767463977125</v>
      </c>
      <c r="G19" s="2">
        <f t="shared" si="0"/>
        <v>0.19270544783010157</v>
      </c>
      <c r="H19" s="2">
        <f t="shared" si="1"/>
        <v>0.21986936367467341</v>
      </c>
      <c r="I19" s="29">
        <v>9.18</v>
      </c>
      <c r="J19" s="34">
        <v>8.8659999999999997</v>
      </c>
      <c r="K19" s="20">
        <f t="shared" si="4"/>
        <v>-3.4204793028322446E-2</v>
      </c>
      <c r="L19" s="4">
        <f t="shared" si="2"/>
        <v>0.52164795261926888</v>
      </c>
      <c r="M19" s="104">
        <v>0.5</v>
      </c>
      <c r="N19" s="103">
        <v>1</v>
      </c>
      <c r="O19" s="34">
        <v>3788</v>
      </c>
      <c r="P19" s="6"/>
      <c r="Q19" s="32" t="s">
        <v>365</v>
      </c>
    </row>
    <row r="20" spans="1:17">
      <c r="A20" s="13">
        <f t="shared" si="5"/>
        <v>46129</v>
      </c>
      <c r="B20" s="127">
        <v>11123.833333333334</v>
      </c>
      <c r="C20" s="127">
        <v>10655.266666666666</v>
      </c>
      <c r="D20" s="34">
        <v>12071</v>
      </c>
      <c r="E20" s="34">
        <v>12071</v>
      </c>
      <c r="F20" s="20">
        <f t="shared" si="3"/>
        <v>0.13286700160796855</v>
      </c>
      <c r="G20" s="2">
        <f t="shared" si="0"/>
        <v>0.27864727608494921</v>
      </c>
      <c r="H20" s="2">
        <f t="shared" si="1"/>
        <v>0.31792562157606408</v>
      </c>
      <c r="I20" s="29">
        <v>9.18</v>
      </c>
      <c r="J20" s="34">
        <v>8.3190000000000008</v>
      </c>
      <c r="K20" s="20">
        <f t="shared" si="4"/>
        <v>-9.3790849673202489E-2</v>
      </c>
      <c r="L20" s="4">
        <f t="shared" si="2"/>
        <v>0.80388684049029691</v>
      </c>
      <c r="M20" s="103">
        <v>1</v>
      </c>
      <c r="N20" s="103">
        <v>1</v>
      </c>
      <c r="O20" s="34" t="s">
        <v>175</v>
      </c>
      <c r="P20" s="6"/>
      <c r="Q20" s="6"/>
    </row>
    <row r="21" spans="1:17">
      <c r="A21" s="13">
        <f t="shared" si="5"/>
        <v>46130</v>
      </c>
      <c r="B21" s="127">
        <v>11123.833333333334</v>
      </c>
      <c r="C21" s="127">
        <v>10655.266666666666</v>
      </c>
      <c r="D21" s="34">
        <v>12697</v>
      </c>
      <c r="E21" s="34">
        <v>12697</v>
      </c>
      <c r="F21" s="20">
        <f t="shared" si="3"/>
        <v>0.19161729097973462</v>
      </c>
      <c r="G21" s="2">
        <f t="shared" si="0"/>
        <v>0.29309787626962142</v>
      </c>
      <c r="H21" s="2">
        <f t="shared" si="1"/>
        <v>0.33441319005478298</v>
      </c>
      <c r="I21" s="29">
        <v>9.18</v>
      </c>
      <c r="J21" s="34">
        <v>8.4079999999999995</v>
      </c>
      <c r="K21" s="20">
        <f t="shared" si="4"/>
        <v>-8.4095860566448827E-2</v>
      </c>
      <c r="L21" s="4">
        <f t="shared" si="2"/>
        <v>0.8366257172301278</v>
      </c>
      <c r="M21" s="103">
        <v>1</v>
      </c>
      <c r="N21" s="103">
        <v>1</v>
      </c>
      <c r="O21" s="34" t="s">
        <v>175</v>
      </c>
      <c r="P21" s="6"/>
      <c r="Q21" s="14"/>
    </row>
    <row r="22" spans="1:17">
      <c r="A22" s="13">
        <f t="shared" si="5"/>
        <v>46131</v>
      </c>
      <c r="B22" s="127">
        <v>11123.833333333334</v>
      </c>
      <c r="C22" s="127">
        <v>10655.266666666666</v>
      </c>
      <c r="D22" s="34">
        <v>12409</v>
      </c>
      <c r="E22" s="34">
        <v>12409</v>
      </c>
      <c r="F22" s="20">
        <f t="shared" si="3"/>
        <v>0.1645884038566218</v>
      </c>
      <c r="G22" s="2">
        <f t="shared" si="0"/>
        <v>0.28644967682363803</v>
      </c>
      <c r="H22" s="2">
        <f t="shared" si="1"/>
        <v>0.32682785503581963</v>
      </c>
      <c r="I22" s="29">
        <v>9.18</v>
      </c>
      <c r="J22" s="34">
        <v>8.3689999999999998</v>
      </c>
      <c r="K22" s="20">
        <f t="shared" si="4"/>
        <v>-8.8344226579520693E-2</v>
      </c>
      <c r="L22" s="4">
        <f t="shared" si="2"/>
        <v>0.82145922377432345</v>
      </c>
      <c r="M22" s="103">
        <v>1</v>
      </c>
      <c r="N22" s="103">
        <v>1</v>
      </c>
      <c r="O22" s="34" t="s">
        <v>175</v>
      </c>
      <c r="P22" s="6"/>
      <c r="Q22" s="14"/>
    </row>
    <row r="23" spans="1:17">
      <c r="A23" s="13">
        <f t="shared" si="5"/>
        <v>46132</v>
      </c>
      <c r="B23" s="127">
        <v>11123.833333333334</v>
      </c>
      <c r="C23" s="127">
        <v>10655.266666666666</v>
      </c>
      <c r="D23" s="34">
        <v>12541</v>
      </c>
      <c r="E23" s="34">
        <v>12541</v>
      </c>
      <c r="F23" s="20">
        <f t="shared" si="3"/>
        <v>0.1769766437880485</v>
      </c>
      <c r="G23" s="2">
        <f t="shared" si="0"/>
        <v>0.28949676823638043</v>
      </c>
      <c r="H23" s="2">
        <f t="shared" si="1"/>
        <v>0.33030446691951115</v>
      </c>
      <c r="I23" s="29">
        <v>9.18</v>
      </c>
      <c r="J23" s="34">
        <v>8.0150000000000006</v>
      </c>
      <c r="K23" s="20">
        <f t="shared" si="4"/>
        <v>-0.12690631808278857</v>
      </c>
      <c r="L23" s="4">
        <f t="shared" si="2"/>
        <v>0.86686493295984157</v>
      </c>
      <c r="M23" s="103">
        <v>1</v>
      </c>
      <c r="N23" s="103">
        <v>1</v>
      </c>
      <c r="O23" s="34" t="s">
        <v>175</v>
      </c>
      <c r="P23" s="6"/>
      <c r="Q23" s="14"/>
    </row>
    <row r="24" spans="1:17">
      <c r="A24" s="13">
        <f t="shared" si="5"/>
        <v>46133</v>
      </c>
      <c r="B24" s="127">
        <v>11123.833333333334</v>
      </c>
      <c r="C24" s="127">
        <v>10655.266666666666</v>
      </c>
      <c r="D24" s="34">
        <v>12937</v>
      </c>
      <c r="E24" s="34">
        <v>12937</v>
      </c>
      <c r="F24" s="20">
        <f>(IF(ISBLANK(E24),0,E24-C24))/C24</f>
        <v>0.21414136358232863</v>
      </c>
      <c r="G24" s="2">
        <f t="shared" si="0"/>
        <v>0.29863804247460757</v>
      </c>
      <c r="H24" s="2">
        <f t="shared" si="1"/>
        <v>0.34073430257058573</v>
      </c>
      <c r="I24" s="29">
        <v>9.18</v>
      </c>
      <c r="J24" s="34">
        <v>7.468</v>
      </c>
      <c r="K24" s="20">
        <f>(IF(ISBLANK(J24),0,J24-I24))/I24</f>
        <v>-0.18649237472766883</v>
      </c>
      <c r="L24" s="4">
        <f t="shared" si="2"/>
        <v>0.9597366121305011</v>
      </c>
      <c r="M24" s="103">
        <v>1</v>
      </c>
      <c r="N24" s="103">
        <v>1</v>
      </c>
      <c r="O24" s="34" t="s">
        <v>175</v>
      </c>
      <c r="P24" s="6"/>
      <c r="Q24" s="6"/>
    </row>
    <row r="25" spans="1:17">
      <c r="A25" s="13">
        <f t="shared" si="5"/>
        <v>46134</v>
      </c>
      <c r="B25" s="127">
        <v>11123.833333333334</v>
      </c>
      <c r="C25" s="127">
        <v>10655.266666666666</v>
      </c>
      <c r="D25" s="34">
        <v>13068</v>
      </c>
      <c r="E25" s="34">
        <v>13068</v>
      </c>
      <c r="F25" s="20">
        <f t="shared" si="3"/>
        <v>0.22643575321124454</v>
      </c>
      <c r="G25" s="2">
        <f t="shared" si="0"/>
        <v>0.30166204986149586</v>
      </c>
      <c r="H25" s="2">
        <f t="shared" si="1"/>
        <v>0.34418457648546147</v>
      </c>
      <c r="I25" s="29">
        <v>9.18</v>
      </c>
      <c r="J25" s="34">
        <v>8.7639999999999993</v>
      </c>
      <c r="K25" s="20">
        <f t="shared" si="4"/>
        <v>-4.5315904139433594E-2</v>
      </c>
      <c r="L25" s="4">
        <f t="shared" si="2"/>
        <v>0.82609415753946835</v>
      </c>
      <c r="M25" s="103">
        <v>1</v>
      </c>
      <c r="N25" s="103">
        <v>1</v>
      </c>
      <c r="O25" s="34" t="s">
        <v>175</v>
      </c>
      <c r="P25" s="6"/>
      <c r="Q25" s="6"/>
    </row>
    <row r="26" spans="1:17">
      <c r="A26" s="13">
        <f t="shared" si="5"/>
        <v>46135</v>
      </c>
      <c r="B26" s="127">
        <v>11123.833333333334</v>
      </c>
      <c r="C26" s="127">
        <v>10655.266666666666</v>
      </c>
      <c r="D26" s="14">
        <v>12636</v>
      </c>
      <c r="E26" s="14">
        <v>12636</v>
      </c>
      <c r="F26" s="20">
        <f t="shared" si="3"/>
        <v>0.18589242252657531</v>
      </c>
      <c r="G26" s="2">
        <f t="shared" si="0"/>
        <v>0.29168975069252079</v>
      </c>
      <c r="H26" s="2">
        <f t="shared" si="1"/>
        <v>0.33280657395701646</v>
      </c>
      <c r="I26" s="29">
        <v>9.18</v>
      </c>
      <c r="J26" s="14">
        <v>7.976</v>
      </c>
      <c r="K26" s="20">
        <f t="shared" si="4"/>
        <v>-0.13115468409586054</v>
      </c>
      <c r="L26" s="4">
        <f t="shared" si="2"/>
        <v>0.87770235915502737</v>
      </c>
      <c r="M26" s="103">
        <v>1</v>
      </c>
      <c r="N26" s="103">
        <v>1</v>
      </c>
      <c r="O26" s="34" t="s">
        <v>175</v>
      </c>
      <c r="P26" s="6"/>
      <c r="Q26" s="6"/>
    </row>
    <row r="27" spans="1:17">
      <c r="A27" s="13">
        <f t="shared" si="5"/>
        <v>46136</v>
      </c>
      <c r="B27" s="127">
        <v>11123.833333333334</v>
      </c>
      <c r="C27" s="127">
        <v>10655.266666666666</v>
      </c>
      <c r="D27" s="14">
        <v>13143</v>
      </c>
      <c r="E27" s="14">
        <v>13143</v>
      </c>
      <c r="F27" s="20">
        <f t="shared" si="3"/>
        <v>0.23347452589955517</v>
      </c>
      <c r="G27" s="2">
        <f t="shared" ref="G27:G33" si="6">D27/($D$2*24)</f>
        <v>0.30339335180055399</v>
      </c>
      <c r="H27" s="2">
        <f t="shared" si="1"/>
        <v>0.34615992414664981</v>
      </c>
      <c r="I27" s="29">
        <v>9.18</v>
      </c>
      <c r="J27" s="14">
        <v>8.375</v>
      </c>
      <c r="K27" s="20">
        <f t="shared" si="4"/>
        <v>-8.7690631808278838E-2</v>
      </c>
      <c r="L27" s="4">
        <f t="shared" si="2"/>
        <v>0.86942572456278167</v>
      </c>
      <c r="M27" s="103">
        <v>1</v>
      </c>
      <c r="N27" s="103">
        <v>1</v>
      </c>
      <c r="O27" s="34" t="s">
        <v>175</v>
      </c>
      <c r="P27" s="6"/>
      <c r="Q27" s="288"/>
    </row>
    <row r="28" spans="1:17">
      <c r="A28" s="13">
        <f t="shared" si="5"/>
        <v>46137</v>
      </c>
      <c r="B28" s="1">
        <v>11124</v>
      </c>
      <c r="C28" s="1">
        <v>10655</v>
      </c>
      <c r="D28" s="14">
        <v>12494</v>
      </c>
      <c r="E28" s="14">
        <v>12494</v>
      </c>
      <c r="F28" s="20">
        <f t="shared" si="3"/>
        <v>0.17259502580947911</v>
      </c>
      <c r="G28" s="2">
        <f t="shared" si="6"/>
        <v>0.2884118190212373</v>
      </c>
      <c r="H28" s="2">
        <f t="shared" si="1"/>
        <v>0.32906658238516645</v>
      </c>
      <c r="I28" s="29">
        <v>9.18</v>
      </c>
      <c r="J28" s="14">
        <v>8.0890000000000004</v>
      </c>
      <c r="K28" s="20">
        <f t="shared" si="4"/>
        <v>-0.11884531590413937</v>
      </c>
      <c r="L28" s="4">
        <f t="shared" si="2"/>
        <v>0.85571562078250651</v>
      </c>
      <c r="M28" s="103">
        <v>1</v>
      </c>
      <c r="N28" s="103">
        <v>1</v>
      </c>
      <c r="O28" s="34" t="s">
        <v>175</v>
      </c>
      <c r="P28" s="155"/>
      <c r="Q28" s="6"/>
    </row>
    <row r="29" spans="1:17">
      <c r="A29" s="13">
        <f t="shared" si="5"/>
        <v>46138</v>
      </c>
      <c r="B29" s="1">
        <v>11124</v>
      </c>
      <c r="C29" s="1">
        <v>10655</v>
      </c>
      <c r="D29" s="14">
        <v>12098</v>
      </c>
      <c r="E29" s="14">
        <v>12098</v>
      </c>
      <c r="F29" s="20">
        <f t="shared" si="3"/>
        <v>0.13542937587986861</v>
      </c>
      <c r="G29" s="2">
        <f t="shared" si="6"/>
        <v>0.27927054478301017</v>
      </c>
      <c r="H29" s="2">
        <f t="shared" si="1"/>
        <v>0.31863674673409187</v>
      </c>
      <c r="I29" s="29">
        <v>9.18</v>
      </c>
      <c r="J29" s="14">
        <v>7.6890000000000001</v>
      </c>
      <c r="K29" s="20">
        <f t="shared" si="4"/>
        <v>-0.16241830065359475</v>
      </c>
      <c r="L29" s="4">
        <f t="shared" si="2"/>
        <v>0.87169893026300471</v>
      </c>
      <c r="M29" s="103">
        <v>1</v>
      </c>
      <c r="N29" s="103">
        <v>1</v>
      </c>
      <c r="O29" s="34" t="s">
        <v>175</v>
      </c>
      <c r="P29" s="6"/>
      <c r="Q29" s="123"/>
    </row>
    <row r="30" spans="1:17">
      <c r="A30" s="13">
        <f t="shared" si="5"/>
        <v>46139</v>
      </c>
      <c r="B30" s="1">
        <v>11124</v>
      </c>
      <c r="C30" s="1">
        <v>10655</v>
      </c>
      <c r="D30" s="14">
        <v>12517</v>
      </c>
      <c r="E30" s="14">
        <v>12517</v>
      </c>
      <c r="F30" s="20">
        <f t="shared" si="3"/>
        <v>0.17475363679023934</v>
      </c>
      <c r="G30" s="2">
        <f t="shared" si="6"/>
        <v>0.28894275161588179</v>
      </c>
      <c r="H30" s="2">
        <f t="shared" si="1"/>
        <v>0.32967235566793091</v>
      </c>
      <c r="I30" s="29">
        <v>9.18</v>
      </c>
      <c r="J30" s="14">
        <v>8.4629999999999992</v>
      </c>
      <c r="K30" s="20">
        <f t="shared" si="4"/>
        <v>-7.8104575163398748E-2</v>
      </c>
      <c r="L30" s="4">
        <f t="shared" si="2"/>
        <v>0.81940518005212859</v>
      </c>
      <c r="M30" s="103">
        <v>1</v>
      </c>
      <c r="N30" s="103">
        <v>1</v>
      </c>
      <c r="O30" s="34" t="s">
        <v>175</v>
      </c>
      <c r="P30" s="6"/>
      <c r="Q30" s="6"/>
    </row>
    <row r="31" spans="1:17">
      <c r="A31" s="13">
        <f t="shared" si="5"/>
        <v>46140</v>
      </c>
      <c r="B31" s="1">
        <v>11124</v>
      </c>
      <c r="C31" s="1">
        <v>10655</v>
      </c>
      <c r="D31" s="14">
        <v>13049</v>
      </c>
      <c r="E31" s="14">
        <v>13049</v>
      </c>
      <c r="F31" s="20">
        <f t="shared" si="3"/>
        <v>0.22468324730173628</v>
      </c>
      <c r="G31" s="2">
        <f t="shared" si="6"/>
        <v>0.30122345337026779</v>
      </c>
      <c r="H31" s="2">
        <f t="shared" ref="H31:H33" si="7">D31/($H$2*24)</f>
        <v>0.34368415507796041</v>
      </c>
      <c r="I31" s="29">
        <v>9.18</v>
      </c>
      <c r="J31" s="14">
        <v>8.4559999999999995</v>
      </c>
      <c r="K31" s="20">
        <f t="shared" si="4"/>
        <v>-7.8867102396514191E-2</v>
      </c>
      <c r="L31" s="4">
        <f t="shared" si="2"/>
        <v>0.85493884589479974</v>
      </c>
      <c r="M31" s="103">
        <v>1</v>
      </c>
      <c r="N31" s="103">
        <v>1</v>
      </c>
      <c r="O31" s="34" t="s">
        <v>175</v>
      </c>
      <c r="P31" s="6"/>
      <c r="Q31" s="6"/>
    </row>
    <row r="32" spans="1:17">
      <c r="A32" s="13">
        <f t="shared" si="5"/>
        <v>46141</v>
      </c>
      <c r="B32" s="1">
        <v>11124</v>
      </c>
      <c r="C32" s="1">
        <v>10655</v>
      </c>
      <c r="D32" s="14">
        <v>12865</v>
      </c>
      <c r="E32" s="14">
        <v>12865</v>
      </c>
      <c r="F32" s="20">
        <f t="shared" si="3"/>
        <v>0.20741435945565462</v>
      </c>
      <c r="G32" s="2">
        <f t="shared" si="6"/>
        <v>0.29697599261311175</v>
      </c>
      <c r="H32" s="2">
        <f t="shared" si="7"/>
        <v>0.33883796881584494</v>
      </c>
      <c r="I32" s="29">
        <v>9.18</v>
      </c>
      <c r="J32" s="14">
        <v>8.6340000000000003</v>
      </c>
      <c r="K32" s="20">
        <f t="shared" si="4"/>
        <v>-5.947712418300647E-2</v>
      </c>
      <c r="L32" s="4">
        <f t="shared" si="2"/>
        <v>0.82550658127341681</v>
      </c>
      <c r="M32" s="103">
        <v>1</v>
      </c>
      <c r="N32" s="103">
        <v>1</v>
      </c>
      <c r="O32" s="34" t="s">
        <v>175</v>
      </c>
      <c r="P32" s="6"/>
      <c r="Q32" s="6"/>
    </row>
    <row r="33" spans="1:17">
      <c r="A33" s="13">
        <f t="shared" si="5"/>
        <v>46142</v>
      </c>
      <c r="B33" s="1">
        <v>11124</v>
      </c>
      <c r="C33" s="1">
        <v>10655</v>
      </c>
      <c r="D33" s="14">
        <v>13031</v>
      </c>
      <c r="E33" s="14">
        <v>13031</v>
      </c>
      <c r="F33" s="20">
        <f t="shared" si="3"/>
        <v>0.22299389957766308</v>
      </c>
      <c r="G33" s="2">
        <f t="shared" si="6"/>
        <v>0.30080794090489382</v>
      </c>
      <c r="H33" s="2">
        <f t="shared" si="7"/>
        <v>0.34321007163927519</v>
      </c>
      <c r="I33" s="29">
        <v>9.18</v>
      </c>
      <c r="J33" s="14">
        <v>8.5250000000000004</v>
      </c>
      <c r="K33" s="20">
        <f t="shared" si="4"/>
        <v>-7.1350762527233047E-2</v>
      </c>
      <c r="L33" s="4">
        <f t="shared" si="2"/>
        <v>0.84684933509882132</v>
      </c>
      <c r="M33" s="103">
        <v>1</v>
      </c>
      <c r="N33" s="103">
        <v>1</v>
      </c>
      <c r="O33" s="34" t="s">
        <v>175</v>
      </c>
      <c r="P33" s="6"/>
      <c r="Q33" s="6"/>
    </row>
    <row r="34" spans="1:17">
      <c r="A34" s="349">
        <v>46113</v>
      </c>
      <c r="B34" s="89">
        <f>SUM(B4:B33)</f>
        <v>333716.00000000006</v>
      </c>
      <c r="C34" s="89">
        <f>SUM(C4:C33)</f>
        <v>319656.39999999991</v>
      </c>
      <c r="D34" s="89">
        <f>SUM(D4:D33)</f>
        <v>340823</v>
      </c>
      <c r="E34" s="89">
        <f>SUM(E4:E33)</f>
        <v>340823</v>
      </c>
      <c r="F34" s="160">
        <f>(IF(ISBLANK(E34),0,E34-C34))/C34</f>
        <v>6.621672520869315E-2</v>
      </c>
      <c r="G34" s="90">
        <f>AVERAGE(G4:G33)</f>
        <v>0.26225223145583254</v>
      </c>
      <c r="H34" s="90">
        <f>AVERAGE(H4:H33)</f>
        <v>0.29921951819075715</v>
      </c>
      <c r="I34" s="89">
        <f>SUM(I4:I33)</f>
        <v>275.40000000000015</v>
      </c>
      <c r="J34" s="89">
        <f>SUM(J4:J33)</f>
        <v>237.96599999999998</v>
      </c>
      <c r="K34" s="160">
        <f t="shared" si="4"/>
        <v>-0.13592592592592645</v>
      </c>
      <c r="L34" s="161">
        <f t="shared" si="2"/>
        <v>0.79348144965330958</v>
      </c>
      <c r="M34" s="90">
        <f>AVERAGE(M4:M33)</f>
        <v>0.93122666666666665</v>
      </c>
      <c r="N34" s="90">
        <f>AVERAGE(N4:N33)</f>
        <v>0.9969433333333334</v>
      </c>
      <c r="O34" s="89">
        <f>SUM(O4:O33)</f>
        <v>17927.32</v>
      </c>
      <c r="P34" s="89">
        <f>SUM(P4:P33)</f>
        <v>0</v>
      </c>
      <c r="Q34" s="19"/>
    </row>
    <row r="35" spans="1:17">
      <c r="A35" s="13">
        <v>46143</v>
      </c>
      <c r="B35" s="127">
        <v>10486</v>
      </c>
      <c r="C35" s="127">
        <v>10044</v>
      </c>
      <c r="D35" s="33">
        <v>12789</v>
      </c>
      <c r="E35" s="33">
        <v>12789</v>
      </c>
      <c r="F35" s="20">
        <f>(IF(ISBLANK(E35),0,E35-C35))/C35</f>
        <v>0.27329749103942652</v>
      </c>
      <c r="G35" s="2">
        <f t="shared" ref="G35:G57" si="8">D35/($D$2*24)</f>
        <v>0.29522160664819946</v>
      </c>
      <c r="H35" s="2">
        <f t="shared" ref="H35:H61" si="9">D35/($H$2*24)</f>
        <v>0.33683628318584069</v>
      </c>
      <c r="I35" s="28">
        <v>8.52</v>
      </c>
      <c r="J35" s="33">
        <v>8.3770000000000007</v>
      </c>
      <c r="K35" s="20">
        <f>(IF(ISBLANK(J35),0,J35-I35))/I35</f>
        <v>-1.6784037558685318E-2</v>
      </c>
      <c r="L35" s="4">
        <f t="shared" si="2"/>
        <v>0.84580620264495476</v>
      </c>
      <c r="M35" s="103">
        <v>1</v>
      </c>
      <c r="N35" s="103">
        <v>1</v>
      </c>
      <c r="O35" s="33"/>
      <c r="P35" s="6"/>
      <c r="Q35" s="6"/>
    </row>
    <row r="36" spans="1:17">
      <c r="A36" s="13">
        <f>A35+1</f>
        <v>46144</v>
      </c>
      <c r="B36" s="127">
        <v>10486</v>
      </c>
      <c r="C36" s="127">
        <v>10044</v>
      </c>
      <c r="D36" s="34">
        <v>12869</v>
      </c>
      <c r="E36" s="34">
        <v>12869</v>
      </c>
      <c r="F36" s="20">
        <f t="shared" ref="F36:F54" si="10">(IF(ISBLANK(E36),0,E36-C36))/C36</f>
        <v>0.28126244524093985</v>
      </c>
      <c r="G36" s="2">
        <f t="shared" si="8"/>
        <v>0.29706832871652816</v>
      </c>
      <c r="H36" s="2">
        <f t="shared" si="9"/>
        <v>0.33894332069110827</v>
      </c>
      <c r="I36" s="28">
        <v>8.52</v>
      </c>
      <c r="J36" s="34">
        <v>8.4789999999999992</v>
      </c>
      <c r="K36" s="20">
        <f t="shared" ref="K36:K54" si="11">(IF(ISBLANK(J36),0,J36-I36))/I36</f>
        <v>-4.8122065727699967E-3</v>
      </c>
      <c r="L36" s="4">
        <f t="shared" ref="L36:L66" si="12">D36/($D$2*J36)</f>
        <v>0.84085857874710179</v>
      </c>
      <c r="M36" s="103">
        <v>1</v>
      </c>
      <c r="N36" s="103">
        <v>1</v>
      </c>
      <c r="O36" s="34"/>
      <c r="P36" s="6"/>
      <c r="Q36" s="6"/>
    </row>
    <row r="37" spans="1:17">
      <c r="A37" s="13">
        <f t="shared" ref="A37:A65" si="13">A36+1</f>
        <v>46145</v>
      </c>
      <c r="B37" s="127">
        <v>10486</v>
      </c>
      <c r="C37" s="127">
        <v>10044</v>
      </c>
      <c r="D37" s="34">
        <v>12973</v>
      </c>
      <c r="E37" s="34">
        <v>12973</v>
      </c>
      <c r="F37" s="20">
        <f t="shared" si="10"/>
        <v>0.29161688570290722</v>
      </c>
      <c r="G37" s="2">
        <f t="shared" si="8"/>
        <v>0.2994690674053555</v>
      </c>
      <c r="H37" s="2">
        <f t="shared" si="9"/>
        <v>0.34168246944795616</v>
      </c>
      <c r="I37" s="28">
        <v>8.52</v>
      </c>
      <c r="J37" s="34">
        <v>8.3930000000000007</v>
      </c>
      <c r="K37" s="20">
        <f>(IF(ISBLANK(J37),0,J37-I37))/I37</f>
        <v>-1.4906103286384847E-2</v>
      </c>
      <c r="L37" s="4">
        <f>D37/($D$2*J37)</f>
        <v>0.8563395231417289</v>
      </c>
      <c r="M37" s="103">
        <v>1</v>
      </c>
      <c r="N37" s="103">
        <v>1</v>
      </c>
      <c r="O37" s="34"/>
      <c r="P37" s="6"/>
      <c r="Q37" s="6"/>
    </row>
    <row r="38" spans="1:17">
      <c r="A38" s="13">
        <f t="shared" si="13"/>
        <v>46146</v>
      </c>
      <c r="B38" s="127">
        <v>10486</v>
      </c>
      <c r="C38" s="127">
        <v>10044</v>
      </c>
      <c r="D38" s="34">
        <v>12782</v>
      </c>
      <c r="E38" s="34">
        <v>12782</v>
      </c>
      <c r="F38" s="20">
        <f t="shared" si="10"/>
        <v>0.27260055754679413</v>
      </c>
      <c r="G38" s="2">
        <f t="shared" si="8"/>
        <v>0.29506001846722069</v>
      </c>
      <c r="H38" s="2">
        <f t="shared" si="9"/>
        <v>0.33665191740412981</v>
      </c>
      <c r="I38" s="28">
        <v>8.52</v>
      </c>
      <c r="J38" s="34">
        <v>8.3030000000000008</v>
      </c>
      <c r="K38" s="20">
        <f>(IF(ISBLANK(J38),0,J38-I38))/I38</f>
        <v>-2.5469483568074974E-2</v>
      </c>
      <c r="L38" s="4">
        <f>D38/($D$2*J38)</f>
        <v>0.85287732665461835</v>
      </c>
      <c r="M38" s="103">
        <v>1</v>
      </c>
      <c r="N38" s="103">
        <v>1</v>
      </c>
      <c r="O38" s="34"/>
      <c r="P38" s="6"/>
      <c r="Q38" s="14"/>
    </row>
    <row r="39" spans="1:17">
      <c r="A39" s="13">
        <f t="shared" si="13"/>
        <v>46147</v>
      </c>
      <c r="B39" s="127">
        <v>10486</v>
      </c>
      <c r="C39" s="127">
        <v>10044</v>
      </c>
      <c r="D39" s="34">
        <v>12174</v>
      </c>
      <c r="E39" s="34">
        <v>12174</v>
      </c>
      <c r="F39" s="20">
        <f t="shared" si="10"/>
        <v>0.21206690561529271</v>
      </c>
      <c r="G39" s="2">
        <f t="shared" si="8"/>
        <v>0.28102493074792245</v>
      </c>
      <c r="H39" s="2">
        <f t="shared" si="9"/>
        <v>0.32063843236409606</v>
      </c>
      <c r="I39" s="28">
        <v>8.52</v>
      </c>
      <c r="J39" s="34">
        <v>7.915</v>
      </c>
      <c r="K39" s="20">
        <f t="shared" si="11"/>
        <v>-7.1009389671361445E-2</v>
      </c>
      <c r="L39" s="4">
        <f t="shared" si="12"/>
        <v>0.8521286592482803</v>
      </c>
      <c r="M39" s="103">
        <v>1</v>
      </c>
      <c r="N39" s="103">
        <v>1</v>
      </c>
      <c r="O39" s="34"/>
      <c r="P39" s="6"/>
      <c r="Q39" s="14"/>
    </row>
    <row r="40" spans="1:17">
      <c r="A40" s="13">
        <f t="shared" si="13"/>
        <v>46148</v>
      </c>
      <c r="B40" s="127">
        <v>10486</v>
      </c>
      <c r="C40" s="127">
        <v>10044</v>
      </c>
      <c r="D40" s="34">
        <v>12832</v>
      </c>
      <c r="E40" s="34">
        <v>12832</v>
      </c>
      <c r="F40" s="20">
        <f t="shared" si="10"/>
        <v>0.27757865392273995</v>
      </c>
      <c r="G40" s="2">
        <f t="shared" si="8"/>
        <v>0.29621421975992612</v>
      </c>
      <c r="H40" s="2">
        <f t="shared" si="9"/>
        <v>0.33796881584492205</v>
      </c>
      <c r="I40" s="28">
        <v>8.52</v>
      </c>
      <c r="J40" s="34">
        <v>8.5500000000000007</v>
      </c>
      <c r="K40" s="20">
        <f t="shared" si="11"/>
        <v>3.5211267605635139E-3</v>
      </c>
      <c r="L40" s="4">
        <f t="shared" si="12"/>
        <v>0.83147851160681008</v>
      </c>
      <c r="M40" s="103">
        <v>1</v>
      </c>
      <c r="N40" s="103">
        <v>1</v>
      </c>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4" si="14">(IF(ISBLANK(E56),0,E56-C56))/C56</f>
        <v>#DIV/0!</v>
      </c>
      <c r="G56" s="2">
        <f t="shared" si="8"/>
        <v>0</v>
      </c>
      <c r="H56" s="2">
        <f t="shared" si="9"/>
        <v>0</v>
      </c>
      <c r="I56" s="29"/>
      <c r="J56" s="34"/>
      <c r="K56" s="20" t="e">
        <f t="shared" ref="K56:K64"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4"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4"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ref="F65" si="18">(IF(ISBLANK(E65),0,E65-C65))/C65</f>
        <v>#DIV/0!</v>
      </c>
      <c r="G65" s="2">
        <f t="shared" ref="G65" si="19">D65/($D$2*24)</f>
        <v>0</v>
      </c>
      <c r="H65" s="2">
        <f t="shared" ref="H65" si="20">D65/($H$2*24)</f>
        <v>0</v>
      </c>
      <c r="I65" s="29"/>
      <c r="J65" s="14"/>
      <c r="K65" s="20" t="e">
        <f t="shared" ref="K65" si="21">(IF(ISBLANK(J65),0,J65-I65))/I65</f>
        <v>#DIV/0!</v>
      </c>
      <c r="L65" s="4" t="e">
        <f t="shared" si="12"/>
        <v>#DIV/0!</v>
      </c>
      <c r="M65" s="103"/>
      <c r="N65" s="103"/>
      <c r="O65" s="34"/>
      <c r="P65" s="6"/>
      <c r="Q65" s="6"/>
    </row>
    <row r="66" spans="1:17">
      <c r="A66" s="349">
        <v>46143</v>
      </c>
      <c r="B66" s="89">
        <f>SUM(B35:B65)</f>
        <v>62916</v>
      </c>
      <c r="C66" s="89">
        <f>SUM(C35:C65)</f>
        <v>60264</v>
      </c>
      <c r="D66" s="89">
        <f>SUM(D35:D65)</f>
        <v>76419</v>
      </c>
      <c r="E66" s="89">
        <f>SUM(E35:E65)</f>
        <v>76419</v>
      </c>
      <c r="F66" s="160">
        <f>(IF(ISBLANK(E66),0,E66-C66))/C66</f>
        <v>0.2680704898446834</v>
      </c>
      <c r="G66" s="90">
        <f>AVERAGE(G35:G65)</f>
        <v>5.6905102314359753E-2</v>
      </c>
      <c r="H66" s="90">
        <f>AVERAGE(H35:H65)</f>
        <v>6.4926491578646869E-2</v>
      </c>
      <c r="I66" s="89">
        <f>SUM(I35:I65)</f>
        <v>51.11999999999999</v>
      </c>
      <c r="J66" s="89">
        <f>SUM(J35:J65)</f>
        <v>50.01700000000001</v>
      </c>
      <c r="K66" s="160">
        <f>(IF(ISBLANK(J66),0,J66-I66))/I66</f>
        <v>-2.1576682316118551E-2</v>
      </c>
      <c r="L66" s="161">
        <f t="shared" si="12"/>
        <v>0.84646012599483478</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0F6F-EB24-41B0-94F4-902B7207A5A0}">
  <dimension ref="A1:Q66"/>
  <sheetViews>
    <sheetView workbookViewId="0">
      <pane xSplit="1" ySplit="3" topLeftCell="B29" activePane="bottomRight" state="frozen"/>
      <selection pane="topRight"/>
      <selection pane="bottomLeft"/>
      <selection pane="bottomRight" activeCell="Q34" sqref="Q34"/>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7.1796875" bestFit="1" customWidth="1"/>
    <col min="9" max="10" width="9.7265625" bestFit="1" customWidth="1"/>
    <col min="11" max="11" width="9.816406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366</v>
      </c>
      <c r="B1" s="406"/>
      <c r="C1" s="406"/>
      <c r="D1" s="406"/>
      <c r="E1" s="406"/>
      <c r="F1" s="406"/>
      <c r="G1" s="406"/>
      <c r="H1" s="406"/>
      <c r="I1" s="406"/>
      <c r="J1" s="406"/>
      <c r="K1" s="406"/>
      <c r="L1" s="406"/>
      <c r="M1" s="406"/>
      <c r="N1" s="406"/>
      <c r="O1" s="406"/>
      <c r="P1" s="406"/>
      <c r="Q1" s="406"/>
    </row>
    <row r="2" spans="1:17" ht="18.5">
      <c r="A2" s="7">
        <v>46113</v>
      </c>
      <c r="B2" s="407" t="s">
        <v>172</v>
      </c>
      <c r="C2" s="408"/>
      <c r="D2" s="8">
        <v>4400</v>
      </c>
      <c r="E2" s="407" t="s">
        <v>173</v>
      </c>
      <c r="F2" s="407"/>
      <c r="G2" s="408"/>
      <c r="H2" s="8">
        <v>3960</v>
      </c>
      <c r="I2" s="409" t="s">
        <v>174</v>
      </c>
      <c r="J2" s="410"/>
      <c r="K2" s="9">
        <v>46323</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87">
        <v>25900.333333333332</v>
      </c>
      <c r="C4" s="87">
        <v>22340.3</v>
      </c>
      <c r="D4" s="112">
        <v>24992</v>
      </c>
      <c r="E4" s="113">
        <v>24550</v>
      </c>
      <c r="F4" s="20">
        <f>(IF(ISBLANK(E4),0,E4-C4))/C4</f>
        <v>9.8910936737644561E-2</v>
      </c>
      <c r="G4" s="2">
        <f t="shared" ref="G4:G27" si="0">D4/($D$2*24)</f>
        <v>0.23666666666666666</v>
      </c>
      <c r="H4" s="2">
        <f t="shared" ref="H4:H21" si="1">D4/($H$2*24)</f>
        <v>0.26296296296296295</v>
      </c>
      <c r="I4" s="26">
        <v>7.5</v>
      </c>
      <c r="J4" s="114">
        <v>7.3719999999999999</v>
      </c>
      <c r="K4" s="20">
        <f>(IF(ISBLANK(J4),0,J4-I4))/I4</f>
        <v>-1.7066666666666681E-2</v>
      </c>
      <c r="L4" s="4">
        <f t="shared" ref="L4:L32" si="2">D4/($D$2*J4)</f>
        <v>0.77048290830168209</v>
      </c>
      <c r="M4" s="116">
        <v>1</v>
      </c>
      <c r="N4" s="116">
        <v>0.98</v>
      </c>
      <c r="O4" s="114">
        <v>1305</v>
      </c>
      <c r="P4" s="114">
        <v>0</v>
      </c>
      <c r="Q4" s="31" t="s">
        <v>367</v>
      </c>
    </row>
    <row r="5" spans="1:17">
      <c r="A5" s="13">
        <f>A4+1</f>
        <v>46114</v>
      </c>
      <c r="B5" s="87">
        <v>25900.333333333332</v>
      </c>
      <c r="C5" s="87">
        <v>22340.3</v>
      </c>
      <c r="D5" s="112">
        <v>19129</v>
      </c>
      <c r="E5" s="113">
        <v>18800</v>
      </c>
      <c r="F5" s="20">
        <f t="shared" ref="F5:F33" si="3">(IF(ISBLANK(E5),0,E5-C5))/C5</f>
        <v>-0.15847146188726199</v>
      </c>
      <c r="G5" s="2">
        <f t="shared" si="0"/>
        <v>0.18114583333333334</v>
      </c>
      <c r="H5" s="2">
        <f t="shared" si="1"/>
        <v>0.20127314814814815</v>
      </c>
      <c r="I5" s="27">
        <v>7.5</v>
      </c>
      <c r="J5" s="115">
        <v>5.3280000000000003</v>
      </c>
      <c r="K5" s="20">
        <f t="shared" ref="K5:K34" si="4">(IF(ISBLANK(J5),0,J5-I5))/I5</f>
        <v>-0.28959999999999997</v>
      </c>
      <c r="L5" s="4">
        <f t="shared" si="2"/>
        <v>0.81597222222222221</v>
      </c>
      <c r="M5" s="117">
        <v>1</v>
      </c>
      <c r="N5" s="117">
        <v>0.98</v>
      </c>
      <c r="O5" s="115">
        <v>639</v>
      </c>
      <c r="P5" s="115">
        <v>0</v>
      </c>
      <c r="Q5" s="32" t="s">
        <v>368</v>
      </c>
    </row>
    <row r="6" spans="1:17">
      <c r="A6" s="13">
        <f t="shared" ref="A6:A33" si="5">A5+1</f>
        <v>46115</v>
      </c>
      <c r="B6" s="87">
        <v>25900.333333333332</v>
      </c>
      <c r="C6" s="87">
        <v>22340.3</v>
      </c>
      <c r="D6" s="112">
        <v>15423</v>
      </c>
      <c r="E6" s="112">
        <v>15100</v>
      </c>
      <c r="F6" s="20">
        <f t="shared" si="3"/>
        <v>-0.32409144013285407</v>
      </c>
      <c r="G6" s="2">
        <f t="shared" si="0"/>
        <v>0.14605113636363637</v>
      </c>
      <c r="H6" s="2">
        <f t="shared" si="1"/>
        <v>0.1622790404040404</v>
      </c>
      <c r="I6" s="27">
        <v>7.5</v>
      </c>
      <c r="J6" s="115">
        <v>4.9509999999999996</v>
      </c>
      <c r="K6" s="20">
        <f t="shared" si="4"/>
        <v>-0.33986666666666671</v>
      </c>
      <c r="L6" s="4">
        <f t="shared" si="2"/>
        <v>0.70798369475404421</v>
      </c>
      <c r="M6" s="117">
        <v>0.92</v>
      </c>
      <c r="N6" s="117">
        <v>1</v>
      </c>
      <c r="O6" s="115">
        <v>0</v>
      </c>
      <c r="P6" s="115">
        <v>2076.6</v>
      </c>
      <c r="Q6" s="32" t="s">
        <v>369</v>
      </c>
    </row>
    <row r="7" spans="1:17">
      <c r="A7" s="13">
        <f t="shared" si="5"/>
        <v>46116</v>
      </c>
      <c r="B7" s="87">
        <v>25900.333333333332</v>
      </c>
      <c r="C7" s="87">
        <v>22340.3</v>
      </c>
      <c r="D7" s="112">
        <v>28324</v>
      </c>
      <c r="E7" s="113">
        <v>27800</v>
      </c>
      <c r="F7" s="20">
        <f t="shared" si="3"/>
        <v>0.24438794465607</v>
      </c>
      <c r="G7" s="2">
        <f t="shared" si="0"/>
        <v>0.268219696969697</v>
      </c>
      <c r="H7" s="2">
        <f t="shared" si="1"/>
        <v>0.29802188552188552</v>
      </c>
      <c r="I7" s="27">
        <v>7.5</v>
      </c>
      <c r="J7" s="115">
        <v>7.9889999999999999</v>
      </c>
      <c r="K7" s="20">
        <f t="shared" si="4"/>
        <v>6.519999999999998E-2</v>
      </c>
      <c r="L7" s="4">
        <f t="shared" si="2"/>
        <v>0.80576702056236416</v>
      </c>
      <c r="M7" s="117">
        <v>1</v>
      </c>
      <c r="N7" s="117">
        <v>1</v>
      </c>
      <c r="O7" s="115">
        <v>0</v>
      </c>
      <c r="P7" s="115">
        <v>0</v>
      </c>
      <c r="Q7" s="115" t="s">
        <v>175</v>
      </c>
    </row>
    <row r="8" spans="1:17">
      <c r="A8" s="13">
        <f t="shared" si="5"/>
        <v>46117</v>
      </c>
      <c r="B8" s="87">
        <v>25900.333333333332</v>
      </c>
      <c r="C8" s="87">
        <v>22340.3</v>
      </c>
      <c r="D8" s="112">
        <v>26124</v>
      </c>
      <c r="E8" s="113">
        <v>25600</v>
      </c>
      <c r="F8" s="20">
        <f t="shared" si="3"/>
        <v>0.14591120083436662</v>
      </c>
      <c r="G8" s="2">
        <f t="shared" si="0"/>
        <v>0.24738636363636363</v>
      </c>
      <c r="H8" s="2">
        <f t="shared" si="1"/>
        <v>0.27487373737373738</v>
      </c>
      <c r="I8" s="27">
        <v>7.5</v>
      </c>
      <c r="J8" s="115">
        <v>7.92</v>
      </c>
      <c r="K8" s="20">
        <f t="shared" si="4"/>
        <v>5.5999999999999987E-2</v>
      </c>
      <c r="L8" s="4">
        <f t="shared" si="2"/>
        <v>0.74965564738292012</v>
      </c>
      <c r="M8" s="117">
        <v>1</v>
      </c>
      <c r="N8" s="117">
        <v>0.97</v>
      </c>
      <c r="O8" s="115">
        <v>1717</v>
      </c>
      <c r="P8" s="115">
        <v>0</v>
      </c>
      <c r="Q8" s="32" t="s">
        <v>370</v>
      </c>
    </row>
    <row r="9" spans="1:17">
      <c r="A9" s="13">
        <f t="shared" si="5"/>
        <v>46118</v>
      </c>
      <c r="B9" s="87">
        <v>25900.333333333332</v>
      </c>
      <c r="C9" s="87">
        <v>22340.3</v>
      </c>
      <c r="D9" s="112">
        <v>25458</v>
      </c>
      <c r="E9" s="113">
        <v>24950</v>
      </c>
      <c r="F9" s="20">
        <f t="shared" si="3"/>
        <v>0.11681579925068154</v>
      </c>
      <c r="G9" s="2">
        <f t="shared" si="0"/>
        <v>0.24107954545454546</v>
      </c>
      <c r="H9" s="2">
        <f t="shared" si="1"/>
        <v>0.26786616161616161</v>
      </c>
      <c r="I9" s="27">
        <v>7.5</v>
      </c>
      <c r="J9" s="115">
        <v>7.5949999999999998</v>
      </c>
      <c r="K9" s="20">
        <f t="shared" si="4"/>
        <v>1.2666666666666633E-2</v>
      </c>
      <c r="L9" s="4">
        <f t="shared" si="2"/>
        <v>0.76180501526123645</v>
      </c>
      <c r="M9" s="117">
        <v>1</v>
      </c>
      <c r="N9" s="117">
        <v>0.95</v>
      </c>
      <c r="O9" s="115">
        <v>1304</v>
      </c>
      <c r="P9" s="115">
        <v>0</v>
      </c>
      <c r="Q9" s="32" t="s">
        <v>371</v>
      </c>
    </row>
    <row r="10" spans="1:17">
      <c r="A10" s="13">
        <f t="shared" si="5"/>
        <v>46119</v>
      </c>
      <c r="B10" s="87">
        <v>25900.333333333332</v>
      </c>
      <c r="C10" s="87">
        <v>22340.3</v>
      </c>
      <c r="D10" s="112">
        <v>20318</v>
      </c>
      <c r="E10" s="113">
        <v>20000</v>
      </c>
      <c r="F10" s="20">
        <f t="shared" si="3"/>
        <v>-0.10475687434815106</v>
      </c>
      <c r="G10" s="2">
        <f t="shared" si="0"/>
        <v>0.19240530303030304</v>
      </c>
      <c r="H10" s="2">
        <f t="shared" si="1"/>
        <v>0.21378367003367002</v>
      </c>
      <c r="I10" s="27">
        <v>7.5</v>
      </c>
      <c r="J10" s="115">
        <v>6.8959999999999999</v>
      </c>
      <c r="K10" s="20">
        <f t="shared" si="4"/>
        <v>-8.0533333333333346E-2</v>
      </c>
      <c r="L10" s="4">
        <f t="shared" si="2"/>
        <v>0.66962402446741198</v>
      </c>
      <c r="M10" s="117">
        <v>1</v>
      </c>
      <c r="N10" s="117">
        <v>0.87</v>
      </c>
      <c r="O10" s="115">
        <v>5233</v>
      </c>
      <c r="P10" s="115">
        <v>0</v>
      </c>
      <c r="Q10" s="32" t="s">
        <v>372</v>
      </c>
    </row>
    <row r="11" spans="1:17">
      <c r="A11" s="13">
        <f t="shared" si="5"/>
        <v>46120</v>
      </c>
      <c r="B11" s="87">
        <v>25900.333333333332</v>
      </c>
      <c r="C11" s="87">
        <v>22340.3</v>
      </c>
      <c r="D11" s="112">
        <v>21125</v>
      </c>
      <c r="E11" s="113">
        <v>20750</v>
      </c>
      <c r="F11" s="20">
        <f t="shared" si="3"/>
        <v>-7.1185257136206728E-2</v>
      </c>
      <c r="G11" s="2">
        <f t="shared" si="0"/>
        <v>0.20004734848484848</v>
      </c>
      <c r="H11" s="2">
        <f t="shared" si="1"/>
        <v>0.22227483164983164</v>
      </c>
      <c r="I11" s="27">
        <v>7.5</v>
      </c>
      <c r="J11" s="115">
        <v>7.8330000000000002</v>
      </c>
      <c r="K11" s="20">
        <f t="shared" si="4"/>
        <v>4.4400000000000023E-2</v>
      </c>
      <c r="L11" s="4">
        <f t="shared" si="2"/>
        <v>0.61293710757517716</v>
      </c>
      <c r="M11" s="117">
        <v>1</v>
      </c>
      <c r="N11" s="117">
        <v>0.83</v>
      </c>
      <c r="O11" s="115">
        <v>7033</v>
      </c>
      <c r="P11" s="115">
        <v>0</v>
      </c>
      <c r="Q11" s="32" t="s">
        <v>373</v>
      </c>
    </row>
    <row r="12" spans="1:17">
      <c r="A12" s="13">
        <f t="shared" si="5"/>
        <v>46121</v>
      </c>
      <c r="B12" s="87">
        <v>25900.333333333332</v>
      </c>
      <c r="C12" s="87">
        <v>22340.3</v>
      </c>
      <c r="D12" s="112">
        <v>25029</v>
      </c>
      <c r="E12" s="113">
        <v>24600</v>
      </c>
      <c r="F12" s="20">
        <f t="shared" si="3"/>
        <v>0.10114904455177419</v>
      </c>
      <c r="G12" s="2">
        <f t="shared" si="0"/>
        <v>0.23701704545454547</v>
      </c>
      <c r="H12" s="2">
        <f t="shared" si="1"/>
        <v>0.26335227272727274</v>
      </c>
      <c r="I12" s="27">
        <v>7.5</v>
      </c>
      <c r="J12" s="115">
        <v>7.4039999999999999</v>
      </c>
      <c r="K12" s="20">
        <f t="shared" si="4"/>
        <v>-1.2800000000000011E-2</v>
      </c>
      <c r="L12" s="4">
        <f t="shared" si="2"/>
        <v>0.76828864004714903</v>
      </c>
      <c r="M12" s="117">
        <v>1</v>
      </c>
      <c r="N12" s="117">
        <v>0.94</v>
      </c>
      <c r="O12" s="115">
        <v>1800</v>
      </c>
      <c r="P12" s="115">
        <v>0</v>
      </c>
      <c r="Q12" s="32" t="s">
        <v>370</v>
      </c>
    </row>
    <row r="13" spans="1:17">
      <c r="A13" s="13">
        <f t="shared" si="5"/>
        <v>46122</v>
      </c>
      <c r="B13" s="87">
        <v>25900.333333333332</v>
      </c>
      <c r="C13" s="87">
        <v>22340.3</v>
      </c>
      <c r="D13" s="112">
        <v>25120</v>
      </c>
      <c r="E13" s="113">
        <v>25050</v>
      </c>
      <c r="F13" s="20">
        <f t="shared" si="3"/>
        <v>0.12129201487894078</v>
      </c>
      <c r="G13" s="2">
        <f t="shared" si="0"/>
        <v>0.23787878787878788</v>
      </c>
      <c r="H13" s="2">
        <f t="shared" si="1"/>
        <v>0.26430976430976433</v>
      </c>
      <c r="I13" s="27">
        <v>7.5</v>
      </c>
      <c r="J13" s="115">
        <v>7.3780000000000001</v>
      </c>
      <c r="K13" s="20">
        <f t="shared" si="4"/>
        <v>-1.6266666666666652E-2</v>
      </c>
      <c r="L13" s="4">
        <f t="shared" si="2"/>
        <v>0.77379925577269026</v>
      </c>
      <c r="M13" s="117">
        <v>1</v>
      </c>
      <c r="N13" s="117">
        <v>0.98</v>
      </c>
      <c r="O13" s="115">
        <v>1000</v>
      </c>
      <c r="P13" s="115">
        <v>0</v>
      </c>
      <c r="Q13" s="32" t="s">
        <v>367</v>
      </c>
    </row>
    <row r="14" spans="1:17">
      <c r="A14" s="13">
        <f t="shared" si="5"/>
        <v>46123</v>
      </c>
      <c r="B14" s="87">
        <v>25900.333333333332</v>
      </c>
      <c r="C14" s="87">
        <v>22340.3</v>
      </c>
      <c r="D14" s="112">
        <v>26850</v>
      </c>
      <c r="E14" s="113">
        <v>26350</v>
      </c>
      <c r="F14" s="20">
        <f t="shared" si="3"/>
        <v>0.17948281804631097</v>
      </c>
      <c r="G14" s="2">
        <f t="shared" si="0"/>
        <v>0.25426136363636365</v>
      </c>
      <c r="H14" s="2">
        <f t="shared" si="1"/>
        <v>0.28251262626262624</v>
      </c>
      <c r="I14" s="27">
        <v>7.5</v>
      </c>
      <c r="J14" s="115">
        <v>7.7249999999999996</v>
      </c>
      <c r="K14" s="20">
        <f t="shared" si="4"/>
        <v>2.9999999999999954E-2</v>
      </c>
      <c r="L14" s="4">
        <f t="shared" si="2"/>
        <v>0.7899382171226832</v>
      </c>
      <c r="M14" s="117">
        <v>1</v>
      </c>
      <c r="N14" s="117">
        <v>1</v>
      </c>
      <c r="O14" s="115">
        <v>0</v>
      </c>
      <c r="P14" s="115">
        <v>0</v>
      </c>
      <c r="Q14" s="115" t="s">
        <v>175</v>
      </c>
    </row>
    <row r="15" spans="1:17">
      <c r="A15" s="13">
        <f t="shared" si="5"/>
        <v>46124</v>
      </c>
      <c r="B15" s="87">
        <v>25900.333333333332</v>
      </c>
      <c r="C15" s="87">
        <v>22340.3</v>
      </c>
      <c r="D15" s="112">
        <v>26986</v>
      </c>
      <c r="E15" s="113">
        <v>26450</v>
      </c>
      <c r="F15" s="20">
        <f t="shared" si="3"/>
        <v>0.1839590336745702</v>
      </c>
      <c r="G15" s="2">
        <f t="shared" si="0"/>
        <v>0.25554924242424243</v>
      </c>
      <c r="H15" s="2">
        <f t="shared" si="1"/>
        <v>0.28394360269360269</v>
      </c>
      <c r="I15" s="27">
        <v>7.5</v>
      </c>
      <c r="J15" s="115">
        <v>7.8029999999999999</v>
      </c>
      <c r="K15" s="20">
        <f t="shared" si="4"/>
        <v>4.0399999999999991E-2</v>
      </c>
      <c r="L15" s="4">
        <f t="shared" si="2"/>
        <v>0.78600305243903867</v>
      </c>
      <c r="M15" s="117">
        <v>1</v>
      </c>
      <c r="N15" s="117">
        <v>1</v>
      </c>
      <c r="O15" s="115">
        <v>0</v>
      </c>
      <c r="P15" s="115">
        <v>0</v>
      </c>
      <c r="Q15" s="115" t="s">
        <v>175</v>
      </c>
    </row>
    <row r="16" spans="1:17">
      <c r="A16" s="13">
        <f t="shared" si="5"/>
        <v>46125</v>
      </c>
      <c r="B16" s="87">
        <v>25900.333333333332</v>
      </c>
      <c r="C16" s="87">
        <v>22340.3</v>
      </c>
      <c r="D16" s="112">
        <v>27078</v>
      </c>
      <c r="E16" s="113">
        <v>26600</v>
      </c>
      <c r="F16" s="20">
        <f t="shared" si="3"/>
        <v>0.19067335711695907</v>
      </c>
      <c r="G16" s="2">
        <f t="shared" si="0"/>
        <v>0.25642045454545453</v>
      </c>
      <c r="H16" s="2">
        <f t="shared" si="1"/>
        <v>0.28491161616161614</v>
      </c>
      <c r="I16" s="27">
        <v>7.5</v>
      </c>
      <c r="J16" s="115">
        <v>8.39</v>
      </c>
      <c r="K16" s="20">
        <f t="shared" si="4"/>
        <v>0.11866666666666674</v>
      </c>
      <c r="L16" s="4">
        <f t="shared" si="2"/>
        <v>0.73350308809188425</v>
      </c>
      <c r="M16" s="117">
        <v>1</v>
      </c>
      <c r="N16" s="117">
        <v>1</v>
      </c>
      <c r="O16" s="115">
        <v>0</v>
      </c>
      <c r="P16" s="115">
        <v>0</v>
      </c>
      <c r="Q16" s="115" t="s">
        <v>175</v>
      </c>
    </row>
    <row r="17" spans="1:17">
      <c r="A17" s="13">
        <f t="shared" si="5"/>
        <v>46126</v>
      </c>
      <c r="B17" s="87">
        <v>25900.333333333332</v>
      </c>
      <c r="C17" s="87">
        <v>22340.3</v>
      </c>
      <c r="D17" s="112">
        <v>26693</v>
      </c>
      <c r="E17" s="113">
        <v>26200</v>
      </c>
      <c r="F17" s="20">
        <f t="shared" si="3"/>
        <v>0.1727684946039221</v>
      </c>
      <c r="G17" s="2">
        <f t="shared" si="0"/>
        <v>0.25277462121212119</v>
      </c>
      <c r="H17" s="2">
        <f t="shared" si="1"/>
        <v>0.28086069023569021</v>
      </c>
      <c r="I17" s="27">
        <v>7.5</v>
      </c>
      <c r="J17" s="115">
        <v>8.1579999999999995</v>
      </c>
      <c r="K17" s="20">
        <f t="shared" si="4"/>
        <v>8.773333333333326E-2</v>
      </c>
      <c r="L17" s="4">
        <f t="shared" si="2"/>
        <v>0.74363703224943734</v>
      </c>
      <c r="M17" s="117">
        <v>1</v>
      </c>
      <c r="N17" s="117">
        <v>0.97</v>
      </c>
      <c r="O17" s="115">
        <v>1334</v>
      </c>
      <c r="P17" s="115">
        <v>0</v>
      </c>
      <c r="Q17" s="32" t="s">
        <v>374</v>
      </c>
    </row>
    <row r="18" spans="1:17">
      <c r="A18" s="13">
        <f t="shared" si="5"/>
        <v>46127</v>
      </c>
      <c r="B18" s="87">
        <v>25900.333333333332</v>
      </c>
      <c r="C18" s="87">
        <v>22340.3</v>
      </c>
      <c r="D18" s="112">
        <v>27089</v>
      </c>
      <c r="E18" s="113">
        <v>26600</v>
      </c>
      <c r="F18" s="20">
        <f t="shared" si="3"/>
        <v>0.19067335711695907</v>
      </c>
      <c r="G18" s="2">
        <f t="shared" si="0"/>
        <v>0.25652462121212122</v>
      </c>
      <c r="H18" s="2">
        <f t="shared" si="1"/>
        <v>0.28502735690235692</v>
      </c>
      <c r="I18" s="27">
        <v>7.5</v>
      </c>
      <c r="J18" s="115">
        <v>8.2439999999999998</v>
      </c>
      <c r="K18" s="20">
        <f t="shared" si="4"/>
        <v>9.9199999999999969E-2</v>
      </c>
      <c r="L18" s="4">
        <f t="shared" si="2"/>
        <v>0.74679656830311858</v>
      </c>
      <c r="M18" s="117">
        <v>1</v>
      </c>
      <c r="N18" s="117">
        <v>0.98</v>
      </c>
      <c r="O18" s="115">
        <v>829</v>
      </c>
      <c r="P18" s="115">
        <v>0</v>
      </c>
      <c r="Q18" s="32" t="s">
        <v>374</v>
      </c>
    </row>
    <row r="19" spans="1:17">
      <c r="A19" s="13">
        <f t="shared" si="5"/>
        <v>46128</v>
      </c>
      <c r="B19" s="87">
        <v>25900.333333333332</v>
      </c>
      <c r="C19" s="87">
        <v>22340.3</v>
      </c>
      <c r="D19" s="112">
        <v>26984</v>
      </c>
      <c r="E19" s="113">
        <v>26500</v>
      </c>
      <c r="F19" s="20">
        <f t="shared" si="3"/>
        <v>0.18619714148869984</v>
      </c>
      <c r="G19" s="2">
        <f t="shared" si="0"/>
        <v>0.25553030303030305</v>
      </c>
      <c r="H19" s="2">
        <f t="shared" si="1"/>
        <v>0.28392255892255891</v>
      </c>
      <c r="I19" s="27">
        <v>7.5</v>
      </c>
      <c r="J19" s="112">
        <v>8.0839999999999996</v>
      </c>
      <c r="K19" s="20">
        <f t="shared" si="4"/>
        <v>7.7866666666666612E-2</v>
      </c>
      <c r="L19" s="4">
        <f t="shared" si="2"/>
        <v>0.75862534298951922</v>
      </c>
      <c r="M19" s="117">
        <v>1</v>
      </c>
      <c r="N19" s="117">
        <v>0.99</v>
      </c>
      <c r="O19" s="115">
        <v>585</v>
      </c>
      <c r="P19" s="115">
        <v>0</v>
      </c>
      <c r="Q19" s="32" t="s">
        <v>374</v>
      </c>
    </row>
    <row r="20" spans="1:17">
      <c r="A20" s="13">
        <f t="shared" si="5"/>
        <v>46129</v>
      </c>
      <c r="B20" s="87">
        <v>25900.333333333332</v>
      </c>
      <c r="C20" s="87">
        <v>22340.3</v>
      </c>
      <c r="D20" s="112">
        <v>26143</v>
      </c>
      <c r="E20" s="113">
        <v>25650</v>
      </c>
      <c r="F20" s="20">
        <f t="shared" si="3"/>
        <v>0.14814930864849626</v>
      </c>
      <c r="G20" s="2">
        <f t="shared" si="0"/>
        <v>0.24756628787878787</v>
      </c>
      <c r="H20" s="2">
        <f t="shared" si="1"/>
        <v>0.27507365319865318</v>
      </c>
      <c r="I20" s="27">
        <v>7.5</v>
      </c>
      <c r="J20" s="112">
        <v>7.9039999999999999</v>
      </c>
      <c r="K20" s="20">
        <f t="shared" si="4"/>
        <v>5.3866666666666653E-2</v>
      </c>
      <c r="L20" s="4">
        <f t="shared" si="2"/>
        <v>0.75171949760765555</v>
      </c>
      <c r="M20" s="117">
        <v>1</v>
      </c>
      <c r="N20" s="117">
        <v>0.97</v>
      </c>
      <c r="O20" s="115">
        <v>1142</v>
      </c>
      <c r="P20" s="115">
        <v>0</v>
      </c>
      <c r="Q20" s="32" t="s">
        <v>374</v>
      </c>
    </row>
    <row r="21" spans="1:17">
      <c r="A21" s="13">
        <f t="shared" si="5"/>
        <v>46130</v>
      </c>
      <c r="B21" s="87">
        <v>25900.333333333332</v>
      </c>
      <c r="C21" s="87">
        <v>22340.3</v>
      </c>
      <c r="D21" s="112">
        <v>26547</v>
      </c>
      <c r="E21" s="113">
        <v>26050</v>
      </c>
      <c r="F21" s="20">
        <f t="shared" si="3"/>
        <v>0.16605417116153323</v>
      </c>
      <c r="G21" s="2">
        <f t="shared" si="0"/>
        <v>0.25139204545454547</v>
      </c>
      <c r="H21" s="2">
        <f t="shared" si="1"/>
        <v>0.27932449494949496</v>
      </c>
      <c r="I21" s="27">
        <v>7.5</v>
      </c>
      <c r="J21" s="112">
        <v>7.9779999999999998</v>
      </c>
      <c r="K21" s="20">
        <f t="shared" si="4"/>
        <v>6.3733333333333295E-2</v>
      </c>
      <c r="L21" s="4">
        <f t="shared" si="2"/>
        <v>0.75625583992342582</v>
      </c>
      <c r="M21" s="117">
        <v>1</v>
      </c>
      <c r="N21" s="117">
        <v>0.98</v>
      </c>
      <c r="O21" s="115">
        <v>895</v>
      </c>
      <c r="P21" s="115">
        <v>0</v>
      </c>
      <c r="Q21" s="32" t="s">
        <v>374</v>
      </c>
    </row>
    <row r="22" spans="1:17">
      <c r="A22" s="13">
        <f t="shared" si="5"/>
        <v>46131</v>
      </c>
      <c r="B22" s="87">
        <v>25900.333333333332</v>
      </c>
      <c r="C22" s="87">
        <v>22340.3</v>
      </c>
      <c r="D22" s="112">
        <v>26976</v>
      </c>
      <c r="E22" s="113">
        <v>26450</v>
      </c>
      <c r="F22" s="20">
        <f t="shared" si="3"/>
        <v>0.1839590336745702</v>
      </c>
      <c r="G22" s="2">
        <f t="shared" si="0"/>
        <v>0.25545454545454543</v>
      </c>
      <c r="H22" s="2">
        <f t="shared" ref="H22:H27" si="6">E22/($D$2*24)</f>
        <v>0.25047348484848486</v>
      </c>
      <c r="I22" s="27">
        <v>7.5</v>
      </c>
      <c r="J22" s="112">
        <v>8.32</v>
      </c>
      <c r="K22" s="20">
        <f t="shared" si="4"/>
        <v>0.10933333333333337</v>
      </c>
      <c r="L22" s="4">
        <f t="shared" si="2"/>
        <v>0.73688811188811187</v>
      </c>
      <c r="M22" s="117">
        <v>1</v>
      </c>
      <c r="N22" s="117">
        <v>0.97</v>
      </c>
      <c r="O22" s="115">
        <v>1481</v>
      </c>
      <c r="P22" s="115">
        <v>0</v>
      </c>
      <c r="Q22" s="32" t="s">
        <v>374</v>
      </c>
    </row>
    <row r="23" spans="1:17">
      <c r="A23" s="13">
        <f t="shared" si="5"/>
        <v>46132</v>
      </c>
      <c r="B23" s="87">
        <v>25900.333333333332</v>
      </c>
      <c r="C23" s="87">
        <v>22340.3</v>
      </c>
      <c r="D23" s="112">
        <v>26853</v>
      </c>
      <c r="E23" s="113">
        <v>26350</v>
      </c>
      <c r="F23" s="20">
        <f t="shared" si="3"/>
        <v>0.17948281804631097</v>
      </c>
      <c r="G23" s="2">
        <f t="shared" si="0"/>
        <v>0.25428977272727271</v>
      </c>
      <c r="H23" s="2">
        <f t="shared" si="6"/>
        <v>0.24952651515151514</v>
      </c>
      <c r="I23" s="27">
        <v>7.5</v>
      </c>
      <c r="J23" s="112">
        <v>7.5810000000000004</v>
      </c>
      <c r="K23" s="20">
        <f t="shared" si="4"/>
        <v>1.0800000000000054E-2</v>
      </c>
      <c r="L23" s="4">
        <f t="shared" si="2"/>
        <v>0.80503291722128278</v>
      </c>
      <c r="M23" s="117">
        <v>1</v>
      </c>
      <c r="N23" s="117">
        <v>0.98</v>
      </c>
      <c r="O23" s="115">
        <v>895</v>
      </c>
      <c r="P23" s="115">
        <v>0</v>
      </c>
      <c r="Q23" s="32" t="s">
        <v>374</v>
      </c>
    </row>
    <row r="24" spans="1:17">
      <c r="A24" s="13">
        <f t="shared" si="5"/>
        <v>46133</v>
      </c>
      <c r="B24" s="87">
        <v>25900.333333333332</v>
      </c>
      <c r="C24" s="87">
        <v>22340.3</v>
      </c>
      <c r="D24" s="112">
        <v>27410</v>
      </c>
      <c r="E24" s="113">
        <v>26900</v>
      </c>
      <c r="F24" s="20">
        <f>(IF(ISBLANK(E24),0,E24-C24))/C24</f>
        <v>0.20410200400173681</v>
      </c>
      <c r="G24" s="2">
        <f t="shared" si="0"/>
        <v>0.25956439393939396</v>
      </c>
      <c r="H24" s="2">
        <f t="shared" si="6"/>
        <v>0.25473484848484851</v>
      </c>
      <c r="I24" s="27">
        <v>7.5</v>
      </c>
      <c r="J24" s="112">
        <v>8.2639999999999993</v>
      </c>
      <c r="K24" s="20">
        <f>(IF(ISBLANK(J24),0,J24-I24))/I24</f>
        <v>0.10186666666666658</v>
      </c>
      <c r="L24" s="4">
        <f t="shared" si="2"/>
        <v>0.75381721376397082</v>
      </c>
      <c r="M24" s="117">
        <v>1</v>
      </c>
      <c r="N24" s="117">
        <v>0.99</v>
      </c>
      <c r="O24" s="115">
        <v>637</v>
      </c>
      <c r="P24" s="115">
        <v>0</v>
      </c>
      <c r="Q24" s="32" t="s">
        <v>374</v>
      </c>
    </row>
    <row r="25" spans="1:17">
      <c r="A25" s="13">
        <f t="shared" si="5"/>
        <v>46134</v>
      </c>
      <c r="B25" s="87">
        <v>25900.333333333332</v>
      </c>
      <c r="C25" s="87">
        <v>22340.3</v>
      </c>
      <c r="D25" s="112">
        <v>26574</v>
      </c>
      <c r="E25" s="113">
        <v>26100</v>
      </c>
      <c r="F25" s="20">
        <f t="shared" si="3"/>
        <v>0.16829227897566285</v>
      </c>
      <c r="G25" s="2">
        <f t="shared" si="0"/>
        <v>0.25164772727272727</v>
      </c>
      <c r="H25" s="2">
        <f t="shared" si="6"/>
        <v>0.24715909090909091</v>
      </c>
      <c r="I25" s="27">
        <v>7.5</v>
      </c>
      <c r="J25" s="112">
        <v>7.5060000000000002</v>
      </c>
      <c r="K25" s="20">
        <f t="shared" si="4"/>
        <v>8.0000000000003029E-4</v>
      </c>
      <c r="L25" s="4">
        <f t="shared" si="2"/>
        <v>0.80462902405348447</v>
      </c>
      <c r="M25" s="117">
        <v>1</v>
      </c>
      <c r="N25" s="117">
        <v>0.99</v>
      </c>
      <c r="O25" s="115">
        <v>659</v>
      </c>
      <c r="P25" s="115">
        <v>0</v>
      </c>
      <c r="Q25" s="32" t="s">
        <v>374</v>
      </c>
    </row>
    <row r="26" spans="1:17">
      <c r="A26" s="13">
        <f t="shared" si="5"/>
        <v>46135</v>
      </c>
      <c r="B26" s="87">
        <v>25900.333333333332</v>
      </c>
      <c r="C26" s="87">
        <v>22340.3</v>
      </c>
      <c r="D26" s="112">
        <v>27061</v>
      </c>
      <c r="E26" s="113">
        <v>26550</v>
      </c>
      <c r="F26" s="20">
        <f t="shared" si="3"/>
        <v>0.18843524930282946</v>
      </c>
      <c r="G26" s="2">
        <f t="shared" si="0"/>
        <v>0.25625946969696972</v>
      </c>
      <c r="H26" s="2">
        <f t="shared" si="6"/>
        <v>0.25142045454545453</v>
      </c>
      <c r="I26" s="27">
        <v>7.5</v>
      </c>
      <c r="J26" s="112">
        <v>7.7539999999999996</v>
      </c>
      <c r="K26" s="20">
        <f t="shared" si="4"/>
        <v>3.3866666666666607E-2</v>
      </c>
      <c r="L26" s="4">
        <f t="shared" si="2"/>
        <v>0.79316833540460063</v>
      </c>
      <c r="M26" s="117">
        <v>1</v>
      </c>
      <c r="N26" s="117">
        <v>0.99</v>
      </c>
      <c r="O26" s="115">
        <v>549</v>
      </c>
      <c r="P26" s="115">
        <v>0</v>
      </c>
      <c r="Q26" s="32" t="s">
        <v>367</v>
      </c>
    </row>
    <row r="27" spans="1:17">
      <c r="A27" s="13">
        <f t="shared" si="5"/>
        <v>46136</v>
      </c>
      <c r="B27" s="87">
        <v>25900.333333333332</v>
      </c>
      <c r="C27" s="87">
        <v>22340.3</v>
      </c>
      <c r="D27" s="112">
        <v>27712</v>
      </c>
      <c r="E27" s="113">
        <v>27200</v>
      </c>
      <c r="F27" s="20">
        <f t="shared" si="3"/>
        <v>0.21753065088651455</v>
      </c>
      <c r="G27" s="2">
        <f t="shared" si="0"/>
        <v>0.26242424242424245</v>
      </c>
      <c r="H27" s="2">
        <f t="shared" si="6"/>
        <v>0.25757575757575757</v>
      </c>
      <c r="I27" s="27">
        <v>7.5</v>
      </c>
      <c r="J27" s="112">
        <v>8.23</v>
      </c>
      <c r="K27" s="20">
        <f t="shared" si="4"/>
        <v>9.7333333333333397E-2</v>
      </c>
      <c r="L27" s="4">
        <f t="shared" si="2"/>
        <v>0.76527118082403622</v>
      </c>
      <c r="M27" s="117">
        <v>1</v>
      </c>
      <c r="N27" s="117">
        <v>0.99</v>
      </c>
      <c r="O27" s="115">
        <v>368</v>
      </c>
      <c r="P27" s="115">
        <v>0</v>
      </c>
      <c r="Q27" s="32" t="s">
        <v>367</v>
      </c>
    </row>
    <row r="28" spans="1:17">
      <c r="A28" s="13">
        <f t="shared" si="5"/>
        <v>46137</v>
      </c>
      <c r="B28" s="87">
        <v>25900.333333333332</v>
      </c>
      <c r="C28" s="87">
        <v>22340.3</v>
      </c>
      <c r="D28" s="170">
        <v>27300</v>
      </c>
      <c r="E28" s="210">
        <v>26850</v>
      </c>
      <c r="F28" s="20">
        <f t="shared" si="3"/>
        <v>0.20186389618760719</v>
      </c>
      <c r="G28" s="172">
        <v>0.25879999999999997</v>
      </c>
      <c r="H28" s="172">
        <v>0.28720000000000001</v>
      </c>
      <c r="I28" s="27">
        <v>7.5</v>
      </c>
      <c r="J28" s="114">
        <v>7.9820000000000002</v>
      </c>
      <c r="K28" s="20">
        <f t="shared" si="4"/>
        <v>6.4266666666666694E-2</v>
      </c>
      <c r="L28" s="4">
        <f t="shared" si="2"/>
        <v>0.77731714539532126</v>
      </c>
      <c r="M28" s="117">
        <v>1</v>
      </c>
      <c r="N28" s="117">
        <v>1</v>
      </c>
      <c r="O28" s="115">
        <v>0</v>
      </c>
      <c r="P28" s="115">
        <v>0</v>
      </c>
      <c r="Q28" s="115" t="s">
        <v>175</v>
      </c>
    </row>
    <row r="29" spans="1:17">
      <c r="A29" s="13">
        <f t="shared" si="5"/>
        <v>46138</v>
      </c>
      <c r="B29" s="87">
        <v>25900.333333333332</v>
      </c>
      <c r="C29" s="87">
        <v>22340.3</v>
      </c>
      <c r="D29" s="170">
        <v>26235</v>
      </c>
      <c r="E29" s="171">
        <v>25750</v>
      </c>
      <c r="F29" s="20">
        <f t="shared" si="3"/>
        <v>0.15262552427675549</v>
      </c>
      <c r="G29" s="173">
        <v>0.2487</v>
      </c>
      <c r="H29" s="173">
        <v>0.27600000000000002</v>
      </c>
      <c r="I29" s="27">
        <v>7.5</v>
      </c>
      <c r="J29" s="115">
        <v>7.8819999999999997</v>
      </c>
      <c r="K29" s="20">
        <f t="shared" si="4"/>
        <v>5.0933333333333289E-2</v>
      </c>
      <c r="L29" s="4">
        <f t="shared" si="2"/>
        <v>0.75647043897487953</v>
      </c>
      <c r="M29" s="117">
        <v>1</v>
      </c>
      <c r="N29" s="117">
        <v>0.97</v>
      </c>
      <c r="O29" s="114">
        <v>1205</v>
      </c>
      <c r="P29" s="115">
        <v>0</v>
      </c>
      <c r="Q29" s="31" t="s">
        <v>370</v>
      </c>
    </row>
    <row r="30" spans="1:17">
      <c r="A30" s="13">
        <f t="shared" si="5"/>
        <v>46139</v>
      </c>
      <c r="B30" s="87">
        <v>25900.333333333332</v>
      </c>
      <c r="C30" s="87">
        <v>22340.3</v>
      </c>
      <c r="D30" s="112">
        <v>25497</v>
      </c>
      <c r="E30" s="280">
        <v>25050</v>
      </c>
      <c r="F30" s="20">
        <f t="shared" si="3"/>
        <v>0.12129201487894078</v>
      </c>
      <c r="G30" s="172">
        <v>0.2417</v>
      </c>
      <c r="H30" s="172">
        <v>0.26829999999999998</v>
      </c>
      <c r="I30" s="27">
        <v>7.5</v>
      </c>
      <c r="J30" s="114">
        <v>7.6779999999999999</v>
      </c>
      <c r="K30" s="20">
        <f t="shared" si="4"/>
        <v>2.3733333333333325E-2</v>
      </c>
      <c r="L30" s="4">
        <f t="shared" si="2"/>
        <v>0.75472424163489549</v>
      </c>
      <c r="M30" s="117">
        <v>1</v>
      </c>
      <c r="N30" s="116">
        <v>0.86</v>
      </c>
      <c r="O30" s="114">
        <v>1563</v>
      </c>
      <c r="P30" s="115">
        <v>0</v>
      </c>
      <c r="Q30" s="31" t="s">
        <v>375</v>
      </c>
    </row>
    <row r="31" spans="1:17">
      <c r="A31" s="13">
        <f t="shared" si="5"/>
        <v>46140</v>
      </c>
      <c r="B31" s="87">
        <v>25900.333333333332</v>
      </c>
      <c r="C31" s="87">
        <v>22340.3</v>
      </c>
      <c r="D31" s="115">
        <v>27019</v>
      </c>
      <c r="E31" s="286">
        <v>25500</v>
      </c>
      <c r="F31" s="20">
        <f t="shared" si="3"/>
        <v>0.14143498520610739</v>
      </c>
      <c r="G31" s="172">
        <v>0.25619999999999998</v>
      </c>
      <c r="H31" s="172">
        <v>0.2843</v>
      </c>
      <c r="I31" s="27">
        <v>7.5</v>
      </c>
      <c r="J31" s="286">
        <v>8.0239999999999991</v>
      </c>
      <c r="K31" s="20">
        <f t="shared" si="4"/>
        <v>6.9866666666666549E-2</v>
      </c>
      <c r="L31" s="4">
        <f t="shared" si="2"/>
        <v>0.76528935919514185</v>
      </c>
      <c r="M31" s="117">
        <v>1</v>
      </c>
      <c r="N31" s="117">
        <v>1</v>
      </c>
      <c r="O31" s="115">
        <v>0</v>
      </c>
      <c r="P31" s="115">
        <v>0</v>
      </c>
      <c r="Q31" s="115" t="s">
        <v>175</v>
      </c>
    </row>
    <row r="32" spans="1:17">
      <c r="A32" s="13">
        <f t="shared" si="5"/>
        <v>46141</v>
      </c>
      <c r="B32" s="87">
        <v>25900.333333333299</v>
      </c>
      <c r="C32" s="87">
        <v>22340.3</v>
      </c>
      <c r="D32" s="112">
        <v>26933</v>
      </c>
      <c r="E32" s="280">
        <v>26450</v>
      </c>
      <c r="F32" s="20">
        <f t="shared" si="3"/>
        <v>0.1839590336745702</v>
      </c>
      <c r="G32" s="172">
        <v>0.25530000000000003</v>
      </c>
      <c r="H32" s="172">
        <v>0.28339999999999999</v>
      </c>
      <c r="I32" s="27">
        <v>7.5</v>
      </c>
      <c r="J32" s="286">
        <v>7.8529999999999998</v>
      </c>
      <c r="K32" s="20">
        <f t="shared" si="4"/>
        <v>4.7066666666666632E-2</v>
      </c>
      <c r="L32" s="4">
        <f t="shared" si="2"/>
        <v>0.77946470949145097</v>
      </c>
      <c r="M32" s="117">
        <v>1</v>
      </c>
      <c r="N32" s="117">
        <v>1</v>
      </c>
      <c r="O32" s="115">
        <v>0</v>
      </c>
      <c r="P32" s="115">
        <v>0</v>
      </c>
      <c r="Q32" s="115" t="s">
        <v>175</v>
      </c>
    </row>
    <row r="33" spans="1:17">
      <c r="A33" s="13">
        <f t="shared" si="5"/>
        <v>46142</v>
      </c>
      <c r="B33" s="87">
        <v>25900.333333333299</v>
      </c>
      <c r="C33" s="87">
        <v>22340.3</v>
      </c>
      <c r="D33" s="112">
        <v>25751</v>
      </c>
      <c r="E33" s="280">
        <v>25350</v>
      </c>
      <c r="F33" s="20">
        <f t="shared" si="3"/>
        <v>0.13472066176371852</v>
      </c>
      <c r="G33" s="172">
        <v>0.24410000000000001</v>
      </c>
      <c r="H33" s="172">
        <v>0.27089999999999997</v>
      </c>
      <c r="I33" s="27">
        <v>7.5</v>
      </c>
      <c r="J33" s="310">
        <v>7.6950000000000003</v>
      </c>
      <c r="K33" s="20">
        <f t="shared" si="4"/>
        <v>2.6000000000000037E-2</v>
      </c>
      <c r="L33" s="309">
        <v>0.76100000000000001</v>
      </c>
      <c r="M33" s="117">
        <v>1</v>
      </c>
      <c r="N33" s="117">
        <v>1</v>
      </c>
      <c r="O33" s="115">
        <v>0</v>
      </c>
      <c r="P33" s="115">
        <v>0</v>
      </c>
      <c r="Q33" s="115" t="s">
        <v>175</v>
      </c>
    </row>
    <row r="34" spans="1:17">
      <c r="A34" s="349">
        <v>46113</v>
      </c>
      <c r="B34" s="17">
        <f>SUM(B4:B33)</f>
        <v>777010</v>
      </c>
      <c r="C34" s="17">
        <f>SUM(C4:C33)</f>
        <v>670209.00000000012</v>
      </c>
      <c r="D34" s="17">
        <f>SUM(D4:D33)</f>
        <v>766733</v>
      </c>
      <c r="E34" s="17">
        <f>SUM(E4:E33)</f>
        <v>752100</v>
      </c>
      <c r="F34" s="20">
        <f>(IF(ISBLANK(E34),0,E34-C34))/C34</f>
        <v>0.1221872580045924</v>
      </c>
      <c r="G34" s="18">
        <f>AVERAGE(G4:G33)</f>
        <v>0.24207856060606062</v>
      </c>
      <c r="H34" s="18">
        <f>AVERAGE(H4:H33)</f>
        <v>0.26225214085297416</v>
      </c>
      <c r="I34" s="17">
        <f>SUM(I4:I33)</f>
        <v>225</v>
      </c>
      <c r="J34" s="17">
        <f>SUM(J4:J33)</f>
        <v>229.72099999999998</v>
      </c>
      <c r="K34" s="20">
        <f t="shared" si="4"/>
        <v>2.0982222222222111E-2</v>
      </c>
      <c r="L34" s="4">
        <f>D34/($D$2*J34)</f>
        <v>0.75856147239477456</v>
      </c>
      <c r="M34" s="18">
        <f>AVERAGE(M4:M33)</f>
        <v>0.9973333333333334</v>
      </c>
      <c r="N34" s="18">
        <f>AVERAGE(N4:N33)</f>
        <v>0.97099999999999975</v>
      </c>
      <c r="O34" s="17">
        <f>SUM(O4:O33)</f>
        <v>32173</v>
      </c>
      <c r="P34" s="17">
        <f>SUM(P4:P33)</f>
        <v>2076.6</v>
      </c>
      <c r="Q34" s="19"/>
    </row>
    <row r="35" spans="1:17">
      <c r="A35" s="13">
        <v>46143</v>
      </c>
      <c r="B35" s="127">
        <v>24574</v>
      </c>
      <c r="C35" s="127">
        <v>21196</v>
      </c>
      <c r="D35" s="114">
        <v>26033</v>
      </c>
      <c r="E35" s="114">
        <v>25550</v>
      </c>
      <c r="F35" s="20">
        <f>(IF(ISBLANK(E35),0,E35-C35))/C35</f>
        <v>0.20541611624834874</v>
      </c>
      <c r="G35" s="2">
        <f t="shared" ref="G35:G57" si="7">D35/($D$2*24)</f>
        <v>0.24652462121212121</v>
      </c>
      <c r="H35" s="2">
        <f t="shared" ref="H35:H61" si="8">D35/($H$2*24)</f>
        <v>0.27391624579124579</v>
      </c>
      <c r="I35" s="28">
        <v>7.08</v>
      </c>
      <c r="J35" s="114">
        <v>6.3959999999999999</v>
      </c>
      <c r="K35" s="20">
        <f>(IF(ISBLANK(J35),0,J35-I35))/I35</f>
        <v>-9.6610169491525441E-2</v>
      </c>
      <c r="L35" s="4">
        <f t="shared" ref="L35:L66" si="9">D35/($D$2*J35)</f>
        <v>0.92504548297231226</v>
      </c>
      <c r="M35" s="116">
        <v>1</v>
      </c>
      <c r="N35" s="116">
        <v>1</v>
      </c>
      <c r="O35" s="114">
        <v>0</v>
      </c>
      <c r="P35" s="114">
        <v>0</v>
      </c>
      <c r="Q35" s="114" t="s">
        <v>175</v>
      </c>
    </row>
    <row r="36" spans="1:17">
      <c r="A36" s="13">
        <f>A35+1</f>
        <v>46144</v>
      </c>
      <c r="B36" s="127">
        <v>24574</v>
      </c>
      <c r="C36" s="127">
        <v>21196</v>
      </c>
      <c r="D36" s="115">
        <v>24564</v>
      </c>
      <c r="E36" s="115">
        <v>24150</v>
      </c>
      <c r="F36" s="20">
        <f t="shared" ref="F36:F54" si="10">(IF(ISBLANK(E36),0,E36-C36))/C36</f>
        <v>0.13936591809775428</v>
      </c>
      <c r="G36" s="2">
        <f t="shared" si="7"/>
        <v>0.23261363636363636</v>
      </c>
      <c r="H36" s="2">
        <f t="shared" si="8"/>
        <v>0.25845959595959594</v>
      </c>
      <c r="I36" s="28">
        <v>7.08</v>
      </c>
      <c r="J36" s="115">
        <v>7.2350000000000003</v>
      </c>
      <c r="K36" s="20">
        <f t="shared" ref="K36:K54" si="11">(IF(ISBLANK(J36),0,J36-I36))/I36</f>
        <v>2.1892655367231673E-2</v>
      </c>
      <c r="L36" s="4">
        <f t="shared" si="9"/>
        <v>0.77162781931268454</v>
      </c>
      <c r="M36" s="117">
        <v>1</v>
      </c>
      <c r="N36" s="117">
        <v>0.99</v>
      </c>
      <c r="O36" s="114">
        <v>179</v>
      </c>
      <c r="P36" s="114">
        <v>0</v>
      </c>
      <c r="Q36" s="31" t="s">
        <v>376</v>
      </c>
    </row>
    <row r="37" spans="1:17">
      <c r="A37" s="13">
        <f t="shared" ref="A37:A65" si="12">A36+1</f>
        <v>46145</v>
      </c>
      <c r="B37" s="127">
        <v>24574</v>
      </c>
      <c r="C37" s="127">
        <v>21196</v>
      </c>
      <c r="D37" s="115">
        <v>26332</v>
      </c>
      <c r="E37" s="115">
        <v>25900</v>
      </c>
      <c r="F37" s="20">
        <f t="shared" si="10"/>
        <v>0.22192866578599735</v>
      </c>
      <c r="G37" s="2">
        <f t="shared" si="7"/>
        <v>0.24935606060606061</v>
      </c>
      <c r="H37" s="2">
        <f t="shared" si="8"/>
        <v>0.27706228956228957</v>
      </c>
      <c r="I37" s="28">
        <v>7.08</v>
      </c>
      <c r="J37" s="115">
        <v>7.9039999999999999</v>
      </c>
      <c r="K37" s="20">
        <f t="shared" si="11"/>
        <v>0.11638418079096043</v>
      </c>
      <c r="L37" s="4">
        <f t="shared" si="9"/>
        <v>0.75715403018034599</v>
      </c>
      <c r="M37" s="117">
        <v>1</v>
      </c>
      <c r="N37" s="117">
        <v>1</v>
      </c>
      <c r="O37" s="114">
        <v>0</v>
      </c>
      <c r="P37" s="114">
        <v>0</v>
      </c>
      <c r="Q37" s="114" t="s">
        <v>175</v>
      </c>
    </row>
    <row r="38" spans="1:17">
      <c r="A38" s="13">
        <f t="shared" si="12"/>
        <v>46146</v>
      </c>
      <c r="B38" s="127">
        <v>24574</v>
      </c>
      <c r="C38" s="127">
        <v>21196</v>
      </c>
      <c r="D38" s="114">
        <v>25700</v>
      </c>
      <c r="E38" s="114">
        <v>25250</v>
      </c>
      <c r="F38" s="20">
        <f t="shared" si="10"/>
        <v>0.19126250235893566</v>
      </c>
      <c r="G38" s="2">
        <f t="shared" si="7"/>
        <v>0.24337121212121213</v>
      </c>
      <c r="H38" s="2">
        <f t="shared" si="8"/>
        <v>0.27041245791245794</v>
      </c>
      <c r="I38" s="28">
        <v>7.08</v>
      </c>
      <c r="J38" s="114">
        <v>7.3860000000000001</v>
      </c>
      <c r="K38" s="20">
        <f t="shared" si="11"/>
        <v>4.3220338983050853E-2</v>
      </c>
      <c r="L38" s="4">
        <f t="shared" si="9"/>
        <v>0.7908081628634025</v>
      </c>
      <c r="M38" s="117">
        <v>1</v>
      </c>
      <c r="N38" s="117">
        <v>1</v>
      </c>
      <c r="O38" s="114">
        <v>0</v>
      </c>
      <c r="P38" s="114">
        <v>0</v>
      </c>
      <c r="Q38" s="114" t="s">
        <v>175</v>
      </c>
    </row>
    <row r="39" spans="1:17">
      <c r="A39" s="13">
        <f t="shared" si="12"/>
        <v>46147</v>
      </c>
      <c r="B39" s="127">
        <v>24574</v>
      </c>
      <c r="C39" s="127">
        <v>21196</v>
      </c>
      <c r="D39" s="373">
        <v>25629</v>
      </c>
      <c r="E39" s="373">
        <v>25150</v>
      </c>
      <c r="F39" s="20">
        <f t="shared" si="10"/>
        <v>0.18654463106246461</v>
      </c>
      <c r="G39" s="2">
        <f t="shared" si="7"/>
        <v>0.24269886363636364</v>
      </c>
      <c r="H39" s="2">
        <f t="shared" si="8"/>
        <v>0.26966540404040407</v>
      </c>
      <c r="I39" s="28">
        <v>7.08</v>
      </c>
      <c r="J39" s="373">
        <v>6.9169999999999998</v>
      </c>
      <c r="K39" s="20">
        <f t="shared" si="11"/>
        <v>-2.3022598870056532E-2</v>
      </c>
      <c r="L39" s="4">
        <f t="shared" si="9"/>
        <v>0.84209523308843826</v>
      </c>
      <c r="M39" s="117">
        <v>1</v>
      </c>
      <c r="N39" s="117">
        <v>1</v>
      </c>
      <c r="O39" s="114">
        <v>0</v>
      </c>
      <c r="P39" s="114">
        <v>0</v>
      </c>
      <c r="Q39" s="114" t="s">
        <v>175</v>
      </c>
    </row>
    <row r="40" spans="1:17">
      <c r="A40" s="13">
        <f t="shared" si="12"/>
        <v>46148</v>
      </c>
      <c r="B40" s="127"/>
      <c r="C40" s="127"/>
      <c r="D40" s="34"/>
      <c r="E40" s="34"/>
      <c r="F40" s="20" t="e">
        <f t="shared" si="10"/>
        <v>#DIV/0!</v>
      </c>
      <c r="G40" s="2">
        <f t="shared" si="7"/>
        <v>0</v>
      </c>
      <c r="H40" s="2">
        <f t="shared" si="8"/>
        <v>0</v>
      </c>
      <c r="I40" s="29"/>
      <c r="J40" s="34"/>
      <c r="K40" s="20" t="e">
        <f t="shared" si="11"/>
        <v>#DIV/0!</v>
      </c>
      <c r="L40" s="4" t="e">
        <f t="shared" si="9"/>
        <v>#DIV/0!</v>
      </c>
      <c r="M40" s="103"/>
      <c r="N40" s="103"/>
      <c r="O40" s="34"/>
      <c r="P40" s="6"/>
      <c r="Q40" s="14"/>
    </row>
    <row r="41" spans="1:17">
      <c r="A41" s="13">
        <f t="shared" si="12"/>
        <v>46149</v>
      </c>
      <c r="B41" s="127"/>
      <c r="C41" s="127"/>
      <c r="D41" s="34"/>
      <c r="E41" s="34"/>
      <c r="F41" s="20" t="e">
        <f t="shared" si="10"/>
        <v>#DIV/0!</v>
      </c>
      <c r="G41" s="2">
        <f t="shared" si="7"/>
        <v>0</v>
      </c>
      <c r="H41" s="2">
        <f t="shared" si="8"/>
        <v>0</v>
      </c>
      <c r="I41" s="29"/>
      <c r="J41" s="34"/>
      <c r="K41" s="20" t="e">
        <f t="shared" si="11"/>
        <v>#DIV/0!</v>
      </c>
      <c r="L41" s="4" t="e">
        <f t="shared" si="9"/>
        <v>#DIV/0!</v>
      </c>
      <c r="M41" s="103"/>
      <c r="N41" s="103"/>
      <c r="O41" s="34"/>
      <c r="P41" s="6"/>
      <c r="Q41" s="202"/>
    </row>
    <row r="42" spans="1:17">
      <c r="A42" s="13">
        <f t="shared" si="12"/>
        <v>46150</v>
      </c>
      <c r="B42" s="127"/>
      <c r="C42" s="127"/>
      <c r="D42" s="34"/>
      <c r="E42" s="34"/>
      <c r="F42" s="20" t="e">
        <f t="shared" si="10"/>
        <v>#DIV/0!</v>
      </c>
      <c r="G42" s="2">
        <f t="shared" si="7"/>
        <v>0</v>
      </c>
      <c r="H42" s="2">
        <f t="shared" si="8"/>
        <v>0</v>
      </c>
      <c r="I42" s="29"/>
      <c r="J42" s="34"/>
      <c r="K42" s="20" t="e">
        <f t="shared" si="11"/>
        <v>#DIV/0!</v>
      </c>
      <c r="L42" s="4" t="e">
        <f t="shared" si="9"/>
        <v>#DIV/0!</v>
      </c>
      <c r="M42" s="103"/>
      <c r="N42" s="103"/>
      <c r="O42" s="34"/>
      <c r="P42" s="6"/>
      <c r="Q42" s="14"/>
    </row>
    <row r="43" spans="1:17">
      <c r="A43" s="13">
        <f t="shared" si="12"/>
        <v>46151</v>
      </c>
      <c r="B43" s="127"/>
      <c r="C43" s="127"/>
      <c r="D43" s="34"/>
      <c r="E43" s="34"/>
      <c r="F43" s="20" t="e">
        <f t="shared" si="10"/>
        <v>#DIV/0!</v>
      </c>
      <c r="G43" s="2">
        <f t="shared" si="7"/>
        <v>0</v>
      </c>
      <c r="H43" s="2">
        <f t="shared" si="8"/>
        <v>0</v>
      </c>
      <c r="I43" s="29"/>
      <c r="J43" s="34"/>
      <c r="K43" s="20" t="e">
        <f t="shared" si="11"/>
        <v>#DIV/0!</v>
      </c>
      <c r="L43" s="4" t="e">
        <f t="shared" si="9"/>
        <v>#DIV/0!</v>
      </c>
      <c r="M43" s="103"/>
      <c r="N43" s="103"/>
      <c r="O43" s="34"/>
      <c r="P43" s="6"/>
      <c r="Q43" s="6"/>
    </row>
    <row r="44" spans="1:17">
      <c r="A44" s="13">
        <f t="shared" si="12"/>
        <v>46152</v>
      </c>
      <c r="B44" s="127"/>
      <c r="C44" s="127"/>
      <c r="D44" s="34"/>
      <c r="E44" s="34"/>
      <c r="F44" s="20" t="e">
        <f t="shared" si="10"/>
        <v>#DIV/0!</v>
      </c>
      <c r="G44" s="2">
        <f t="shared" si="7"/>
        <v>0</v>
      </c>
      <c r="H44" s="2">
        <f t="shared" si="8"/>
        <v>0</v>
      </c>
      <c r="I44" s="29"/>
      <c r="J44" s="34"/>
      <c r="K44" s="20" t="e">
        <f t="shared" si="11"/>
        <v>#DIV/0!</v>
      </c>
      <c r="L44" s="4" t="e">
        <f t="shared" si="9"/>
        <v>#DIV/0!</v>
      </c>
      <c r="M44" s="103"/>
      <c r="N44" s="103"/>
      <c r="O44" s="34"/>
      <c r="P44" s="6"/>
      <c r="Q44" s="16"/>
    </row>
    <row r="45" spans="1:17">
      <c r="A45" s="13">
        <f t="shared" si="12"/>
        <v>46153</v>
      </c>
      <c r="B45" s="127"/>
      <c r="C45" s="127"/>
      <c r="D45" s="34"/>
      <c r="E45" s="34"/>
      <c r="F45" s="20" t="e">
        <f t="shared" si="10"/>
        <v>#DIV/0!</v>
      </c>
      <c r="G45" s="2">
        <f t="shared" si="7"/>
        <v>0</v>
      </c>
      <c r="H45" s="2">
        <f t="shared" si="8"/>
        <v>0</v>
      </c>
      <c r="I45" s="29"/>
      <c r="J45" s="34"/>
      <c r="K45" s="20" t="e">
        <f t="shared" si="11"/>
        <v>#DIV/0!</v>
      </c>
      <c r="L45" s="4" t="e">
        <f t="shared" si="9"/>
        <v>#DIV/0!</v>
      </c>
      <c r="M45" s="103"/>
      <c r="N45" s="103"/>
      <c r="O45" s="34"/>
      <c r="P45" s="6"/>
      <c r="Q45" s="6"/>
    </row>
    <row r="46" spans="1:17">
      <c r="A46" s="13">
        <f t="shared" si="12"/>
        <v>46154</v>
      </c>
      <c r="B46" s="127"/>
      <c r="C46" s="127"/>
      <c r="D46" s="34"/>
      <c r="E46" s="34"/>
      <c r="F46" s="20" t="e">
        <f t="shared" si="10"/>
        <v>#DIV/0!</v>
      </c>
      <c r="G46" s="2">
        <f t="shared" si="7"/>
        <v>0</v>
      </c>
      <c r="H46" s="2">
        <f t="shared" si="8"/>
        <v>0</v>
      </c>
      <c r="I46" s="29"/>
      <c r="J46" s="34"/>
      <c r="K46" s="20" t="e">
        <f t="shared" si="11"/>
        <v>#DIV/0!</v>
      </c>
      <c r="L46" s="4" t="e">
        <f t="shared" si="9"/>
        <v>#DIV/0!</v>
      </c>
      <c r="M46" s="104"/>
      <c r="N46" s="103"/>
      <c r="O46" s="34"/>
      <c r="P46" s="6"/>
      <c r="Q46" s="6"/>
    </row>
    <row r="47" spans="1:17">
      <c r="A47" s="13">
        <f t="shared" si="12"/>
        <v>46155</v>
      </c>
      <c r="B47" s="127"/>
      <c r="C47" s="127"/>
      <c r="D47" s="34"/>
      <c r="E47" s="34"/>
      <c r="F47" s="20" t="e">
        <f t="shared" si="10"/>
        <v>#DIV/0!</v>
      </c>
      <c r="G47" s="2">
        <f t="shared" si="7"/>
        <v>0</v>
      </c>
      <c r="H47" s="2">
        <f t="shared" si="8"/>
        <v>0</v>
      </c>
      <c r="I47" s="29"/>
      <c r="J47" s="34"/>
      <c r="K47" s="20" t="e">
        <f t="shared" si="11"/>
        <v>#DIV/0!</v>
      </c>
      <c r="L47" s="4" t="e">
        <f t="shared" si="9"/>
        <v>#DIV/0!</v>
      </c>
      <c r="M47" s="104"/>
      <c r="N47" s="103"/>
      <c r="O47" s="34"/>
      <c r="P47" s="6"/>
      <c r="Q47" s="31"/>
    </row>
    <row r="48" spans="1:17">
      <c r="A48" s="13">
        <f t="shared" si="12"/>
        <v>46156</v>
      </c>
      <c r="B48" s="127"/>
      <c r="C48" s="127"/>
      <c r="D48" s="34"/>
      <c r="E48" s="34"/>
      <c r="F48" s="20" t="e">
        <f t="shared" si="10"/>
        <v>#DIV/0!</v>
      </c>
      <c r="G48" s="2">
        <f t="shared" si="7"/>
        <v>0</v>
      </c>
      <c r="H48" s="2">
        <f t="shared" si="8"/>
        <v>0</v>
      </c>
      <c r="I48" s="29"/>
      <c r="J48" s="34"/>
      <c r="K48" s="20" t="e">
        <f t="shared" si="11"/>
        <v>#DIV/0!</v>
      </c>
      <c r="L48" s="4" t="e">
        <f t="shared" si="9"/>
        <v>#DIV/0!</v>
      </c>
      <c r="M48" s="104"/>
      <c r="N48" s="103"/>
      <c r="O48" s="34"/>
      <c r="P48" s="6"/>
      <c r="Q48" s="32"/>
    </row>
    <row r="49" spans="1:17">
      <c r="A49" s="13">
        <f t="shared" si="12"/>
        <v>46157</v>
      </c>
      <c r="B49" s="127"/>
      <c r="C49" s="127"/>
      <c r="D49" s="34"/>
      <c r="E49" s="34"/>
      <c r="F49" s="20" t="e">
        <f t="shared" si="10"/>
        <v>#DIV/0!</v>
      </c>
      <c r="G49" s="2">
        <f t="shared" si="7"/>
        <v>0</v>
      </c>
      <c r="H49" s="2">
        <f t="shared" si="8"/>
        <v>0</v>
      </c>
      <c r="I49" s="29"/>
      <c r="J49" s="34"/>
      <c r="K49" s="20" t="e">
        <f t="shared" si="11"/>
        <v>#DIV/0!</v>
      </c>
      <c r="L49" s="4" t="e">
        <f t="shared" si="9"/>
        <v>#DIV/0!</v>
      </c>
      <c r="M49" s="104"/>
      <c r="N49" s="103"/>
      <c r="O49" s="34"/>
      <c r="P49" s="6"/>
      <c r="Q49" s="32"/>
    </row>
    <row r="50" spans="1:17">
      <c r="A50" s="13">
        <f t="shared" si="12"/>
        <v>46158</v>
      </c>
      <c r="B50" s="127"/>
      <c r="C50" s="127"/>
      <c r="D50" s="34"/>
      <c r="E50" s="34"/>
      <c r="F50" s="20" t="e">
        <f t="shared" si="10"/>
        <v>#DIV/0!</v>
      </c>
      <c r="G50" s="2">
        <f t="shared" si="7"/>
        <v>0</v>
      </c>
      <c r="H50" s="2">
        <f t="shared" si="8"/>
        <v>0</v>
      </c>
      <c r="I50" s="29"/>
      <c r="J50" s="34"/>
      <c r="K50" s="20" t="e">
        <f t="shared" si="11"/>
        <v>#DIV/0!</v>
      </c>
      <c r="L50" s="4" t="e">
        <f t="shared" si="9"/>
        <v>#DIV/0!</v>
      </c>
      <c r="M50" s="104"/>
      <c r="N50" s="103"/>
      <c r="O50" s="34"/>
      <c r="P50" s="6"/>
      <c r="Q50" s="32"/>
    </row>
    <row r="51" spans="1:17">
      <c r="A51" s="13">
        <f t="shared" si="12"/>
        <v>46159</v>
      </c>
      <c r="B51" s="127"/>
      <c r="C51" s="127"/>
      <c r="D51" s="34"/>
      <c r="E51" s="34"/>
      <c r="F51" s="20" t="e">
        <f t="shared" si="10"/>
        <v>#DIV/0!</v>
      </c>
      <c r="G51" s="2">
        <f t="shared" si="7"/>
        <v>0</v>
      </c>
      <c r="H51" s="2">
        <f t="shared" si="8"/>
        <v>0</v>
      </c>
      <c r="I51" s="29"/>
      <c r="J51" s="34"/>
      <c r="K51" s="20" t="e">
        <f t="shared" si="11"/>
        <v>#DIV/0!</v>
      </c>
      <c r="L51" s="4" t="e">
        <f t="shared" si="9"/>
        <v>#DIV/0!</v>
      </c>
      <c r="M51" s="103"/>
      <c r="N51" s="103"/>
      <c r="O51" s="34"/>
      <c r="P51" s="6"/>
      <c r="Q51" s="6"/>
    </row>
    <row r="52" spans="1:17">
      <c r="A52" s="13">
        <f t="shared" si="12"/>
        <v>46160</v>
      </c>
      <c r="B52" s="127"/>
      <c r="C52" s="127"/>
      <c r="D52" s="34"/>
      <c r="E52" s="34"/>
      <c r="F52" s="20" t="e">
        <f t="shared" si="10"/>
        <v>#DIV/0!</v>
      </c>
      <c r="G52" s="2">
        <f t="shared" si="7"/>
        <v>0</v>
      </c>
      <c r="H52" s="2">
        <f t="shared" si="8"/>
        <v>0</v>
      </c>
      <c r="I52" s="29"/>
      <c r="J52" s="34"/>
      <c r="K52" s="20" t="e">
        <f t="shared" si="11"/>
        <v>#DIV/0!</v>
      </c>
      <c r="L52" s="4" t="e">
        <f t="shared" si="9"/>
        <v>#DIV/0!</v>
      </c>
      <c r="M52" s="103"/>
      <c r="N52" s="103"/>
      <c r="O52" s="34"/>
      <c r="P52" s="6"/>
      <c r="Q52" s="14"/>
    </row>
    <row r="53" spans="1:17">
      <c r="A53" s="13">
        <f t="shared" si="12"/>
        <v>46161</v>
      </c>
      <c r="B53" s="127"/>
      <c r="C53" s="127"/>
      <c r="D53" s="34"/>
      <c r="E53" s="34"/>
      <c r="F53" s="20" t="e">
        <f t="shared" si="10"/>
        <v>#DIV/0!</v>
      </c>
      <c r="G53" s="2">
        <f t="shared" si="7"/>
        <v>0</v>
      </c>
      <c r="H53" s="2">
        <f t="shared" si="8"/>
        <v>0</v>
      </c>
      <c r="I53" s="29"/>
      <c r="J53" s="34"/>
      <c r="K53" s="20" t="e">
        <f t="shared" si="11"/>
        <v>#DIV/0!</v>
      </c>
      <c r="L53" s="4" t="e">
        <f t="shared" si="9"/>
        <v>#DIV/0!</v>
      </c>
      <c r="M53" s="103"/>
      <c r="N53" s="103"/>
      <c r="O53" s="34"/>
      <c r="P53" s="6"/>
      <c r="Q53" s="14"/>
    </row>
    <row r="54" spans="1:17">
      <c r="A54" s="13">
        <f t="shared" si="12"/>
        <v>46162</v>
      </c>
      <c r="B54" s="127"/>
      <c r="C54" s="127"/>
      <c r="D54" s="34"/>
      <c r="E54" s="34"/>
      <c r="F54" s="20" t="e">
        <f t="shared" si="10"/>
        <v>#DIV/0!</v>
      </c>
      <c r="G54" s="2">
        <f t="shared" si="7"/>
        <v>0</v>
      </c>
      <c r="H54" s="2">
        <f t="shared" si="8"/>
        <v>0</v>
      </c>
      <c r="I54" s="29"/>
      <c r="J54" s="34"/>
      <c r="K54" s="20" t="e">
        <f t="shared" si="11"/>
        <v>#DIV/0!</v>
      </c>
      <c r="L54" s="4" t="e">
        <f t="shared" si="9"/>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9"/>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9"/>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9"/>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9"/>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9"/>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9"/>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9"/>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9"/>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9"/>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9"/>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9"/>
        <v>#DIV/0!</v>
      </c>
      <c r="M65" s="103"/>
      <c r="N65" s="103"/>
      <c r="O65" s="34"/>
      <c r="P65" s="6"/>
      <c r="Q65" s="6"/>
    </row>
    <row r="66" spans="1:17">
      <c r="A66" s="349">
        <v>46143</v>
      </c>
      <c r="B66" s="89">
        <f>SUM(B35:B65)</f>
        <v>122870</v>
      </c>
      <c r="C66" s="89">
        <f>SUM(C35:C65)</f>
        <v>105980</v>
      </c>
      <c r="D66" s="89">
        <f>SUM(D35:D65)</f>
        <v>128258</v>
      </c>
      <c r="E66" s="89">
        <f>SUM(E35:E65)</f>
        <v>126000</v>
      </c>
      <c r="F66" s="160">
        <f>(IF(ISBLANK(E66),0,E66-C66))/C66</f>
        <v>0.18890356671070013</v>
      </c>
      <c r="G66" s="90">
        <f>AVERAGE(G35:G65)</f>
        <v>3.9179496578690125E-2</v>
      </c>
      <c r="H66" s="90">
        <f>AVERAGE(H35:H65)</f>
        <v>4.353277397632236E-2</v>
      </c>
      <c r="I66" s="89">
        <f>SUM(I35:I65)</f>
        <v>35.4</v>
      </c>
      <c r="J66" s="89">
        <f>SUM(J35:J65)</f>
        <v>35.838000000000001</v>
      </c>
      <c r="K66" s="160">
        <f>(IF(ISBLANK(J66),0,J66-I66))/I66</f>
        <v>1.2372881355932272E-2</v>
      </c>
      <c r="L66" s="161">
        <f t="shared" si="9"/>
        <v>0.81336975987905158</v>
      </c>
      <c r="M66" s="90">
        <f>AVERAGE(M35:M65)</f>
        <v>1</v>
      </c>
      <c r="N66" s="90">
        <f>AVERAGE(N35:N65)</f>
        <v>0.998</v>
      </c>
      <c r="O66" s="89">
        <f>SUM(O35:O65)</f>
        <v>179</v>
      </c>
      <c r="P66" s="89">
        <f>SUM(P35:P65)</f>
        <v>0</v>
      </c>
      <c r="Q66" s="19"/>
    </row>
  </sheetData>
  <mergeCells count="4">
    <mergeCell ref="A1:Q1"/>
    <mergeCell ref="B2:C2"/>
    <mergeCell ref="E2:G2"/>
    <mergeCell ref="I2:J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215D-4972-491C-B8F1-2EFD9E5096C9}">
  <dimension ref="A1:Q66"/>
  <sheetViews>
    <sheetView topLeftCell="A23" workbookViewId="0">
      <selection activeCell="N29" sqref="N29"/>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10.269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377</v>
      </c>
      <c r="B1" s="406"/>
      <c r="C1" s="406"/>
      <c r="D1" s="406"/>
      <c r="E1" s="406"/>
      <c r="F1" s="406"/>
      <c r="G1" s="406"/>
      <c r="H1" s="406"/>
      <c r="I1" s="406"/>
      <c r="J1" s="406"/>
      <c r="K1" s="406"/>
      <c r="L1" s="406"/>
      <c r="M1" s="406"/>
      <c r="N1" s="406"/>
      <c r="O1" s="406"/>
      <c r="P1" s="406"/>
      <c r="Q1" s="406"/>
    </row>
    <row r="2" spans="1:17" ht="18.5">
      <c r="A2" s="7">
        <v>46113</v>
      </c>
      <c r="B2" s="407" t="s">
        <v>172</v>
      </c>
      <c r="C2" s="408"/>
      <c r="D2" s="8">
        <v>1124</v>
      </c>
      <c r="E2" s="407" t="s">
        <v>173</v>
      </c>
      <c r="F2" s="407"/>
      <c r="G2" s="408"/>
      <c r="H2" s="8">
        <v>880</v>
      </c>
      <c r="I2" s="409" t="s">
        <v>174</v>
      </c>
      <c r="J2" s="410"/>
      <c r="K2" s="9">
        <v>45742</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6450.73</v>
      </c>
      <c r="C4" s="1">
        <v>5595.2</v>
      </c>
      <c r="D4" s="31">
        <v>6029</v>
      </c>
      <c r="E4" s="49">
        <v>5970</v>
      </c>
      <c r="F4" s="20">
        <f>(IF(ISBLANK(E4),0,E4-C4))/C4</f>
        <v>6.6985987989705495E-2</v>
      </c>
      <c r="G4" s="2">
        <f t="shared" ref="G4:G27" si="0">D4/($D$2*24)</f>
        <v>0.2234949584816133</v>
      </c>
      <c r="H4" s="2">
        <f t="shared" ref="H4:H21" si="1">D4/($H$2*24)</f>
        <v>0.28546401515151515</v>
      </c>
      <c r="I4" s="3">
        <v>7.23</v>
      </c>
      <c r="J4" s="31">
        <v>6.44</v>
      </c>
      <c r="K4" s="20">
        <f>(IF(ISBLANK(J4),0,J4-I4))/I4</f>
        <v>-0.10926694329183956</v>
      </c>
      <c r="L4" s="4">
        <f t="shared" ref="L4:L35" si="2">D4/($D$2*J4)</f>
        <v>0.83290046639110538</v>
      </c>
      <c r="M4" s="61">
        <v>1</v>
      </c>
      <c r="N4" s="62">
        <v>1</v>
      </c>
      <c r="O4" s="49" t="s">
        <v>175</v>
      </c>
      <c r="P4" s="49" t="s">
        <v>175</v>
      </c>
      <c r="Q4" s="49" t="s">
        <v>175</v>
      </c>
    </row>
    <row r="5" spans="1:17">
      <c r="A5" s="13">
        <f>A4+1</f>
        <v>46114</v>
      </c>
      <c r="B5" s="1">
        <v>6450.73</v>
      </c>
      <c r="C5" s="1">
        <v>5595.2</v>
      </c>
      <c r="D5" s="32">
        <v>5064</v>
      </c>
      <c r="E5" s="50">
        <v>4990</v>
      </c>
      <c r="F5" s="20">
        <f t="shared" ref="F5:F33" si="3">(IF(ISBLANK(E5),0,E5-C5))/C5</f>
        <v>-0.10816414069202171</v>
      </c>
      <c r="G5" s="2">
        <f t="shared" si="0"/>
        <v>0.18772241992882563</v>
      </c>
      <c r="H5" s="2">
        <f t="shared" si="1"/>
        <v>0.23977272727272728</v>
      </c>
      <c r="I5" s="3">
        <v>7.23</v>
      </c>
      <c r="J5" s="32">
        <v>5.96</v>
      </c>
      <c r="K5" s="20">
        <f t="shared" ref="K5:K34" si="4">(IF(ISBLANK(J5),0,J5-I5))/I5</f>
        <v>-0.17565698478561553</v>
      </c>
      <c r="L5" s="4">
        <f t="shared" si="2"/>
        <v>0.75592920776708306</v>
      </c>
      <c r="M5" s="63">
        <v>0.92259999999999998</v>
      </c>
      <c r="N5" s="64">
        <v>1</v>
      </c>
      <c r="O5" s="50" t="s">
        <v>175</v>
      </c>
      <c r="P5" s="50">
        <v>411</v>
      </c>
      <c r="Q5" s="50" t="s">
        <v>378</v>
      </c>
    </row>
    <row r="6" spans="1:17">
      <c r="A6" s="13">
        <f t="shared" ref="A6:A33" si="5">A5+1</f>
        <v>46115</v>
      </c>
      <c r="B6" s="1">
        <v>6450.73</v>
      </c>
      <c r="C6" s="1">
        <v>5595.2</v>
      </c>
      <c r="D6" s="32">
        <v>4667</v>
      </c>
      <c r="E6" s="50">
        <v>4610</v>
      </c>
      <c r="F6" s="20">
        <f t="shared" si="3"/>
        <v>-0.17607949671146694</v>
      </c>
      <c r="G6" s="2">
        <f t="shared" si="0"/>
        <v>0.1730056346381969</v>
      </c>
      <c r="H6" s="2">
        <f t="shared" si="1"/>
        <v>0.22097537878787879</v>
      </c>
      <c r="I6" s="3">
        <v>7.23</v>
      </c>
      <c r="J6" s="32">
        <v>4.9000000000000004</v>
      </c>
      <c r="K6" s="20">
        <f t="shared" si="4"/>
        <v>-0.32226832641770398</v>
      </c>
      <c r="L6" s="4">
        <f t="shared" si="2"/>
        <v>0.84737453700341336</v>
      </c>
      <c r="M6" s="65">
        <v>1</v>
      </c>
      <c r="N6" s="64">
        <v>1</v>
      </c>
      <c r="O6" s="50" t="s">
        <v>175</v>
      </c>
      <c r="P6" s="50" t="s">
        <v>175</v>
      </c>
      <c r="Q6" s="50" t="s">
        <v>175</v>
      </c>
    </row>
    <row r="7" spans="1:17">
      <c r="A7" s="13">
        <f t="shared" si="5"/>
        <v>46116</v>
      </c>
      <c r="B7" s="1">
        <v>6450.73</v>
      </c>
      <c r="C7" s="1">
        <v>5595.2</v>
      </c>
      <c r="D7" s="32">
        <v>6716</v>
      </c>
      <c r="E7" s="50">
        <v>6640</v>
      </c>
      <c r="F7" s="20">
        <f t="shared" si="3"/>
        <v>0.18673148412925369</v>
      </c>
      <c r="G7" s="2">
        <f t="shared" si="0"/>
        <v>0.24896204033214708</v>
      </c>
      <c r="H7" s="2">
        <f t="shared" si="1"/>
        <v>0.31799242424242424</v>
      </c>
      <c r="I7" s="3">
        <v>7.23</v>
      </c>
      <c r="J7" s="32">
        <v>7.45</v>
      </c>
      <c r="K7" s="20">
        <f t="shared" si="4"/>
        <v>3.0428769017980601E-2</v>
      </c>
      <c r="L7" s="4">
        <f t="shared" si="2"/>
        <v>0.80202536482839326</v>
      </c>
      <c r="M7" s="65">
        <v>1</v>
      </c>
      <c r="N7" s="66">
        <v>0.98080000000000001</v>
      </c>
      <c r="O7" s="50">
        <v>160</v>
      </c>
      <c r="P7" s="50" t="s">
        <v>175</v>
      </c>
      <c r="Q7" s="50" t="s">
        <v>379</v>
      </c>
    </row>
    <row r="8" spans="1:17">
      <c r="A8" s="13">
        <f t="shared" si="5"/>
        <v>46117</v>
      </c>
      <c r="B8" s="1">
        <v>6450.73</v>
      </c>
      <c r="C8" s="1">
        <v>5595.2</v>
      </c>
      <c r="D8" s="32">
        <v>6159</v>
      </c>
      <c r="E8" s="50">
        <v>6090</v>
      </c>
      <c r="F8" s="20">
        <f t="shared" si="3"/>
        <v>8.8432942522161884E-2</v>
      </c>
      <c r="G8" s="2">
        <f t="shared" si="0"/>
        <v>0.22831405693950177</v>
      </c>
      <c r="H8" s="2">
        <f t="shared" si="1"/>
        <v>0.29161931818181819</v>
      </c>
      <c r="I8" s="3">
        <v>7.23</v>
      </c>
      <c r="J8" s="32">
        <v>7.19</v>
      </c>
      <c r="K8" s="20">
        <f t="shared" si="4"/>
        <v>-5.5325034578146658E-3</v>
      </c>
      <c r="L8" s="4">
        <f t="shared" si="2"/>
        <v>0.76210533609847597</v>
      </c>
      <c r="M8" s="65">
        <v>1</v>
      </c>
      <c r="N8" s="66">
        <v>0.94750000000000001</v>
      </c>
      <c r="O8" s="50">
        <v>561</v>
      </c>
      <c r="P8" s="50" t="s">
        <v>175</v>
      </c>
      <c r="Q8" s="50" t="s">
        <v>380</v>
      </c>
    </row>
    <row r="9" spans="1:17">
      <c r="A9" s="13">
        <f t="shared" si="5"/>
        <v>46118</v>
      </c>
      <c r="B9" s="1">
        <v>6450.73</v>
      </c>
      <c r="C9" s="1">
        <v>5595.2</v>
      </c>
      <c r="D9" s="32">
        <v>5716</v>
      </c>
      <c r="E9" s="50">
        <v>5660</v>
      </c>
      <c r="F9" s="20">
        <f t="shared" si="3"/>
        <v>1.1581355447526484E-2</v>
      </c>
      <c r="G9" s="2">
        <f t="shared" si="0"/>
        <v>0.2118920521945433</v>
      </c>
      <c r="H9" s="2">
        <f t="shared" si="1"/>
        <v>0.27064393939393938</v>
      </c>
      <c r="I9" s="3">
        <v>7.23</v>
      </c>
      <c r="J9" s="32">
        <v>7.03</v>
      </c>
      <c r="K9" s="20">
        <f t="shared" si="4"/>
        <v>-2.7662517289073329E-2</v>
      </c>
      <c r="L9" s="4">
        <f t="shared" si="2"/>
        <v>0.72338680692304969</v>
      </c>
      <c r="M9" s="65">
        <v>1</v>
      </c>
      <c r="N9" s="66">
        <v>0.89649999999999996</v>
      </c>
      <c r="O9" s="50">
        <v>753</v>
      </c>
      <c r="P9" s="50" t="s">
        <v>175</v>
      </c>
      <c r="Q9" s="50" t="s">
        <v>380</v>
      </c>
    </row>
    <row r="10" spans="1:17">
      <c r="A10" s="13">
        <f t="shared" si="5"/>
        <v>46119</v>
      </c>
      <c r="B10" s="1">
        <v>6450.73</v>
      </c>
      <c r="C10" s="1">
        <v>5595.2</v>
      </c>
      <c r="D10" s="32">
        <v>4422</v>
      </c>
      <c r="E10" s="50">
        <v>4370</v>
      </c>
      <c r="F10" s="20">
        <f t="shared" si="3"/>
        <v>-0.21897340577637972</v>
      </c>
      <c r="G10" s="2">
        <f t="shared" si="0"/>
        <v>0.16392348754448399</v>
      </c>
      <c r="H10" s="2">
        <f t="shared" si="1"/>
        <v>0.20937500000000001</v>
      </c>
      <c r="I10" s="3">
        <v>7.23</v>
      </c>
      <c r="J10" s="32">
        <v>6.18</v>
      </c>
      <c r="K10" s="20">
        <f t="shared" si="4"/>
        <v>-0.14522821576763495</v>
      </c>
      <c r="L10" s="4">
        <f t="shared" si="2"/>
        <v>0.63659606813391845</v>
      </c>
      <c r="M10" s="65">
        <v>1</v>
      </c>
      <c r="N10" s="66">
        <v>0.85599999999999998</v>
      </c>
      <c r="O10" s="50">
        <v>894</v>
      </c>
      <c r="P10" s="50" t="s">
        <v>175</v>
      </c>
      <c r="Q10" s="50" t="s">
        <v>380</v>
      </c>
    </row>
    <row r="11" spans="1:17">
      <c r="A11" s="13">
        <f t="shared" si="5"/>
        <v>46120</v>
      </c>
      <c r="B11" s="1">
        <v>6450.73</v>
      </c>
      <c r="C11" s="1">
        <v>5595.2</v>
      </c>
      <c r="D11" s="32">
        <v>5252</v>
      </c>
      <c r="E11" s="50">
        <v>5200</v>
      </c>
      <c r="F11" s="20">
        <f t="shared" si="3"/>
        <v>-7.0631970260223012E-2</v>
      </c>
      <c r="G11" s="2">
        <f t="shared" si="0"/>
        <v>0.19469157769869513</v>
      </c>
      <c r="H11" s="2">
        <f t="shared" si="1"/>
        <v>0.24867424242424244</v>
      </c>
      <c r="I11" s="3">
        <v>7.23</v>
      </c>
      <c r="J11" s="32">
        <v>6.99</v>
      </c>
      <c r="K11" s="20">
        <f t="shared" si="4"/>
        <v>-3.3195020746887995E-2</v>
      </c>
      <c r="L11" s="4">
        <f t="shared" si="2"/>
        <v>0.66846893630453263</v>
      </c>
      <c r="M11" s="65">
        <v>1</v>
      </c>
      <c r="N11" s="66">
        <v>0.85760000000000003</v>
      </c>
      <c r="O11" s="50">
        <v>1067</v>
      </c>
      <c r="P11" s="50" t="s">
        <v>175</v>
      </c>
      <c r="Q11" s="50" t="s">
        <v>380</v>
      </c>
    </row>
    <row r="12" spans="1:17">
      <c r="A12" s="13">
        <f t="shared" si="5"/>
        <v>46121</v>
      </c>
      <c r="B12" s="1">
        <v>6450.73</v>
      </c>
      <c r="C12" s="1">
        <v>5595.2</v>
      </c>
      <c r="D12" s="32">
        <v>5867</v>
      </c>
      <c r="E12" s="50">
        <v>5810</v>
      </c>
      <c r="F12" s="20">
        <f t="shared" si="3"/>
        <v>3.8390048613096972E-2</v>
      </c>
      <c r="G12" s="2">
        <f t="shared" si="0"/>
        <v>0.21748962040332148</v>
      </c>
      <c r="H12" s="2">
        <f t="shared" si="1"/>
        <v>0.27779356060606059</v>
      </c>
      <c r="I12" s="3">
        <v>7.23</v>
      </c>
      <c r="J12" s="32">
        <v>6.91</v>
      </c>
      <c r="K12" s="20">
        <f t="shared" si="4"/>
        <v>-4.4260027662517326E-2</v>
      </c>
      <c r="L12" s="4">
        <f t="shared" si="2"/>
        <v>0.75539086681327283</v>
      </c>
      <c r="M12" s="65">
        <v>1</v>
      </c>
      <c r="N12" s="66">
        <v>0.9415</v>
      </c>
      <c r="O12" s="50">
        <v>607</v>
      </c>
      <c r="P12" s="50" t="s">
        <v>175</v>
      </c>
      <c r="Q12" s="50" t="s">
        <v>380</v>
      </c>
    </row>
    <row r="13" spans="1:17">
      <c r="A13" s="13">
        <f t="shared" si="5"/>
        <v>46122</v>
      </c>
      <c r="B13" s="1">
        <v>6450.73</v>
      </c>
      <c r="C13" s="1">
        <v>5595.2</v>
      </c>
      <c r="D13" s="32">
        <v>6535</v>
      </c>
      <c r="E13" s="50">
        <v>6470</v>
      </c>
      <c r="F13" s="20">
        <f t="shared" si="3"/>
        <v>0.15634829854160712</v>
      </c>
      <c r="G13" s="2">
        <f t="shared" si="0"/>
        <v>0.24225237247924081</v>
      </c>
      <c r="H13" s="2">
        <f t="shared" si="1"/>
        <v>0.30942234848484851</v>
      </c>
      <c r="I13" s="3">
        <v>7.23</v>
      </c>
      <c r="J13" s="32">
        <v>6.99</v>
      </c>
      <c r="K13" s="20">
        <f t="shared" si="4"/>
        <v>-3.3195020746887995E-2</v>
      </c>
      <c r="L13" s="4">
        <f t="shared" si="2"/>
        <v>0.83176780250383109</v>
      </c>
      <c r="M13" s="65">
        <v>1</v>
      </c>
      <c r="N13" s="64">
        <v>1</v>
      </c>
      <c r="O13" s="50" t="s">
        <v>175</v>
      </c>
      <c r="P13" s="50" t="s">
        <v>175</v>
      </c>
      <c r="Q13" s="50" t="s">
        <v>175</v>
      </c>
    </row>
    <row r="14" spans="1:17">
      <c r="A14" s="13">
        <f t="shared" si="5"/>
        <v>46123</v>
      </c>
      <c r="B14" s="1">
        <v>6450.73</v>
      </c>
      <c r="C14" s="1">
        <v>5595.2</v>
      </c>
      <c r="D14" s="32">
        <v>6413</v>
      </c>
      <c r="E14" s="50">
        <v>6350</v>
      </c>
      <c r="F14" s="20">
        <f t="shared" si="3"/>
        <v>0.13490134400915074</v>
      </c>
      <c r="G14" s="2">
        <f t="shared" si="0"/>
        <v>0.23772983392645314</v>
      </c>
      <c r="H14" s="2">
        <f t="shared" si="1"/>
        <v>0.30364583333333334</v>
      </c>
      <c r="I14" s="3">
        <v>7.23</v>
      </c>
      <c r="J14" s="32">
        <v>6.88</v>
      </c>
      <c r="K14" s="20">
        <f t="shared" si="4"/>
        <v>-4.8409405255878356E-2</v>
      </c>
      <c r="L14" s="4">
        <f t="shared" si="2"/>
        <v>0.82929011834809241</v>
      </c>
      <c r="M14" s="65">
        <v>1</v>
      </c>
      <c r="N14" s="64">
        <v>1</v>
      </c>
      <c r="O14" s="50" t="s">
        <v>175</v>
      </c>
      <c r="P14" s="50" t="s">
        <v>175</v>
      </c>
      <c r="Q14" s="50" t="s">
        <v>175</v>
      </c>
    </row>
    <row r="15" spans="1:17">
      <c r="A15" s="13">
        <f t="shared" si="5"/>
        <v>46124</v>
      </c>
      <c r="B15" s="1">
        <v>6450.73</v>
      </c>
      <c r="C15" s="1">
        <v>5595.2</v>
      </c>
      <c r="D15" s="32">
        <v>6575</v>
      </c>
      <c r="E15" s="50">
        <v>6500</v>
      </c>
      <c r="F15" s="20">
        <f t="shared" si="3"/>
        <v>0.16171003717472124</v>
      </c>
      <c r="G15" s="2">
        <f t="shared" si="0"/>
        <v>0.24373517200474495</v>
      </c>
      <c r="H15" s="2">
        <f t="shared" si="1"/>
        <v>0.3113162878787879</v>
      </c>
      <c r="I15" s="3">
        <v>7.23</v>
      </c>
      <c r="J15" s="32">
        <v>7.07</v>
      </c>
      <c r="K15" s="20">
        <f t="shared" si="4"/>
        <v>-2.2130013831258663E-2</v>
      </c>
      <c r="L15" s="4">
        <f t="shared" si="2"/>
        <v>0.82738955135981307</v>
      </c>
      <c r="M15" s="65">
        <v>1</v>
      </c>
      <c r="N15" s="64">
        <v>1</v>
      </c>
      <c r="O15" s="50" t="s">
        <v>175</v>
      </c>
      <c r="P15" s="50" t="s">
        <v>175</v>
      </c>
      <c r="Q15" s="50" t="s">
        <v>175</v>
      </c>
    </row>
    <row r="16" spans="1:17">
      <c r="A16" s="13">
        <f t="shared" si="5"/>
        <v>46125</v>
      </c>
      <c r="B16" s="1">
        <v>6450.73</v>
      </c>
      <c r="C16" s="1">
        <v>5595.2</v>
      </c>
      <c r="D16" s="32">
        <v>6410</v>
      </c>
      <c r="E16" s="50">
        <v>6340</v>
      </c>
      <c r="F16" s="20">
        <f t="shared" si="3"/>
        <v>0.1331140977981127</v>
      </c>
      <c r="G16" s="2">
        <f t="shared" si="0"/>
        <v>0.23761862396204034</v>
      </c>
      <c r="H16" s="2">
        <f t="shared" si="1"/>
        <v>0.3035037878787879</v>
      </c>
      <c r="I16" s="3">
        <v>7.23</v>
      </c>
      <c r="J16" s="32">
        <v>6.91</v>
      </c>
      <c r="K16" s="20">
        <f t="shared" si="4"/>
        <v>-4.4260027662517326E-2</v>
      </c>
      <c r="L16" s="4">
        <f t="shared" si="2"/>
        <v>0.82530346962213719</v>
      </c>
      <c r="M16" s="65">
        <v>1</v>
      </c>
      <c r="N16" s="64">
        <v>1</v>
      </c>
      <c r="O16" s="50" t="s">
        <v>175</v>
      </c>
      <c r="P16" s="50" t="s">
        <v>175</v>
      </c>
      <c r="Q16" s="50" t="s">
        <v>175</v>
      </c>
    </row>
    <row r="17" spans="1:17">
      <c r="A17" s="13">
        <f t="shared" si="5"/>
        <v>46126</v>
      </c>
      <c r="B17" s="1">
        <v>6450.73</v>
      </c>
      <c r="C17" s="1">
        <v>5595.2</v>
      </c>
      <c r="D17" s="32">
        <v>6040</v>
      </c>
      <c r="E17" s="50">
        <v>5980</v>
      </c>
      <c r="F17" s="20">
        <f t="shared" si="3"/>
        <v>6.8773234200743535E-2</v>
      </c>
      <c r="G17" s="2">
        <f t="shared" si="0"/>
        <v>0.22390272835112693</v>
      </c>
      <c r="H17" s="2">
        <f t="shared" si="1"/>
        <v>0.28598484848484851</v>
      </c>
      <c r="I17" s="3">
        <v>7.23</v>
      </c>
      <c r="J17" s="32">
        <v>6.98</v>
      </c>
      <c r="K17" s="20">
        <f t="shared" si="4"/>
        <v>-3.4578146611341627E-2</v>
      </c>
      <c r="L17" s="4">
        <f t="shared" si="2"/>
        <v>0.76986611467436183</v>
      </c>
      <c r="M17" s="65">
        <v>1</v>
      </c>
      <c r="N17" s="66">
        <v>0.95750000000000002</v>
      </c>
      <c r="O17" s="50">
        <v>442</v>
      </c>
      <c r="P17" s="50" t="s">
        <v>175</v>
      </c>
      <c r="Q17" s="50" t="s">
        <v>380</v>
      </c>
    </row>
    <row r="18" spans="1:17">
      <c r="A18" s="13">
        <f t="shared" si="5"/>
        <v>46127</v>
      </c>
      <c r="B18" s="1">
        <v>6450.73</v>
      </c>
      <c r="C18" s="1">
        <v>5595.2</v>
      </c>
      <c r="D18" s="32">
        <v>5700</v>
      </c>
      <c r="E18" s="50">
        <v>5640</v>
      </c>
      <c r="F18" s="20">
        <f t="shared" si="3"/>
        <v>8.006863025450419E-3</v>
      </c>
      <c r="G18" s="2">
        <f t="shared" si="0"/>
        <v>0.21129893238434164</v>
      </c>
      <c r="H18" s="2">
        <f t="shared" si="1"/>
        <v>0.26988636363636365</v>
      </c>
      <c r="I18" s="3">
        <v>7.23</v>
      </c>
      <c r="J18" s="32">
        <v>6.75</v>
      </c>
      <c r="K18" s="20">
        <f t="shared" si="4"/>
        <v>-6.6390041493775989E-2</v>
      </c>
      <c r="L18" s="4">
        <f t="shared" si="2"/>
        <v>0.75128509292210355</v>
      </c>
      <c r="M18" s="65">
        <v>1</v>
      </c>
      <c r="N18" s="66">
        <v>0.94650000000000001</v>
      </c>
      <c r="O18" s="50">
        <v>522</v>
      </c>
      <c r="P18" s="50" t="s">
        <v>175</v>
      </c>
      <c r="Q18" s="50" t="s">
        <v>380</v>
      </c>
    </row>
    <row r="19" spans="1:17">
      <c r="A19" s="13">
        <f t="shared" si="5"/>
        <v>46128</v>
      </c>
      <c r="B19" s="1">
        <v>6450.73</v>
      </c>
      <c r="C19" s="1">
        <v>5595.2</v>
      </c>
      <c r="D19" s="32">
        <v>5998</v>
      </c>
      <c r="E19" s="50">
        <v>5940</v>
      </c>
      <c r="F19" s="20">
        <f t="shared" si="3"/>
        <v>6.1624249356591401E-2</v>
      </c>
      <c r="G19" s="2">
        <f t="shared" si="0"/>
        <v>0.22234578884934758</v>
      </c>
      <c r="H19" s="2">
        <f t="shared" si="1"/>
        <v>0.28399621212121212</v>
      </c>
      <c r="I19" s="3">
        <v>7.23</v>
      </c>
      <c r="J19" s="32">
        <v>6.81</v>
      </c>
      <c r="K19" s="20">
        <f t="shared" si="4"/>
        <v>-5.8091286307054055E-2</v>
      </c>
      <c r="L19" s="4">
        <f t="shared" si="2"/>
        <v>0.78359749374219412</v>
      </c>
      <c r="M19" s="65">
        <v>1</v>
      </c>
      <c r="N19" s="66">
        <v>0.97009999999999996</v>
      </c>
      <c r="O19" s="50">
        <v>317</v>
      </c>
      <c r="P19" s="50" t="s">
        <v>175</v>
      </c>
      <c r="Q19" s="50" t="s">
        <v>380</v>
      </c>
    </row>
    <row r="20" spans="1:17">
      <c r="A20" s="13">
        <f t="shared" si="5"/>
        <v>46129</v>
      </c>
      <c r="B20" s="1">
        <v>6450.73</v>
      </c>
      <c r="C20" s="1">
        <v>5595.2</v>
      </c>
      <c r="D20" s="32">
        <v>6127</v>
      </c>
      <c r="E20" s="50">
        <v>6060</v>
      </c>
      <c r="F20" s="20">
        <f t="shared" si="3"/>
        <v>8.307120388904779E-2</v>
      </c>
      <c r="G20" s="2">
        <f t="shared" si="0"/>
        <v>0.22712781731909845</v>
      </c>
      <c r="H20" s="2">
        <f t="shared" si="1"/>
        <v>0.29010416666666666</v>
      </c>
      <c r="I20" s="3">
        <v>7.23</v>
      </c>
      <c r="J20" s="32">
        <v>7.1</v>
      </c>
      <c r="K20" s="20">
        <f t="shared" si="4"/>
        <v>-1.7980636237897755E-2</v>
      </c>
      <c r="L20" s="4">
        <f t="shared" si="2"/>
        <v>0.7677560022054033</v>
      </c>
      <c r="M20" s="65">
        <v>1</v>
      </c>
      <c r="N20" s="66">
        <v>0.94469999999999998</v>
      </c>
      <c r="O20" s="50">
        <v>608</v>
      </c>
      <c r="P20" s="50" t="s">
        <v>175</v>
      </c>
      <c r="Q20" s="50" t="s">
        <v>380</v>
      </c>
    </row>
    <row r="21" spans="1:17">
      <c r="A21" s="13">
        <f t="shared" si="5"/>
        <v>46130</v>
      </c>
      <c r="B21" s="1">
        <v>6450.73</v>
      </c>
      <c r="C21" s="1">
        <v>5595.2</v>
      </c>
      <c r="D21" s="32">
        <v>6313</v>
      </c>
      <c r="E21" s="50">
        <v>6250</v>
      </c>
      <c r="F21" s="20">
        <f t="shared" si="3"/>
        <v>0.11702888189877041</v>
      </c>
      <c r="G21" s="2">
        <f t="shared" si="0"/>
        <v>0.23402283511269276</v>
      </c>
      <c r="H21" s="2">
        <f t="shared" si="1"/>
        <v>0.29891098484848483</v>
      </c>
      <c r="I21" s="3">
        <v>7.23</v>
      </c>
      <c r="J21" s="32">
        <v>7.17</v>
      </c>
      <c r="K21" s="20">
        <f t="shared" si="4"/>
        <v>-8.2987551867220594E-3</v>
      </c>
      <c r="L21" s="4">
        <f t="shared" si="2"/>
        <v>0.7833400338500176</v>
      </c>
      <c r="M21" s="65">
        <v>1</v>
      </c>
      <c r="N21" s="66">
        <v>0.95879999999999999</v>
      </c>
      <c r="O21" s="50">
        <v>461</v>
      </c>
      <c r="P21" s="50" t="s">
        <v>175</v>
      </c>
      <c r="Q21" s="50" t="s">
        <v>380</v>
      </c>
    </row>
    <row r="22" spans="1:17">
      <c r="A22" s="13">
        <f t="shared" si="5"/>
        <v>46131</v>
      </c>
      <c r="B22" s="1">
        <v>6450.73</v>
      </c>
      <c r="C22" s="1">
        <v>5595.2</v>
      </c>
      <c r="D22" s="32">
        <v>6394</v>
      </c>
      <c r="E22" s="50">
        <v>6330</v>
      </c>
      <c r="F22" s="20">
        <f t="shared" si="3"/>
        <v>0.13132685158707466</v>
      </c>
      <c r="G22" s="2">
        <f t="shared" si="0"/>
        <v>0.23702550415183868</v>
      </c>
      <c r="H22" s="2">
        <f t="shared" ref="H22:H27" si="6">E22/($D$2*24)</f>
        <v>0.23465302491103202</v>
      </c>
      <c r="I22" s="3">
        <v>7.23</v>
      </c>
      <c r="J22" s="32">
        <v>7.17</v>
      </c>
      <c r="K22" s="20">
        <f t="shared" si="4"/>
        <v>-8.2987551867220594E-3</v>
      </c>
      <c r="L22" s="4">
        <f t="shared" si="2"/>
        <v>0.79339080887644742</v>
      </c>
      <c r="M22" s="65">
        <v>1</v>
      </c>
      <c r="N22" s="66">
        <v>0.9516</v>
      </c>
      <c r="O22" s="50">
        <v>540</v>
      </c>
      <c r="P22" s="50" t="s">
        <v>175</v>
      </c>
      <c r="Q22" s="50" t="s">
        <v>380</v>
      </c>
    </row>
    <row r="23" spans="1:17">
      <c r="A23" s="13">
        <f t="shared" si="5"/>
        <v>46132</v>
      </c>
      <c r="B23" s="1">
        <v>6450.73</v>
      </c>
      <c r="C23" s="1">
        <v>5595.2</v>
      </c>
      <c r="D23" s="32">
        <v>6630</v>
      </c>
      <c r="E23" s="50">
        <v>6570</v>
      </c>
      <c r="F23" s="20">
        <f t="shared" si="3"/>
        <v>0.17422076065198747</v>
      </c>
      <c r="G23" s="2">
        <f t="shared" si="0"/>
        <v>0.24577402135231316</v>
      </c>
      <c r="H23" s="2">
        <f t="shared" si="6"/>
        <v>0.24354982206405695</v>
      </c>
      <c r="I23" s="3">
        <v>7.23</v>
      </c>
      <c r="J23" s="32">
        <v>7</v>
      </c>
      <c r="K23" s="20">
        <f t="shared" si="4"/>
        <v>-3.1811894882434362E-2</v>
      </c>
      <c r="L23" s="4">
        <f t="shared" si="2"/>
        <v>0.84265378749364517</v>
      </c>
      <c r="M23" s="65">
        <v>1</v>
      </c>
      <c r="N23" s="64">
        <v>1</v>
      </c>
      <c r="O23" s="50" t="s">
        <v>175</v>
      </c>
      <c r="P23" s="50" t="s">
        <v>175</v>
      </c>
      <c r="Q23" s="50" t="s">
        <v>175</v>
      </c>
    </row>
    <row r="24" spans="1:17">
      <c r="A24" s="13">
        <f t="shared" si="5"/>
        <v>46133</v>
      </c>
      <c r="B24" s="1">
        <v>6450.73</v>
      </c>
      <c r="C24" s="1">
        <v>5595.2</v>
      </c>
      <c r="D24" s="32">
        <v>6253</v>
      </c>
      <c r="E24" s="50">
        <v>6190</v>
      </c>
      <c r="F24" s="20">
        <f>(IF(ISBLANK(E24),0,E24-C24))/C24</f>
        <v>0.10630540463254222</v>
      </c>
      <c r="G24" s="2">
        <f t="shared" si="0"/>
        <v>0.23179863582443655</v>
      </c>
      <c r="H24" s="2">
        <f t="shared" si="6"/>
        <v>0.22946322657176749</v>
      </c>
      <c r="I24" s="3">
        <v>7.23</v>
      </c>
      <c r="J24" s="32">
        <v>7.23</v>
      </c>
      <c r="K24" s="20">
        <f>(IF(ISBLANK(J24),0,J24-I24))/I24</f>
        <v>0</v>
      </c>
      <c r="L24" s="4">
        <f t="shared" si="2"/>
        <v>0.76945605252924987</v>
      </c>
      <c r="M24" s="65">
        <v>1</v>
      </c>
      <c r="N24" s="66">
        <v>0.94779999999999998</v>
      </c>
      <c r="O24" s="50">
        <v>572</v>
      </c>
      <c r="P24" s="50" t="s">
        <v>175</v>
      </c>
      <c r="Q24" s="50" t="s">
        <v>380</v>
      </c>
    </row>
    <row r="25" spans="1:17">
      <c r="A25" s="13">
        <f t="shared" si="5"/>
        <v>46134</v>
      </c>
      <c r="B25" s="1">
        <v>6450.73</v>
      </c>
      <c r="C25" s="1">
        <v>5595.2</v>
      </c>
      <c r="D25" s="32">
        <v>5912</v>
      </c>
      <c r="E25" s="50">
        <v>5850</v>
      </c>
      <c r="F25" s="20">
        <f t="shared" si="3"/>
        <v>4.5539033457249106E-2</v>
      </c>
      <c r="G25" s="2">
        <f t="shared" si="0"/>
        <v>0.21915776986951363</v>
      </c>
      <c r="H25" s="2">
        <f t="shared" si="6"/>
        <v>0.2168594306049822</v>
      </c>
      <c r="I25" s="3">
        <v>7.23</v>
      </c>
      <c r="J25" s="32">
        <v>7.37</v>
      </c>
      <c r="K25" s="20">
        <f t="shared" si="4"/>
        <v>1.9363762102351269E-2</v>
      </c>
      <c r="L25" s="4">
        <f t="shared" si="2"/>
        <v>0.71367523431049207</v>
      </c>
      <c r="M25" s="65">
        <v>1</v>
      </c>
      <c r="N25" s="66">
        <v>0.92420000000000002</v>
      </c>
      <c r="O25" s="50">
        <v>757</v>
      </c>
      <c r="P25" s="50" t="s">
        <v>175</v>
      </c>
      <c r="Q25" s="50" t="s">
        <v>380</v>
      </c>
    </row>
    <row r="26" spans="1:17">
      <c r="A26" s="13">
        <f t="shared" si="5"/>
        <v>46135</v>
      </c>
      <c r="B26" s="1">
        <v>6450.73</v>
      </c>
      <c r="C26" s="1">
        <v>5595.2</v>
      </c>
      <c r="D26" s="32">
        <v>5523</v>
      </c>
      <c r="E26" s="50">
        <v>5460</v>
      </c>
      <c r="F26" s="20">
        <f t="shared" si="3"/>
        <v>-2.4163568773234168E-2</v>
      </c>
      <c r="G26" s="2">
        <f t="shared" si="0"/>
        <v>0.20473754448398576</v>
      </c>
      <c r="H26" s="2">
        <f t="shared" si="6"/>
        <v>0.20240213523131673</v>
      </c>
      <c r="I26" s="3">
        <v>7.23</v>
      </c>
      <c r="J26" s="32">
        <v>7.25</v>
      </c>
      <c r="K26" s="20">
        <f t="shared" si="4"/>
        <v>2.7662517289072713E-3</v>
      </c>
      <c r="L26" s="4">
        <f t="shared" si="2"/>
        <v>0.67775187139526327</v>
      </c>
      <c r="M26" s="65">
        <v>1</v>
      </c>
      <c r="N26" s="66">
        <v>0.89510000000000001</v>
      </c>
      <c r="O26" s="50">
        <v>1072</v>
      </c>
      <c r="P26" s="50" t="s">
        <v>175</v>
      </c>
      <c r="Q26" s="50" t="s">
        <v>381</v>
      </c>
    </row>
    <row r="27" spans="1:17">
      <c r="A27" s="13">
        <f t="shared" si="5"/>
        <v>46136</v>
      </c>
      <c r="B27" s="1">
        <v>6450.73</v>
      </c>
      <c r="C27" s="1">
        <v>5595.2</v>
      </c>
      <c r="D27" s="32">
        <v>6194</v>
      </c>
      <c r="E27" s="50">
        <v>6130</v>
      </c>
      <c r="F27" s="20">
        <f>(IF(ISBLANK(E27),0,E27-C27))/C27</f>
        <v>9.5581927366314018E-2</v>
      </c>
      <c r="G27" s="2">
        <f t="shared" si="0"/>
        <v>0.22961150652431792</v>
      </c>
      <c r="H27" s="2">
        <f t="shared" si="6"/>
        <v>0.22723902728351128</v>
      </c>
      <c r="I27" s="3">
        <v>7.23</v>
      </c>
      <c r="J27" s="32">
        <v>7.1</v>
      </c>
      <c r="K27" s="20">
        <f t="shared" si="4"/>
        <v>-1.7980636237897755E-2</v>
      </c>
      <c r="L27" s="4">
        <f t="shared" si="2"/>
        <v>0.77615157134980706</v>
      </c>
      <c r="M27" s="65">
        <v>1</v>
      </c>
      <c r="N27" s="66">
        <v>0.98150000000000004</v>
      </c>
      <c r="O27" s="50">
        <v>207</v>
      </c>
      <c r="P27" s="50" t="s">
        <v>175</v>
      </c>
      <c r="Q27" s="50" t="s">
        <v>380</v>
      </c>
    </row>
    <row r="28" spans="1:17">
      <c r="A28" s="13">
        <f t="shared" si="5"/>
        <v>46137</v>
      </c>
      <c r="B28" s="1">
        <v>6450.73</v>
      </c>
      <c r="C28" s="1">
        <v>5595.2</v>
      </c>
      <c r="D28" s="6">
        <v>5691</v>
      </c>
      <c r="E28" s="6">
        <v>5640</v>
      </c>
      <c r="F28" s="20">
        <f t="shared" si="3"/>
        <v>8.006863025450419E-3</v>
      </c>
      <c r="G28" s="2">
        <f t="shared" ref="G28:G33" si="7">D28/($D$2*24)</f>
        <v>0.21096530249110321</v>
      </c>
      <c r="H28" s="2">
        <f t="shared" ref="H28:H33" si="8">E28/($D$2*24)</f>
        <v>0.2090747330960854</v>
      </c>
      <c r="I28" s="3">
        <v>7.23</v>
      </c>
      <c r="J28" s="6">
        <v>7.08</v>
      </c>
      <c r="K28" s="20">
        <f t="shared" si="4"/>
        <v>-2.0746887966805027E-2</v>
      </c>
      <c r="L28" s="4">
        <f t="shared" si="2"/>
        <v>0.7151366186139092</v>
      </c>
      <c r="M28" s="65">
        <v>1</v>
      </c>
      <c r="N28" s="25">
        <v>0.83950000000000002</v>
      </c>
      <c r="O28" s="6">
        <v>490</v>
      </c>
      <c r="P28" s="6"/>
      <c r="Q28" s="365" t="s">
        <v>382</v>
      </c>
    </row>
    <row r="29" spans="1:17">
      <c r="A29" s="13">
        <f t="shared" si="5"/>
        <v>46138</v>
      </c>
      <c r="B29" s="1">
        <v>6450.73</v>
      </c>
      <c r="C29" s="1">
        <v>5595.2</v>
      </c>
      <c r="D29" s="6">
        <v>6403</v>
      </c>
      <c r="E29" s="6">
        <v>6330</v>
      </c>
      <c r="F29" s="20">
        <f t="shared" si="3"/>
        <v>0.13132685158707466</v>
      </c>
      <c r="G29" s="2">
        <f t="shared" si="7"/>
        <v>0.23735913404507711</v>
      </c>
      <c r="H29" s="2">
        <f t="shared" si="8"/>
        <v>0.23465302491103202</v>
      </c>
      <c r="I29" s="3">
        <v>7.23</v>
      </c>
      <c r="J29" s="6">
        <v>7.28</v>
      </c>
      <c r="K29" s="20">
        <f t="shared" si="4"/>
        <v>6.9156293222683018E-3</v>
      </c>
      <c r="L29" s="4">
        <f t="shared" si="2"/>
        <v>0.78250263970904543</v>
      </c>
      <c r="M29" s="65">
        <v>1</v>
      </c>
      <c r="N29" s="189">
        <v>1</v>
      </c>
      <c r="O29" s="6"/>
      <c r="P29" s="6"/>
      <c r="Q29" s="6"/>
    </row>
    <row r="30" spans="1:17">
      <c r="A30" s="13">
        <f t="shared" si="5"/>
        <v>46139</v>
      </c>
      <c r="B30" s="1">
        <v>6450.73</v>
      </c>
      <c r="C30" s="1">
        <v>5595.2</v>
      </c>
      <c r="D30" s="6">
        <v>5824</v>
      </c>
      <c r="E30" s="6">
        <v>5770</v>
      </c>
      <c r="F30" s="20">
        <f t="shared" si="3"/>
        <v>3.1241063768944845E-2</v>
      </c>
      <c r="G30" s="2">
        <f t="shared" si="7"/>
        <v>0.21589561091340451</v>
      </c>
      <c r="H30" s="2">
        <f t="shared" si="8"/>
        <v>0.2138938315539739</v>
      </c>
      <c r="I30" s="3">
        <v>7.23</v>
      </c>
      <c r="J30" s="6">
        <v>7.01</v>
      </c>
      <c r="K30" s="20">
        <f t="shared" si="4"/>
        <v>-3.0428769017980722E-2</v>
      </c>
      <c r="L30" s="4">
        <f t="shared" si="2"/>
        <v>0.73915758372634921</v>
      </c>
      <c r="M30" s="65">
        <v>1</v>
      </c>
      <c r="N30" s="25">
        <v>0.95089999999999997</v>
      </c>
      <c r="O30" s="6">
        <v>512</v>
      </c>
      <c r="P30" s="6"/>
      <c r="Q30" s="50" t="s">
        <v>380</v>
      </c>
    </row>
    <row r="31" spans="1:17">
      <c r="A31" s="13">
        <f t="shared" si="5"/>
        <v>46140</v>
      </c>
      <c r="B31" s="1">
        <v>6450.73</v>
      </c>
      <c r="C31" s="1">
        <v>5595.2</v>
      </c>
      <c r="D31" s="6">
        <v>5730</v>
      </c>
      <c r="E31" s="6">
        <v>5670</v>
      </c>
      <c r="F31" s="20">
        <f t="shared" si="3"/>
        <v>1.3368601658564516E-2</v>
      </c>
      <c r="G31" s="2">
        <f t="shared" si="7"/>
        <v>0.21241103202846975</v>
      </c>
      <c r="H31" s="2">
        <f t="shared" si="8"/>
        <v>0.21018683274021352</v>
      </c>
      <c r="I31" s="3">
        <v>7.23</v>
      </c>
      <c r="J31" s="6">
        <v>6.94</v>
      </c>
      <c r="K31" s="20">
        <f t="shared" si="4"/>
        <v>-4.0110650069156296E-2</v>
      </c>
      <c r="L31" s="4">
        <f t="shared" si="2"/>
        <v>0.73456264678433336</v>
      </c>
      <c r="M31" s="65">
        <v>1</v>
      </c>
      <c r="N31" s="25">
        <v>0.94110000000000005</v>
      </c>
      <c r="O31" s="6">
        <v>568</v>
      </c>
      <c r="P31" s="6"/>
      <c r="Q31" s="50" t="s">
        <v>380</v>
      </c>
    </row>
    <row r="32" spans="1:17">
      <c r="A32" s="13">
        <f t="shared" si="5"/>
        <v>46141</v>
      </c>
      <c r="B32" s="1">
        <v>6450.73</v>
      </c>
      <c r="C32" s="1">
        <v>5595.2</v>
      </c>
      <c r="D32" s="6">
        <v>5577</v>
      </c>
      <c r="E32" s="6">
        <v>5530</v>
      </c>
      <c r="F32" s="20">
        <f t="shared" si="3"/>
        <v>-1.165284529596794E-2</v>
      </c>
      <c r="G32" s="2">
        <f t="shared" si="7"/>
        <v>0.20673932384341637</v>
      </c>
      <c r="H32" s="2">
        <f t="shared" si="8"/>
        <v>0.20499703440094899</v>
      </c>
      <c r="I32" s="3">
        <v>7.23</v>
      </c>
      <c r="J32" s="6">
        <v>6.68</v>
      </c>
      <c r="K32" s="20">
        <f t="shared" si="4"/>
        <v>-7.6071922544951681E-2</v>
      </c>
      <c r="L32" s="4">
        <f t="shared" si="2"/>
        <v>0.74277601380868163</v>
      </c>
      <c r="M32" s="65">
        <v>1</v>
      </c>
      <c r="N32" s="25">
        <v>0.94020000000000004</v>
      </c>
      <c r="O32" s="6">
        <v>590</v>
      </c>
      <c r="P32" s="6"/>
      <c r="Q32" s="50" t="s">
        <v>380</v>
      </c>
    </row>
    <row r="33" spans="1:17">
      <c r="A33" s="13">
        <f t="shared" si="5"/>
        <v>46142</v>
      </c>
      <c r="B33" s="1">
        <v>6450.73</v>
      </c>
      <c r="C33" s="1">
        <v>5595.2</v>
      </c>
      <c r="D33" s="6">
        <v>5471</v>
      </c>
      <c r="E33" s="6">
        <v>5400</v>
      </c>
      <c r="F33" s="20">
        <f t="shared" si="3"/>
        <v>-3.4887046039462362E-2</v>
      </c>
      <c r="G33" s="2">
        <f t="shared" si="7"/>
        <v>0.20280990510083036</v>
      </c>
      <c r="H33" s="2">
        <f t="shared" si="8"/>
        <v>0.20017793594306049</v>
      </c>
      <c r="I33" s="3">
        <v>7.23</v>
      </c>
      <c r="J33" s="6">
        <v>6.2</v>
      </c>
      <c r="K33" s="20">
        <f t="shared" si="4"/>
        <v>-0.14246196403872755</v>
      </c>
      <c r="L33" s="4">
        <f t="shared" si="2"/>
        <v>0.78507060039031107</v>
      </c>
      <c r="M33" s="65">
        <v>1</v>
      </c>
      <c r="N33" s="25">
        <v>0.95340000000000003</v>
      </c>
      <c r="O33" s="6">
        <v>375</v>
      </c>
      <c r="P33" s="6"/>
      <c r="Q33" s="50" t="s">
        <v>380</v>
      </c>
    </row>
    <row r="34" spans="1:17">
      <c r="A34" s="349">
        <v>46113</v>
      </c>
      <c r="B34" s="17">
        <f>SUM(B4:B33)</f>
        <v>193521.90000000005</v>
      </c>
      <c r="C34" s="17">
        <f>SUM(C4:C33)</f>
        <v>167856.00000000003</v>
      </c>
      <c r="D34" s="17">
        <f>SUM(D4:D33)</f>
        <v>177605</v>
      </c>
      <c r="E34" s="17">
        <f>SUM(E4:E33)</f>
        <v>175740</v>
      </c>
      <c r="F34" s="20">
        <f>(IF(ISBLANK(E34),0,E34-C34))/C34</f>
        <v>4.6968830426079314E-2</v>
      </c>
      <c r="G34" s="18">
        <f>AVERAGE(G4:G33)</f>
        <v>0.21946050810597073</v>
      </c>
      <c r="H34" s="18">
        <f>AVERAGE(H4:H33)</f>
        <v>0.2548743832901974</v>
      </c>
      <c r="I34" s="17">
        <f>SUM(I4:I33)</f>
        <v>216.89999999999992</v>
      </c>
      <c r="J34" s="17">
        <f>SUM(J4:J33)</f>
        <v>206.01999999999995</v>
      </c>
      <c r="K34" s="20">
        <f t="shared" si="4"/>
        <v>-5.0161364684186124E-2</v>
      </c>
      <c r="L34" s="4">
        <f t="shared" si="2"/>
        <v>0.76697197280020857</v>
      </c>
      <c r="M34" s="18">
        <f>AVERAGE(M4:M33)</f>
        <v>0.99741999999999997</v>
      </c>
      <c r="N34" s="18">
        <f>AVERAGE(N4:N33)</f>
        <v>0.95275999999999994</v>
      </c>
      <c r="O34" s="17">
        <f>SUM(O4:O33)</f>
        <v>12075</v>
      </c>
      <c r="P34" s="17">
        <f>SUM(P4:P33)</f>
        <v>411</v>
      </c>
      <c r="Q34" s="19"/>
    </row>
    <row r="35" spans="1:17">
      <c r="A35" s="13">
        <v>46143</v>
      </c>
      <c r="B35" s="127">
        <v>6092</v>
      </c>
      <c r="C35" s="127">
        <v>5284</v>
      </c>
      <c r="D35" s="33"/>
      <c r="E35" s="33"/>
      <c r="F35" s="20">
        <f>(IF(ISBLANK(E35),0,E35-C35))/C35</f>
        <v>0</v>
      </c>
      <c r="G35" s="2">
        <f t="shared" ref="G35:G57" si="9">D35/($D$2*24)</f>
        <v>0</v>
      </c>
      <c r="H35" s="2">
        <f t="shared" ref="H35:H61" si="10">D35/($H$2*24)</f>
        <v>0</v>
      </c>
      <c r="I35" s="28">
        <v>6.92</v>
      </c>
      <c r="J35" s="33"/>
      <c r="K35" s="20">
        <f>(IF(ISBLANK(J35),0,J35-I35))/I35</f>
        <v>0</v>
      </c>
      <c r="L35" s="4" t="e">
        <f t="shared" si="2"/>
        <v>#DIV/0!</v>
      </c>
      <c r="M35" s="103"/>
      <c r="N35" s="103"/>
      <c r="O35" s="33"/>
      <c r="P35" s="6"/>
      <c r="Q35" s="6"/>
    </row>
    <row r="36" spans="1:17">
      <c r="A36" s="13">
        <f>A35+1</f>
        <v>46144</v>
      </c>
      <c r="B36" s="127">
        <v>6092</v>
      </c>
      <c r="C36" s="127">
        <v>5284</v>
      </c>
      <c r="D36" s="34"/>
      <c r="E36" s="34"/>
      <c r="F36" s="20">
        <f t="shared" ref="F36:F54" si="11">(IF(ISBLANK(E36),0,E36-C36))/C36</f>
        <v>0</v>
      </c>
      <c r="G36" s="2">
        <f t="shared" si="9"/>
        <v>0</v>
      </c>
      <c r="H36" s="2">
        <f t="shared" si="10"/>
        <v>0</v>
      </c>
      <c r="I36" s="28">
        <v>6.92</v>
      </c>
      <c r="J36" s="34"/>
      <c r="K36" s="20">
        <f t="shared" ref="K36:K54" si="12">(IF(ISBLANK(J36),0,J36-I36))/I36</f>
        <v>0</v>
      </c>
      <c r="L36" s="4" t="e">
        <f t="shared" ref="L36:L66" si="13">D36/($D$2*J36)</f>
        <v>#DIV/0!</v>
      </c>
      <c r="M36" s="103"/>
      <c r="N36" s="103"/>
      <c r="O36" s="34"/>
      <c r="P36" s="6"/>
      <c r="Q36" s="6"/>
    </row>
    <row r="37" spans="1:17">
      <c r="A37" s="13">
        <f t="shared" ref="A37:A65" si="14">A36+1</f>
        <v>46145</v>
      </c>
      <c r="B37" s="127">
        <v>6092</v>
      </c>
      <c r="C37" s="127">
        <v>5284</v>
      </c>
      <c r="D37" s="34"/>
      <c r="E37" s="34"/>
      <c r="F37" s="20">
        <f t="shared" si="11"/>
        <v>0</v>
      </c>
      <c r="G37" s="2">
        <f t="shared" si="9"/>
        <v>0</v>
      </c>
      <c r="H37" s="2">
        <f t="shared" si="10"/>
        <v>0</v>
      </c>
      <c r="I37" s="28">
        <v>6.92</v>
      </c>
      <c r="J37" s="34"/>
      <c r="K37" s="20">
        <f t="shared" si="12"/>
        <v>0</v>
      </c>
      <c r="L37" s="4" t="e">
        <f t="shared" si="13"/>
        <v>#DIV/0!</v>
      </c>
      <c r="M37" s="103"/>
      <c r="N37" s="104"/>
      <c r="O37" s="34"/>
      <c r="P37" s="6"/>
      <c r="Q37" s="6"/>
    </row>
    <row r="38" spans="1:17">
      <c r="A38" s="13">
        <f t="shared" si="14"/>
        <v>46146</v>
      </c>
      <c r="B38" s="127"/>
      <c r="C38" s="127"/>
      <c r="D38" s="34"/>
      <c r="E38" s="34"/>
      <c r="F38" s="20" t="e">
        <f t="shared" si="11"/>
        <v>#DIV/0!</v>
      </c>
      <c r="G38" s="2">
        <f t="shared" si="9"/>
        <v>0</v>
      </c>
      <c r="H38" s="2">
        <f t="shared" si="10"/>
        <v>0</v>
      </c>
      <c r="I38" s="29"/>
      <c r="J38" s="34"/>
      <c r="K38" s="20" t="e">
        <f t="shared" si="12"/>
        <v>#DIV/0!</v>
      </c>
      <c r="L38" s="4" t="e">
        <f t="shared" si="13"/>
        <v>#DIV/0!</v>
      </c>
      <c r="M38" s="103"/>
      <c r="N38" s="103"/>
      <c r="O38" s="34"/>
      <c r="P38" s="6"/>
      <c r="Q38" s="14"/>
    </row>
    <row r="39" spans="1:17">
      <c r="A39" s="13">
        <f t="shared" si="14"/>
        <v>46147</v>
      </c>
      <c r="B39" s="127"/>
      <c r="C39" s="127"/>
      <c r="D39" s="34"/>
      <c r="E39" s="34"/>
      <c r="F39" s="20" t="e">
        <f t="shared" si="11"/>
        <v>#DIV/0!</v>
      </c>
      <c r="G39" s="2">
        <f t="shared" si="9"/>
        <v>0</v>
      </c>
      <c r="H39" s="2">
        <f t="shared" si="10"/>
        <v>0</v>
      </c>
      <c r="I39" s="29"/>
      <c r="J39" s="34"/>
      <c r="K39" s="20" t="e">
        <f t="shared" si="12"/>
        <v>#DIV/0!</v>
      </c>
      <c r="L39" s="4" t="e">
        <f t="shared" si="13"/>
        <v>#DIV/0!</v>
      </c>
      <c r="M39" s="103"/>
      <c r="N39" s="103"/>
      <c r="O39" s="34"/>
      <c r="P39" s="6"/>
      <c r="Q39" s="14"/>
    </row>
    <row r="40" spans="1:17">
      <c r="A40" s="13">
        <f t="shared" si="14"/>
        <v>46148</v>
      </c>
      <c r="B40" s="127"/>
      <c r="C40" s="127"/>
      <c r="D40" s="34"/>
      <c r="E40" s="34"/>
      <c r="F40" s="20" t="e">
        <f t="shared" si="11"/>
        <v>#DIV/0!</v>
      </c>
      <c r="G40" s="2">
        <f t="shared" si="9"/>
        <v>0</v>
      </c>
      <c r="H40" s="2">
        <f t="shared" si="10"/>
        <v>0</v>
      </c>
      <c r="I40" s="29"/>
      <c r="J40" s="34"/>
      <c r="K40" s="20" t="e">
        <f t="shared" si="12"/>
        <v>#DIV/0!</v>
      </c>
      <c r="L40" s="4" t="e">
        <f t="shared" si="13"/>
        <v>#DIV/0!</v>
      </c>
      <c r="M40" s="103"/>
      <c r="N40" s="103"/>
      <c r="O40" s="34"/>
      <c r="P40" s="6"/>
      <c r="Q40" s="14"/>
    </row>
    <row r="41" spans="1:17">
      <c r="A41" s="13">
        <f t="shared" si="14"/>
        <v>46149</v>
      </c>
      <c r="B41" s="127"/>
      <c r="C41" s="127"/>
      <c r="D41" s="34"/>
      <c r="E41" s="34"/>
      <c r="F41" s="20" t="e">
        <f t="shared" si="11"/>
        <v>#DIV/0!</v>
      </c>
      <c r="G41" s="2">
        <f t="shared" si="9"/>
        <v>0</v>
      </c>
      <c r="H41" s="2">
        <f t="shared" si="10"/>
        <v>0</v>
      </c>
      <c r="I41" s="29"/>
      <c r="J41" s="34"/>
      <c r="K41" s="20" t="e">
        <f t="shared" si="12"/>
        <v>#DIV/0!</v>
      </c>
      <c r="L41" s="4" t="e">
        <f t="shared" si="13"/>
        <v>#DIV/0!</v>
      </c>
      <c r="M41" s="103"/>
      <c r="N41" s="103"/>
      <c r="O41" s="34"/>
      <c r="P41" s="6"/>
      <c r="Q41" s="202"/>
    </row>
    <row r="42" spans="1:17">
      <c r="A42" s="13">
        <f t="shared" si="14"/>
        <v>46150</v>
      </c>
      <c r="B42" s="127"/>
      <c r="C42" s="127"/>
      <c r="D42" s="34"/>
      <c r="E42" s="34"/>
      <c r="F42" s="20" t="e">
        <f t="shared" si="11"/>
        <v>#DIV/0!</v>
      </c>
      <c r="G42" s="2">
        <f t="shared" si="9"/>
        <v>0</v>
      </c>
      <c r="H42" s="2">
        <f t="shared" si="10"/>
        <v>0</v>
      </c>
      <c r="I42" s="29"/>
      <c r="J42" s="34"/>
      <c r="K42" s="20" t="e">
        <f t="shared" si="12"/>
        <v>#DIV/0!</v>
      </c>
      <c r="L42" s="4" t="e">
        <f t="shared" si="13"/>
        <v>#DIV/0!</v>
      </c>
      <c r="M42" s="103"/>
      <c r="N42" s="103"/>
      <c r="O42" s="34"/>
      <c r="P42" s="6"/>
      <c r="Q42" s="14"/>
    </row>
    <row r="43" spans="1:17">
      <c r="A43" s="13">
        <f t="shared" si="14"/>
        <v>46151</v>
      </c>
      <c r="B43" s="127"/>
      <c r="C43" s="127"/>
      <c r="D43" s="34"/>
      <c r="E43" s="34"/>
      <c r="F43" s="20" t="e">
        <f t="shared" si="11"/>
        <v>#DIV/0!</v>
      </c>
      <c r="G43" s="2">
        <f t="shared" si="9"/>
        <v>0</v>
      </c>
      <c r="H43" s="2">
        <f t="shared" si="10"/>
        <v>0</v>
      </c>
      <c r="I43" s="29"/>
      <c r="J43" s="34"/>
      <c r="K43" s="20" t="e">
        <f t="shared" si="12"/>
        <v>#DIV/0!</v>
      </c>
      <c r="L43" s="4" t="e">
        <f t="shared" si="13"/>
        <v>#DIV/0!</v>
      </c>
      <c r="M43" s="103"/>
      <c r="N43" s="103"/>
      <c r="O43" s="34"/>
      <c r="P43" s="6"/>
      <c r="Q43" s="6"/>
    </row>
    <row r="44" spans="1:17">
      <c r="A44" s="13">
        <f t="shared" si="14"/>
        <v>46152</v>
      </c>
      <c r="B44" s="127"/>
      <c r="C44" s="127"/>
      <c r="D44" s="34"/>
      <c r="E44" s="34"/>
      <c r="F44" s="20" t="e">
        <f t="shared" si="11"/>
        <v>#DIV/0!</v>
      </c>
      <c r="G44" s="2">
        <f t="shared" si="9"/>
        <v>0</v>
      </c>
      <c r="H44" s="2">
        <f t="shared" si="10"/>
        <v>0</v>
      </c>
      <c r="I44" s="29"/>
      <c r="J44" s="34"/>
      <c r="K44" s="20" t="e">
        <f t="shared" si="12"/>
        <v>#DIV/0!</v>
      </c>
      <c r="L44" s="4" t="e">
        <f t="shared" si="13"/>
        <v>#DIV/0!</v>
      </c>
      <c r="M44" s="103"/>
      <c r="N44" s="103"/>
      <c r="O44" s="34"/>
      <c r="P44" s="6"/>
      <c r="Q44" s="16"/>
    </row>
    <row r="45" spans="1:17">
      <c r="A45" s="13">
        <f t="shared" si="14"/>
        <v>46153</v>
      </c>
      <c r="B45" s="127"/>
      <c r="C45" s="127"/>
      <c r="D45" s="34"/>
      <c r="E45" s="34"/>
      <c r="F45" s="20" t="e">
        <f t="shared" si="11"/>
        <v>#DIV/0!</v>
      </c>
      <c r="G45" s="2">
        <f t="shared" si="9"/>
        <v>0</v>
      </c>
      <c r="H45" s="2">
        <f t="shared" si="10"/>
        <v>0</v>
      </c>
      <c r="I45" s="29"/>
      <c r="J45" s="34"/>
      <c r="K45" s="20" t="e">
        <f t="shared" si="12"/>
        <v>#DIV/0!</v>
      </c>
      <c r="L45" s="4" t="e">
        <f t="shared" si="13"/>
        <v>#DIV/0!</v>
      </c>
      <c r="M45" s="103"/>
      <c r="N45" s="103"/>
      <c r="O45" s="34"/>
      <c r="P45" s="6"/>
      <c r="Q45" s="6"/>
    </row>
    <row r="46" spans="1:17">
      <c r="A46" s="13">
        <f t="shared" si="14"/>
        <v>46154</v>
      </c>
      <c r="B46" s="127"/>
      <c r="C46" s="127"/>
      <c r="D46" s="34"/>
      <c r="E46" s="34"/>
      <c r="F46" s="20" t="e">
        <f t="shared" si="11"/>
        <v>#DIV/0!</v>
      </c>
      <c r="G46" s="2">
        <f t="shared" si="9"/>
        <v>0</v>
      </c>
      <c r="H46" s="2">
        <f t="shared" si="10"/>
        <v>0</v>
      </c>
      <c r="I46" s="29"/>
      <c r="J46" s="34"/>
      <c r="K46" s="20" t="e">
        <f t="shared" si="12"/>
        <v>#DIV/0!</v>
      </c>
      <c r="L46" s="4" t="e">
        <f t="shared" si="13"/>
        <v>#DIV/0!</v>
      </c>
      <c r="M46" s="104"/>
      <c r="N46" s="103"/>
      <c r="O46" s="34"/>
      <c r="P46" s="6"/>
      <c r="Q46" s="6"/>
    </row>
    <row r="47" spans="1:17">
      <c r="A47" s="13">
        <f t="shared" si="14"/>
        <v>46155</v>
      </c>
      <c r="B47" s="127"/>
      <c r="C47" s="127"/>
      <c r="D47" s="34"/>
      <c r="E47" s="34"/>
      <c r="F47" s="20" t="e">
        <f t="shared" si="11"/>
        <v>#DIV/0!</v>
      </c>
      <c r="G47" s="2">
        <f t="shared" si="9"/>
        <v>0</v>
      </c>
      <c r="H47" s="2">
        <f t="shared" si="10"/>
        <v>0</v>
      </c>
      <c r="I47" s="29"/>
      <c r="J47" s="34"/>
      <c r="K47" s="20" t="e">
        <f t="shared" si="12"/>
        <v>#DIV/0!</v>
      </c>
      <c r="L47" s="4" t="e">
        <f t="shared" si="13"/>
        <v>#DIV/0!</v>
      </c>
      <c r="M47" s="104"/>
      <c r="N47" s="103"/>
      <c r="O47" s="34"/>
      <c r="P47" s="6"/>
      <c r="Q47" s="31"/>
    </row>
    <row r="48" spans="1:17">
      <c r="A48" s="13">
        <f t="shared" si="14"/>
        <v>46156</v>
      </c>
      <c r="B48" s="127"/>
      <c r="C48" s="127"/>
      <c r="D48" s="34"/>
      <c r="E48" s="34"/>
      <c r="F48" s="20" t="e">
        <f t="shared" si="11"/>
        <v>#DIV/0!</v>
      </c>
      <c r="G48" s="2">
        <f t="shared" si="9"/>
        <v>0</v>
      </c>
      <c r="H48" s="2">
        <f t="shared" si="10"/>
        <v>0</v>
      </c>
      <c r="I48" s="29"/>
      <c r="J48" s="34"/>
      <c r="K48" s="20" t="e">
        <f t="shared" si="12"/>
        <v>#DIV/0!</v>
      </c>
      <c r="L48" s="4" t="e">
        <f t="shared" si="13"/>
        <v>#DIV/0!</v>
      </c>
      <c r="M48" s="104"/>
      <c r="N48" s="103"/>
      <c r="O48" s="34"/>
      <c r="P48" s="6"/>
      <c r="Q48" s="32"/>
    </row>
    <row r="49" spans="1:17">
      <c r="A49" s="13">
        <f t="shared" si="14"/>
        <v>46157</v>
      </c>
      <c r="B49" s="127"/>
      <c r="C49" s="127"/>
      <c r="D49" s="34"/>
      <c r="E49" s="34"/>
      <c r="F49" s="20" t="e">
        <f t="shared" si="11"/>
        <v>#DIV/0!</v>
      </c>
      <c r="G49" s="2">
        <f t="shared" si="9"/>
        <v>0</v>
      </c>
      <c r="H49" s="2">
        <f t="shared" si="10"/>
        <v>0</v>
      </c>
      <c r="I49" s="29"/>
      <c r="J49" s="34"/>
      <c r="K49" s="20" t="e">
        <f t="shared" si="12"/>
        <v>#DIV/0!</v>
      </c>
      <c r="L49" s="4" t="e">
        <f t="shared" si="13"/>
        <v>#DIV/0!</v>
      </c>
      <c r="M49" s="104"/>
      <c r="N49" s="103"/>
      <c r="O49" s="34"/>
      <c r="P49" s="6"/>
      <c r="Q49" s="32"/>
    </row>
    <row r="50" spans="1:17">
      <c r="A50" s="13">
        <f t="shared" si="14"/>
        <v>46158</v>
      </c>
      <c r="B50" s="127"/>
      <c r="C50" s="127"/>
      <c r="D50" s="34"/>
      <c r="E50" s="34"/>
      <c r="F50" s="20" t="e">
        <f t="shared" si="11"/>
        <v>#DIV/0!</v>
      </c>
      <c r="G50" s="2">
        <f t="shared" si="9"/>
        <v>0</v>
      </c>
      <c r="H50" s="2">
        <f t="shared" si="10"/>
        <v>0</v>
      </c>
      <c r="I50" s="29"/>
      <c r="J50" s="34"/>
      <c r="K50" s="20" t="e">
        <f t="shared" si="12"/>
        <v>#DIV/0!</v>
      </c>
      <c r="L50" s="4" t="e">
        <f t="shared" si="13"/>
        <v>#DIV/0!</v>
      </c>
      <c r="M50" s="104"/>
      <c r="N50" s="103"/>
      <c r="O50" s="34"/>
      <c r="P50" s="6"/>
      <c r="Q50" s="32"/>
    </row>
    <row r="51" spans="1:17">
      <c r="A51" s="13">
        <f t="shared" si="14"/>
        <v>46159</v>
      </c>
      <c r="B51" s="127"/>
      <c r="C51" s="127"/>
      <c r="D51" s="34"/>
      <c r="E51" s="34"/>
      <c r="F51" s="20" t="e">
        <f t="shared" si="11"/>
        <v>#DIV/0!</v>
      </c>
      <c r="G51" s="2">
        <f t="shared" si="9"/>
        <v>0</v>
      </c>
      <c r="H51" s="2">
        <f t="shared" si="10"/>
        <v>0</v>
      </c>
      <c r="I51" s="29"/>
      <c r="J51" s="34"/>
      <c r="K51" s="20" t="e">
        <f t="shared" si="12"/>
        <v>#DIV/0!</v>
      </c>
      <c r="L51" s="4" t="e">
        <f t="shared" si="13"/>
        <v>#DIV/0!</v>
      </c>
      <c r="M51" s="103"/>
      <c r="N51" s="103"/>
      <c r="O51" s="34"/>
      <c r="P51" s="6"/>
      <c r="Q51" s="6"/>
    </row>
    <row r="52" spans="1:17">
      <c r="A52" s="13">
        <f t="shared" si="14"/>
        <v>46160</v>
      </c>
      <c r="B52" s="127"/>
      <c r="C52" s="127"/>
      <c r="D52" s="34"/>
      <c r="E52" s="34"/>
      <c r="F52" s="20" t="e">
        <f t="shared" si="11"/>
        <v>#DIV/0!</v>
      </c>
      <c r="G52" s="2">
        <f t="shared" si="9"/>
        <v>0</v>
      </c>
      <c r="H52" s="2">
        <f t="shared" si="10"/>
        <v>0</v>
      </c>
      <c r="I52" s="29"/>
      <c r="J52" s="34"/>
      <c r="K52" s="20" t="e">
        <f t="shared" si="12"/>
        <v>#DIV/0!</v>
      </c>
      <c r="L52" s="4" t="e">
        <f t="shared" si="13"/>
        <v>#DIV/0!</v>
      </c>
      <c r="M52" s="103"/>
      <c r="N52" s="103"/>
      <c r="O52" s="34"/>
      <c r="P52" s="6"/>
      <c r="Q52" s="14"/>
    </row>
    <row r="53" spans="1:17">
      <c r="A53" s="13">
        <f t="shared" si="14"/>
        <v>46161</v>
      </c>
      <c r="B53" s="127"/>
      <c r="C53" s="127"/>
      <c r="D53" s="34"/>
      <c r="E53" s="34"/>
      <c r="F53" s="20" t="e">
        <f t="shared" si="11"/>
        <v>#DIV/0!</v>
      </c>
      <c r="G53" s="2">
        <f t="shared" si="9"/>
        <v>0</v>
      </c>
      <c r="H53" s="2">
        <f t="shared" si="10"/>
        <v>0</v>
      </c>
      <c r="I53" s="29"/>
      <c r="J53" s="34"/>
      <c r="K53" s="20" t="e">
        <f t="shared" si="12"/>
        <v>#DIV/0!</v>
      </c>
      <c r="L53" s="4" t="e">
        <f t="shared" si="13"/>
        <v>#DIV/0!</v>
      </c>
      <c r="M53" s="103"/>
      <c r="N53" s="103"/>
      <c r="O53" s="34"/>
      <c r="P53" s="6"/>
      <c r="Q53" s="14"/>
    </row>
    <row r="54" spans="1:17">
      <c r="A54" s="13">
        <f t="shared" si="14"/>
        <v>46162</v>
      </c>
      <c r="B54" s="127"/>
      <c r="C54" s="127"/>
      <c r="D54" s="34"/>
      <c r="E54" s="34"/>
      <c r="F54" s="20" t="e">
        <f t="shared" si="11"/>
        <v>#DIV/0!</v>
      </c>
      <c r="G54" s="2">
        <f t="shared" si="9"/>
        <v>0</v>
      </c>
      <c r="H54" s="2">
        <f t="shared" si="10"/>
        <v>0</v>
      </c>
      <c r="I54" s="29"/>
      <c r="J54" s="34"/>
      <c r="K54" s="20" t="e">
        <f t="shared" si="12"/>
        <v>#DIV/0!</v>
      </c>
      <c r="L54" s="4" t="e">
        <f t="shared" si="13"/>
        <v>#DIV/0!</v>
      </c>
      <c r="M54" s="103"/>
      <c r="N54" s="103"/>
      <c r="O54" s="34"/>
      <c r="P54" s="6"/>
      <c r="Q54" s="14"/>
    </row>
    <row r="55" spans="1:17">
      <c r="A55" s="13">
        <f t="shared" si="14"/>
        <v>46163</v>
      </c>
      <c r="B55" s="127"/>
      <c r="C55" s="127"/>
      <c r="D55" s="34"/>
      <c r="E55" s="34"/>
      <c r="F55" s="20" t="e">
        <f>(IF(ISBLANK(E55),0,E55-C55))/C55</f>
        <v>#DIV/0!</v>
      </c>
      <c r="G55" s="2">
        <f t="shared" si="9"/>
        <v>0</v>
      </c>
      <c r="H55" s="2">
        <f t="shared" si="10"/>
        <v>0</v>
      </c>
      <c r="I55" s="29"/>
      <c r="J55" s="34"/>
      <c r="K55" s="20" t="e">
        <f>(IF(ISBLANK(J55),0,J55-I55))/I55</f>
        <v>#DIV/0!</v>
      </c>
      <c r="L55" s="4" t="e">
        <f t="shared" si="13"/>
        <v>#DIV/0!</v>
      </c>
      <c r="M55" s="103"/>
      <c r="N55" s="103"/>
      <c r="O55" s="34"/>
      <c r="P55" s="6"/>
      <c r="Q55" s="6"/>
    </row>
    <row r="56" spans="1:17">
      <c r="A56" s="13">
        <f t="shared" si="14"/>
        <v>46164</v>
      </c>
      <c r="B56" s="127"/>
      <c r="C56" s="127"/>
      <c r="D56" s="34"/>
      <c r="E56" s="34"/>
      <c r="F56" s="20" t="e">
        <f t="shared" ref="F56:F65" si="15">(IF(ISBLANK(E56),0,E56-C56))/C56</f>
        <v>#DIV/0!</v>
      </c>
      <c r="G56" s="2">
        <f t="shared" si="9"/>
        <v>0</v>
      </c>
      <c r="H56" s="2">
        <f t="shared" si="10"/>
        <v>0</v>
      </c>
      <c r="I56" s="29"/>
      <c r="J56" s="34"/>
      <c r="K56" s="20" t="e">
        <f t="shared" ref="K56:K65" si="16">(IF(ISBLANK(J56),0,J56-I56))/I56</f>
        <v>#DIV/0!</v>
      </c>
      <c r="L56" s="4" t="e">
        <f t="shared" si="13"/>
        <v>#DIV/0!</v>
      </c>
      <c r="M56" s="103"/>
      <c r="N56" s="103"/>
      <c r="O56" s="34"/>
      <c r="P56" s="6"/>
      <c r="Q56" s="6"/>
    </row>
    <row r="57" spans="1:17">
      <c r="A57" s="13">
        <f t="shared" si="14"/>
        <v>46165</v>
      </c>
      <c r="B57" s="127"/>
      <c r="C57" s="127"/>
      <c r="D57" s="14"/>
      <c r="E57" s="14"/>
      <c r="F57" s="20" t="e">
        <f t="shared" si="15"/>
        <v>#DIV/0!</v>
      </c>
      <c r="G57" s="2">
        <f t="shared" si="9"/>
        <v>0</v>
      </c>
      <c r="H57" s="2">
        <f t="shared" si="10"/>
        <v>0</v>
      </c>
      <c r="I57" s="29"/>
      <c r="J57" s="14"/>
      <c r="K57" s="20" t="e">
        <f t="shared" si="16"/>
        <v>#DIV/0!</v>
      </c>
      <c r="L57" s="4" t="e">
        <f t="shared" si="13"/>
        <v>#DIV/0!</v>
      </c>
      <c r="M57" s="103"/>
      <c r="N57" s="103"/>
      <c r="O57" s="34"/>
      <c r="P57" s="6"/>
      <c r="Q57" s="6"/>
    </row>
    <row r="58" spans="1:17">
      <c r="A58" s="13">
        <f t="shared" si="14"/>
        <v>46166</v>
      </c>
      <c r="B58" s="127"/>
      <c r="C58" s="127"/>
      <c r="D58" s="14"/>
      <c r="E58" s="14"/>
      <c r="F58" s="20" t="e">
        <f t="shared" si="15"/>
        <v>#DIV/0!</v>
      </c>
      <c r="G58" s="2">
        <f t="shared" ref="G58:G65" si="17">D58/($D$2*24)</f>
        <v>0</v>
      </c>
      <c r="H58" s="2">
        <f t="shared" si="10"/>
        <v>0</v>
      </c>
      <c r="I58" s="29"/>
      <c r="J58" s="14"/>
      <c r="K58" s="20" t="e">
        <f t="shared" si="16"/>
        <v>#DIV/0!</v>
      </c>
      <c r="L58" s="4" t="e">
        <f t="shared" si="13"/>
        <v>#DIV/0!</v>
      </c>
      <c r="M58" s="103"/>
      <c r="N58" s="103"/>
      <c r="O58" s="34"/>
      <c r="P58" s="6"/>
      <c r="Q58" s="288"/>
    </row>
    <row r="59" spans="1:17">
      <c r="A59" s="13">
        <f t="shared" si="14"/>
        <v>46167</v>
      </c>
      <c r="B59" s="1"/>
      <c r="C59" s="1"/>
      <c r="D59" s="14"/>
      <c r="E59" s="14"/>
      <c r="F59" s="20" t="e">
        <f t="shared" si="15"/>
        <v>#DIV/0!</v>
      </c>
      <c r="G59" s="2">
        <f t="shared" si="17"/>
        <v>0</v>
      </c>
      <c r="H59" s="2">
        <f t="shared" si="10"/>
        <v>0</v>
      </c>
      <c r="I59" s="29"/>
      <c r="J59" s="14"/>
      <c r="K59" s="20" t="e">
        <f t="shared" si="16"/>
        <v>#DIV/0!</v>
      </c>
      <c r="L59" s="4" t="e">
        <f t="shared" si="13"/>
        <v>#DIV/0!</v>
      </c>
      <c r="M59" s="103"/>
      <c r="N59" s="103"/>
      <c r="O59" s="34"/>
      <c r="P59" s="155"/>
      <c r="Q59" s="6"/>
    </row>
    <row r="60" spans="1:17">
      <c r="A60" s="13">
        <f t="shared" si="14"/>
        <v>46168</v>
      </c>
      <c r="B60" s="1"/>
      <c r="C60" s="1"/>
      <c r="D60" s="14"/>
      <c r="E60" s="14"/>
      <c r="F60" s="20" t="e">
        <f t="shared" si="15"/>
        <v>#DIV/0!</v>
      </c>
      <c r="G60" s="2">
        <f t="shared" si="17"/>
        <v>0</v>
      </c>
      <c r="H60" s="2">
        <f t="shared" si="10"/>
        <v>0</v>
      </c>
      <c r="I60" s="29"/>
      <c r="J60" s="14"/>
      <c r="K60" s="20" t="e">
        <f t="shared" si="16"/>
        <v>#DIV/0!</v>
      </c>
      <c r="L60" s="4" t="e">
        <f t="shared" si="13"/>
        <v>#DIV/0!</v>
      </c>
      <c r="M60" s="103"/>
      <c r="N60" s="103"/>
      <c r="O60" s="34"/>
      <c r="P60" s="6"/>
      <c r="Q60" s="123"/>
    </row>
    <row r="61" spans="1:17">
      <c r="A61" s="13">
        <f t="shared" si="14"/>
        <v>46169</v>
      </c>
      <c r="B61" s="1"/>
      <c r="C61" s="1"/>
      <c r="D61" s="14"/>
      <c r="E61" s="14"/>
      <c r="F61" s="20" t="e">
        <f t="shared" si="15"/>
        <v>#DIV/0!</v>
      </c>
      <c r="G61" s="2">
        <f t="shared" si="17"/>
        <v>0</v>
      </c>
      <c r="H61" s="2">
        <f t="shared" si="10"/>
        <v>0</v>
      </c>
      <c r="I61" s="29"/>
      <c r="J61" s="14"/>
      <c r="K61" s="20" t="e">
        <f t="shared" si="16"/>
        <v>#DIV/0!</v>
      </c>
      <c r="L61" s="4" t="e">
        <f t="shared" si="13"/>
        <v>#DIV/0!</v>
      </c>
      <c r="M61" s="103"/>
      <c r="N61" s="103"/>
      <c r="O61" s="34"/>
      <c r="P61" s="6"/>
      <c r="Q61" s="6"/>
    </row>
    <row r="62" spans="1:17">
      <c r="A62" s="13">
        <f t="shared" si="14"/>
        <v>46170</v>
      </c>
      <c r="B62" s="1"/>
      <c r="C62" s="1"/>
      <c r="D62" s="14"/>
      <c r="E62" s="14"/>
      <c r="F62" s="20" t="e">
        <f t="shared" si="15"/>
        <v>#DIV/0!</v>
      </c>
      <c r="G62" s="2">
        <f t="shared" si="17"/>
        <v>0</v>
      </c>
      <c r="H62" s="2">
        <f t="shared" ref="H62:H65" si="18">D62/($H$2*24)</f>
        <v>0</v>
      </c>
      <c r="I62" s="29"/>
      <c r="J62" s="14"/>
      <c r="K62" s="20" t="e">
        <f t="shared" si="16"/>
        <v>#DIV/0!</v>
      </c>
      <c r="L62" s="4" t="e">
        <f t="shared" si="13"/>
        <v>#DIV/0!</v>
      </c>
      <c r="M62" s="103"/>
      <c r="N62" s="103"/>
      <c r="O62" s="34"/>
      <c r="P62" s="6"/>
      <c r="Q62" s="6"/>
    </row>
    <row r="63" spans="1:17">
      <c r="A63" s="13">
        <f t="shared" si="14"/>
        <v>46171</v>
      </c>
      <c r="B63" s="1"/>
      <c r="C63" s="1"/>
      <c r="D63" s="14"/>
      <c r="E63" s="14"/>
      <c r="F63" s="20" t="e">
        <f t="shared" si="15"/>
        <v>#DIV/0!</v>
      </c>
      <c r="G63" s="2">
        <f t="shared" si="17"/>
        <v>0</v>
      </c>
      <c r="H63" s="2">
        <f t="shared" si="18"/>
        <v>0</v>
      </c>
      <c r="I63" s="29"/>
      <c r="J63" s="14"/>
      <c r="K63" s="20" t="e">
        <f t="shared" si="16"/>
        <v>#DIV/0!</v>
      </c>
      <c r="L63" s="4" t="e">
        <f t="shared" si="13"/>
        <v>#DIV/0!</v>
      </c>
      <c r="M63" s="103"/>
      <c r="N63" s="103"/>
      <c r="O63" s="34"/>
      <c r="P63" s="6"/>
      <c r="Q63" s="6"/>
    </row>
    <row r="64" spans="1:17">
      <c r="A64" s="13">
        <f t="shared" si="14"/>
        <v>46172</v>
      </c>
      <c r="B64" s="1"/>
      <c r="C64" s="1"/>
      <c r="D64" s="14"/>
      <c r="E64" s="14"/>
      <c r="F64" s="20" t="e">
        <f t="shared" si="15"/>
        <v>#DIV/0!</v>
      </c>
      <c r="G64" s="2">
        <f t="shared" si="17"/>
        <v>0</v>
      </c>
      <c r="H64" s="2">
        <f t="shared" si="18"/>
        <v>0</v>
      </c>
      <c r="I64" s="29"/>
      <c r="J64" s="14"/>
      <c r="K64" s="20" t="e">
        <f t="shared" si="16"/>
        <v>#DIV/0!</v>
      </c>
      <c r="L64" s="4" t="e">
        <f t="shared" si="13"/>
        <v>#DIV/0!</v>
      </c>
      <c r="M64" s="103"/>
      <c r="N64" s="103"/>
      <c r="O64" s="34"/>
      <c r="P64" s="6"/>
      <c r="Q64" s="6"/>
    </row>
    <row r="65" spans="1:17">
      <c r="A65" s="13">
        <f t="shared" si="14"/>
        <v>46173</v>
      </c>
      <c r="B65" s="1"/>
      <c r="C65" s="1"/>
      <c r="D65" s="14"/>
      <c r="E65" s="14"/>
      <c r="F65" s="20" t="e">
        <f t="shared" si="15"/>
        <v>#DIV/0!</v>
      </c>
      <c r="G65" s="2">
        <f t="shared" si="17"/>
        <v>0</v>
      </c>
      <c r="H65" s="2">
        <f t="shared" si="18"/>
        <v>0</v>
      </c>
      <c r="I65" s="29"/>
      <c r="J65" s="14"/>
      <c r="K65" s="20" t="e">
        <f t="shared" si="16"/>
        <v>#DIV/0!</v>
      </c>
      <c r="L65" s="4" t="e">
        <f t="shared" si="13"/>
        <v>#DIV/0!</v>
      </c>
      <c r="M65" s="103"/>
      <c r="N65" s="103"/>
      <c r="O65" s="34"/>
      <c r="P65" s="6"/>
      <c r="Q65" s="6"/>
    </row>
    <row r="66" spans="1:17">
      <c r="A66" s="349">
        <v>46143</v>
      </c>
      <c r="B66" s="89">
        <f>SUM(B35:B65)</f>
        <v>18276</v>
      </c>
      <c r="C66" s="89">
        <f>SUM(C35:C65)</f>
        <v>15852</v>
      </c>
      <c r="D66" s="89">
        <f>SUM(D35:D65)</f>
        <v>0</v>
      </c>
      <c r="E66" s="89">
        <f>SUM(E35:E65)</f>
        <v>0</v>
      </c>
      <c r="F66" s="160">
        <f>(IF(ISBLANK(E66),0,E66-C66))/C66</f>
        <v>-1</v>
      </c>
      <c r="G66" s="90">
        <f>AVERAGE(G35:G65)</f>
        <v>0</v>
      </c>
      <c r="H66" s="90">
        <f>AVERAGE(H35:H65)</f>
        <v>0</v>
      </c>
      <c r="I66" s="89">
        <f>SUM(I35:I65)</f>
        <v>20.759999999999998</v>
      </c>
      <c r="J66" s="89">
        <f>SUM(J35:J65)</f>
        <v>0</v>
      </c>
      <c r="K66" s="160">
        <f>(IF(ISBLANK(J66),0,J66-I66))/I66</f>
        <v>-1</v>
      </c>
      <c r="L66" s="161" t="e">
        <f t="shared" si="13"/>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DE2C-AA8D-4B4C-8DC2-49F97E025375}">
  <dimension ref="A1:Q66"/>
  <sheetViews>
    <sheetView topLeftCell="A31" workbookViewId="0">
      <selection activeCell="B35" sqref="B35:C3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10.2695312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383</v>
      </c>
      <c r="B1" s="406"/>
      <c r="C1" s="406"/>
      <c r="D1" s="406"/>
      <c r="E1" s="406"/>
      <c r="F1" s="406"/>
      <c r="G1" s="406"/>
      <c r="H1" s="406"/>
      <c r="I1" s="406"/>
      <c r="J1" s="406"/>
      <c r="K1" s="406"/>
      <c r="L1" s="406"/>
      <c r="M1" s="406"/>
      <c r="N1" s="406"/>
      <c r="O1" s="406"/>
      <c r="P1" s="406"/>
      <c r="Q1" s="406"/>
    </row>
    <row r="2" spans="1:17" ht="18.5">
      <c r="A2" s="7">
        <v>46113</v>
      </c>
      <c r="B2" s="407" t="s">
        <v>172</v>
      </c>
      <c r="C2" s="408"/>
      <c r="D2" s="8">
        <v>1817</v>
      </c>
      <c r="E2" s="407" t="s">
        <v>173</v>
      </c>
      <c r="F2" s="407"/>
      <c r="G2" s="408"/>
      <c r="H2" s="8">
        <v>1540</v>
      </c>
      <c r="I2" s="409" t="s">
        <v>174</v>
      </c>
      <c r="J2" s="410"/>
      <c r="K2" s="9">
        <v>45742</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26">
        <v>10422</v>
      </c>
      <c r="C4" s="39">
        <v>9050</v>
      </c>
      <c r="D4" s="49">
        <v>9910</v>
      </c>
      <c r="E4" s="49">
        <v>9720</v>
      </c>
      <c r="F4" s="20">
        <f>(IF(ISBLANK(E4),0,E4-C4))/C4</f>
        <v>7.4033149171270712E-2</v>
      </c>
      <c r="G4" s="2">
        <f t="shared" ref="G4:G27" si="0">D4/($D$2*24)</f>
        <v>0.22725188038891947</v>
      </c>
      <c r="H4" s="2">
        <f t="shared" ref="H4:H21" si="1">D4/($H$2*24)</f>
        <v>0.2681277056277056</v>
      </c>
      <c r="I4" s="26">
        <v>7.23</v>
      </c>
      <c r="J4" s="49">
        <v>6.44</v>
      </c>
      <c r="K4" s="20">
        <f>(IF(ISBLANK(J4),0,J4-I4))/I4</f>
        <v>-0.10926694329183956</v>
      </c>
      <c r="L4" s="4">
        <f t="shared" ref="L4:L35" si="2">D4/($D$2*J4)</f>
        <v>0.8469014175984575</v>
      </c>
      <c r="M4" s="61">
        <v>1</v>
      </c>
      <c r="N4" s="62">
        <v>1</v>
      </c>
      <c r="O4" s="49" t="s">
        <v>175</v>
      </c>
      <c r="P4" s="49" t="s">
        <v>175</v>
      </c>
      <c r="Q4" s="49" t="s">
        <v>175</v>
      </c>
    </row>
    <row r="5" spans="1:17">
      <c r="A5" s="13">
        <f>A4+1</f>
        <v>46114</v>
      </c>
      <c r="B5" s="27">
        <v>10422</v>
      </c>
      <c r="C5" s="46">
        <v>9050</v>
      </c>
      <c r="D5" s="50">
        <v>8024</v>
      </c>
      <c r="E5" s="50">
        <v>7880</v>
      </c>
      <c r="F5" s="20">
        <f t="shared" ref="F5:F33" si="3">(IF(ISBLANK(E5),0,E5-C5))/C5</f>
        <v>-0.1292817679558011</v>
      </c>
      <c r="G5" s="2">
        <f t="shared" si="0"/>
        <v>0.18400293524124015</v>
      </c>
      <c r="H5" s="2">
        <f t="shared" si="1"/>
        <v>0.2170995670995671</v>
      </c>
      <c r="I5" s="27">
        <v>7.23</v>
      </c>
      <c r="J5" s="50">
        <v>5.96</v>
      </c>
      <c r="K5" s="20">
        <f t="shared" ref="K5:K34" si="4">(IF(ISBLANK(J5),0,J5-I5))/I5</f>
        <v>-0.17565698478561553</v>
      </c>
      <c r="L5" s="4">
        <f t="shared" si="2"/>
        <v>0.7409514170788194</v>
      </c>
      <c r="M5" s="63">
        <v>0.89029999999999998</v>
      </c>
      <c r="N5" s="64">
        <v>1</v>
      </c>
      <c r="O5" s="50" t="s">
        <v>175</v>
      </c>
      <c r="P5" s="50">
        <v>936</v>
      </c>
      <c r="Q5" s="50" t="s">
        <v>384</v>
      </c>
    </row>
    <row r="6" spans="1:17">
      <c r="A6" s="13">
        <f t="shared" ref="A6:A33" si="5">A5+1</f>
        <v>46115</v>
      </c>
      <c r="B6" s="27">
        <v>10422</v>
      </c>
      <c r="C6" s="46">
        <v>9050</v>
      </c>
      <c r="D6" s="50">
        <v>7676</v>
      </c>
      <c r="E6" s="50">
        <v>7540</v>
      </c>
      <c r="F6" s="20">
        <f t="shared" si="3"/>
        <v>-0.16685082872928178</v>
      </c>
      <c r="G6" s="2">
        <f t="shared" si="0"/>
        <v>0.17602274811961108</v>
      </c>
      <c r="H6" s="2">
        <f t="shared" si="1"/>
        <v>0.20768398268398269</v>
      </c>
      <c r="I6" s="27">
        <v>7.23</v>
      </c>
      <c r="J6" s="50">
        <v>4.9000000000000004</v>
      </c>
      <c r="K6" s="20">
        <f t="shared" si="4"/>
        <v>-0.32226832641770398</v>
      </c>
      <c r="L6" s="4">
        <f t="shared" si="2"/>
        <v>0.8621522356878909</v>
      </c>
      <c r="M6" s="65">
        <v>1</v>
      </c>
      <c r="N6" s="64">
        <v>1</v>
      </c>
      <c r="O6" s="50" t="s">
        <v>175</v>
      </c>
      <c r="P6" s="50" t="s">
        <v>175</v>
      </c>
      <c r="Q6" s="50" t="s">
        <v>175</v>
      </c>
    </row>
    <row r="7" spans="1:17">
      <c r="A7" s="13">
        <f t="shared" si="5"/>
        <v>46116</v>
      </c>
      <c r="B7" s="27">
        <v>10422</v>
      </c>
      <c r="C7" s="46">
        <v>9050</v>
      </c>
      <c r="D7" s="50">
        <v>11296</v>
      </c>
      <c r="E7" s="50">
        <v>11120</v>
      </c>
      <c r="F7" s="20">
        <f t="shared" si="3"/>
        <v>0.22872928176795579</v>
      </c>
      <c r="G7" s="2">
        <f t="shared" si="0"/>
        <v>0.25903503944230416</v>
      </c>
      <c r="H7" s="2">
        <f t="shared" si="1"/>
        <v>0.30562770562770564</v>
      </c>
      <c r="I7" s="27">
        <v>7.23</v>
      </c>
      <c r="J7" s="50">
        <v>7.45</v>
      </c>
      <c r="K7" s="20">
        <f t="shared" si="4"/>
        <v>3.0428769017980601E-2</v>
      </c>
      <c r="L7" s="4">
        <f t="shared" si="2"/>
        <v>0.83447529484769134</v>
      </c>
      <c r="M7" s="65">
        <v>1</v>
      </c>
      <c r="N7" s="64">
        <v>1</v>
      </c>
      <c r="O7" s="50" t="s">
        <v>175</v>
      </c>
      <c r="P7" s="50" t="s">
        <v>175</v>
      </c>
      <c r="Q7" s="50" t="s">
        <v>175</v>
      </c>
    </row>
    <row r="8" spans="1:17">
      <c r="A8" s="13">
        <f t="shared" si="5"/>
        <v>46117</v>
      </c>
      <c r="B8" s="27">
        <v>10422</v>
      </c>
      <c r="C8" s="46">
        <v>9050</v>
      </c>
      <c r="D8" s="50">
        <v>10576</v>
      </c>
      <c r="E8" s="50">
        <v>10380</v>
      </c>
      <c r="F8" s="20">
        <f t="shared" si="3"/>
        <v>0.14696132596685083</v>
      </c>
      <c r="G8" s="2">
        <f t="shared" si="0"/>
        <v>0.2425243074665199</v>
      </c>
      <c r="H8" s="2">
        <f t="shared" si="1"/>
        <v>0.28614718614718615</v>
      </c>
      <c r="I8" s="27">
        <v>7.23</v>
      </c>
      <c r="J8" s="50">
        <v>6.82</v>
      </c>
      <c r="K8" s="20">
        <f t="shared" si="4"/>
        <v>-5.670816044260029E-2</v>
      </c>
      <c r="L8" s="4">
        <f t="shared" si="2"/>
        <v>0.85345797348921959</v>
      </c>
      <c r="M8" s="65">
        <v>1</v>
      </c>
      <c r="N8" s="66">
        <v>0.97109999999999996</v>
      </c>
      <c r="O8" s="50">
        <v>511</v>
      </c>
      <c r="P8" s="50" t="s">
        <v>175</v>
      </c>
      <c r="Q8" s="50" t="s">
        <v>385</v>
      </c>
    </row>
    <row r="9" spans="1:17">
      <c r="A9" s="13">
        <f t="shared" si="5"/>
        <v>46118</v>
      </c>
      <c r="B9" s="27">
        <v>10422</v>
      </c>
      <c r="C9" s="46">
        <v>9050</v>
      </c>
      <c r="D9" s="50">
        <v>10040</v>
      </c>
      <c r="E9" s="50">
        <v>9880</v>
      </c>
      <c r="F9" s="20">
        <f t="shared" si="3"/>
        <v>9.1712707182320441E-2</v>
      </c>
      <c r="G9" s="2">
        <f t="shared" si="0"/>
        <v>0.23023298477343607</v>
      </c>
      <c r="H9" s="2">
        <f t="shared" si="1"/>
        <v>0.27164502164502163</v>
      </c>
      <c r="I9" s="27">
        <v>7.23</v>
      </c>
      <c r="J9" s="50">
        <v>6.66</v>
      </c>
      <c r="K9" s="20">
        <f t="shared" si="4"/>
        <v>-7.883817427385896E-2</v>
      </c>
      <c r="L9" s="4">
        <f t="shared" si="2"/>
        <v>0.82966841359796772</v>
      </c>
      <c r="M9" s="65">
        <v>1</v>
      </c>
      <c r="N9" s="66">
        <v>0.94030000000000002</v>
      </c>
      <c r="O9" s="50">
        <v>725</v>
      </c>
      <c r="P9" s="50" t="s">
        <v>175</v>
      </c>
      <c r="Q9" s="50" t="s">
        <v>385</v>
      </c>
    </row>
    <row r="10" spans="1:17">
      <c r="A10" s="13">
        <f t="shared" si="5"/>
        <v>46119</v>
      </c>
      <c r="B10" s="27">
        <v>10422</v>
      </c>
      <c r="C10" s="46">
        <v>9050</v>
      </c>
      <c r="D10" s="50">
        <v>7545</v>
      </c>
      <c r="E10" s="50">
        <v>7400</v>
      </c>
      <c r="F10" s="20">
        <f t="shared" si="3"/>
        <v>-0.18232044198895028</v>
      </c>
      <c r="G10" s="2">
        <f t="shared" si="0"/>
        <v>0.1730187121629059</v>
      </c>
      <c r="H10" s="2">
        <f t="shared" si="1"/>
        <v>0.2041396103896104</v>
      </c>
      <c r="I10" s="27">
        <v>7.23</v>
      </c>
      <c r="J10" s="50">
        <v>5.98</v>
      </c>
      <c r="K10" s="20">
        <f t="shared" si="4"/>
        <v>-0.17289073305670816</v>
      </c>
      <c r="L10" s="4">
        <f t="shared" si="2"/>
        <v>0.69438948025246505</v>
      </c>
      <c r="M10" s="65">
        <v>1</v>
      </c>
      <c r="N10" s="66">
        <v>0.87070000000000003</v>
      </c>
      <c r="O10" s="50">
        <v>1248</v>
      </c>
      <c r="P10" s="50" t="s">
        <v>175</v>
      </c>
      <c r="Q10" s="50" t="s">
        <v>385</v>
      </c>
    </row>
    <row r="11" spans="1:17">
      <c r="A11" s="13">
        <f t="shared" si="5"/>
        <v>46120</v>
      </c>
      <c r="B11" s="27">
        <v>10422</v>
      </c>
      <c r="C11" s="46">
        <v>9050</v>
      </c>
      <c r="D11" s="50">
        <v>8902</v>
      </c>
      <c r="E11" s="50">
        <v>8780</v>
      </c>
      <c r="F11" s="20">
        <f t="shared" si="3"/>
        <v>-2.9834254143646408E-2</v>
      </c>
      <c r="G11" s="2">
        <f t="shared" si="0"/>
        <v>0.20413685562282149</v>
      </c>
      <c r="H11" s="2">
        <f t="shared" si="1"/>
        <v>0.24085497835497835</v>
      </c>
      <c r="I11" s="27">
        <v>7.23</v>
      </c>
      <c r="J11" s="50">
        <v>6.7</v>
      </c>
      <c r="K11" s="20">
        <f t="shared" si="4"/>
        <v>-7.3305670816044291E-2</v>
      </c>
      <c r="L11" s="4">
        <f t="shared" si="2"/>
        <v>0.7312364977533905</v>
      </c>
      <c r="M11" s="65">
        <v>1</v>
      </c>
      <c r="N11" s="66">
        <v>0.87150000000000005</v>
      </c>
      <c r="O11" s="50">
        <v>1517</v>
      </c>
      <c r="P11" s="50" t="s">
        <v>175</v>
      </c>
      <c r="Q11" s="50" t="s">
        <v>385</v>
      </c>
    </row>
    <row r="12" spans="1:17">
      <c r="A12" s="13">
        <f t="shared" si="5"/>
        <v>46121</v>
      </c>
      <c r="B12" s="27">
        <v>10422</v>
      </c>
      <c r="C12" s="46">
        <v>9050</v>
      </c>
      <c r="D12" s="50">
        <v>9712</v>
      </c>
      <c r="E12" s="50">
        <v>9560</v>
      </c>
      <c r="F12" s="20">
        <f t="shared" si="3"/>
        <v>5.6353591160220998E-2</v>
      </c>
      <c r="G12" s="2">
        <f t="shared" si="0"/>
        <v>0.22271142909557878</v>
      </c>
      <c r="H12" s="2">
        <f t="shared" si="1"/>
        <v>0.26277056277056277</v>
      </c>
      <c r="I12" s="27">
        <v>7.23</v>
      </c>
      <c r="J12" s="50">
        <v>7.03</v>
      </c>
      <c r="K12" s="20">
        <f t="shared" si="4"/>
        <v>-2.7662517289073329E-2</v>
      </c>
      <c r="L12" s="4">
        <f t="shared" si="2"/>
        <v>0.7603235132708237</v>
      </c>
      <c r="M12" s="65">
        <v>1</v>
      </c>
      <c r="N12" s="66">
        <v>0.95420000000000005</v>
      </c>
      <c r="O12" s="50">
        <v>782</v>
      </c>
      <c r="P12" s="50" t="s">
        <v>175</v>
      </c>
      <c r="Q12" s="50" t="s">
        <v>385</v>
      </c>
    </row>
    <row r="13" spans="1:17">
      <c r="A13" s="13">
        <f t="shared" si="5"/>
        <v>46122</v>
      </c>
      <c r="B13" s="27">
        <v>10422</v>
      </c>
      <c r="C13" s="46">
        <v>9050</v>
      </c>
      <c r="D13" s="50">
        <v>10660</v>
      </c>
      <c r="E13" s="50">
        <v>10480</v>
      </c>
      <c r="F13" s="20">
        <f t="shared" si="3"/>
        <v>0.1580110497237569</v>
      </c>
      <c r="G13" s="2">
        <f t="shared" si="0"/>
        <v>0.24445055953036141</v>
      </c>
      <c r="H13" s="2">
        <f t="shared" si="1"/>
        <v>0.28841991341991341</v>
      </c>
      <c r="I13" s="27">
        <v>7.23</v>
      </c>
      <c r="J13" s="50">
        <v>7.14</v>
      </c>
      <c r="K13" s="20">
        <f t="shared" si="4"/>
        <v>-1.2448132780083091E-2</v>
      </c>
      <c r="L13" s="4">
        <f t="shared" si="2"/>
        <v>0.82168255304323168</v>
      </c>
      <c r="M13" s="65">
        <v>1</v>
      </c>
      <c r="N13" s="64">
        <v>1</v>
      </c>
      <c r="O13" s="50" t="s">
        <v>175</v>
      </c>
      <c r="P13" s="50" t="s">
        <v>175</v>
      </c>
      <c r="Q13" s="50" t="s">
        <v>175</v>
      </c>
    </row>
    <row r="14" spans="1:17">
      <c r="A14" s="13">
        <f t="shared" si="5"/>
        <v>46123</v>
      </c>
      <c r="B14" s="27">
        <v>10422</v>
      </c>
      <c r="C14" s="46">
        <v>9050</v>
      </c>
      <c r="D14" s="50">
        <v>10428</v>
      </c>
      <c r="E14" s="50">
        <v>10260</v>
      </c>
      <c r="F14" s="20">
        <f t="shared" si="3"/>
        <v>0.13370165745856355</v>
      </c>
      <c r="G14" s="2">
        <f t="shared" si="0"/>
        <v>0.2391304347826087</v>
      </c>
      <c r="H14" s="2">
        <f t="shared" si="1"/>
        <v>0.28214285714285714</v>
      </c>
      <c r="I14" s="27">
        <v>7.23</v>
      </c>
      <c r="J14" s="50">
        <v>7.03</v>
      </c>
      <c r="K14" s="20">
        <f t="shared" si="4"/>
        <v>-2.7662517289073329E-2</v>
      </c>
      <c r="L14" s="4">
        <f t="shared" si="2"/>
        <v>0.81637701775001548</v>
      </c>
      <c r="M14" s="65">
        <v>1</v>
      </c>
      <c r="N14" s="64">
        <v>1</v>
      </c>
      <c r="O14" s="50" t="s">
        <v>175</v>
      </c>
      <c r="P14" s="50" t="s">
        <v>175</v>
      </c>
      <c r="Q14" s="50" t="s">
        <v>175</v>
      </c>
    </row>
    <row r="15" spans="1:17">
      <c r="A15" s="13">
        <f t="shared" si="5"/>
        <v>46124</v>
      </c>
      <c r="B15" s="27">
        <v>10422</v>
      </c>
      <c r="C15" s="46">
        <v>9050</v>
      </c>
      <c r="D15" s="50">
        <v>10762</v>
      </c>
      <c r="E15" s="50">
        <v>10580</v>
      </c>
      <c r="F15" s="20">
        <f t="shared" si="3"/>
        <v>0.16906077348066298</v>
      </c>
      <c r="G15" s="2">
        <f t="shared" si="0"/>
        <v>0.24678957989359751</v>
      </c>
      <c r="H15" s="2">
        <f t="shared" si="1"/>
        <v>0.2911796536796537</v>
      </c>
      <c r="I15" s="27">
        <v>7.23</v>
      </c>
      <c r="J15" s="50">
        <v>7.26</v>
      </c>
      <c r="K15" s="20">
        <f t="shared" si="4"/>
        <v>4.1493775933609074E-3</v>
      </c>
      <c r="L15" s="4">
        <f t="shared" si="2"/>
        <v>0.81583332196230585</v>
      </c>
      <c r="M15" s="65">
        <v>1</v>
      </c>
      <c r="N15" s="64">
        <v>1</v>
      </c>
      <c r="O15" s="50" t="s">
        <v>175</v>
      </c>
      <c r="P15" s="50" t="s">
        <v>175</v>
      </c>
      <c r="Q15" s="50" t="s">
        <v>175</v>
      </c>
    </row>
    <row r="16" spans="1:17">
      <c r="A16" s="13">
        <f t="shared" si="5"/>
        <v>46125</v>
      </c>
      <c r="B16" s="27">
        <v>10422</v>
      </c>
      <c r="C16" s="46">
        <v>9050</v>
      </c>
      <c r="D16" s="50">
        <v>10481</v>
      </c>
      <c r="E16" s="50">
        <v>10300</v>
      </c>
      <c r="F16" s="20">
        <f t="shared" si="3"/>
        <v>0.13812154696132597</v>
      </c>
      <c r="G16" s="2">
        <f t="shared" si="0"/>
        <v>0.24034580810860393</v>
      </c>
      <c r="H16" s="2">
        <f t="shared" si="1"/>
        <v>0.28357683982683984</v>
      </c>
      <c r="I16" s="27">
        <v>7.23</v>
      </c>
      <c r="J16" s="50">
        <v>7.05</v>
      </c>
      <c r="K16" s="20">
        <f t="shared" si="4"/>
        <v>-2.4896265560166057E-2</v>
      </c>
      <c r="L16" s="4">
        <f t="shared" si="2"/>
        <v>0.81819849568886438</v>
      </c>
      <c r="M16" s="65">
        <v>1</v>
      </c>
      <c r="N16" s="64">
        <v>1</v>
      </c>
      <c r="O16" s="50" t="s">
        <v>175</v>
      </c>
      <c r="P16" s="50" t="s">
        <v>175</v>
      </c>
      <c r="Q16" s="50" t="s">
        <v>175</v>
      </c>
    </row>
    <row r="17" spans="1:17">
      <c r="A17" s="13">
        <f t="shared" si="5"/>
        <v>46126</v>
      </c>
      <c r="B17" s="27">
        <v>10422</v>
      </c>
      <c r="C17" s="46">
        <v>9050</v>
      </c>
      <c r="D17" s="50">
        <v>10219</v>
      </c>
      <c r="E17" s="50">
        <v>10040</v>
      </c>
      <c r="F17" s="20">
        <f t="shared" si="3"/>
        <v>0.10939226519337017</v>
      </c>
      <c r="G17" s="2">
        <f t="shared" si="0"/>
        <v>0.23433773619519355</v>
      </c>
      <c r="H17" s="2">
        <f t="shared" si="1"/>
        <v>0.27648809523809526</v>
      </c>
      <c r="I17" s="27">
        <v>7.23</v>
      </c>
      <c r="J17" s="50">
        <v>7.14</v>
      </c>
      <c r="K17" s="20">
        <f t="shared" si="4"/>
        <v>-1.2448132780083091E-2</v>
      </c>
      <c r="L17" s="4">
        <f t="shared" si="2"/>
        <v>0.78768986956367582</v>
      </c>
      <c r="M17" s="65">
        <v>1</v>
      </c>
      <c r="N17" s="66">
        <v>0.97589999999999999</v>
      </c>
      <c r="O17" s="50">
        <v>416</v>
      </c>
      <c r="P17" s="50" t="s">
        <v>175</v>
      </c>
      <c r="Q17" s="50" t="s">
        <v>385</v>
      </c>
    </row>
    <row r="18" spans="1:17">
      <c r="A18" s="13">
        <f t="shared" si="5"/>
        <v>46127</v>
      </c>
      <c r="B18" s="27">
        <v>10422</v>
      </c>
      <c r="C18" s="46">
        <v>9050</v>
      </c>
      <c r="D18" s="50">
        <v>9314</v>
      </c>
      <c r="E18" s="50">
        <v>9160</v>
      </c>
      <c r="F18" s="20">
        <f t="shared" si="3"/>
        <v>1.2154696132596685E-2</v>
      </c>
      <c r="G18" s="2">
        <f t="shared" si="0"/>
        <v>0.21358466336452028</v>
      </c>
      <c r="H18" s="2">
        <f t="shared" si="1"/>
        <v>0.25200216450216451</v>
      </c>
      <c r="I18" s="27">
        <v>7.23</v>
      </c>
      <c r="J18" s="50">
        <v>6.91</v>
      </c>
      <c r="K18" s="20">
        <f t="shared" si="4"/>
        <v>-4.4260027662517326E-2</v>
      </c>
      <c r="L18" s="4">
        <f t="shared" si="2"/>
        <v>0.74182806378415134</v>
      </c>
      <c r="M18" s="65">
        <v>1</v>
      </c>
      <c r="N18" s="66">
        <v>0.88390000000000002</v>
      </c>
      <c r="O18" s="50">
        <v>742</v>
      </c>
      <c r="P18" s="50" t="s">
        <v>175</v>
      </c>
      <c r="Q18" s="50" t="s">
        <v>385</v>
      </c>
    </row>
    <row r="19" spans="1:17">
      <c r="A19" s="13">
        <f t="shared" si="5"/>
        <v>46128</v>
      </c>
      <c r="B19" s="27">
        <v>10422</v>
      </c>
      <c r="C19" s="46">
        <v>9050</v>
      </c>
      <c r="D19" s="50">
        <v>9797</v>
      </c>
      <c r="E19" s="50">
        <v>9620</v>
      </c>
      <c r="F19" s="20">
        <f t="shared" si="3"/>
        <v>6.2983425414364635E-2</v>
      </c>
      <c r="G19" s="2">
        <f t="shared" si="0"/>
        <v>0.22466061273160887</v>
      </c>
      <c r="H19" s="2">
        <f t="shared" si="1"/>
        <v>0.26507034632034632</v>
      </c>
      <c r="I19" s="27">
        <v>7.23</v>
      </c>
      <c r="J19" s="50">
        <v>7.02</v>
      </c>
      <c r="K19" s="20">
        <f t="shared" si="4"/>
        <v>-2.9045643153527086E-2</v>
      </c>
      <c r="L19" s="4">
        <f t="shared" si="2"/>
        <v>0.76807047087729541</v>
      </c>
      <c r="M19" s="65">
        <v>1</v>
      </c>
      <c r="N19" s="66">
        <v>0.97319999999999995</v>
      </c>
      <c r="O19" s="50">
        <v>460</v>
      </c>
      <c r="P19" s="50" t="s">
        <v>175</v>
      </c>
      <c r="Q19" s="50" t="s">
        <v>385</v>
      </c>
    </row>
    <row r="20" spans="1:17">
      <c r="A20" s="13">
        <f t="shared" si="5"/>
        <v>46129</v>
      </c>
      <c r="B20" s="27">
        <v>10422</v>
      </c>
      <c r="C20" s="46">
        <v>9050</v>
      </c>
      <c r="D20" s="50">
        <v>9695</v>
      </c>
      <c r="E20" s="50">
        <v>9520</v>
      </c>
      <c r="F20" s="20">
        <f t="shared" si="3"/>
        <v>5.1933701657458566E-2</v>
      </c>
      <c r="G20" s="2">
        <f t="shared" si="0"/>
        <v>0.22232159236837279</v>
      </c>
      <c r="H20" s="2">
        <f t="shared" si="1"/>
        <v>0.26231060606060608</v>
      </c>
      <c r="I20" s="27">
        <v>7.23</v>
      </c>
      <c r="J20" s="50">
        <v>7.29</v>
      </c>
      <c r="K20" s="20">
        <f t="shared" si="4"/>
        <v>8.2987551867219379E-3</v>
      </c>
      <c r="L20" s="4">
        <f t="shared" si="2"/>
        <v>0.73192293783826423</v>
      </c>
      <c r="M20" s="65">
        <v>1</v>
      </c>
      <c r="N20" s="66">
        <v>0.96499999999999997</v>
      </c>
      <c r="O20" s="50">
        <v>1185</v>
      </c>
      <c r="P20" s="50" t="s">
        <v>175</v>
      </c>
      <c r="Q20" s="50" t="s">
        <v>385</v>
      </c>
    </row>
    <row r="21" spans="1:17">
      <c r="A21" s="13">
        <f t="shared" si="5"/>
        <v>46130</v>
      </c>
      <c r="B21" s="27">
        <v>10422</v>
      </c>
      <c r="C21" s="46">
        <v>9050</v>
      </c>
      <c r="D21" s="50">
        <v>10738</v>
      </c>
      <c r="E21" s="50">
        <v>10540</v>
      </c>
      <c r="F21" s="20">
        <f t="shared" si="3"/>
        <v>0.16464088397790055</v>
      </c>
      <c r="G21" s="2">
        <f t="shared" si="0"/>
        <v>0.24623922216107136</v>
      </c>
      <c r="H21" s="2">
        <f t="shared" si="1"/>
        <v>0.29053030303030303</v>
      </c>
      <c r="I21" s="27">
        <v>7.23</v>
      </c>
      <c r="J21" s="50">
        <v>7.4</v>
      </c>
      <c r="K21" s="20">
        <f t="shared" si="4"/>
        <v>2.3513139695712299E-2</v>
      </c>
      <c r="L21" s="4">
        <f t="shared" si="2"/>
        <v>0.79861369349536648</v>
      </c>
      <c r="M21" s="65">
        <v>1</v>
      </c>
      <c r="N21" s="66">
        <v>0.97760000000000002</v>
      </c>
      <c r="O21" s="50">
        <v>420</v>
      </c>
      <c r="P21" s="50" t="s">
        <v>175</v>
      </c>
      <c r="Q21" s="50" t="s">
        <v>385</v>
      </c>
    </row>
    <row r="22" spans="1:17">
      <c r="A22" s="13">
        <f t="shared" si="5"/>
        <v>46131</v>
      </c>
      <c r="B22" s="27">
        <v>10422</v>
      </c>
      <c r="C22" s="46">
        <v>9050</v>
      </c>
      <c r="D22" s="50">
        <v>10911</v>
      </c>
      <c r="E22" s="50">
        <v>10740</v>
      </c>
      <c r="F22" s="20">
        <f t="shared" si="3"/>
        <v>0.18674033149171271</v>
      </c>
      <c r="G22" s="2">
        <f t="shared" si="0"/>
        <v>0.25020638414969731</v>
      </c>
      <c r="H22" s="2">
        <f t="shared" ref="H22:H27" si="6">E22/($D$2*24)</f>
        <v>0.24628508530544854</v>
      </c>
      <c r="I22" s="27">
        <v>7.23</v>
      </c>
      <c r="J22" s="50">
        <v>7.11</v>
      </c>
      <c r="K22" s="20">
        <f t="shared" si="4"/>
        <v>-1.6597510373443997E-2</v>
      </c>
      <c r="L22" s="4">
        <f t="shared" si="2"/>
        <v>0.84457851189771238</v>
      </c>
      <c r="M22" s="65">
        <v>1</v>
      </c>
      <c r="N22" s="66">
        <v>0.97270000000000001</v>
      </c>
      <c r="O22" s="50">
        <v>500</v>
      </c>
      <c r="P22" s="50" t="s">
        <v>175</v>
      </c>
      <c r="Q22" s="50" t="s">
        <v>385</v>
      </c>
    </row>
    <row r="23" spans="1:17">
      <c r="A23" s="13">
        <f t="shared" si="5"/>
        <v>46132</v>
      </c>
      <c r="B23" s="27">
        <v>10422</v>
      </c>
      <c r="C23" s="46">
        <v>9050</v>
      </c>
      <c r="D23" s="50">
        <v>10952</v>
      </c>
      <c r="E23" s="50">
        <v>10760</v>
      </c>
      <c r="F23" s="20">
        <f t="shared" si="3"/>
        <v>0.18895027624309393</v>
      </c>
      <c r="G23" s="2">
        <f t="shared" si="0"/>
        <v>0.25114657860942946</v>
      </c>
      <c r="H23" s="2">
        <f t="shared" si="6"/>
        <v>0.24674371674922033</v>
      </c>
      <c r="I23" s="27">
        <v>7.23</v>
      </c>
      <c r="J23" s="50">
        <v>6.96</v>
      </c>
      <c r="K23" s="20">
        <f t="shared" si="4"/>
        <v>-3.7344398340249024E-2</v>
      </c>
      <c r="L23" s="4">
        <f t="shared" si="2"/>
        <v>0.86602268486010159</v>
      </c>
      <c r="M23" s="65">
        <v>1</v>
      </c>
      <c r="N23" s="64">
        <v>1</v>
      </c>
      <c r="O23" s="50" t="s">
        <v>175</v>
      </c>
      <c r="P23" s="50" t="s">
        <v>175</v>
      </c>
      <c r="Q23" s="50" t="s">
        <v>175</v>
      </c>
    </row>
    <row r="24" spans="1:17">
      <c r="A24" s="13">
        <f t="shared" si="5"/>
        <v>46133</v>
      </c>
      <c r="B24" s="27">
        <v>10422</v>
      </c>
      <c r="C24" s="46">
        <v>9050</v>
      </c>
      <c r="D24" s="50">
        <v>10726</v>
      </c>
      <c r="E24" s="50">
        <v>10540</v>
      </c>
      <c r="F24" s="20">
        <f>(IF(ISBLANK(E24),0,E24-C24))/C24</f>
        <v>0.16464088397790055</v>
      </c>
      <c r="G24" s="2">
        <f t="shared" si="0"/>
        <v>0.24596404329480828</v>
      </c>
      <c r="H24" s="2">
        <f t="shared" si="6"/>
        <v>0.2416987708677307</v>
      </c>
      <c r="I24" s="27">
        <v>7.23</v>
      </c>
      <c r="J24" s="50">
        <v>7.21</v>
      </c>
      <c r="K24" s="20">
        <f>(IF(ISBLANK(J24),0,J24-I24))/I24</f>
        <v>-2.7662517289073945E-3</v>
      </c>
      <c r="L24" s="4">
        <f t="shared" si="2"/>
        <v>0.8187430012587239</v>
      </c>
      <c r="M24" s="65">
        <v>1</v>
      </c>
      <c r="N24" s="66">
        <v>0.97019999999999995</v>
      </c>
      <c r="O24" s="50">
        <v>529</v>
      </c>
      <c r="P24" s="50" t="s">
        <v>175</v>
      </c>
      <c r="Q24" s="50" t="s">
        <v>385</v>
      </c>
    </row>
    <row r="25" spans="1:17">
      <c r="A25" s="13">
        <f t="shared" si="5"/>
        <v>46134</v>
      </c>
      <c r="B25" s="27">
        <v>10422</v>
      </c>
      <c r="C25" s="46">
        <v>9050</v>
      </c>
      <c r="D25" s="50">
        <v>10284</v>
      </c>
      <c r="E25" s="50">
        <v>10100</v>
      </c>
      <c r="F25" s="20">
        <f t="shared" si="3"/>
        <v>0.11602209944751381</v>
      </c>
      <c r="G25" s="2">
        <f t="shared" si="0"/>
        <v>0.23582828838745185</v>
      </c>
      <c r="H25" s="2">
        <f t="shared" si="6"/>
        <v>0.23160887910475142</v>
      </c>
      <c r="I25" s="27">
        <v>7.23</v>
      </c>
      <c r="J25" s="50">
        <v>7.41</v>
      </c>
      <c r="K25" s="20">
        <f t="shared" si="4"/>
        <v>2.4896265560165935E-2</v>
      </c>
      <c r="L25" s="4">
        <f t="shared" si="2"/>
        <v>0.76381631866381161</v>
      </c>
      <c r="M25" s="65">
        <v>1</v>
      </c>
      <c r="N25" s="66">
        <v>0.95779999999999998</v>
      </c>
      <c r="O25" s="50" t="s">
        <v>175</v>
      </c>
      <c r="P25" s="50" t="s">
        <v>175</v>
      </c>
      <c r="Q25" s="50" t="s">
        <v>385</v>
      </c>
    </row>
    <row r="26" spans="1:17">
      <c r="A26" s="13">
        <f t="shared" si="5"/>
        <v>46135</v>
      </c>
      <c r="B26" s="27">
        <v>10422</v>
      </c>
      <c r="C26" s="46">
        <v>9050</v>
      </c>
      <c r="D26" s="50">
        <v>9097</v>
      </c>
      <c r="E26" s="50">
        <v>8940</v>
      </c>
      <c r="F26" s="20">
        <f t="shared" si="3"/>
        <v>-1.2154696132596685E-2</v>
      </c>
      <c r="G26" s="2">
        <f t="shared" si="0"/>
        <v>0.20860851219959639</v>
      </c>
      <c r="H26" s="2">
        <f t="shared" si="6"/>
        <v>0.20500825536598788</v>
      </c>
      <c r="I26" s="27">
        <v>7.23</v>
      </c>
      <c r="J26" s="50">
        <v>7.3</v>
      </c>
      <c r="K26" s="20">
        <f t="shared" si="4"/>
        <v>9.6818810511755723E-3</v>
      </c>
      <c r="L26" s="4">
        <f t="shared" si="2"/>
        <v>0.68583620449182381</v>
      </c>
      <c r="M26" s="65">
        <v>1</v>
      </c>
      <c r="N26" s="66">
        <v>0.9123</v>
      </c>
      <c r="O26" s="50">
        <v>1432</v>
      </c>
      <c r="P26" s="50" t="s">
        <v>175</v>
      </c>
      <c r="Q26" s="50" t="s">
        <v>381</v>
      </c>
    </row>
    <row r="27" spans="1:17">
      <c r="A27" s="13">
        <f t="shared" si="5"/>
        <v>46136</v>
      </c>
      <c r="B27" s="27">
        <v>10422</v>
      </c>
      <c r="C27" s="46">
        <v>9050</v>
      </c>
      <c r="D27" s="50">
        <v>10401</v>
      </c>
      <c r="E27" s="50">
        <v>10240</v>
      </c>
      <c r="F27" s="20">
        <f t="shared" si="3"/>
        <v>0.13149171270718232</v>
      </c>
      <c r="G27" s="2">
        <f t="shared" si="0"/>
        <v>0.23851128233351679</v>
      </c>
      <c r="H27" s="2">
        <f t="shared" si="6"/>
        <v>0.23481929921115391</v>
      </c>
      <c r="I27" s="27">
        <v>7.23</v>
      </c>
      <c r="J27" s="50">
        <v>6.99</v>
      </c>
      <c r="K27" s="20">
        <f>(IF(ISBLANK(J27),0,J27-I27))/I27</f>
        <v>-3.3195020746887995E-2</v>
      </c>
      <c r="L27" s="4">
        <f t="shared" si="2"/>
        <v>0.81892285779748253</v>
      </c>
      <c r="M27" s="65">
        <v>1</v>
      </c>
      <c r="N27" s="66">
        <v>0.9889</v>
      </c>
      <c r="O27" s="50">
        <v>193</v>
      </c>
      <c r="P27" s="50" t="s">
        <v>175</v>
      </c>
      <c r="Q27" s="50" t="s">
        <v>385</v>
      </c>
    </row>
    <row r="28" spans="1:17">
      <c r="A28" s="13">
        <f t="shared" si="5"/>
        <v>46137</v>
      </c>
      <c r="B28" s="27">
        <v>10422</v>
      </c>
      <c r="C28" s="46">
        <v>9050</v>
      </c>
      <c r="D28" s="6">
        <v>8524</v>
      </c>
      <c r="E28" s="6">
        <v>8360</v>
      </c>
      <c r="F28" s="20">
        <f t="shared" si="3"/>
        <v>-7.6243093922651939E-2</v>
      </c>
      <c r="G28" s="2">
        <f t="shared" ref="G28:H33" si="7">D28/($D$2*24)</f>
        <v>0.19546872133553475</v>
      </c>
      <c r="H28" s="2">
        <f t="shared" si="7"/>
        <v>0.19170794349660614</v>
      </c>
      <c r="I28" s="27">
        <v>7.23</v>
      </c>
      <c r="J28" s="6">
        <v>7.2</v>
      </c>
      <c r="K28" s="20">
        <f t="shared" si="4"/>
        <v>-4.1493775933610297E-3</v>
      </c>
      <c r="L28" s="4">
        <f t="shared" si="2"/>
        <v>0.6515624044517826</v>
      </c>
      <c r="M28" s="65">
        <v>1</v>
      </c>
      <c r="N28" s="25">
        <v>0.76539999999999997</v>
      </c>
      <c r="O28" s="6">
        <v>1608</v>
      </c>
      <c r="P28" s="6"/>
      <c r="Q28" s="366" t="s">
        <v>386</v>
      </c>
    </row>
    <row r="29" spans="1:17">
      <c r="A29" s="13">
        <f t="shared" si="5"/>
        <v>46138</v>
      </c>
      <c r="B29" s="27">
        <v>10422</v>
      </c>
      <c r="C29" s="46">
        <v>9050</v>
      </c>
      <c r="D29" s="6">
        <v>10875</v>
      </c>
      <c r="E29" s="6">
        <v>10680</v>
      </c>
      <c r="F29" s="20">
        <f t="shared" si="3"/>
        <v>0.18011049723756906</v>
      </c>
      <c r="G29" s="2">
        <f t="shared" si="7"/>
        <v>0.24938084755090809</v>
      </c>
      <c r="H29" s="2">
        <f t="shared" si="7"/>
        <v>0.24490919097413319</v>
      </c>
      <c r="I29" s="27">
        <v>7.23</v>
      </c>
      <c r="J29" s="6">
        <v>7.45</v>
      </c>
      <c r="K29" s="20">
        <f t="shared" si="4"/>
        <v>3.0428769017980601E-2</v>
      </c>
      <c r="L29" s="4">
        <f t="shared" si="2"/>
        <v>0.80337454244587847</v>
      </c>
      <c r="M29" s="65">
        <v>1</v>
      </c>
      <c r="N29" s="189">
        <v>1</v>
      </c>
      <c r="O29" s="6"/>
      <c r="P29" s="6"/>
      <c r="Q29" s="6"/>
    </row>
    <row r="30" spans="1:17">
      <c r="A30" s="13">
        <f t="shared" si="5"/>
        <v>46139</v>
      </c>
      <c r="B30" s="27">
        <v>10422</v>
      </c>
      <c r="C30" s="46">
        <v>9050</v>
      </c>
      <c r="D30" s="6">
        <v>10204</v>
      </c>
      <c r="E30" s="6">
        <v>10020</v>
      </c>
      <c r="F30" s="20">
        <f t="shared" si="3"/>
        <v>0.10718232044198896</v>
      </c>
      <c r="G30" s="2">
        <f t="shared" si="7"/>
        <v>0.23399376261236471</v>
      </c>
      <c r="H30" s="2">
        <f t="shared" si="7"/>
        <v>0.22977435332966428</v>
      </c>
      <c r="I30" s="27">
        <v>7.23</v>
      </c>
      <c r="J30" s="6">
        <v>7.16</v>
      </c>
      <c r="K30" s="20">
        <f t="shared" si="4"/>
        <v>-9.6818810511756954E-3</v>
      </c>
      <c r="L30" s="4">
        <f t="shared" si="2"/>
        <v>0.78433663445485369</v>
      </c>
      <c r="M30" s="65">
        <v>1</v>
      </c>
      <c r="N30" s="25">
        <v>0.9718</v>
      </c>
      <c r="O30" s="6">
        <v>481</v>
      </c>
      <c r="P30" s="6"/>
      <c r="Q30" s="50" t="s">
        <v>385</v>
      </c>
    </row>
    <row r="31" spans="1:17">
      <c r="A31" s="13">
        <f t="shared" si="5"/>
        <v>46140</v>
      </c>
      <c r="B31" s="27">
        <v>10422</v>
      </c>
      <c r="C31" s="46">
        <v>9050</v>
      </c>
      <c r="D31" s="6">
        <v>9598</v>
      </c>
      <c r="E31" s="6">
        <v>9460</v>
      </c>
      <c r="F31" s="20">
        <f t="shared" si="3"/>
        <v>4.5303867403314914E-2</v>
      </c>
      <c r="G31" s="2">
        <f t="shared" si="7"/>
        <v>0.22009722986607963</v>
      </c>
      <c r="H31" s="2">
        <f t="shared" si="7"/>
        <v>0.2169326729040543</v>
      </c>
      <c r="I31" s="27">
        <v>7.23</v>
      </c>
      <c r="J31" s="6">
        <v>7.12</v>
      </c>
      <c r="K31" s="20">
        <f t="shared" si="4"/>
        <v>-1.5214384508990361E-2</v>
      </c>
      <c r="L31" s="4">
        <f t="shared" si="2"/>
        <v>0.7419007748294818</v>
      </c>
      <c r="M31" s="65">
        <v>1</v>
      </c>
      <c r="N31" s="25">
        <v>0.95</v>
      </c>
      <c r="O31" s="6">
        <v>820</v>
      </c>
      <c r="P31" s="6"/>
      <c r="Q31" s="50" t="s">
        <v>385</v>
      </c>
    </row>
    <row r="32" spans="1:17">
      <c r="A32" s="13">
        <f t="shared" si="5"/>
        <v>46141</v>
      </c>
      <c r="B32" s="27">
        <v>10422</v>
      </c>
      <c r="C32" s="46">
        <v>9050</v>
      </c>
      <c r="D32" s="6">
        <v>9103</v>
      </c>
      <c r="E32" s="6">
        <v>8960</v>
      </c>
      <c r="F32" s="20">
        <f t="shared" si="3"/>
        <v>-9.9447513812154689E-3</v>
      </c>
      <c r="G32" s="2">
        <f t="shared" si="7"/>
        <v>0.20874610163272794</v>
      </c>
      <c r="H32" s="2">
        <f t="shared" si="7"/>
        <v>0.20546688680975966</v>
      </c>
      <c r="I32" s="27">
        <v>7.23</v>
      </c>
      <c r="J32" s="6">
        <v>6.83</v>
      </c>
      <c r="K32" s="20">
        <f t="shared" si="4"/>
        <v>-5.5325034578146658E-2</v>
      </c>
      <c r="L32" s="4">
        <f t="shared" si="2"/>
        <v>0.73351485200372923</v>
      </c>
      <c r="M32" s="65">
        <v>1</v>
      </c>
      <c r="N32" s="25">
        <v>0.94020000000000004</v>
      </c>
      <c r="O32" s="6">
        <v>912</v>
      </c>
      <c r="P32" s="6"/>
      <c r="Q32" s="50" t="s">
        <v>385</v>
      </c>
    </row>
    <row r="33" spans="1:17">
      <c r="A33" s="13">
        <f t="shared" si="5"/>
        <v>46142</v>
      </c>
      <c r="B33" s="27">
        <v>10422</v>
      </c>
      <c r="C33" s="46">
        <v>9050</v>
      </c>
      <c r="D33" s="6">
        <v>9127</v>
      </c>
      <c r="E33" s="6">
        <v>8940</v>
      </c>
      <c r="F33" s="20">
        <f t="shared" si="3"/>
        <v>-1.2154696132596685E-2</v>
      </c>
      <c r="G33" s="2">
        <f t="shared" si="7"/>
        <v>0.20929645936525409</v>
      </c>
      <c r="H33" s="2">
        <f t="shared" si="7"/>
        <v>0.20500825536598788</v>
      </c>
      <c r="I33" s="27">
        <v>7.23</v>
      </c>
      <c r="J33" s="6">
        <v>6.36</v>
      </c>
      <c r="K33" s="20">
        <f t="shared" si="4"/>
        <v>-0.12033195020746888</v>
      </c>
      <c r="L33" s="4">
        <f t="shared" si="2"/>
        <v>0.78979795986888324</v>
      </c>
      <c r="M33" s="65">
        <v>1</v>
      </c>
      <c r="N33" s="25">
        <v>0.97440000000000004</v>
      </c>
      <c r="O33" s="6">
        <v>338</v>
      </c>
      <c r="P33" s="6"/>
      <c r="Q33" s="50" t="s">
        <v>385</v>
      </c>
    </row>
    <row r="34" spans="1:17">
      <c r="A34" s="349">
        <v>46113</v>
      </c>
      <c r="B34" s="17">
        <f>SUM(B4:B33)</f>
        <v>312660</v>
      </c>
      <c r="C34" s="17">
        <f>SUM(C4:C33)</f>
        <v>271500</v>
      </c>
      <c r="D34" s="17">
        <f>SUM(D4:D33)</f>
        <v>295577</v>
      </c>
      <c r="E34" s="17">
        <f>SUM(E4:E33)</f>
        <v>290500</v>
      </c>
      <c r="F34" s="20">
        <f>(IF(ISBLANK(E34),0,E34-C34))/C34</f>
        <v>6.9981583793738492E-2</v>
      </c>
      <c r="G34" s="18">
        <f>AVERAGE(G4:G33)</f>
        <v>0.2259348437595548</v>
      </c>
      <c r="H34" s="18">
        <f>AVERAGE(H4:H33)</f>
        <v>0.24852601363505325</v>
      </c>
      <c r="I34" s="17">
        <f>SUM(I4:I33)</f>
        <v>216.89999999999992</v>
      </c>
      <c r="J34" s="17">
        <f>SUM(J4:J33)</f>
        <v>207.28000000000006</v>
      </c>
      <c r="K34" s="20">
        <f t="shared" si="4"/>
        <v>-4.4352236053480251E-2</v>
      </c>
      <c r="L34" s="4">
        <f t="shared" si="2"/>
        <v>0.78479876257660852</v>
      </c>
      <c r="M34" s="18">
        <f>AVERAGE(M4:M33)</f>
        <v>0.99634333333333336</v>
      </c>
      <c r="N34" s="18">
        <f>AVERAGE(N4:N33)</f>
        <v>0.9595699999999997</v>
      </c>
      <c r="O34" s="17">
        <f>SUM(O4:O33)</f>
        <v>14819</v>
      </c>
      <c r="P34" s="17">
        <f>SUM(P4:P33)</f>
        <v>936</v>
      </c>
      <c r="Q34" s="19"/>
    </row>
    <row r="35" spans="1:17">
      <c r="A35" s="13">
        <v>46143</v>
      </c>
      <c r="B35" s="127">
        <v>10086</v>
      </c>
      <c r="C35" s="127">
        <v>8758</v>
      </c>
      <c r="D35" s="33"/>
      <c r="E35" s="33"/>
      <c r="F35" s="20">
        <f>(IF(ISBLANK(E35),0,E35-C35))/C35</f>
        <v>0</v>
      </c>
      <c r="G35" s="2">
        <f t="shared" ref="G35:G57" si="8">D35/($D$2*24)</f>
        <v>0</v>
      </c>
      <c r="H35" s="2">
        <f t="shared" ref="H35:H61" si="9">D35/($H$2*24)</f>
        <v>0</v>
      </c>
      <c r="I35" s="28">
        <v>7.13</v>
      </c>
      <c r="J35" s="33"/>
      <c r="K35" s="20">
        <f>(IF(ISBLANK(J35),0,J35-I35))/I35</f>
        <v>0</v>
      </c>
      <c r="L35" s="4" t="e">
        <f t="shared" si="2"/>
        <v>#DIV/0!</v>
      </c>
      <c r="M35" s="103"/>
      <c r="N35" s="103"/>
      <c r="O35" s="33"/>
      <c r="P35" s="6"/>
      <c r="Q35" s="6"/>
    </row>
    <row r="36" spans="1:17">
      <c r="A36" s="13">
        <f>A35+1</f>
        <v>46144</v>
      </c>
      <c r="B36" s="127">
        <v>10086</v>
      </c>
      <c r="C36" s="127">
        <v>8758</v>
      </c>
      <c r="D36" s="34"/>
      <c r="E36" s="34"/>
      <c r="F36" s="20">
        <f t="shared" ref="F36:F54" si="10">(IF(ISBLANK(E36),0,E36-C36))/C36</f>
        <v>0</v>
      </c>
      <c r="G36" s="2">
        <f t="shared" si="8"/>
        <v>0</v>
      </c>
      <c r="H36" s="2">
        <f t="shared" si="9"/>
        <v>0</v>
      </c>
      <c r="I36" s="28">
        <v>7.13</v>
      </c>
      <c r="J36" s="34"/>
      <c r="K36" s="20">
        <f t="shared" ref="K36:K54" si="11">(IF(ISBLANK(J36),0,J36-I36))/I36</f>
        <v>0</v>
      </c>
      <c r="L36" s="4" t="e">
        <f t="shared" ref="L36:L66" si="12">D36/($D$2*J36)</f>
        <v>#DIV/0!</v>
      </c>
      <c r="M36" s="103"/>
      <c r="N36" s="103"/>
      <c r="O36" s="34"/>
      <c r="P36" s="6"/>
      <c r="Q36" s="6"/>
    </row>
    <row r="37" spans="1:17">
      <c r="A37" s="13">
        <f t="shared" ref="A37:A65" si="13">A36+1</f>
        <v>46145</v>
      </c>
      <c r="B37" s="127">
        <v>10086</v>
      </c>
      <c r="C37" s="127">
        <v>8758</v>
      </c>
      <c r="D37" s="34"/>
      <c r="E37" s="34"/>
      <c r="F37" s="20">
        <f t="shared" si="10"/>
        <v>0</v>
      </c>
      <c r="G37" s="2">
        <f t="shared" si="8"/>
        <v>0</v>
      </c>
      <c r="H37" s="2">
        <f t="shared" si="9"/>
        <v>0</v>
      </c>
      <c r="I37" s="28">
        <v>7.13</v>
      </c>
      <c r="J37" s="34"/>
      <c r="K37" s="20">
        <f t="shared" si="11"/>
        <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30258</v>
      </c>
      <c r="C66" s="89">
        <f>SUM(C35:C65)</f>
        <v>26274</v>
      </c>
      <c r="D66" s="89">
        <f>SUM(D35:D65)</f>
        <v>0</v>
      </c>
      <c r="E66" s="89">
        <f>SUM(E35:E65)</f>
        <v>0</v>
      </c>
      <c r="F66" s="160">
        <f>(IF(ISBLANK(E66),0,E66-C66))/C66</f>
        <v>-1</v>
      </c>
      <c r="G66" s="90">
        <f>AVERAGE(G35:G65)</f>
        <v>0</v>
      </c>
      <c r="H66" s="90">
        <f>AVERAGE(H35:H65)</f>
        <v>0</v>
      </c>
      <c r="I66" s="89">
        <f>SUM(I35:I65)</f>
        <v>21.39</v>
      </c>
      <c r="J66" s="89">
        <f>SUM(J35:J65)</f>
        <v>0</v>
      </c>
      <c r="K66" s="160">
        <f>(IF(ISBLANK(J66),0,J66-I66))/I66</f>
        <v>-1</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843DF-927B-4D82-948F-A88A379F9E21}">
  <dimension ref="A1:Q66"/>
  <sheetViews>
    <sheetView topLeftCell="A24" workbookViewId="0">
      <selection activeCell="B35" sqref="B35:C3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179687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387</v>
      </c>
      <c r="B1" s="406"/>
      <c r="C1" s="406"/>
      <c r="D1" s="406"/>
      <c r="E1" s="406"/>
      <c r="F1" s="406"/>
      <c r="G1" s="406"/>
      <c r="H1" s="406"/>
      <c r="I1" s="406"/>
      <c r="J1" s="406"/>
      <c r="K1" s="406"/>
      <c r="L1" s="406"/>
      <c r="M1" s="406"/>
      <c r="N1" s="406"/>
      <c r="O1" s="406"/>
      <c r="P1" s="406"/>
      <c r="Q1" s="406"/>
    </row>
    <row r="2" spans="1:17" ht="18.5">
      <c r="A2" s="7">
        <v>46113</v>
      </c>
      <c r="B2" s="407" t="s">
        <v>172</v>
      </c>
      <c r="C2" s="408"/>
      <c r="D2" s="8">
        <v>2525</v>
      </c>
      <c r="E2" s="407" t="s">
        <v>173</v>
      </c>
      <c r="F2" s="407"/>
      <c r="G2" s="408"/>
      <c r="H2" s="8">
        <v>1980</v>
      </c>
      <c r="I2" s="409" t="s">
        <v>174</v>
      </c>
      <c r="J2" s="410"/>
      <c r="K2" s="9">
        <v>45877</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15861.2</v>
      </c>
      <c r="C4" s="1">
        <v>13850.63</v>
      </c>
      <c r="D4" s="31">
        <v>13670</v>
      </c>
      <c r="E4" s="49">
        <v>13440</v>
      </c>
      <c r="F4" s="20">
        <f>(IF(ISBLANK(E4),0,E4-C4))/C4</f>
        <v>-2.9647026886141584E-2</v>
      </c>
      <c r="G4" s="2">
        <f t="shared" ref="G4:G27" si="0">D4/($D$2*24)</f>
        <v>0.22557755775577557</v>
      </c>
      <c r="H4" s="2">
        <f t="shared" ref="H4:H21" si="1">D4/($H$2*24)</f>
        <v>0.28766835016835018</v>
      </c>
      <c r="I4" s="26">
        <v>7.23</v>
      </c>
      <c r="J4" s="49">
        <v>6.44</v>
      </c>
      <c r="K4" s="20">
        <f>(IF(ISBLANK(J4),0,J4-I4))/I4</f>
        <v>-0.10926694329183956</v>
      </c>
      <c r="L4" s="4">
        <f t="shared" ref="L4:L35" si="2">D4/($D$2*J4)</f>
        <v>0.84066170592214495</v>
      </c>
      <c r="M4" s="61">
        <v>1</v>
      </c>
      <c r="N4" s="62">
        <v>1</v>
      </c>
      <c r="O4" s="49" t="s">
        <v>175</v>
      </c>
      <c r="P4" s="49" t="s">
        <v>175</v>
      </c>
      <c r="Q4" s="49" t="s">
        <v>175</v>
      </c>
    </row>
    <row r="5" spans="1:17">
      <c r="A5" s="13">
        <f>A4+1</f>
        <v>46114</v>
      </c>
      <c r="B5" s="1">
        <v>15861.2</v>
      </c>
      <c r="C5" s="1">
        <v>13850.63</v>
      </c>
      <c r="D5" s="32">
        <v>11034</v>
      </c>
      <c r="E5" s="50">
        <v>10860</v>
      </c>
      <c r="F5" s="20">
        <f t="shared" ref="F5:F33" si="3">(IF(ISBLANK(E5),0,E5-C5))/C5</f>
        <v>-0.21592014226067691</v>
      </c>
      <c r="G5" s="2">
        <f t="shared" si="0"/>
        <v>0.18207920792079207</v>
      </c>
      <c r="H5" s="2">
        <f t="shared" si="1"/>
        <v>0.23219696969696971</v>
      </c>
      <c r="I5" s="27">
        <v>7.23</v>
      </c>
      <c r="J5" s="50">
        <v>5.96</v>
      </c>
      <c r="K5" s="20">
        <f t="shared" ref="K5:K34" si="4">(IF(ISBLANK(J5),0,J5-I5))/I5</f>
        <v>-0.17565698478561553</v>
      </c>
      <c r="L5" s="4">
        <f t="shared" si="2"/>
        <v>0.73320486411057217</v>
      </c>
      <c r="M5" s="63">
        <v>0.89100000000000001</v>
      </c>
      <c r="N5" s="64">
        <v>1</v>
      </c>
      <c r="O5" s="50" t="s">
        <v>175</v>
      </c>
      <c r="P5" s="50">
        <v>1287</v>
      </c>
      <c r="Q5" s="50" t="s">
        <v>384</v>
      </c>
    </row>
    <row r="6" spans="1:17">
      <c r="A6" s="13">
        <f t="shared" ref="A6:A33" si="5">A5+1</f>
        <v>46115</v>
      </c>
      <c r="B6" s="1">
        <v>15861.2</v>
      </c>
      <c r="C6" s="1">
        <v>13850.63</v>
      </c>
      <c r="D6" s="32">
        <v>10583</v>
      </c>
      <c r="E6" s="50">
        <v>10410</v>
      </c>
      <c r="F6" s="20">
        <f t="shared" si="3"/>
        <v>-0.24840963912832842</v>
      </c>
      <c r="G6" s="2">
        <f t="shared" si="0"/>
        <v>0.17463696369636963</v>
      </c>
      <c r="H6" s="2">
        <f t="shared" si="1"/>
        <v>0.22270622895622896</v>
      </c>
      <c r="I6" s="27">
        <v>7.23</v>
      </c>
      <c r="J6" s="50">
        <v>4.9000000000000004</v>
      </c>
      <c r="K6" s="20">
        <f t="shared" si="4"/>
        <v>-0.32226832641770398</v>
      </c>
      <c r="L6" s="4">
        <f t="shared" si="2"/>
        <v>0.85536472014548393</v>
      </c>
      <c r="M6" s="65">
        <v>1</v>
      </c>
      <c r="N6" s="64">
        <v>1</v>
      </c>
      <c r="O6" s="50" t="s">
        <v>175</v>
      </c>
      <c r="P6" s="50" t="s">
        <v>175</v>
      </c>
      <c r="Q6" s="50" t="s">
        <v>175</v>
      </c>
    </row>
    <row r="7" spans="1:17">
      <c r="A7" s="13">
        <f t="shared" si="5"/>
        <v>46116</v>
      </c>
      <c r="B7" s="1">
        <v>15861.2</v>
      </c>
      <c r="C7" s="1">
        <v>13850.63</v>
      </c>
      <c r="D7" s="32">
        <v>15518</v>
      </c>
      <c r="E7" s="50">
        <v>15270</v>
      </c>
      <c r="F7" s="20">
        <f t="shared" si="3"/>
        <v>0.10247692704230789</v>
      </c>
      <c r="G7" s="2">
        <f t="shared" si="0"/>
        <v>0.25607260726072606</v>
      </c>
      <c r="H7" s="2">
        <f t="shared" si="1"/>
        <v>0.32655723905723905</v>
      </c>
      <c r="I7" s="27">
        <v>7.23</v>
      </c>
      <c r="J7" s="50">
        <v>7.45</v>
      </c>
      <c r="K7" s="20">
        <f t="shared" si="4"/>
        <v>3.0428769017980601E-2</v>
      </c>
      <c r="L7" s="4">
        <f t="shared" si="2"/>
        <v>0.82493188916207061</v>
      </c>
      <c r="M7" s="65">
        <v>1</v>
      </c>
      <c r="N7" s="64">
        <v>1</v>
      </c>
      <c r="O7" s="50" t="s">
        <v>175</v>
      </c>
      <c r="P7" s="50" t="s">
        <v>175</v>
      </c>
      <c r="Q7" s="50" t="s">
        <v>175</v>
      </c>
    </row>
    <row r="8" spans="1:17">
      <c r="A8" s="13">
        <f t="shared" si="5"/>
        <v>46117</v>
      </c>
      <c r="B8" s="1">
        <v>15861.2</v>
      </c>
      <c r="C8" s="1">
        <v>13850.63</v>
      </c>
      <c r="D8" s="32">
        <v>14851</v>
      </c>
      <c r="E8" s="50">
        <v>14610</v>
      </c>
      <c r="F8" s="20">
        <f t="shared" si="3"/>
        <v>5.4825664969752337E-2</v>
      </c>
      <c r="G8" s="2">
        <f t="shared" si="0"/>
        <v>0.24506600660066005</v>
      </c>
      <c r="H8" s="2">
        <f t="shared" si="1"/>
        <v>0.31252104377104378</v>
      </c>
      <c r="I8" s="27">
        <v>7.23</v>
      </c>
      <c r="J8" s="50">
        <v>7.21</v>
      </c>
      <c r="K8" s="20">
        <f t="shared" si="4"/>
        <v>-2.7662517289073945E-3</v>
      </c>
      <c r="L8" s="4">
        <f t="shared" si="2"/>
        <v>0.81575369742244686</v>
      </c>
      <c r="M8" s="65">
        <v>1</v>
      </c>
      <c r="N8" s="66">
        <v>0.9768</v>
      </c>
      <c r="O8" s="50">
        <v>581</v>
      </c>
      <c r="P8" s="50" t="s">
        <v>175</v>
      </c>
      <c r="Q8" s="50" t="s">
        <v>385</v>
      </c>
    </row>
    <row r="9" spans="1:17">
      <c r="A9" s="13">
        <f t="shared" si="5"/>
        <v>46118</v>
      </c>
      <c r="B9" s="1">
        <v>15861.2</v>
      </c>
      <c r="C9" s="1">
        <v>13850.63</v>
      </c>
      <c r="D9" s="32">
        <v>14159</v>
      </c>
      <c r="E9" s="50">
        <v>13920</v>
      </c>
      <c r="F9" s="20">
        <f t="shared" si="3"/>
        <v>5.0084364393533582E-3</v>
      </c>
      <c r="G9" s="2">
        <f t="shared" si="0"/>
        <v>0.23364686468646864</v>
      </c>
      <c r="H9" s="2">
        <f t="shared" si="1"/>
        <v>0.29795875420875423</v>
      </c>
      <c r="I9" s="27">
        <v>7.23</v>
      </c>
      <c r="J9" s="50">
        <v>7.02</v>
      </c>
      <c r="K9" s="20">
        <f t="shared" si="4"/>
        <v>-2.9045643153527086E-2</v>
      </c>
      <c r="L9" s="4">
        <f t="shared" si="2"/>
        <v>0.79879269978279877</v>
      </c>
      <c r="M9" s="65">
        <v>1</v>
      </c>
      <c r="N9" s="66">
        <v>0.95430000000000004</v>
      </c>
      <c r="O9" s="50">
        <v>784</v>
      </c>
      <c r="P9" s="50" t="s">
        <v>175</v>
      </c>
      <c r="Q9" s="50" t="s">
        <v>385</v>
      </c>
    </row>
    <row r="10" spans="1:17">
      <c r="A10" s="13">
        <f t="shared" si="5"/>
        <v>46119</v>
      </c>
      <c r="B10" s="1">
        <v>15861.2</v>
      </c>
      <c r="C10" s="1">
        <v>13850.63</v>
      </c>
      <c r="D10" s="32">
        <v>10162</v>
      </c>
      <c r="E10" s="50">
        <v>10020</v>
      </c>
      <c r="F10" s="20">
        <f t="shared" si="3"/>
        <v>-0.27656720308029303</v>
      </c>
      <c r="G10" s="2">
        <f t="shared" si="0"/>
        <v>0.16768976897689769</v>
      </c>
      <c r="H10" s="2">
        <f t="shared" si="1"/>
        <v>0.21384680134680134</v>
      </c>
      <c r="I10" s="27">
        <v>7.23</v>
      </c>
      <c r="J10" s="50">
        <v>6.18</v>
      </c>
      <c r="K10" s="20">
        <f t="shared" si="4"/>
        <v>-0.14522821576763495</v>
      </c>
      <c r="L10" s="4">
        <f t="shared" si="2"/>
        <v>0.65122240379377738</v>
      </c>
      <c r="M10" s="65">
        <v>1</v>
      </c>
      <c r="N10" s="66">
        <v>0.90229999999999999</v>
      </c>
      <c r="O10" s="50">
        <v>1290</v>
      </c>
      <c r="P10" s="50" t="s">
        <v>175</v>
      </c>
      <c r="Q10" s="50" t="s">
        <v>385</v>
      </c>
    </row>
    <row r="11" spans="1:17">
      <c r="A11" s="13">
        <f t="shared" si="5"/>
        <v>46120</v>
      </c>
      <c r="B11" s="1">
        <v>15861.2</v>
      </c>
      <c r="C11" s="1">
        <v>13850.63</v>
      </c>
      <c r="D11" s="32">
        <v>12962</v>
      </c>
      <c r="E11" s="50">
        <v>12750</v>
      </c>
      <c r="F11" s="20">
        <f t="shared" si="3"/>
        <v>-7.9464255416540563E-2</v>
      </c>
      <c r="G11" s="2">
        <f t="shared" si="0"/>
        <v>0.2138943894389439</v>
      </c>
      <c r="H11" s="2">
        <f t="shared" si="1"/>
        <v>0.27276936026936027</v>
      </c>
      <c r="I11" s="27">
        <v>7.23</v>
      </c>
      <c r="J11" s="50">
        <v>7.04</v>
      </c>
      <c r="K11" s="20">
        <f t="shared" si="4"/>
        <v>-2.6279391424619693E-2</v>
      </c>
      <c r="L11" s="4">
        <f t="shared" si="2"/>
        <v>0.72918541854185415</v>
      </c>
      <c r="M11" s="65">
        <v>1</v>
      </c>
      <c r="N11" s="66">
        <v>0.90090000000000003</v>
      </c>
      <c r="O11" s="50">
        <v>1697</v>
      </c>
      <c r="P11" s="50" t="s">
        <v>175</v>
      </c>
      <c r="Q11" s="50" t="s">
        <v>385</v>
      </c>
    </row>
    <row r="12" spans="1:17">
      <c r="A12" s="13">
        <f t="shared" si="5"/>
        <v>46121</v>
      </c>
      <c r="B12" s="1">
        <v>15861.2</v>
      </c>
      <c r="C12" s="1">
        <v>13850.63</v>
      </c>
      <c r="D12" s="32">
        <v>13735</v>
      </c>
      <c r="E12" s="50">
        <v>13530</v>
      </c>
      <c r="F12" s="20">
        <f t="shared" si="3"/>
        <v>-2.3149127512611282E-2</v>
      </c>
      <c r="G12" s="2">
        <f t="shared" si="0"/>
        <v>0.22665016501650165</v>
      </c>
      <c r="H12" s="2">
        <f t="shared" si="1"/>
        <v>0.28903619528619529</v>
      </c>
      <c r="I12" s="27">
        <v>7.23</v>
      </c>
      <c r="J12" s="50">
        <v>7.03</v>
      </c>
      <c r="K12" s="20">
        <f t="shared" si="4"/>
        <v>-2.7662517289073329E-2</v>
      </c>
      <c r="L12" s="4">
        <f t="shared" si="2"/>
        <v>0.77377012238919485</v>
      </c>
      <c r="M12" s="65">
        <v>1</v>
      </c>
      <c r="N12" s="66">
        <v>0.9637</v>
      </c>
      <c r="O12" s="50">
        <v>856</v>
      </c>
      <c r="P12" s="50" t="s">
        <v>175</v>
      </c>
      <c r="Q12" s="50" t="s">
        <v>385</v>
      </c>
    </row>
    <row r="13" spans="1:17">
      <c r="A13" s="13">
        <f t="shared" si="5"/>
        <v>46122</v>
      </c>
      <c r="B13" s="1">
        <v>15861.2</v>
      </c>
      <c r="C13" s="1">
        <v>13850.63</v>
      </c>
      <c r="D13" s="32">
        <v>14794</v>
      </c>
      <c r="E13" s="50">
        <v>14550</v>
      </c>
      <c r="F13" s="20">
        <f t="shared" si="3"/>
        <v>5.0493732054065474E-2</v>
      </c>
      <c r="G13" s="2">
        <f t="shared" si="0"/>
        <v>0.24412541254125414</v>
      </c>
      <c r="H13" s="2">
        <f t="shared" si="1"/>
        <v>0.31132154882154883</v>
      </c>
      <c r="I13" s="27">
        <v>7.23</v>
      </c>
      <c r="J13" s="50">
        <v>7.14</v>
      </c>
      <c r="K13" s="20">
        <f t="shared" si="4"/>
        <v>-1.2448132780083091E-2</v>
      </c>
      <c r="L13" s="4">
        <f t="shared" si="2"/>
        <v>0.82058962198740881</v>
      </c>
      <c r="M13" s="65">
        <v>1</v>
      </c>
      <c r="N13" s="64">
        <v>1</v>
      </c>
      <c r="O13" s="50" t="s">
        <v>175</v>
      </c>
      <c r="P13" s="50" t="s">
        <v>175</v>
      </c>
      <c r="Q13" s="50" t="s">
        <v>175</v>
      </c>
    </row>
    <row r="14" spans="1:17">
      <c r="A14" s="13">
        <f t="shared" si="5"/>
        <v>46123</v>
      </c>
      <c r="B14" s="1">
        <v>15861.2</v>
      </c>
      <c r="C14" s="1">
        <v>13850.63</v>
      </c>
      <c r="D14" s="32">
        <v>14544</v>
      </c>
      <c r="E14" s="50">
        <v>14310</v>
      </c>
      <c r="F14" s="20">
        <f t="shared" si="3"/>
        <v>3.3166000391318E-2</v>
      </c>
      <c r="G14" s="2">
        <f t="shared" si="0"/>
        <v>0.24</v>
      </c>
      <c r="H14" s="2">
        <f t="shared" si="1"/>
        <v>0.30606060606060603</v>
      </c>
      <c r="I14" s="27">
        <v>7.23</v>
      </c>
      <c r="J14" s="50">
        <v>7.03</v>
      </c>
      <c r="K14" s="20">
        <f t="shared" si="4"/>
        <v>-2.7662517289073329E-2</v>
      </c>
      <c r="L14" s="4">
        <f t="shared" si="2"/>
        <v>0.81934566145092458</v>
      </c>
      <c r="M14" s="65">
        <v>1</v>
      </c>
      <c r="N14" s="64">
        <v>1</v>
      </c>
      <c r="O14" s="50" t="s">
        <v>175</v>
      </c>
      <c r="P14" s="50" t="s">
        <v>175</v>
      </c>
      <c r="Q14" s="50" t="s">
        <v>175</v>
      </c>
    </row>
    <row r="15" spans="1:17">
      <c r="A15" s="13">
        <f t="shared" si="5"/>
        <v>46124</v>
      </c>
      <c r="B15" s="1">
        <v>15861.2</v>
      </c>
      <c r="C15" s="1">
        <v>13850.63</v>
      </c>
      <c r="D15" s="32">
        <v>15039</v>
      </c>
      <c r="E15" s="50">
        <v>14790</v>
      </c>
      <c r="F15" s="20">
        <f t="shared" si="3"/>
        <v>6.7821463716812941E-2</v>
      </c>
      <c r="G15" s="2">
        <f t="shared" si="0"/>
        <v>0.24816831683168317</v>
      </c>
      <c r="H15" s="2">
        <f t="shared" si="1"/>
        <v>0.31647727272727272</v>
      </c>
      <c r="I15" s="27">
        <v>7.23</v>
      </c>
      <c r="J15" s="50">
        <v>7.26</v>
      </c>
      <c r="K15" s="20">
        <f t="shared" si="4"/>
        <v>4.1493775933609074E-3</v>
      </c>
      <c r="L15" s="4">
        <f t="shared" si="2"/>
        <v>0.82039113002209307</v>
      </c>
      <c r="M15" s="65">
        <v>1</v>
      </c>
      <c r="N15" s="64">
        <v>1</v>
      </c>
      <c r="O15" s="50" t="s">
        <v>175</v>
      </c>
      <c r="P15" s="50" t="s">
        <v>175</v>
      </c>
      <c r="Q15" s="50" t="s">
        <v>175</v>
      </c>
    </row>
    <row r="16" spans="1:17">
      <c r="A16" s="13">
        <f t="shared" si="5"/>
        <v>46125</v>
      </c>
      <c r="B16" s="1">
        <v>15861.2</v>
      </c>
      <c r="C16" s="1">
        <v>13850.63</v>
      </c>
      <c r="D16" s="32">
        <v>14664</v>
      </c>
      <c r="E16" s="50">
        <v>14430</v>
      </c>
      <c r="F16" s="20">
        <f t="shared" si="3"/>
        <v>4.1829866222691733E-2</v>
      </c>
      <c r="G16" s="2">
        <f t="shared" si="0"/>
        <v>0.24198019801980197</v>
      </c>
      <c r="H16" s="2">
        <f t="shared" si="1"/>
        <v>0.30858585858585857</v>
      </c>
      <c r="I16" s="27">
        <v>7.23</v>
      </c>
      <c r="J16" s="50">
        <v>7.05</v>
      </c>
      <c r="K16" s="20">
        <f t="shared" si="4"/>
        <v>-2.4896265560166057E-2</v>
      </c>
      <c r="L16" s="4">
        <f t="shared" si="2"/>
        <v>0.82376237623762372</v>
      </c>
      <c r="M16" s="65">
        <v>1</v>
      </c>
      <c r="N16" s="64">
        <v>1</v>
      </c>
      <c r="O16" s="50" t="s">
        <v>175</v>
      </c>
      <c r="P16" s="50" t="s">
        <v>175</v>
      </c>
      <c r="Q16" s="50" t="s">
        <v>175</v>
      </c>
    </row>
    <row r="17" spans="1:17">
      <c r="A17" s="13">
        <f t="shared" si="5"/>
        <v>46126</v>
      </c>
      <c r="B17" s="1">
        <v>15861.2</v>
      </c>
      <c r="C17" s="1">
        <v>13850.63</v>
      </c>
      <c r="D17" s="32">
        <v>14523</v>
      </c>
      <c r="E17" s="50">
        <v>14280</v>
      </c>
      <c r="F17" s="20">
        <f t="shared" si="3"/>
        <v>3.1000033933474565E-2</v>
      </c>
      <c r="G17" s="2">
        <f t="shared" si="0"/>
        <v>0.23965346534653464</v>
      </c>
      <c r="H17" s="2">
        <f t="shared" si="1"/>
        <v>0.30561868686868687</v>
      </c>
      <c r="I17" s="27">
        <v>7.23</v>
      </c>
      <c r="J17" s="50">
        <v>7.14</v>
      </c>
      <c r="K17" s="20">
        <f t="shared" si="4"/>
        <v>-1.2448132780083091E-2</v>
      </c>
      <c r="L17" s="4">
        <f t="shared" si="2"/>
        <v>0.8055578667110409</v>
      </c>
      <c r="M17" s="65">
        <v>1</v>
      </c>
      <c r="N17" s="66">
        <v>0.98070000000000002</v>
      </c>
      <c r="O17" s="50">
        <v>416</v>
      </c>
      <c r="P17" s="50" t="s">
        <v>175</v>
      </c>
      <c r="Q17" s="50" t="s">
        <v>385</v>
      </c>
    </row>
    <row r="18" spans="1:17">
      <c r="A18" s="13">
        <f t="shared" si="5"/>
        <v>46127</v>
      </c>
      <c r="B18" s="1">
        <v>15861.2</v>
      </c>
      <c r="C18" s="1">
        <v>13850.63</v>
      </c>
      <c r="D18" s="32">
        <v>13584</v>
      </c>
      <c r="E18" s="50">
        <v>13380</v>
      </c>
      <c r="F18" s="20">
        <f t="shared" si="3"/>
        <v>-3.3978959801828454E-2</v>
      </c>
      <c r="G18" s="2">
        <f t="shared" si="0"/>
        <v>0.22415841584158416</v>
      </c>
      <c r="H18" s="2">
        <f t="shared" si="1"/>
        <v>0.28585858585858587</v>
      </c>
      <c r="I18" s="27">
        <v>7.23</v>
      </c>
      <c r="J18" s="50">
        <v>6.91</v>
      </c>
      <c r="K18" s="20">
        <f t="shared" si="4"/>
        <v>-4.4260027662517326E-2</v>
      </c>
      <c r="L18" s="4">
        <f t="shared" si="2"/>
        <v>0.77855310856700721</v>
      </c>
      <c r="M18" s="65">
        <v>1</v>
      </c>
      <c r="N18" s="66">
        <v>0.96409999999999996</v>
      </c>
      <c r="O18" s="50">
        <v>832</v>
      </c>
      <c r="P18" s="50" t="s">
        <v>175</v>
      </c>
      <c r="Q18" s="50" t="s">
        <v>385</v>
      </c>
    </row>
    <row r="19" spans="1:17">
      <c r="A19" s="13">
        <f t="shared" si="5"/>
        <v>46128</v>
      </c>
      <c r="B19" s="1">
        <v>15861.2</v>
      </c>
      <c r="C19" s="1">
        <v>13850.63</v>
      </c>
      <c r="D19" s="32">
        <v>14066</v>
      </c>
      <c r="E19" s="50">
        <v>13830</v>
      </c>
      <c r="F19" s="20">
        <f t="shared" si="3"/>
        <v>-1.4894629341769437E-3</v>
      </c>
      <c r="G19" s="2">
        <f t="shared" si="0"/>
        <v>0.23211221122112211</v>
      </c>
      <c r="H19" s="2">
        <f t="shared" si="1"/>
        <v>0.29600168350168349</v>
      </c>
      <c r="I19" s="27">
        <v>7.23</v>
      </c>
      <c r="J19" s="50">
        <v>7.02</v>
      </c>
      <c r="K19" s="20">
        <f t="shared" si="4"/>
        <v>-2.9045643153527086E-2</v>
      </c>
      <c r="L19" s="4">
        <f t="shared" si="2"/>
        <v>0.79354602126879359</v>
      </c>
      <c r="M19" s="65">
        <v>1</v>
      </c>
      <c r="N19" s="66">
        <v>0.98140000000000005</v>
      </c>
      <c r="O19" s="50">
        <v>452</v>
      </c>
      <c r="P19" s="50" t="s">
        <v>175</v>
      </c>
      <c r="Q19" s="50" t="s">
        <v>385</v>
      </c>
    </row>
    <row r="20" spans="1:17">
      <c r="A20" s="13">
        <f t="shared" si="5"/>
        <v>46129</v>
      </c>
      <c r="B20" s="1">
        <v>15861.2</v>
      </c>
      <c r="C20" s="1">
        <v>13850.63</v>
      </c>
      <c r="D20" s="32">
        <v>13986</v>
      </c>
      <c r="E20" s="50">
        <v>13740</v>
      </c>
      <c r="F20" s="20">
        <f t="shared" si="3"/>
        <v>-7.9873623077072447E-3</v>
      </c>
      <c r="G20" s="2">
        <f t="shared" si="0"/>
        <v>0.2307920792079208</v>
      </c>
      <c r="H20" s="2">
        <f t="shared" si="1"/>
        <v>0.29431818181818181</v>
      </c>
      <c r="I20" s="27">
        <v>7.23</v>
      </c>
      <c r="J20" s="50">
        <v>7.29</v>
      </c>
      <c r="K20" s="20">
        <f t="shared" si="4"/>
        <v>8.2987551867219379E-3</v>
      </c>
      <c r="L20" s="4">
        <f t="shared" si="2"/>
        <v>0.75980931426475984</v>
      </c>
      <c r="M20" s="65">
        <v>1</v>
      </c>
      <c r="N20" s="66">
        <v>0.97389999999999999</v>
      </c>
      <c r="O20" s="50">
        <v>1284</v>
      </c>
      <c r="P20" s="50" t="s">
        <v>175</v>
      </c>
      <c r="Q20" s="50" t="s">
        <v>385</v>
      </c>
    </row>
    <row r="21" spans="1:17">
      <c r="A21" s="13">
        <f t="shared" si="5"/>
        <v>46130</v>
      </c>
      <c r="B21" s="1">
        <v>15861.2</v>
      </c>
      <c r="C21" s="1">
        <v>13850.63</v>
      </c>
      <c r="D21" s="32">
        <v>14892</v>
      </c>
      <c r="E21" s="50">
        <v>14670</v>
      </c>
      <c r="F21" s="20">
        <f t="shared" si="3"/>
        <v>5.9157597885439207E-2</v>
      </c>
      <c r="G21" s="2">
        <f t="shared" si="0"/>
        <v>0.24574257425742574</v>
      </c>
      <c r="H21" s="2">
        <f t="shared" si="1"/>
        <v>0.31338383838383838</v>
      </c>
      <c r="I21" s="27">
        <v>7.23</v>
      </c>
      <c r="J21" s="50">
        <v>7.4</v>
      </c>
      <c r="K21" s="20">
        <f t="shared" si="4"/>
        <v>2.3513139695712299E-2</v>
      </c>
      <c r="L21" s="4">
        <f t="shared" si="2"/>
        <v>0.79700294353759704</v>
      </c>
      <c r="M21" s="63">
        <v>0.9839</v>
      </c>
      <c r="N21" s="66">
        <v>0.98260000000000003</v>
      </c>
      <c r="O21" s="50">
        <v>426</v>
      </c>
      <c r="P21" s="50">
        <v>65</v>
      </c>
      <c r="Q21" s="50" t="s">
        <v>388</v>
      </c>
    </row>
    <row r="22" spans="1:17">
      <c r="A22" s="13">
        <f t="shared" si="5"/>
        <v>46131</v>
      </c>
      <c r="B22" s="1">
        <v>15861.2</v>
      </c>
      <c r="C22" s="1">
        <v>13850.63</v>
      </c>
      <c r="D22" s="32">
        <v>15167</v>
      </c>
      <c r="E22" s="50">
        <v>14910</v>
      </c>
      <c r="F22" s="20">
        <f t="shared" si="3"/>
        <v>7.6485329548186681E-2</v>
      </c>
      <c r="G22" s="2">
        <f t="shared" si="0"/>
        <v>0.25028052805280526</v>
      </c>
      <c r="H22" s="2">
        <f t="shared" ref="H22:H27" si="6">E22/($D$2*24)</f>
        <v>0.24603960396039604</v>
      </c>
      <c r="I22" s="27">
        <v>7.23</v>
      </c>
      <c r="J22" s="50">
        <v>7.43</v>
      </c>
      <c r="K22" s="20">
        <f t="shared" si="4"/>
        <v>2.7662517289073207E-2</v>
      </c>
      <c r="L22" s="4">
        <f t="shared" si="2"/>
        <v>0.80844315925536026</v>
      </c>
      <c r="M22" s="65">
        <v>1</v>
      </c>
      <c r="N22" s="66">
        <v>0.9778</v>
      </c>
      <c r="O22" s="50">
        <v>543</v>
      </c>
      <c r="P22" s="50" t="s">
        <v>175</v>
      </c>
      <c r="Q22" s="50" t="s">
        <v>385</v>
      </c>
    </row>
    <row r="23" spans="1:17">
      <c r="A23" s="13">
        <f t="shared" si="5"/>
        <v>46132</v>
      </c>
      <c r="B23" s="1">
        <v>15861.2</v>
      </c>
      <c r="C23" s="1">
        <v>13850.63</v>
      </c>
      <c r="D23" s="32">
        <v>15076</v>
      </c>
      <c r="E23" s="50">
        <v>14820</v>
      </c>
      <c r="F23" s="20">
        <f t="shared" si="3"/>
        <v>6.9987430174656376E-2</v>
      </c>
      <c r="G23" s="2">
        <f t="shared" si="0"/>
        <v>0.24877887788778877</v>
      </c>
      <c r="H23" s="2">
        <f t="shared" si="6"/>
        <v>0.24455445544554455</v>
      </c>
      <c r="I23" s="27">
        <v>7.23</v>
      </c>
      <c r="J23" s="50">
        <v>7.27</v>
      </c>
      <c r="K23" s="20">
        <f t="shared" si="4"/>
        <v>5.5325034578145426E-3</v>
      </c>
      <c r="L23" s="4">
        <f t="shared" si="2"/>
        <v>0.82127827638334672</v>
      </c>
      <c r="M23" s="65">
        <v>1</v>
      </c>
      <c r="N23" s="64">
        <v>1</v>
      </c>
      <c r="O23" s="50" t="s">
        <v>175</v>
      </c>
      <c r="P23" s="50" t="s">
        <v>175</v>
      </c>
      <c r="Q23" s="50" t="s">
        <v>175</v>
      </c>
    </row>
    <row r="24" spans="1:17">
      <c r="A24" s="13">
        <f t="shared" si="5"/>
        <v>46133</v>
      </c>
      <c r="B24" s="1">
        <v>15861.2</v>
      </c>
      <c r="C24" s="1">
        <v>13850.63</v>
      </c>
      <c r="D24" s="32">
        <v>15031</v>
      </c>
      <c r="E24" s="50">
        <v>14820</v>
      </c>
      <c r="F24" s="20">
        <f>(IF(ISBLANK(E24),0,E24-C24))/C24</f>
        <v>6.9987430174656376E-2</v>
      </c>
      <c r="G24" s="2">
        <f t="shared" si="0"/>
        <v>0.24803630363036303</v>
      </c>
      <c r="H24" s="2">
        <f t="shared" si="6"/>
        <v>0.24455445544554455</v>
      </c>
      <c r="I24" s="27">
        <v>7.23</v>
      </c>
      <c r="J24" s="50">
        <v>7.45</v>
      </c>
      <c r="K24" s="20">
        <f>(IF(ISBLANK(J24),0,J24-I24))/I24</f>
        <v>3.0428769017980601E-2</v>
      </c>
      <c r="L24" s="4">
        <f t="shared" si="2"/>
        <v>0.79904312578908898</v>
      </c>
      <c r="M24" s="65">
        <v>1</v>
      </c>
      <c r="N24" s="66">
        <v>0.97650000000000003</v>
      </c>
      <c r="O24" s="50">
        <v>579</v>
      </c>
      <c r="P24" s="50" t="s">
        <v>175</v>
      </c>
      <c r="Q24" s="50" t="s">
        <v>385</v>
      </c>
    </row>
    <row r="25" spans="1:17">
      <c r="A25" s="13">
        <f t="shared" si="5"/>
        <v>46134</v>
      </c>
      <c r="B25" s="1">
        <v>15861.2</v>
      </c>
      <c r="C25" s="1">
        <v>13850.63</v>
      </c>
      <c r="D25" s="32">
        <v>14532</v>
      </c>
      <c r="E25" s="50">
        <v>14280</v>
      </c>
      <c r="F25" s="20">
        <f t="shared" si="3"/>
        <v>3.1000033933474565E-2</v>
      </c>
      <c r="G25" s="2">
        <f t="shared" si="0"/>
        <v>0.23980198019801979</v>
      </c>
      <c r="H25" s="2">
        <f t="shared" si="6"/>
        <v>0.23564356435643563</v>
      </c>
      <c r="I25" s="27">
        <v>7.23</v>
      </c>
      <c r="J25" s="50">
        <v>7.37</v>
      </c>
      <c r="K25" s="20">
        <f t="shared" si="4"/>
        <v>1.9363762102351269E-2</v>
      </c>
      <c r="L25" s="4">
        <f t="shared" si="2"/>
        <v>0.78090197079409429</v>
      </c>
      <c r="M25" s="65">
        <v>1</v>
      </c>
      <c r="N25" s="66">
        <v>0.9667</v>
      </c>
      <c r="O25" s="50">
        <v>770</v>
      </c>
      <c r="P25" s="50" t="s">
        <v>175</v>
      </c>
      <c r="Q25" s="50" t="s">
        <v>385</v>
      </c>
    </row>
    <row r="26" spans="1:17">
      <c r="A26" s="13">
        <f t="shared" si="5"/>
        <v>46135</v>
      </c>
      <c r="B26" s="1">
        <v>15861.2</v>
      </c>
      <c r="C26" s="1">
        <v>13850.63</v>
      </c>
      <c r="D26" s="32">
        <v>12802</v>
      </c>
      <c r="E26" s="50">
        <v>12600</v>
      </c>
      <c r="F26" s="20">
        <f t="shared" si="3"/>
        <v>-9.0294087705757739E-2</v>
      </c>
      <c r="G26" s="2">
        <f t="shared" si="0"/>
        <v>0.21125412541254127</v>
      </c>
      <c r="H26" s="2">
        <f t="shared" si="6"/>
        <v>0.20792079207920791</v>
      </c>
      <c r="I26" s="27">
        <v>7.23</v>
      </c>
      <c r="J26" s="50">
        <v>7.27</v>
      </c>
      <c r="K26" s="20">
        <f t="shared" si="4"/>
        <v>5.5325034578145426E-3</v>
      </c>
      <c r="L26" s="4">
        <f t="shared" si="2"/>
        <v>0.69740013891347874</v>
      </c>
      <c r="M26" s="65">
        <v>1</v>
      </c>
      <c r="N26" s="66">
        <v>0.9173</v>
      </c>
      <c r="O26" s="50">
        <v>1949</v>
      </c>
      <c r="P26" s="50" t="s">
        <v>175</v>
      </c>
      <c r="Q26" s="50" t="s">
        <v>381</v>
      </c>
    </row>
    <row r="27" spans="1:17">
      <c r="A27" s="13">
        <f t="shared" si="5"/>
        <v>46136</v>
      </c>
      <c r="B27" s="1">
        <v>15861.2</v>
      </c>
      <c r="C27" s="1">
        <v>13850.63</v>
      </c>
      <c r="D27" s="32">
        <v>14527</v>
      </c>
      <c r="E27" s="50">
        <v>14280</v>
      </c>
      <c r="F27" s="20">
        <f t="shared" si="3"/>
        <v>3.1000033933474565E-2</v>
      </c>
      <c r="G27" s="2">
        <f t="shared" si="0"/>
        <v>0.23971947194719473</v>
      </c>
      <c r="H27" s="2">
        <f t="shared" si="6"/>
        <v>0.23564356435643563</v>
      </c>
      <c r="I27" s="27">
        <v>7.23</v>
      </c>
      <c r="J27" s="50">
        <v>7.14</v>
      </c>
      <c r="K27" s="20">
        <f t="shared" si="4"/>
        <v>-1.2448132780083091E-2</v>
      </c>
      <c r="L27" s="4">
        <f t="shared" si="2"/>
        <v>0.80577973763762933</v>
      </c>
      <c r="M27" s="65">
        <v>1</v>
      </c>
      <c r="N27" s="66">
        <v>0.99139999999999995</v>
      </c>
      <c r="O27" s="50">
        <v>205</v>
      </c>
      <c r="P27" s="50" t="s">
        <v>175</v>
      </c>
      <c r="Q27" s="50" t="s">
        <v>385</v>
      </c>
    </row>
    <row r="28" spans="1:17">
      <c r="A28" s="13">
        <f t="shared" si="5"/>
        <v>46137</v>
      </c>
      <c r="B28" s="1">
        <v>15861.2</v>
      </c>
      <c r="C28" s="1">
        <v>13850.63</v>
      </c>
      <c r="D28" s="6">
        <v>11836</v>
      </c>
      <c r="E28" s="6">
        <v>11640</v>
      </c>
      <c r="F28" s="20">
        <f t="shared" si="3"/>
        <v>-0.15960501435674762</v>
      </c>
      <c r="G28" s="2">
        <f t="shared" ref="G28:H33" si="7">D28/($D$2*24)</f>
        <v>0.19531353135313531</v>
      </c>
      <c r="H28" s="2">
        <f t="shared" si="7"/>
        <v>0.19207920792079208</v>
      </c>
      <c r="I28" s="27">
        <v>7.23</v>
      </c>
      <c r="J28" s="6">
        <v>7.13</v>
      </c>
      <c r="K28" s="20">
        <f t="shared" si="4"/>
        <v>-1.3831258644536725E-2</v>
      </c>
      <c r="L28" s="4">
        <f t="shared" si="2"/>
        <v>0.6574368516795579</v>
      </c>
      <c r="M28" s="65">
        <v>1</v>
      </c>
      <c r="N28" s="25">
        <v>0.77159999999999995</v>
      </c>
      <c r="O28" s="6">
        <v>2021</v>
      </c>
      <c r="P28" s="6"/>
      <c r="Q28" s="366" t="s">
        <v>386</v>
      </c>
    </row>
    <row r="29" spans="1:17">
      <c r="A29" s="13">
        <f t="shared" si="5"/>
        <v>46138</v>
      </c>
      <c r="B29" s="1">
        <v>15861.2</v>
      </c>
      <c r="C29" s="1">
        <v>13850.63</v>
      </c>
      <c r="D29" s="6">
        <v>14811</v>
      </c>
      <c r="E29" s="6">
        <v>14580</v>
      </c>
      <c r="F29" s="20">
        <f t="shared" si="3"/>
        <v>5.2659698511908902E-2</v>
      </c>
      <c r="G29" s="2">
        <f t="shared" si="7"/>
        <v>0.2444059405940594</v>
      </c>
      <c r="H29" s="2">
        <f t="shared" si="7"/>
        <v>0.24059405940594059</v>
      </c>
      <c r="I29" s="27">
        <v>7.23</v>
      </c>
      <c r="J29" s="6">
        <v>7.34</v>
      </c>
      <c r="K29" s="20">
        <f t="shared" si="4"/>
        <v>1.5214384508990238E-2</v>
      </c>
      <c r="L29" s="4">
        <f t="shared" si="2"/>
        <v>0.79914748968084814</v>
      </c>
      <c r="M29" s="65">
        <v>1</v>
      </c>
      <c r="N29" s="189">
        <v>1</v>
      </c>
      <c r="O29" s="6"/>
      <c r="P29" s="6"/>
      <c r="Q29" s="6"/>
    </row>
    <row r="30" spans="1:17">
      <c r="A30" s="13">
        <f t="shared" si="5"/>
        <v>46139</v>
      </c>
      <c r="B30" s="1">
        <v>15861.2</v>
      </c>
      <c r="C30" s="1">
        <v>13850.63</v>
      </c>
      <c r="D30" s="6">
        <v>14005</v>
      </c>
      <c r="E30" s="6">
        <v>13770</v>
      </c>
      <c r="F30" s="20">
        <f t="shared" si="3"/>
        <v>-5.8213958498638113E-3</v>
      </c>
      <c r="G30" s="2">
        <f t="shared" si="7"/>
        <v>0.23110561056105611</v>
      </c>
      <c r="H30" s="2">
        <f t="shared" si="7"/>
        <v>0.22722772277227724</v>
      </c>
      <c r="I30" s="27">
        <v>7.23</v>
      </c>
      <c r="J30" s="6">
        <v>7.06</v>
      </c>
      <c r="K30" s="20">
        <f t="shared" si="4"/>
        <v>-2.3513139695712421E-2</v>
      </c>
      <c r="L30" s="4">
        <f t="shared" si="2"/>
        <v>0.78562813788460995</v>
      </c>
      <c r="M30" s="65">
        <v>1</v>
      </c>
      <c r="N30" s="25">
        <v>0.97670000000000001</v>
      </c>
      <c r="O30" s="6">
        <v>534</v>
      </c>
      <c r="P30" s="6"/>
      <c r="Q30" s="50" t="s">
        <v>385</v>
      </c>
    </row>
    <row r="31" spans="1:17">
      <c r="A31" s="13">
        <f t="shared" si="5"/>
        <v>46140</v>
      </c>
      <c r="B31" s="1">
        <v>15861.2</v>
      </c>
      <c r="C31" s="1">
        <v>13850.63</v>
      </c>
      <c r="D31" s="6">
        <v>13389</v>
      </c>
      <c r="E31" s="6">
        <v>13170</v>
      </c>
      <c r="F31" s="20">
        <f t="shared" si="3"/>
        <v>-4.9140725006732493E-2</v>
      </c>
      <c r="G31" s="2">
        <f t="shared" si="7"/>
        <v>0.22094059405940594</v>
      </c>
      <c r="H31" s="2">
        <f t="shared" si="7"/>
        <v>0.21732673267326733</v>
      </c>
      <c r="I31" s="27">
        <v>7.23</v>
      </c>
      <c r="J31" s="6">
        <v>7.02</v>
      </c>
      <c r="K31" s="20">
        <f t="shared" si="4"/>
        <v>-2.9045643153527086E-2</v>
      </c>
      <c r="L31" s="4">
        <f t="shared" si="2"/>
        <v>0.75535245832275533</v>
      </c>
      <c r="M31" s="65">
        <v>1</v>
      </c>
      <c r="N31" s="25">
        <v>0.96340000000000003</v>
      </c>
      <c r="O31" s="6">
        <v>846</v>
      </c>
      <c r="P31" s="6"/>
      <c r="Q31" s="50" t="s">
        <v>385</v>
      </c>
    </row>
    <row r="32" spans="1:17">
      <c r="A32" s="13">
        <f t="shared" si="5"/>
        <v>46141</v>
      </c>
      <c r="B32" s="1">
        <v>15861.2</v>
      </c>
      <c r="C32" s="1">
        <v>13850.63</v>
      </c>
      <c r="D32" s="6">
        <v>12728</v>
      </c>
      <c r="E32" s="6">
        <v>12540</v>
      </c>
      <c r="F32" s="20">
        <f t="shared" si="3"/>
        <v>-9.4626020621444609E-2</v>
      </c>
      <c r="G32" s="2">
        <f t="shared" si="7"/>
        <v>0.21003300330033003</v>
      </c>
      <c r="H32" s="2">
        <f t="shared" si="7"/>
        <v>0.20693069306930692</v>
      </c>
      <c r="I32" s="27">
        <v>7.23</v>
      </c>
      <c r="J32" s="6">
        <v>6.69</v>
      </c>
      <c r="K32" s="20">
        <f t="shared" si="4"/>
        <v>-7.4688796680497924E-2</v>
      </c>
      <c r="L32" s="4">
        <f t="shared" si="2"/>
        <v>0.75348162618952474</v>
      </c>
      <c r="M32" s="65">
        <v>1</v>
      </c>
      <c r="N32" s="25">
        <v>0.95369999999999999</v>
      </c>
      <c r="O32" s="6">
        <v>1002</v>
      </c>
      <c r="P32" s="6"/>
      <c r="Q32" s="50" t="s">
        <v>385</v>
      </c>
    </row>
    <row r="33" spans="1:17">
      <c r="A33" s="13">
        <f t="shared" si="5"/>
        <v>46142</v>
      </c>
      <c r="B33" s="1">
        <v>15861.2</v>
      </c>
      <c r="C33" s="1">
        <v>13850.63</v>
      </c>
      <c r="D33" s="6">
        <v>12577</v>
      </c>
      <c r="E33" s="6">
        <v>12390</v>
      </c>
      <c r="F33" s="20">
        <f t="shared" si="3"/>
        <v>-0.10545585291066177</v>
      </c>
      <c r="G33" s="2">
        <f t="shared" si="7"/>
        <v>0.20754125412541255</v>
      </c>
      <c r="H33" s="2">
        <f t="shared" si="7"/>
        <v>0.20445544554455444</v>
      </c>
      <c r="I33" s="27">
        <v>7.23</v>
      </c>
      <c r="J33" s="6">
        <v>6.25</v>
      </c>
      <c r="K33" s="20">
        <f t="shared" si="4"/>
        <v>-0.13554633471645924</v>
      </c>
      <c r="L33" s="4">
        <f t="shared" si="2"/>
        <v>0.79695841584158411</v>
      </c>
      <c r="M33" s="65">
        <v>1</v>
      </c>
      <c r="N33" s="25">
        <v>0.98040000000000005</v>
      </c>
      <c r="O33" s="6">
        <v>354</v>
      </c>
      <c r="P33" s="6"/>
      <c r="Q33" s="50" t="s">
        <v>385</v>
      </c>
    </row>
    <row r="34" spans="1:17">
      <c r="A34" s="349">
        <v>46113</v>
      </c>
      <c r="B34" s="17">
        <f>SUM(B4:B33)</f>
        <v>475836.00000000023</v>
      </c>
      <c r="C34" s="17">
        <f>SUM(C4:C33)</f>
        <v>415518.90000000008</v>
      </c>
      <c r="D34" s="17">
        <f>SUM(D4:D33)</f>
        <v>413247</v>
      </c>
      <c r="E34" s="17">
        <f>SUM(E4:E33)</f>
        <v>406590</v>
      </c>
      <c r="F34" s="20">
        <f>(IF(ISBLANK(E34),0,E34-C34))/C34</f>
        <v>-2.1488553228264901E-2</v>
      </c>
      <c r="G34" s="18">
        <f>AVERAGE(G4:G33)</f>
        <v>0.22730858085808581</v>
      </c>
      <c r="H34" s="18">
        <f>AVERAGE(H4:H33)</f>
        <v>0.26319525008056366</v>
      </c>
      <c r="I34" s="17">
        <f>SUM(I4:I33)</f>
        <v>216.89999999999992</v>
      </c>
      <c r="J34" s="17">
        <f>SUM(J4:J33)</f>
        <v>208.89000000000001</v>
      </c>
      <c r="K34" s="20">
        <f t="shared" si="4"/>
        <v>-3.692946058091244E-2</v>
      </c>
      <c r="L34" s="4">
        <f t="shared" si="2"/>
        <v>0.78348498356944696</v>
      </c>
      <c r="M34" s="18">
        <f>AVERAGE(M4:M33)</f>
        <v>0.99582999999999988</v>
      </c>
      <c r="N34" s="18">
        <f>AVERAGE(N4:N33)</f>
        <v>0.96854000000000018</v>
      </c>
      <c r="O34" s="17">
        <f>SUM(O4:O33)</f>
        <v>17421</v>
      </c>
      <c r="P34" s="17">
        <f>SUM(P4:P33)</f>
        <v>1352</v>
      </c>
      <c r="Q34" s="19"/>
    </row>
    <row r="35" spans="1:17">
      <c r="A35" s="13">
        <v>46143</v>
      </c>
      <c r="B35" s="127">
        <v>14984</v>
      </c>
      <c r="C35" s="127">
        <v>13084</v>
      </c>
      <c r="D35" s="33"/>
      <c r="E35" s="33"/>
      <c r="F35" s="20">
        <f>(IF(ISBLANK(E35),0,E35-C35))/C35</f>
        <v>0</v>
      </c>
      <c r="G35" s="2">
        <f t="shared" ref="G35:G57" si="8">D35/($D$2*24)</f>
        <v>0</v>
      </c>
      <c r="H35" s="2">
        <f t="shared" ref="H35:H61" si="9">D35/($H$2*24)</f>
        <v>0</v>
      </c>
      <c r="I35" s="28">
        <v>6.92</v>
      </c>
      <c r="J35" s="33"/>
      <c r="K35" s="20">
        <f>(IF(ISBLANK(J35),0,J35-I35))/I35</f>
        <v>0</v>
      </c>
      <c r="L35" s="4" t="e">
        <f t="shared" si="2"/>
        <v>#DIV/0!</v>
      </c>
      <c r="M35" s="103"/>
      <c r="N35" s="103"/>
      <c r="O35" s="33"/>
      <c r="P35" s="6"/>
      <c r="Q35" s="6"/>
    </row>
    <row r="36" spans="1:17">
      <c r="A36" s="13">
        <f>A35+1</f>
        <v>46144</v>
      </c>
      <c r="B36" s="127">
        <v>14984</v>
      </c>
      <c r="C36" s="127">
        <v>13084</v>
      </c>
      <c r="D36" s="34"/>
      <c r="E36" s="34"/>
      <c r="F36" s="20">
        <f t="shared" ref="F36:F54" si="10">(IF(ISBLANK(E36),0,E36-C36))/C36</f>
        <v>0</v>
      </c>
      <c r="G36" s="2">
        <f t="shared" si="8"/>
        <v>0</v>
      </c>
      <c r="H36" s="2">
        <f t="shared" si="9"/>
        <v>0</v>
      </c>
      <c r="I36" s="28">
        <v>6.92</v>
      </c>
      <c r="J36" s="34"/>
      <c r="K36" s="20">
        <f t="shared" ref="K36:K54" si="11">(IF(ISBLANK(J36),0,J36-I36))/I36</f>
        <v>0</v>
      </c>
      <c r="L36" s="4" t="e">
        <f t="shared" ref="L36:L66" si="12">D36/($D$2*J36)</f>
        <v>#DIV/0!</v>
      </c>
      <c r="M36" s="103"/>
      <c r="N36" s="103"/>
      <c r="O36" s="34"/>
      <c r="P36" s="6"/>
      <c r="Q36" s="6"/>
    </row>
    <row r="37" spans="1:17">
      <c r="A37" s="13">
        <f t="shared" ref="A37:A65" si="13">A36+1</f>
        <v>46145</v>
      </c>
      <c r="B37" s="127">
        <v>14984</v>
      </c>
      <c r="C37" s="127">
        <v>13084</v>
      </c>
      <c r="D37" s="34"/>
      <c r="E37" s="34"/>
      <c r="F37" s="20">
        <f t="shared" si="10"/>
        <v>0</v>
      </c>
      <c r="G37" s="2">
        <f t="shared" si="8"/>
        <v>0</v>
      </c>
      <c r="H37" s="2">
        <f t="shared" si="9"/>
        <v>0</v>
      </c>
      <c r="I37" s="28">
        <v>6.92</v>
      </c>
      <c r="J37" s="34"/>
      <c r="K37" s="20">
        <f t="shared" si="11"/>
        <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44952</v>
      </c>
      <c r="C66" s="89">
        <f>SUM(C35:C65)</f>
        <v>39252</v>
      </c>
      <c r="D66" s="89">
        <f>SUM(D35:D65)</f>
        <v>0</v>
      </c>
      <c r="E66" s="89">
        <f>SUM(E35:E65)</f>
        <v>0</v>
      </c>
      <c r="F66" s="160">
        <f>(IF(ISBLANK(E66),0,E66-C66))/C66</f>
        <v>-1</v>
      </c>
      <c r="G66" s="90">
        <f>AVERAGE(G35:G65)</f>
        <v>0</v>
      </c>
      <c r="H66" s="90">
        <f>AVERAGE(H35:H65)</f>
        <v>0</v>
      </c>
      <c r="I66" s="89">
        <f>SUM(I35:I65)</f>
        <v>20.759999999999998</v>
      </c>
      <c r="J66" s="89">
        <f>SUM(J35:J65)</f>
        <v>0</v>
      </c>
      <c r="K66" s="160">
        <f>(IF(ISBLANK(J66),0,J66-I66))/I66</f>
        <v>-1</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A48F2-6867-4CE8-B1BD-806400886A66}">
  <dimension ref="A1:Q66"/>
  <sheetViews>
    <sheetView topLeftCell="A26" workbookViewId="0">
      <selection activeCell="B35" sqref="B35:C3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9" width="11" bestFit="1" customWidth="1"/>
    <col min="10" max="10" width="9.7265625" bestFit="1" customWidth="1"/>
    <col min="11" max="11" width="9.54296875" bestFit="1" customWidth="1"/>
    <col min="12" max="12" width="7" bestFit="1" customWidth="1"/>
    <col min="13" max="14" width="9.26953125" bestFit="1" customWidth="1"/>
    <col min="15" max="16" width="9.7265625" bestFit="1" customWidth="1"/>
    <col min="17" max="17" width="60.453125" customWidth="1"/>
    <col min="18" max="18" width="10" customWidth="1"/>
  </cols>
  <sheetData>
    <row r="1" spans="1:17" ht="18.5">
      <c r="A1" s="405" t="s">
        <v>389</v>
      </c>
      <c r="B1" s="406"/>
      <c r="C1" s="406"/>
      <c r="D1" s="406"/>
      <c r="E1" s="406"/>
      <c r="F1" s="406"/>
      <c r="G1" s="406"/>
      <c r="H1" s="406"/>
      <c r="I1" s="406"/>
      <c r="J1" s="406"/>
      <c r="K1" s="406"/>
      <c r="L1" s="406"/>
      <c r="M1" s="406"/>
      <c r="N1" s="406"/>
      <c r="O1" s="406"/>
      <c r="P1" s="406"/>
      <c r="Q1" s="406"/>
    </row>
    <row r="2" spans="1:17" ht="18.5">
      <c r="A2" s="7">
        <v>46113</v>
      </c>
      <c r="B2" s="407" t="s">
        <v>172</v>
      </c>
      <c r="C2" s="408"/>
      <c r="D2" s="8">
        <v>3928.4</v>
      </c>
      <c r="E2" s="407" t="s">
        <v>173</v>
      </c>
      <c r="F2" s="407"/>
      <c r="G2" s="408"/>
      <c r="H2" s="8">
        <v>2860</v>
      </c>
      <c r="I2" s="409" t="s">
        <v>174</v>
      </c>
      <c r="J2" s="410"/>
      <c r="K2" s="135">
        <v>46038</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ht="15">
      <c r="A4" s="13">
        <f>A2</f>
        <v>46113</v>
      </c>
      <c r="B4" s="1">
        <v>20776.666666666668</v>
      </c>
      <c r="C4" s="1">
        <v>18589.366666666665</v>
      </c>
      <c r="D4" s="244">
        <v>21216</v>
      </c>
      <c r="E4" s="244">
        <v>20942</v>
      </c>
      <c r="F4" s="20">
        <f>(IF(ISBLANK(E4),0,E4-C4))/C4</f>
        <v>0.12655801434870484</v>
      </c>
      <c r="G4" s="2">
        <f t="shared" ref="G4:G27" si="0">D4/($D$2*24)</f>
        <v>0.2250280012218715</v>
      </c>
      <c r="H4" s="2">
        <f t="shared" ref="H4:H21" si="1">D4/($H$2*24)</f>
        <v>0.30909090909090908</v>
      </c>
      <c r="I4" s="86">
        <v>6.1833333333333336</v>
      </c>
      <c r="J4" s="247">
        <v>6.41</v>
      </c>
      <c r="K4" s="20">
        <f>(IF(ISBLANK(J4),0,J4-I4))/I4</f>
        <v>3.6657681940700793E-2</v>
      </c>
      <c r="L4" s="4">
        <f t="shared" ref="L4:L35" si="2">D4/($D$2*J4)</f>
        <v>0.84253853811621149</v>
      </c>
      <c r="M4" s="250">
        <v>1</v>
      </c>
      <c r="N4" s="251">
        <v>1</v>
      </c>
      <c r="O4" s="49"/>
      <c r="P4" s="49"/>
      <c r="Q4" s="49"/>
    </row>
    <row r="5" spans="1:17" ht="15">
      <c r="A5" s="13">
        <f>A4+1</f>
        <v>46114</v>
      </c>
      <c r="B5" s="1">
        <v>20776.666666666668</v>
      </c>
      <c r="C5" s="1">
        <v>18589.366666666665</v>
      </c>
      <c r="D5" s="245">
        <v>19985</v>
      </c>
      <c r="E5" s="245">
        <v>19758</v>
      </c>
      <c r="F5" s="20">
        <f t="shared" ref="F5:F33" si="3">(IF(ISBLANK(E5),0,E5-C5))/C5</f>
        <v>6.2865688449131416E-2</v>
      </c>
      <c r="G5" s="2">
        <f t="shared" si="0"/>
        <v>0.21197137087194107</v>
      </c>
      <c r="H5" s="2">
        <f t="shared" si="1"/>
        <v>0.29115675990675993</v>
      </c>
      <c r="I5" s="86">
        <v>6.1833333333333336</v>
      </c>
      <c r="J5" s="249">
        <v>6.25</v>
      </c>
      <c r="K5" s="20">
        <f t="shared" ref="K5:K34" si="4">(IF(ISBLANK(J5),0,J5-I5))/I5</f>
        <v>1.078167115902961E-2</v>
      </c>
      <c r="L5" s="4">
        <f t="shared" si="2"/>
        <v>0.81397006414825379</v>
      </c>
      <c r="M5" s="251">
        <v>1</v>
      </c>
      <c r="N5" s="251">
        <v>1</v>
      </c>
      <c r="O5" s="50"/>
      <c r="P5" s="50"/>
      <c r="Q5" s="50"/>
    </row>
    <row r="6" spans="1:17" ht="15">
      <c r="A6" s="13">
        <f t="shared" ref="A6:A33" si="5">A5+1</f>
        <v>46115</v>
      </c>
      <c r="B6" s="1">
        <v>20776.666666666668</v>
      </c>
      <c r="C6" s="1">
        <v>18589.366666666665</v>
      </c>
      <c r="D6" s="245">
        <v>19589</v>
      </c>
      <c r="E6" s="245">
        <v>19406.5</v>
      </c>
      <c r="F6" s="20">
        <f t="shared" si="3"/>
        <v>4.3957029197695549E-2</v>
      </c>
      <c r="G6" s="2">
        <f t="shared" si="0"/>
        <v>0.2077711875912161</v>
      </c>
      <c r="H6" s="2">
        <f t="shared" si="1"/>
        <v>0.28538752913752913</v>
      </c>
      <c r="I6" s="86">
        <v>6.1833333333333336</v>
      </c>
      <c r="J6" s="248">
        <v>6.05</v>
      </c>
      <c r="K6" s="20">
        <f t="shared" si="4"/>
        <v>-2.1563342318059366E-2</v>
      </c>
      <c r="L6" s="4">
        <f t="shared" si="2"/>
        <v>0.82421628135358449</v>
      </c>
      <c r="M6" s="251">
        <v>1</v>
      </c>
      <c r="N6" s="251">
        <v>1</v>
      </c>
      <c r="O6" s="50"/>
      <c r="P6" s="50"/>
      <c r="Q6" s="50"/>
    </row>
    <row r="7" spans="1:17" ht="15">
      <c r="A7" s="13">
        <f t="shared" si="5"/>
        <v>46116</v>
      </c>
      <c r="B7" s="1">
        <v>20776.666666666668</v>
      </c>
      <c r="C7" s="1">
        <v>18589.366666666665</v>
      </c>
      <c r="D7" s="245">
        <v>9643</v>
      </c>
      <c r="E7" s="245">
        <v>9527.5</v>
      </c>
      <c r="F7" s="20">
        <f t="shared" si="3"/>
        <v>-0.48747581502687015</v>
      </c>
      <c r="G7" s="2">
        <f t="shared" si="0"/>
        <v>0.10227870549502766</v>
      </c>
      <c r="H7" s="2">
        <f t="shared" si="1"/>
        <v>0.14048659673659675</v>
      </c>
      <c r="I7" s="86">
        <v>6.1833333333333336</v>
      </c>
      <c r="J7" s="248">
        <v>3.02</v>
      </c>
      <c r="K7" s="20">
        <f t="shared" si="4"/>
        <v>-0.51159029649595689</v>
      </c>
      <c r="L7" s="4">
        <f t="shared" si="2"/>
        <v>0.81281090459624628</v>
      </c>
      <c r="M7" s="251">
        <v>1</v>
      </c>
      <c r="N7" s="251">
        <v>0.94969999999999999</v>
      </c>
      <c r="O7" s="50">
        <v>7113</v>
      </c>
      <c r="P7" s="50"/>
      <c r="Q7" s="50" t="s">
        <v>390</v>
      </c>
    </row>
    <row r="8" spans="1:17" ht="15">
      <c r="A8" s="13">
        <f t="shared" si="5"/>
        <v>46117</v>
      </c>
      <c r="B8" s="1">
        <v>20776.666666666668</v>
      </c>
      <c r="C8" s="1">
        <v>18589.366666666665</v>
      </c>
      <c r="D8" s="245">
        <v>19351</v>
      </c>
      <c r="E8" s="245">
        <v>19184.5</v>
      </c>
      <c r="F8" s="20">
        <f t="shared" si="3"/>
        <v>3.2014718091525535E-2</v>
      </c>
      <c r="G8" s="2">
        <f t="shared" si="0"/>
        <v>0.20524683501340663</v>
      </c>
      <c r="H8" s="2">
        <f t="shared" si="1"/>
        <v>0.28192016317016316</v>
      </c>
      <c r="I8" s="86">
        <v>6.1833333333333336</v>
      </c>
      <c r="J8" s="248">
        <v>6.08</v>
      </c>
      <c r="K8" s="20">
        <f t="shared" si="4"/>
        <v>-1.6711590296495982E-2</v>
      </c>
      <c r="L8" s="4">
        <f t="shared" si="2"/>
        <v>0.81018487505292092</v>
      </c>
      <c r="M8" s="251">
        <v>1</v>
      </c>
      <c r="N8" s="251">
        <v>1</v>
      </c>
      <c r="O8" s="50"/>
      <c r="P8" s="50"/>
      <c r="Q8" s="50"/>
    </row>
    <row r="9" spans="1:17" ht="15">
      <c r="A9" s="13">
        <f t="shared" si="5"/>
        <v>46118</v>
      </c>
      <c r="B9" s="1">
        <v>20776.666666666668</v>
      </c>
      <c r="C9" s="1">
        <v>18589.366666666665</v>
      </c>
      <c r="D9" s="245">
        <v>22275.200000000001</v>
      </c>
      <c r="E9" s="245">
        <v>22107.5</v>
      </c>
      <c r="F9" s="20">
        <f t="shared" si="3"/>
        <v>0.18925514765609741</v>
      </c>
      <c r="G9" s="2">
        <f t="shared" si="0"/>
        <v>0.23626243084546719</v>
      </c>
      <c r="H9" s="2">
        <f t="shared" si="1"/>
        <v>0.32452214452214451</v>
      </c>
      <c r="I9" s="86">
        <v>6.1833333333333336</v>
      </c>
      <c r="J9" s="249">
        <v>6.77</v>
      </c>
      <c r="K9" s="20">
        <f t="shared" si="4"/>
        <v>9.4878706199460802E-2</v>
      </c>
      <c r="L9" s="4">
        <f t="shared" si="2"/>
        <v>0.83756253180077</v>
      </c>
      <c r="M9" s="251">
        <v>1</v>
      </c>
      <c r="N9" s="251">
        <v>1</v>
      </c>
      <c r="O9" s="50"/>
      <c r="P9" s="50"/>
      <c r="Q9" s="50"/>
    </row>
    <row r="10" spans="1:17" ht="15">
      <c r="A10" s="13">
        <f t="shared" si="5"/>
        <v>46119</v>
      </c>
      <c r="B10" s="1">
        <v>20776.666666666668</v>
      </c>
      <c r="C10" s="1">
        <v>18589.366666666665</v>
      </c>
      <c r="D10" s="245">
        <v>23210.400000000001</v>
      </c>
      <c r="E10" s="245">
        <v>23051</v>
      </c>
      <c r="F10" s="20">
        <f t="shared" si="3"/>
        <v>0.24000996985731998</v>
      </c>
      <c r="G10" s="2">
        <f t="shared" si="0"/>
        <v>0.24618165156297731</v>
      </c>
      <c r="H10" s="2">
        <f t="shared" si="1"/>
        <v>0.33814685314685317</v>
      </c>
      <c r="I10" s="86">
        <v>6.1833333333333336</v>
      </c>
      <c r="J10" s="249">
        <v>7.3</v>
      </c>
      <c r="K10" s="20">
        <f t="shared" si="4"/>
        <v>0.18059299191374656</v>
      </c>
      <c r="L10" s="4">
        <f t="shared" si="2"/>
        <v>0.80936433390567886</v>
      </c>
      <c r="M10" s="251">
        <v>1</v>
      </c>
      <c r="N10" s="251">
        <v>1</v>
      </c>
      <c r="O10" s="50"/>
      <c r="P10" s="50"/>
      <c r="Q10" s="50"/>
    </row>
    <row r="11" spans="1:17" ht="15">
      <c r="A11" s="13">
        <f t="shared" si="5"/>
        <v>46120</v>
      </c>
      <c r="B11" s="1">
        <v>20776.666666666668</v>
      </c>
      <c r="C11" s="1">
        <v>18589.366666666665</v>
      </c>
      <c r="D11" s="245">
        <v>24572</v>
      </c>
      <c r="E11" s="245">
        <v>24327</v>
      </c>
      <c r="F11" s="20">
        <f t="shared" si="3"/>
        <v>0.30865136162071161</v>
      </c>
      <c r="G11" s="2">
        <f t="shared" si="0"/>
        <v>0.26062349387367206</v>
      </c>
      <c r="H11" s="2">
        <f t="shared" si="1"/>
        <v>0.35798368298368299</v>
      </c>
      <c r="I11" s="86">
        <v>6.1833333333333336</v>
      </c>
      <c r="J11" s="249">
        <v>7.34</v>
      </c>
      <c r="K11" s="20">
        <f t="shared" si="4"/>
        <v>0.18706199460916434</v>
      </c>
      <c r="L11" s="4">
        <f t="shared" si="2"/>
        <v>0.85217491184851901</v>
      </c>
      <c r="M11" s="251">
        <v>1</v>
      </c>
      <c r="N11" s="251">
        <v>1</v>
      </c>
      <c r="O11" s="50"/>
      <c r="P11" s="50"/>
      <c r="Q11" s="50"/>
    </row>
    <row r="12" spans="1:17" ht="15">
      <c r="A12" s="13">
        <f t="shared" si="5"/>
        <v>46121</v>
      </c>
      <c r="B12" s="1">
        <v>20776.666666666668</v>
      </c>
      <c r="C12" s="1">
        <v>18589.366666666665</v>
      </c>
      <c r="D12" s="245">
        <v>19076</v>
      </c>
      <c r="E12" s="245">
        <v>18851</v>
      </c>
      <c r="F12" s="20">
        <f t="shared" si="3"/>
        <v>1.4074354335184544E-2</v>
      </c>
      <c r="G12" s="2">
        <f t="shared" si="0"/>
        <v>0.20233004106845873</v>
      </c>
      <c r="H12" s="2">
        <f t="shared" si="1"/>
        <v>0.27791375291375292</v>
      </c>
      <c r="I12" s="86">
        <v>6.1833333333333336</v>
      </c>
      <c r="J12" s="249">
        <v>7.28</v>
      </c>
      <c r="K12" s="20">
        <f t="shared" si="4"/>
        <v>0.17735849056603772</v>
      </c>
      <c r="L12" s="4">
        <f t="shared" si="2"/>
        <v>0.66702211341250139</v>
      </c>
      <c r="M12" s="251">
        <v>1</v>
      </c>
      <c r="N12" s="251">
        <v>1</v>
      </c>
      <c r="O12" s="50"/>
      <c r="P12" s="50"/>
      <c r="Q12" s="50"/>
    </row>
    <row r="13" spans="1:17" ht="15">
      <c r="A13" s="13">
        <f t="shared" si="5"/>
        <v>46122</v>
      </c>
      <c r="B13" s="1">
        <v>20776.666666666668</v>
      </c>
      <c r="C13" s="1">
        <v>18589.366666666665</v>
      </c>
      <c r="D13" s="245">
        <v>18316</v>
      </c>
      <c r="E13" s="245">
        <v>18185</v>
      </c>
      <c r="F13" s="20">
        <f t="shared" si="3"/>
        <v>-2.1752578983325502E-2</v>
      </c>
      <c r="G13" s="2">
        <f t="shared" si="0"/>
        <v>0.19426908325696635</v>
      </c>
      <c r="H13" s="2">
        <f t="shared" si="1"/>
        <v>0.26684149184149186</v>
      </c>
      <c r="I13" s="86">
        <v>6.1833333333333336</v>
      </c>
      <c r="J13" s="249">
        <v>5.82</v>
      </c>
      <c r="K13" s="20">
        <f t="shared" si="4"/>
        <v>-5.8760107816711579E-2</v>
      </c>
      <c r="L13" s="4">
        <f t="shared" si="2"/>
        <v>0.80110962167821176</v>
      </c>
      <c r="M13" s="251">
        <v>1</v>
      </c>
      <c r="N13" s="251">
        <v>1</v>
      </c>
      <c r="O13" s="50"/>
      <c r="P13" s="50"/>
      <c r="Q13" s="50"/>
    </row>
    <row r="14" spans="1:17" ht="15">
      <c r="A14" s="13">
        <f t="shared" si="5"/>
        <v>46123</v>
      </c>
      <c r="B14" s="1">
        <v>20776.666666666668</v>
      </c>
      <c r="C14" s="1">
        <v>18589.366666666665</v>
      </c>
      <c r="D14" s="245">
        <v>19512</v>
      </c>
      <c r="E14" s="245">
        <v>19332</v>
      </c>
      <c r="F14" s="20">
        <f t="shared" si="3"/>
        <v>3.9949361731886242E-2</v>
      </c>
      <c r="G14" s="2">
        <f t="shared" si="0"/>
        <v>0.20695448528663068</v>
      </c>
      <c r="H14" s="2">
        <f t="shared" si="1"/>
        <v>0.28426573426573426</v>
      </c>
      <c r="I14" s="86">
        <v>6.1833333333333336</v>
      </c>
      <c r="J14" s="249">
        <v>5.67</v>
      </c>
      <c r="K14" s="20">
        <f t="shared" si="4"/>
        <v>-8.3018867924528353E-2</v>
      </c>
      <c r="L14" s="4">
        <f t="shared" si="2"/>
        <v>0.87599782131907178</v>
      </c>
      <c r="M14" s="251">
        <v>1</v>
      </c>
      <c r="N14" s="251">
        <v>1</v>
      </c>
      <c r="O14" s="50"/>
      <c r="P14" s="50"/>
      <c r="Q14" s="50"/>
    </row>
    <row r="15" spans="1:17" ht="15">
      <c r="A15" s="13">
        <f t="shared" si="5"/>
        <v>46124</v>
      </c>
      <c r="B15" s="1">
        <v>20776.666666666668</v>
      </c>
      <c r="C15" s="1">
        <v>18589.366666666665</v>
      </c>
      <c r="D15" s="245">
        <v>20943</v>
      </c>
      <c r="E15" s="245">
        <v>20757</v>
      </c>
      <c r="F15" s="20">
        <f t="shared" si="3"/>
        <v>0.11660608842689649</v>
      </c>
      <c r="G15" s="2">
        <f t="shared" si="0"/>
        <v>0.22213242032379593</v>
      </c>
      <c r="H15" s="2">
        <f t="shared" si="1"/>
        <v>0.30511363636363636</v>
      </c>
      <c r="I15" s="86">
        <v>6.1833333333333336</v>
      </c>
      <c r="J15" s="249">
        <v>6.19</v>
      </c>
      <c r="K15" s="20">
        <f t="shared" si="4"/>
        <v>1.0781671159029898E-3</v>
      </c>
      <c r="L15" s="4">
        <f t="shared" si="2"/>
        <v>0.86125655699048498</v>
      </c>
      <c r="M15" s="251">
        <v>1</v>
      </c>
      <c r="N15" s="251">
        <v>1</v>
      </c>
      <c r="O15" s="50"/>
      <c r="P15" s="50"/>
      <c r="Q15" s="50"/>
    </row>
    <row r="16" spans="1:17" ht="15">
      <c r="A16" s="13">
        <f t="shared" si="5"/>
        <v>46125</v>
      </c>
      <c r="B16" s="1">
        <v>20776.666666666668</v>
      </c>
      <c r="C16" s="1">
        <v>18589.366666666665</v>
      </c>
      <c r="D16" s="245">
        <v>23877</v>
      </c>
      <c r="E16" s="245">
        <v>23661</v>
      </c>
      <c r="F16" s="20">
        <f t="shared" si="3"/>
        <v>0.27282442830220155</v>
      </c>
      <c r="G16" s="2">
        <f t="shared" si="0"/>
        <v>0.25325196008553097</v>
      </c>
      <c r="H16" s="2">
        <f t="shared" si="1"/>
        <v>0.3478583916083916</v>
      </c>
      <c r="I16" s="86">
        <v>6.1833333333333336</v>
      </c>
      <c r="J16" s="249">
        <v>6.89</v>
      </c>
      <c r="K16" s="20">
        <f t="shared" si="4"/>
        <v>0.11428571428571419</v>
      </c>
      <c r="L16" s="4">
        <f t="shared" si="2"/>
        <v>0.88215486822245925</v>
      </c>
      <c r="M16" s="251">
        <v>1</v>
      </c>
      <c r="N16" s="251">
        <v>1</v>
      </c>
      <c r="O16" s="50"/>
      <c r="P16" s="50"/>
      <c r="Q16" s="50"/>
    </row>
    <row r="17" spans="1:17" ht="15">
      <c r="A17" s="13">
        <f t="shared" si="5"/>
        <v>46126</v>
      </c>
      <c r="B17" s="1">
        <v>20776.666666666668</v>
      </c>
      <c r="C17" s="1">
        <v>18589.366666666665</v>
      </c>
      <c r="D17" s="245">
        <v>22427</v>
      </c>
      <c r="E17" s="245">
        <v>22218</v>
      </c>
      <c r="F17" s="20">
        <f t="shared" si="3"/>
        <v>0.19519940611209646</v>
      </c>
      <c r="G17" s="2">
        <f t="shared" si="0"/>
        <v>0.23787250110307842</v>
      </c>
      <c r="H17" s="2">
        <f t="shared" si="1"/>
        <v>0.32673368298368299</v>
      </c>
      <c r="I17" s="86">
        <v>6.1833333333333336</v>
      </c>
      <c r="J17" s="249">
        <v>6.88</v>
      </c>
      <c r="K17" s="20">
        <f t="shared" si="4"/>
        <v>0.11266846361185978</v>
      </c>
      <c r="L17" s="4">
        <f t="shared" si="2"/>
        <v>0.82978779454562246</v>
      </c>
      <c r="M17" s="251">
        <v>1</v>
      </c>
      <c r="N17" s="251">
        <v>1</v>
      </c>
      <c r="O17" s="50"/>
      <c r="P17" s="50"/>
      <c r="Q17" s="50"/>
    </row>
    <row r="18" spans="1:17" ht="15">
      <c r="A18" s="13">
        <f t="shared" si="5"/>
        <v>46127</v>
      </c>
      <c r="B18" s="1">
        <v>20776.666666666668</v>
      </c>
      <c r="C18" s="1">
        <v>18589.366666666665</v>
      </c>
      <c r="D18" s="245">
        <v>20872</v>
      </c>
      <c r="E18" s="245">
        <v>20683</v>
      </c>
      <c r="F18" s="20">
        <f t="shared" si="3"/>
        <v>0.11262531805817315</v>
      </c>
      <c r="G18" s="2">
        <f t="shared" si="0"/>
        <v>0.22137935715982757</v>
      </c>
      <c r="H18" s="2">
        <f t="shared" si="1"/>
        <v>0.30407925407925407</v>
      </c>
      <c r="I18" s="86">
        <v>6.1833333333333336</v>
      </c>
      <c r="J18" s="249">
        <v>6.7</v>
      </c>
      <c r="K18" s="20">
        <f t="shared" si="4"/>
        <v>8.355795148247977E-2</v>
      </c>
      <c r="L18" s="4">
        <f t="shared" si="2"/>
        <v>0.79300068236356136</v>
      </c>
      <c r="M18" s="251">
        <v>1</v>
      </c>
      <c r="N18" s="251">
        <v>1</v>
      </c>
      <c r="O18" s="50"/>
      <c r="P18" s="50"/>
      <c r="Q18" s="50"/>
    </row>
    <row r="19" spans="1:17" ht="15">
      <c r="A19" s="13">
        <f t="shared" si="5"/>
        <v>46128</v>
      </c>
      <c r="B19" s="1">
        <v>20776.666666666668</v>
      </c>
      <c r="C19" s="1">
        <v>18589.366666666665</v>
      </c>
      <c r="D19" s="245">
        <v>20597</v>
      </c>
      <c r="E19" s="245">
        <v>20424</v>
      </c>
      <c r="F19" s="20">
        <f t="shared" si="3"/>
        <v>9.8692621767641459E-2</v>
      </c>
      <c r="G19" s="2">
        <f t="shared" si="0"/>
        <v>0.21846256321487967</v>
      </c>
      <c r="H19" s="2">
        <f t="shared" si="1"/>
        <v>0.30007284382284383</v>
      </c>
      <c r="I19" s="86">
        <v>6.1833333333333336</v>
      </c>
      <c r="J19" s="249">
        <v>6.25</v>
      </c>
      <c r="K19" s="20">
        <f t="shared" si="4"/>
        <v>1.078167115902961E-2</v>
      </c>
      <c r="L19" s="4">
        <f t="shared" si="2"/>
        <v>0.83889624274513797</v>
      </c>
      <c r="M19" s="251">
        <v>1</v>
      </c>
      <c r="N19" s="251">
        <v>1</v>
      </c>
      <c r="O19" s="50"/>
      <c r="P19" s="50"/>
      <c r="Q19" s="50"/>
    </row>
    <row r="20" spans="1:17" ht="15">
      <c r="A20" s="13">
        <f t="shared" si="5"/>
        <v>46129</v>
      </c>
      <c r="B20" s="1">
        <v>20776.666666666668</v>
      </c>
      <c r="C20" s="1">
        <v>18589.366666666665</v>
      </c>
      <c r="D20" s="245">
        <v>18675</v>
      </c>
      <c r="E20" s="245">
        <v>18500</v>
      </c>
      <c r="F20" s="20">
        <f t="shared" si="3"/>
        <v>-4.8074078191653463E-3</v>
      </c>
      <c r="G20" s="2">
        <f t="shared" si="0"/>
        <v>0.19807682517055289</v>
      </c>
      <c r="H20" s="2">
        <f t="shared" si="1"/>
        <v>0.27207167832167833</v>
      </c>
      <c r="I20" s="86">
        <v>6.1833333333333336</v>
      </c>
      <c r="J20" s="249">
        <v>5.98</v>
      </c>
      <c r="K20" s="20">
        <f t="shared" si="4"/>
        <v>-3.2884097035040402E-2</v>
      </c>
      <c r="L20" s="4">
        <f t="shared" si="2"/>
        <v>0.79495715787512866</v>
      </c>
      <c r="M20" s="251">
        <v>1</v>
      </c>
      <c r="N20" s="251">
        <v>1</v>
      </c>
      <c r="O20" s="50"/>
      <c r="P20" s="50"/>
      <c r="Q20" s="50"/>
    </row>
    <row r="21" spans="1:17" ht="15">
      <c r="A21" s="13">
        <f t="shared" si="5"/>
        <v>46130</v>
      </c>
      <c r="B21" s="1">
        <v>20776.666666666668</v>
      </c>
      <c r="C21" s="1">
        <v>18589.366666666665</v>
      </c>
      <c r="D21" s="245">
        <v>18853</v>
      </c>
      <c r="E21" s="245">
        <v>18648</v>
      </c>
      <c r="F21" s="20">
        <f t="shared" si="3"/>
        <v>3.1541329182813312E-3</v>
      </c>
      <c r="G21" s="2">
        <f t="shared" si="0"/>
        <v>0.19996478634219189</v>
      </c>
      <c r="H21" s="2">
        <f t="shared" si="1"/>
        <v>0.27466491841491841</v>
      </c>
      <c r="I21" s="86">
        <v>6.1833333333333336</v>
      </c>
      <c r="J21" s="249">
        <v>6.74</v>
      </c>
      <c r="K21" s="20">
        <f t="shared" si="4"/>
        <v>9.0026954177897564E-2</v>
      </c>
      <c r="L21" s="4">
        <f t="shared" si="2"/>
        <v>0.71204078222738953</v>
      </c>
      <c r="M21" s="251">
        <v>0.93389999999999995</v>
      </c>
      <c r="N21" s="251">
        <v>1</v>
      </c>
      <c r="O21" s="50"/>
      <c r="P21" s="50">
        <v>563.5</v>
      </c>
      <c r="Q21" s="50" t="s">
        <v>391</v>
      </c>
    </row>
    <row r="22" spans="1:17" ht="15">
      <c r="A22" s="13">
        <f t="shared" si="5"/>
        <v>46131</v>
      </c>
      <c r="B22" s="1">
        <v>20776.666666666668</v>
      </c>
      <c r="C22" s="1">
        <v>18589.366666666665</v>
      </c>
      <c r="D22" s="245">
        <v>16079</v>
      </c>
      <c r="E22" s="245">
        <v>16002</v>
      </c>
      <c r="F22" s="20">
        <f t="shared" si="3"/>
        <v>-0.13918530486066399</v>
      </c>
      <c r="G22" s="2">
        <f t="shared" si="0"/>
        <v>0.17054229033024471</v>
      </c>
      <c r="H22" s="2">
        <f t="shared" ref="H22:H27" si="6">E22/($D$2*24)</f>
        <v>0.16972558802565929</v>
      </c>
      <c r="I22" s="86">
        <v>6.1833333333333336</v>
      </c>
      <c r="J22" s="249">
        <v>5.6210000000000004</v>
      </c>
      <c r="K22" s="20">
        <f t="shared" si="4"/>
        <v>-9.0943396226415063E-2</v>
      </c>
      <c r="L22" s="4">
        <f t="shared" si="2"/>
        <v>0.72816491156838159</v>
      </c>
      <c r="M22" s="251">
        <v>1</v>
      </c>
      <c r="N22" s="251">
        <v>1</v>
      </c>
      <c r="O22" s="50"/>
      <c r="P22" s="50"/>
      <c r="Q22" s="50"/>
    </row>
    <row r="23" spans="1:17" ht="15">
      <c r="A23" s="13">
        <f t="shared" si="5"/>
        <v>46132</v>
      </c>
      <c r="B23" s="1">
        <v>20776.666666666668</v>
      </c>
      <c r="C23" s="1">
        <v>18589.366666666665</v>
      </c>
      <c r="D23" s="245">
        <v>19239</v>
      </c>
      <c r="E23" s="245">
        <v>19055</v>
      </c>
      <c r="F23" s="20">
        <f t="shared" si="3"/>
        <v>2.5048369946259693E-2</v>
      </c>
      <c r="G23" s="2">
        <f t="shared" si="0"/>
        <v>0.20405890438855512</v>
      </c>
      <c r="H23" s="2">
        <f t="shared" si="6"/>
        <v>0.20210730407629907</v>
      </c>
      <c r="I23" s="86">
        <v>6.1833333333333336</v>
      </c>
      <c r="J23" s="249">
        <v>5.96</v>
      </c>
      <c r="K23" s="20">
        <f t="shared" si="4"/>
        <v>-3.6118598382749369E-2</v>
      </c>
      <c r="L23" s="4">
        <f t="shared" si="2"/>
        <v>0.82171370894720197</v>
      </c>
      <c r="M23" s="251">
        <v>1</v>
      </c>
      <c r="N23" s="251">
        <v>1</v>
      </c>
      <c r="O23" s="50"/>
      <c r="P23" s="50"/>
      <c r="Q23" s="50"/>
    </row>
    <row r="24" spans="1:17" ht="15">
      <c r="A24" s="13">
        <f t="shared" si="5"/>
        <v>46133</v>
      </c>
      <c r="B24" s="1">
        <v>20776.666666666668</v>
      </c>
      <c r="C24" s="1">
        <v>18589.366666666665</v>
      </c>
      <c r="D24" s="245">
        <v>22183</v>
      </c>
      <c r="E24" s="245">
        <v>21978</v>
      </c>
      <c r="F24" s="20">
        <f>(IF(ISBLANK(E24),0,E24-C24))/C24</f>
        <v>0.18228879951083157</v>
      </c>
      <c r="G24" s="2">
        <f t="shared" si="0"/>
        <v>0.23528450938465192</v>
      </c>
      <c r="H24" s="2">
        <f t="shared" si="6"/>
        <v>0.23311017208023621</v>
      </c>
      <c r="I24" s="86">
        <v>6.1833333333333336</v>
      </c>
      <c r="J24" s="249">
        <v>6.5</v>
      </c>
      <c r="K24" s="20">
        <f>(IF(ISBLANK(J24),0,J24-I24))/I24</f>
        <v>5.1212938005390798E-2</v>
      </c>
      <c r="L24" s="4">
        <f t="shared" si="2"/>
        <v>0.8687428038817917</v>
      </c>
      <c r="M24" s="251">
        <v>1</v>
      </c>
      <c r="N24" s="251">
        <v>1</v>
      </c>
      <c r="O24" s="50"/>
      <c r="P24" s="50"/>
      <c r="Q24" s="50"/>
    </row>
    <row r="25" spans="1:17" ht="15">
      <c r="A25" s="13">
        <f t="shared" si="5"/>
        <v>46134</v>
      </c>
      <c r="B25" s="1">
        <v>20776.666666666668</v>
      </c>
      <c r="C25" s="1">
        <v>18589.366666666665</v>
      </c>
      <c r="D25" s="245">
        <v>21427</v>
      </c>
      <c r="E25" s="245">
        <v>21201</v>
      </c>
      <c r="F25" s="20">
        <f t="shared" si="3"/>
        <v>0.14049071063923652</v>
      </c>
      <c r="G25" s="2">
        <f t="shared" si="0"/>
        <v>0.22726597766690423</v>
      </c>
      <c r="H25" s="2">
        <f t="shared" si="6"/>
        <v>0.22486890337032886</v>
      </c>
      <c r="I25" s="86">
        <v>6.1833333333333336</v>
      </c>
      <c r="J25" s="249">
        <v>6.4</v>
      </c>
      <c r="K25" s="20">
        <f t="shared" si="4"/>
        <v>3.5040431266846382E-2</v>
      </c>
      <c r="L25" s="4">
        <f t="shared" si="2"/>
        <v>0.85224741625089084</v>
      </c>
      <c r="M25" s="251">
        <v>1</v>
      </c>
      <c r="N25" s="251">
        <v>1</v>
      </c>
      <c r="O25" s="50"/>
      <c r="P25" s="50"/>
      <c r="Q25" s="50"/>
    </row>
    <row r="26" spans="1:17" ht="15">
      <c r="A26" s="13">
        <f t="shared" si="5"/>
        <v>46135</v>
      </c>
      <c r="B26" s="1">
        <v>20776.666666666668</v>
      </c>
      <c r="C26" s="1">
        <v>18589.366666666665</v>
      </c>
      <c r="D26" s="245">
        <v>20162</v>
      </c>
      <c r="E26" s="245">
        <v>19980</v>
      </c>
      <c r="F26" s="20">
        <f t="shared" si="3"/>
        <v>7.480799955530143E-2</v>
      </c>
      <c r="G26" s="2">
        <f t="shared" si="0"/>
        <v>0.21384872552014389</v>
      </c>
      <c r="H26" s="2">
        <f t="shared" si="6"/>
        <v>0.2119183382547602</v>
      </c>
      <c r="I26" s="86">
        <v>6.1833333333333336</v>
      </c>
      <c r="J26" s="249">
        <v>6.27</v>
      </c>
      <c r="K26" s="20">
        <f t="shared" si="4"/>
        <v>1.4016172506738436E-2</v>
      </c>
      <c r="L26" s="4">
        <f t="shared" si="2"/>
        <v>0.81855971490964174</v>
      </c>
      <c r="M26" s="251">
        <v>1</v>
      </c>
      <c r="N26" s="251">
        <v>1</v>
      </c>
      <c r="O26" s="50"/>
      <c r="P26" s="50"/>
      <c r="Q26" s="50"/>
    </row>
    <row r="27" spans="1:17" ht="15">
      <c r="A27" s="13">
        <f t="shared" si="5"/>
        <v>46136</v>
      </c>
      <c r="B27" s="1">
        <v>20776.666666666668</v>
      </c>
      <c r="C27" s="1">
        <v>18589.366666666665</v>
      </c>
      <c r="D27" s="245">
        <v>19175</v>
      </c>
      <c r="E27" s="245">
        <v>18981</v>
      </c>
      <c r="F27" s="20">
        <f t="shared" si="3"/>
        <v>2.1067599577536355E-2</v>
      </c>
      <c r="G27" s="2">
        <f t="shared" si="0"/>
        <v>0.20338008688863998</v>
      </c>
      <c r="H27" s="2">
        <f t="shared" si="6"/>
        <v>0.20132242134202219</v>
      </c>
      <c r="I27" s="86">
        <v>6.1833333333333336</v>
      </c>
      <c r="J27" s="249">
        <v>6.59</v>
      </c>
      <c r="K27" s="20">
        <f t="shared" si="4"/>
        <v>6.5768194070080804E-2</v>
      </c>
      <c r="L27" s="4">
        <f t="shared" si="2"/>
        <v>0.74068620414679209</v>
      </c>
      <c r="M27" s="251">
        <v>1</v>
      </c>
      <c r="N27" s="251">
        <v>0.96120000000000005</v>
      </c>
      <c r="O27" s="50">
        <v>851.98</v>
      </c>
      <c r="P27" s="50"/>
      <c r="Q27" s="6" t="s">
        <v>390</v>
      </c>
    </row>
    <row r="28" spans="1:17" ht="15">
      <c r="A28" s="13">
        <f t="shared" si="5"/>
        <v>46137</v>
      </c>
      <c r="B28" s="1">
        <v>20776.666666666668</v>
      </c>
      <c r="C28" s="1">
        <v>18589.366666666665</v>
      </c>
      <c r="D28" s="245">
        <v>21056</v>
      </c>
      <c r="E28" s="245">
        <v>20831</v>
      </c>
      <c r="F28" s="20">
        <f>(IF(ISBLANK(E28),0,E28-C28))/C28</f>
        <v>0.12058685879561983</v>
      </c>
      <c r="G28" s="2">
        <f t="shared" ref="G28:G33" si="7">D28/($D$2*24)</f>
        <v>0.22333095747208362</v>
      </c>
      <c r="H28" s="2">
        <f t="shared" ref="H28:H33" si="8">E28/($D$2*24)</f>
        <v>0.22094448969894442</v>
      </c>
      <c r="I28" s="86">
        <v>6.1833333333333336</v>
      </c>
      <c r="J28" s="249">
        <v>6.3630000000000004</v>
      </c>
      <c r="K28" s="20">
        <f>(IF(ISBLANK(J28),0,J28-I28))/I28</f>
        <v>2.9056603773584936E-2</v>
      </c>
      <c r="L28" s="4">
        <f t="shared" si="2"/>
        <v>0.84236098999371467</v>
      </c>
      <c r="M28" s="251">
        <v>1</v>
      </c>
      <c r="N28" s="251">
        <v>1</v>
      </c>
      <c r="O28" s="6"/>
      <c r="P28" s="6"/>
      <c r="Q28" s="6"/>
    </row>
    <row r="29" spans="1:17" ht="15">
      <c r="A29" s="13">
        <f t="shared" si="5"/>
        <v>46138</v>
      </c>
      <c r="B29" s="1">
        <v>20776.666666666668</v>
      </c>
      <c r="C29" s="1">
        <v>18589.366666666665</v>
      </c>
      <c r="D29" s="245">
        <v>19507</v>
      </c>
      <c r="E29" s="245">
        <v>19369</v>
      </c>
      <c r="F29" s="20">
        <f>(IF(ISBLANK(E29),0,E29-C29))/C29</f>
        <v>4.1939746916247911E-2</v>
      </c>
      <c r="G29" s="2">
        <f t="shared" si="7"/>
        <v>0.20690145266944981</v>
      </c>
      <c r="H29" s="2">
        <f t="shared" si="8"/>
        <v>0.20543775243525778</v>
      </c>
      <c r="I29" s="86">
        <v>6.1833333333333336</v>
      </c>
      <c r="J29" s="249">
        <v>5.806</v>
      </c>
      <c r="K29" s="20">
        <f t="shared" si="4"/>
        <v>-6.1024258760107843E-2</v>
      </c>
      <c r="L29" s="4">
        <f t="shared" si="2"/>
        <v>0.85525919119304084</v>
      </c>
      <c r="M29" s="251">
        <v>1</v>
      </c>
      <c r="N29" s="251">
        <v>1</v>
      </c>
      <c r="O29" s="6"/>
      <c r="P29" s="6"/>
      <c r="Q29" s="6"/>
    </row>
    <row r="30" spans="1:17" ht="15">
      <c r="A30" s="13">
        <f t="shared" si="5"/>
        <v>46139</v>
      </c>
      <c r="B30" s="1">
        <v>20776.666666666668</v>
      </c>
      <c r="C30" s="1">
        <v>18589.366666666665</v>
      </c>
      <c r="D30" s="246">
        <v>18788</v>
      </c>
      <c r="E30" s="246">
        <v>18611</v>
      </c>
      <c r="F30" s="20">
        <f t="shared" si="3"/>
        <v>1.1637477339196619E-3</v>
      </c>
      <c r="G30" s="2">
        <f t="shared" si="7"/>
        <v>0.19927536231884058</v>
      </c>
      <c r="H30" s="2">
        <f t="shared" si="8"/>
        <v>0.19739800767063773</v>
      </c>
      <c r="I30" s="86">
        <v>6.1833333333333336</v>
      </c>
      <c r="J30" s="246">
        <v>6.6429999999999998</v>
      </c>
      <c r="K30" s="20">
        <f t="shared" si="4"/>
        <v>7.4339622641509354E-2</v>
      </c>
      <c r="L30" s="4">
        <f t="shared" si="2"/>
        <v>0.719947116611798</v>
      </c>
      <c r="M30" s="251">
        <v>1</v>
      </c>
      <c r="N30" s="251">
        <v>1</v>
      </c>
      <c r="O30" s="6"/>
      <c r="P30" s="6"/>
      <c r="Q30" s="6"/>
    </row>
    <row r="31" spans="1:17" ht="15">
      <c r="A31" s="13">
        <f t="shared" si="5"/>
        <v>46140</v>
      </c>
      <c r="B31" s="1">
        <v>20776.666666666668</v>
      </c>
      <c r="C31" s="1">
        <v>18589.366666666665</v>
      </c>
      <c r="D31" s="246">
        <v>13748</v>
      </c>
      <c r="E31" s="246">
        <v>13597.5</v>
      </c>
      <c r="F31" s="20">
        <f t="shared" si="3"/>
        <v>-0.26853344474708651</v>
      </c>
      <c r="G31" s="2">
        <f t="shared" si="7"/>
        <v>0.14581848420052268</v>
      </c>
      <c r="H31" s="2">
        <f t="shared" si="8"/>
        <v>0.14422220242337846</v>
      </c>
      <c r="I31" s="86">
        <v>6.1833333333333336</v>
      </c>
      <c r="J31" s="246">
        <v>4.1890000000000001</v>
      </c>
      <c r="K31" s="20">
        <f t="shared" si="4"/>
        <v>-0.32253369272237198</v>
      </c>
      <c r="L31" s="4">
        <f t="shared" si="2"/>
        <v>0.83543652919850664</v>
      </c>
      <c r="M31" s="251">
        <v>1</v>
      </c>
      <c r="N31" s="251">
        <v>0.95450000000000002</v>
      </c>
      <c r="O31" s="6">
        <v>444.21</v>
      </c>
      <c r="P31" s="6"/>
      <c r="Q31" s="6" t="s">
        <v>390</v>
      </c>
    </row>
    <row r="32" spans="1:17" ht="15">
      <c r="A32" s="13">
        <f t="shared" si="5"/>
        <v>46141</v>
      </c>
      <c r="B32" s="1">
        <v>20776.666666666668</v>
      </c>
      <c r="C32" s="1">
        <v>18589.366666666665</v>
      </c>
      <c r="D32" s="246">
        <v>14373</v>
      </c>
      <c r="E32" s="246">
        <v>14245</v>
      </c>
      <c r="F32" s="20">
        <f t="shared" si="3"/>
        <v>-0.23370170402075732</v>
      </c>
      <c r="G32" s="2">
        <f t="shared" si="7"/>
        <v>0.15244756134813153</v>
      </c>
      <c r="H32" s="2">
        <f t="shared" si="8"/>
        <v>0.15108992634830126</v>
      </c>
      <c r="I32" s="86">
        <v>6.1833333333333336</v>
      </c>
      <c r="J32" s="6">
        <v>4.5819999999999999</v>
      </c>
      <c r="K32" s="20">
        <f t="shared" si="4"/>
        <v>-0.25897574123989225</v>
      </c>
      <c r="L32" s="4">
        <f t="shared" si="2"/>
        <v>0.79850315852360476</v>
      </c>
      <c r="M32" s="251">
        <v>1</v>
      </c>
      <c r="N32" s="251">
        <v>1</v>
      </c>
      <c r="O32" s="6"/>
      <c r="P32" s="6"/>
      <c r="Q32" s="6"/>
    </row>
    <row r="33" spans="1:17" ht="15">
      <c r="A33" s="13">
        <f t="shared" si="5"/>
        <v>46142</v>
      </c>
      <c r="B33" s="1">
        <v>20776.666666666668</v>
      </c>
      <c r="C33" s="1">
        <v>18589.366666666665</v>
      </c>
      <c r="D33" s="246">
        <v>17440</v>
      </c>
      <c r="E33" s="246">
        <v>17316</v>
      </c>
      <c r="F33" s="20">
        <f t="shared" si="3"/>
        <v>-6.849973371873877E-2</v>
      </c>
      <c r="G33" s="2">
        <f t="shared" si="7"/>
        <v>0.18497776872687777</v>
      </c>
      <c r="H33" s="2">
        <f t="shared" si="8"/>
        <v>0.18366255982079216</v>
      </c>
      <c r="I33" s="86">
        <v>6.1833333333333336</v>
      </c>
      <c r="J33" s="6">
        <v>5.72</v>
      </c>
      <c r="K33" s="20">
        <f t="shared" si="4"/>
        <v>-7.4932614555256141E-2</v>
      </c>
      <c r="L33" s="4">
        <f t="shared" si="2"/>
        <v>0.7761304981547319</v>
      </c>
      <c r="M33" s="313">
        <v>0.92</v>
      </c>
      <c r="N33" s="251">
        <v>1</v>
      </c>
      <c r="O33" s="6"/>
      <c r="P33" s="6">
        <v>1329.8</v>
      </c>
      <c r="Q33" s="6" t="s">
        <v>392</v>
      </c>
    </row>
    <row r="34" spans="1:17">
      <c r="A34" s="349">
        <v>46113</v>
      </c>
      <c r="B34" s="17">
        <f>SUM(B4:B33)</f>
        <v>623300</v>
      </c>
      <c r="C34" s="17">
        <f>SUM(C4:C33)</f>
        <v>557680.99999999965</v>
      </c>
      <c r="D34" s="17">
        <f>SUM(D4:D33)</f>
        <v>586166.6</v>
      </c>
      <c r="E34" s="17">
        <f>SUM(E4:E33)</f>
        <v>580729.5</v>
      </c>
      <c r="F34" s="20">
        <f>(IF(ISBLANK(E34),0,E34-C34))/C34</f>
        <v>4.1329182812396989E-2</v>
      </c>
      <c r="G34" s="18">
        <f>AVERAGE(G4:G33)</f>
        <v>0.20723965934675129</v>
      </c>
      <c r="H34" s="18">
        <f>AVERAGE(H4:H33)</f>
        <v>0.25447058962855473</v>
      </c>
      <c r="I34" s="17">
        <f>SUM(I4:I33)</f>
        <v>185.50000000000009</v>
      </c>
      <c r="J34" s="17">
        <f>SUM(J4:J33)</f>
        <v>184.26399999999998</v>
      </c>
      <c r="K34" s="20">
        <f t="shared" si="4"/>
        <v>-6.6630727762808789E-3</v>
      </c>
      <c r="L34" s="4">
        <f t="shared" si="2"/>
        <v>0.80977594500098193</v>
      </c>
      <c r="M34" s="18">
        <f>AVERAGE(M4:M33)</f>
        <v>0.99513000000000007</v>
      </c>
      <c r="N34" s="18">
        <f>AVERAGE(N4:N33)</f>
        <v>0.99551333333333336</v>
      </c>
      <c r="O34" s="17">
        <f>SUM(O4:O33)</f>
        <v>8409.1899999999987</v>
      </c>
      <c r="P34" s="17">
        <f>SUM(P4:P33)</f>
        <v>1893.3</v>
      </c>
      <c r="Q34" s="19"/>
    </row>
    <row r="35" spans="1:17">
      <c r="A35" s="13">
        <v>46143</v>
      </c>
      <c r="B35" s="127">
        <v>18997</v>
      </c>
      <c r="C35" s="127">
        <v>16997</v>
      </c>
      <c r="D35" s="33"/>
      <c r="E35" s="33"/>
      <c r="F35" s="20">
        <f>(IF(ISBLANK(E35),0,E35-C35))/C35</f>
        <v>0</v>
      </c>
      <c r="G35" s="2">
        <f t="shared" ref="G35:G57" si="9">D35/($D$2*24)</f>
        <v>0</v>
      </c>
      <c r="H35" s="2">
        <f t="shared" ref="H35:H61" si="10">D35/($H$2*24)</f>
        <v>0</v>
      </c>
      <c r="I35" s="28">
        <v>5.55</v>
      </c>
      <c r="J35" s="33"/>
      <c r="K35" s="20">
        <f>(IF(ISBLANK(J35),0,J35-I35))/I35</f>
        <v>0</v>
      </c>
      <c r="L35" s="4" t="e">
        <f t="shared" si="2"/>
        <v>#DIV/0!</v>
      </c>
      <c r="M35" s="103"/>
      <c r="N35" s="103"/>
      <c r="O35" s="33"/>
      <c r="P35" s="6"/>
      <c r="Q35" s="6"/>
    </row>
    <row r="36" spans="1:17">
      <c r="A36" s="13">
        <f>A35+1</f>
        <v>46144</v>
      </c>
      <c r="B36" s="127">
        <v>18997</v>
      </c>
      <c r="C36" s="127">
        <v>16997</v>
      </c>
      <c r="D36" s="34"/>
      <c r="E36" s="34"/>
      <c r="F36" s="20">
        <f t="shared" ref="F36:F54" si="11">(IF(ISBLANK(E36),0,E36-C36))/C36</f>
        <v>0</v>
      </c>
      <c r="G36" s="2">
        <f t="shared" si="9"/>
        <v>0</v>
      </c>
      <c r="H36" s="2">
        <f t="shared" si="10"/>
        <v>0</v>
      </c>
      <c r="I36" s="28">
        <v>5.55</v>
      </c>
      <c r="J36" s="34"/>
      <c r="K36" s="20">
        <f t="shared" ref="K36:K54" si="12">(IF(ISBLANK(J36),0,J36-I36))/I36</f>
        <v>0</v>
      </c>
      <c r="L36" s="4" t="e">
        <f t="shared" ref="L36:L66" si="13">D36/($D$2*J36)</f>
        <v>#DIV/0!</v>
      </c>
      <c r="M36" s="103"/>
      <c r="N36" s="103"/>
      <c r="O36" s="34"/>
      <c r="P36" s="6"/>
      <c r="Q36" s="6"/>
    </row>
    <row r="37" spans="1:17">
      <c r="A37" s="13">
        <f t="shared" ref="A37:A65" si="14">A36+1</f>
        <v>46145</v>
      </c>
      <c r="B37" s="127">
        <v>18997</v>
      </c>
      <c r="C37" s="127">
        <v>16997</v>
      </c>
      <c r="D37" s="34"/>
      <c r="E37" s="34"/>
      <c r="F37" s="20">
        <f t="shared" si="11"/>
        <v>0</v>
      </c>
      <c r="G37" s="2">
        <f t="shared" si="9"/>
        <v>0</v>
      </c>
      <c r="H37" s="2">
        <f t="shared" si="10"/>
        <v>0</v>
      </c>
      <c r="I37" s="28">
        <v>5.55</v>
      </c>
      <c r="J37" s="34"/>
      <c r="K37" s="20">
        <f t="shared" si="12"/>
        <v>0</v>
      </c>
      <c r="L37" s="4" t="e">
        <f t="shared" si="13"/>
        <v>#DIV/0!</v>
      </c>
      <c r="M37" s="103"/>
      <c r="N37" s="104"/>
      <c r="O37" s="34"/>
      <c r="P37" s="6"/>
      <c r="Q37" s="6"/>
    </row>
    <row r="38" spans="1:17">
      <c r="A38" s="13">
        <f t="shared" si="14"/>
        <v>46146</v>
      </c>
      <c r="B38" s="127"/>
      <c r="C38" s="127"/>
      <c r="D38" s="34"/>
      <c r="E38" s="34"/>
      <c r="F38" s="20" t="e">
        <f t="shared" si="11"/>
        <v>#DIV/0!</v>
      </c>
      <c r="G38" s="2">
        <f t="shared" si="9"/>
        <v>0</v>
      </c>
      <c r="H38" s="2">
        <f t="shared" si="10"/>
        <v>0</v>
      </c>
      <c r="I38" s="29"/>
      <c r="J38" s="34"/>
      <c r="K38" s="20" t="e">
        <f t="shared" si="12"/>
        <v>#DIV/0!</v>
      </c>
      <c r="L38" s="4" t="e">
        <f t="shared" si="13"/>
        <v>#DIV/0!</v>
      </c>
      <c r="M38" s="103"/>
      <c r="N38" s="103"/>
      <c r="O38" s="34"/>
      <c r="P38" s="6"/>
      <c r="Q38" s="14"/>
    </row>
    <row r="39" spans="1:17">
      <c r="A39" s="13">
        <f t="shared" si="14"/>
        <v>46147</v>
      </c>
      <c r="B39" s="127"/>
      <c r="C39" s="127"/>
      <c r="D39" s="34"/>
      <c r="E39" s="34"/>
      <c r="F39" s="20" t="e">
        <f t="shared" si="11"/>
        <v>#DIV/0!</v>
      </c>
      <c r="G39" s="2">
        <f t="shared" si="9"/>
        <v>0</v>
      </c>
      <c r="H39" s="2">
        <f t="shared" si="10"/>
        <v>0</v>
      </c>
      <c r="I39" s="29"/>
      <c r="J39" s="34"/>
      <c r="K39" s="20" t="e">
        <f t="shared" si="12"/>
        <v>#DIV/0!</v>
      </c>
      <c r="L39" s="4" t="e">
        <f t="shared" si="13"/>
        <v>#DIV/0!</v>
      </c>
      <c r="M39" s="103"/>
      <c r="N39" s="103"/>
      <c r="O39" s="34"/>
      <c r="P39" s="6"/>
      <c r="Q39" s="14"/>
    </row>
    <row r="40" spans="1:17">
      <c r="A40" s="13">
        <f t="shared" si="14"/>
        <v>46148</v>
      </c>
      <c r="B40" s="127"/>
      <c r="C40" s="127"/>
      <c r="D40" s="34"/>
      <c r="E40" s="34"/>
      <c r="F40" s="20" t="e">
        <f t="shared" si="11"/>
        <v>#DIV/0!</v>
      </c>
      <c r="G40" s="2">
        <f t="shared" si="9"/>
        <v>0</v>
      </c>
      <c r="H40" s="2">
        <f t="shared" si="10"/>
        <v>0</v>
      </c>
      <c r="I40" s="29"/>
      <c r="J40" s="34"/>
      <c r="K40" s="20" t="e">
        <f t="shared" si="12"/>
        <v>#DIV/0!</v>
      </c>
      <c r="L40" s="4" t="e">
        <f t="shared" si="13"/>
        <v>#DIV/0!</v>
      </c>
      <c r="M40" s="103"/>
      <c r="N40" s="103"/>
      <c r="O40" s="34"/>
      <c r="P40" s="6"/>
      <c r="Q40" s="14"/>
    </row>
    <row r="41" spans="1:17">
      <c r="A41" s="13">
        <f t="shared" si="14"/>
        <v>46149</v>
      </c>
      <c r="B41" s="127"/>
      <c r="C41" s="127"/>
      <c r="D41" s="34"/>
      <c r="E41" s="34"/>
      <c r="F41" s="20" t="e">
        <f t="shared" si="11"/>
        <v>#DIV/0!</v>
      </c>
      <c r="G41" s="2">
        <f t="shared" si="9"/>
        <v>0</v>
      </c>
      <c r="H41" s="2">
        <f t="shared" si="10"/>
        <v>0</v>
      </c>
      <c r="I41" s="29"/>
      <c r="J41" s="34"/>
      <c r="K41" s="20" t="e">
        <f t="shared" si="12"/>
        <v>#DIV/0!</v>
      </c>
      <c r="L41" s="4" t="e">
        <f t="shared" si="13"/>
        <v>#DIV/0!</v>
      </c>
      <c r="M41" s="103"/>
      <c r="N41" s="103"/>
      <c r="O41" s="34"/>
      <c r="P41" s="6"/>
      <c r="Q41" s="202"/>
    </row>
    <row r="42" spans="1:17">
      <c r="A42" s="13">
        <f t="shared" si="14"/>
        <v>46150</v>
      </c>
      <c r="B42" s="127"/>
      <c r="C42" s="127"/>
      <c r="D42" s="34"/>
      <c r="E42" s="34"/>
      <c r="F42" s="20" t="e">
        <f t="shared" si="11"/>
        <v>#DIV/0!</v>
      </c>
      <c r="G42" s="2">
        <f t="shared" si="9"/>
        <v>0</v>
      </c>
      <c r="H42" s="2">
        <f t="shared" si="10"/>
        <v>0</v>
      </c>
      <c r="I42" s="29"/>
      <c r="J42" s="34"/>
      <c r="K42" s="20" t="e">
        <f t="shared" si="12"/>
        <v>#DIV/0!</v>
      </c>
      <c r="L42" s="4" t="e">
        <f t="shared" si="13"/>
        <v>#DIV/0!</v>
      </c>
      <c r="M42" s="103"/>
      <c r="N42" s="103"/>
      <c r="O42" s="34"/>
      <c r="P42" s="6"/>
      <c r="Q42" s="14"/>
    </row>
    <row r="43" spans="1:17">
      <c r="A43" s="13">
        <f t="shared" si="14"/>
        <v>46151</v>
      </c>
      <c r="B43" s="127"/>
      <c r="C43" s="127"/>
      <c r="D43" s="34"/>
      <c r="E43" s="34"/>
      <c r="F43" s="20" t="e">
        <f t="shared" si="11"/>
        <v>#DIV/0!</v>
      </c>
      <c r="G43" s="2">
        <f t="shared" si="9"/>
        <v>0</v>
      </c>
      <c r="H43" s="2">
        <f t="shared" si="10"/>
        <v>0</v>
      </c>
      <c r="I43" s="29"/>
      <c r="J43" s="34"/>
      <c r="K43" s="20" t="e">
        <f t="shared" si="12"/>
        <v>#DIV/0!</v>
      </c>
      <c r="L43" s="4" t="e">
        <f t="shared" si="13"/>
        <v>#DIV/0!</v>
      </c>
      <c r="M43" s="103"/>
      <c r="N43" s="103"/>
      <c r="O43" s="34"/>
      <c r="P43" s="6"/>
      <c r="Q43" s="6"/>
    </row>
    <row r="44" spans="1:17">
      <c r="A44" s="13">
        <f t="shared" si="14"/>
        <v>46152</v>
      </c>
      <c r="B44" s="127"/>
      <c r="C44" s="127"/>
      <c r="D44" s="34"/>
      <c r="E44" s="34"/>
      <c r="F44" s="20" t="e">
        <f t="shared" si="11"/>
        <v>#DIV/0!</v>
      </c>
      <c r="G44" s="2">
        <f t="shared" si="9"/>
        <v>0</v>
      </c>
      <c r="H44" s="2">
        <f t="shared" si="10"/>
        <v>0</v>
      </c>
      <c r="I44" s="29"/>
      <c r="J44" s="34"/>
      <c r="K44" s="20" t="e">
        <f t="shared" si="12"/>
        <v>#DIV/0!</v>
      </c>
      <c r="L44" s="4" t="e">
        <f t="shared" si="13"/>
        <v>#DIV/0!</v>
      </c>
      <c r="M44" s="103"/>
      <c r="N44" s="103"/>
      <c r="O44" s="34"/>
      <c r="P44" s="6"/>
      <c r="Q44" s="16"/>
    </row>
    <row r="45" spans="1:17">
      <c r="A45" s="13">
        <f t="shared" si="14"/>
        <v>46153</v>
      </c>
      <c r="B45" s="127"/>
      <c r="C45" s="127"/>
      <c r="D45" s="34"/>
      <c r="E45" s="34"/>
      <c r="F45" s="20" t="e">
        <f t="shared" si="11"/>
        <v>#DIV/0!</v>
      </c>
      <c r="G45" s="2">
        <f t="shared" si="9"/>
        <v>0</v>
      </c>
      <c r="H45" s="2">
        <f t="shared" si="10"/>
        <v>0</v>
      </c>
      <c r="I45" s="29"/>
      <c r="J45" s="34"/>
      <c r="K45" s="20" t="e">
        <f t="shared" si="12"/>
        <v>#DIV/0!</v>
      </c>
      <c r="L45" s="4" t="e">
        <f t="shared" si="13"/>
        <v>#DIV/0!</v>
      </c>
      <c r="M45" s="103"/>
      <c r="N45" s="103"/>
      <c r="O45" s="34"/>
      <c r="P45" s="6"/>
      <c r="Q45" s="6"/>
    </row>
    <row r="46" spans="1:17">
      <c r="A46" s="13">
        <f t="shared" si="14"/>
        <v>46154</v>
      </c>
      <c r="B46" s="127"/>
      <c r="C46" s="127"/>
      <c r="D46" s="34"/>
      <c r="E46" s="34"/>
      <c r="F46" s="20" t="e">
        <f t="shared" si="11"/>
        <v>#DIV/0!</v>
      </c>
      <c r="G46" s="2">
        <f t="shared" si="9"/>
        <v>0</v>
      </c>
      <c r="H46" s="2">
        <f t="shared" si="10"/>
        <v>0</v>
      </c>
      <c r="I46" s="29"/>
      <c r="J46" s="34"/>
      <c r="K46" s="20" t="e">
        <f t="shared" si="12"/>
        <v>#DIV/0!</v>
      </c>
      <c r="L46" s="4" t="e">
        <f t="shared" si="13"/>
        <v>#DIV/0!</v>
      </c>
      <c r="M46" s="104"/>
      <c r="N46" s="103"/>
      <c r="O46" s="34"/>
      <c r="P46" s="6"/>
      <c r="Q46" s="6"/>
    </row>
    <row r="47" spans="1:17">
      <c r="A47" s="13">
        <f t="shared" si="14"/>
        <v>46155</v>
      </c>
      <c r="B47" s="127"/>
      <c r="C47" s="127"/>
      <c r="D47" s="34"/>
      <c r="E47" s="34"/>
      <c r="F47" s="20" t="e">
        <f t="shared" si="11"/>
        <v>#DIV/0!</v>
      </c>
      <c r="G47" s="2">
        <f t="shared" si="9"/>
        <v>0</v>
      </c>
      <c r="H47" s="2">
        <f t="shared" si="10"/>
        <v>0</v>
      </c>
      <c r="I47" s="29"/>
      <c r="J47" s="34"/>
      <c r="K47" s="20" t="e">
        <f t="shared" si="12"/>
        <v>#DIV/0!</v>
      </c>
      <c r="L47" s="4" t="e">
        <f t="shared" si="13"/>
        <v>#DIV/0!</v>
      </c>
      <c r="M47" s="104"/>
      <c r="N47" s="103"/>
      <c r="O47" s="34"/>
      <c r="P47" s="6"/>
      <c r="Q47" s="31"/>
    </row>
    <row r="48" spans="1:17">
      <c r="A48" s="13">
        <f t="shared" si="14"/>
        <v>46156</v>
      </c>
      <c r="B48" s="127"/>
      <c r="C48" s="127"/>
      <c r="D48" s="34"/>
      <c r="E48" s="34"/>
      <c r="F48" s="20" t="e">
        <f t="shared" si="11"/>
        <v>#DIV/0!</v>
      </c>
      <c r="G48" s="2">
        <f t="shared" si="9"/>
        <v>0</v>
      </c>
      <c r="H48" s="2">
        <f t="shared" si="10"/>
        <v>0</v>
      </c>
      <c r="I48" s="29"/>
      <c r="J48" s="34"/>
      <c r="K48" s="20" t="e">
        <f t="shared" si="12"/>
        <v>#DIV/0!</v>
      </c>
      <c r="L48" s="4" t="e">
        <f t="shared" si="13"/>
        <v>#DIV/0!</v>
      </c>
      <c r="M48" s="104"/>
      <c r="N48" s="103"/>
      <c r="O48" s="34"/>
      <c r="P48" s="6"/>
      <c r="Q48" s="32"/>
    </row>
    <row r="49" spans="1:17">
      <c r="A49" s="13">
        <f t="shared" si="14"/>
        <v>46157</v>
      </c>
      <c r="B49" s="127"/>
      <c r="C49" s="127"/>
      <c r="D49" s="34"/>
      <c r="E49" s="34"/>
      <c r="F49" s="20" t="e">
        <f t="shared" si="11"/>
        <v>#DIV/0!</v>
      </c>
      <c r="G49" s="2">
        <f t="shared" si="9"/>
        <v>0</v>
      </c>
      <c r="H49" s="2">
        <f t="shared" si="10"/>
        <v>0</v>
      </c>
      <c r="I49" s="29"/>
      <c r="J49" s="34"/>
      <c r="K49" s="20" t="e">
        <f t="shared" si="12"/>
        <v>#DIV/0!</v>
      </c>
      <c r="L49" s="4" t="e">
        <f t="shared" si="13"/>
        <v>#DIV/0!</v>
      </c>
      <c r="M49" s="104"/>
      <c r="N49" s="103"/>
      <c r="O49" s="34"/>
      <c r="P49" s="6"/>
      <c r="Q49" s="32"/>
    </row>
    <row r="50" spans="1:17">
      <c r="A50" s="13">
        <f t="shared" si="14"/>
        <v>46158</v>
      </c>
      <c r="B50" s="127"/>
      <c r="C50" s="127"/>
      <c r="D50" s="34"/>
      <c r="E50" s="34"/>
      <c r="F50" s="20" t="e">
        <f t="shared" si="11"/>
        <v>#DIV/0!</v>
      </c>
      <c r="G50" s="2">
        <f t="shared" si="9"/>
        <v>0</v>
      </c>
      <c r="H50" s="2">
        <f t="shared" si="10"/>
        <v>0</v>
      </c>
      <c r="I50" s="29"/>
      <c r="J50" s="34"/>
      <c r="K50" s="20" t="e">
        <f t="shared" si="12"/>
        <v>#DIV/0!</v>
      </c>
      <c r="L50" s="4" t="e">
        <f t="shared" si="13"/>
        <v>#DIV/0!</v>
      </c>
      <c r="M50" s="104"/>
      <c r="N50" s="103"/>
      <c r="O50" s="34"/>
      <c r="P50" s="6"/>
      <c r="Q50" s="32"/>
    </row>
    <row r="51" spans="1:17">
      <c r="A51" s="13">
        <f t="shared" si="14"/>
        <v>46159</v>
      </c>
      <c r="B51" s="127"/>
      <c r="C51" s="127"/>
      <c r="D51" s="34"/>
      <c r="E51" s="34"/>
      <c r="F51" s="20" t="e">
        <f t="shared" si="11"/>
        <v>#DIV/0!</v>
      </c>
      <c r="G51" s="2">
        <f t="shared" si="9"/>
        <v>0</v>
      </c>
      <c r="H51" s="2">
        <f t="shared" si="10"/>
        <v>0</v>
      </c>
      <c r="I51" s="29"/>
      <c r="J51" s="34"/>
      <c r="K51" s="20" t="e">
        <f t="shared" si="12"/>
        <v>#DIV/0!</v>
      </c>
      <c r="L51" s="4" t="e">
        <f t="shared" si="13"/>
        <v>#DIV/0!</v>
      </c>
      <c r="M51" s="103"/>
      <c r="N51" s="103"/>
      <c r="O51" s="34"/>
      <c r="P51" s="6"/>
      <c r="Q51" s="6"/>
    </row>
    <row r="52" spans="1:17">
      <c r="A52" s="13">
        <f t="shared" si="14"/>
        <v>46160</v>
      </c>
      <c r="B52" s="127"/>
      <c r="C52" s="127"/>
      <c r="D52" s="34"/>
      <c r="E52" s="34"/>
      <c r="F52" s="20" t="e">
        <f t="shared" si="11"/>
        <v>#DIV/0!</v>
      </c>
      <c r="G52" s="2">
        <f t="shared" si="9"/>
        <v>0</v>
      </c>
      <c r="H52" s="2">
        <f t="shared" si="10"/>
        <v>0</v>
      </c>
      <c r="I52" s="29"/>
      <c r="J52" s="34"/>
      <c r="K52" s="20" t="e">
        <f t="shared" si="12"/>
        <v>#DIV/0!</v>
      </c>
      <c r="L52" s="4" t="e">
        <f t="shared" si="13"/>
        <v>#DIV/0!</v>
      </c>
      <c r="M52" s="103"/>
      <c r="N52" s="103"/>
      <c r="O52" s="34"/>
      <c r="P52" s="6"/>
      <c r="Q52" s="14"/>
    </row>
    <row r="53" spans="1:17">
      <c r="A53" s="13">
        <f t="shared" si="14"/>
        <v>46161</v>
      </c>
      <c r="B53" s="127"/>
      <c r="C53" s="127"/>
      <c r="D53" s="34"/>
      <c r="E53" s="34"/>
      <c r="F53" s="20" t="e">
        <f t="shared" si="11"/>
        <v>#DIV/0!</v>
      </c>
      <c r="G53" s="2">
        <f t="shared" si="9"/>
        <v>0</v>
      </c>
      <c r="H53" s="2">
        <f t="shared" si="10"/>
        <v>0</v>
      </c>
      <c r="I53" s="29"/>
      <c r="J53" s="34"/>
      <c r="K53" s="20" t="e">
        <f t="shared" si="12"/>
        <v>#DIV/0!</v>
      </c>
      <c r="L53" s="4" t="e">
        <f t="shared" si="13"/>
        <v>#DIV/0!</v>
      </c>
      <c r="M53" s="103"/>
      <c r="N53" s="103"/>
      <c r="O53" s="34"/>
      <c r="P53" s="6"/>
      <c r="Q53" s="14"/>
    </row>
    <row r="54" spans="1:17">
      <c r="A54" s="13">
        <f t="shared" si="14"/>
        <v>46162</v>
      </c>
      <c r="B54" s="127"/>
      <c r="C54" s="127"/>
      <c r="D54" s="34"/>
      <c r="E54" s="34"/>
      <c r="F54" s="20" t="e">
        <f t="shared" si="11"/>
        <v>#DIV/0!</v>
      </c>
      <c r="G54" s="2">
        <f t="shared" si="9"/>
        <v>0</v>
      </c>
      <c r="H54" s="2">
        <f t="shared" si="10"/>
        <v>0</v>
      </c>
      <c r="I54" s="29"/>
      <c r="J54" s="34"/>
      <c r="K54" s="20" t="e">
        <f t="shared" si="12"/>
        <v>#DIV/0!</v>
      </c>
      <c r="L54" s="4" t="e">
        <f t="shared" si="13"/>
        <v>#DIV/0!</v>
      </c>
      <c r="M54" s="103"/>
      <c r="N54" s="103"/>
      <c r="O54" s="34"/>
      <c r="P54" s="6"/>
      <c r="Q54" s="14"/>
    </row>
    <row r="55" spans="1:17">
      <c r="A55" s="13">
        <f t="shared" si="14"/>
        <v>46163</v>
      </c>
      <c r="B55" s="127"/>
      <c r="C55" s="127"/>
      <c r="D55" s="34"/>
      <c r="E55" s="34"/>
      <c r="F55" s="20" t="e">
        <f>(IF(ISBLANK(E55),0,E55-C55))/C55</f>
        <v>#DIV/0!</v>
      </c>
      <c r="G55" s="2">
        <f t="shared" si="9"/>
        <v>0</v>
      </c>
      <c r="H55" s="2">
        <f t="shared" si="10"/>
        <v>0</v>
      </c>
      <c r="I55" s="29"/>
      <c r="J55" s="34"/>
      <c r="K55" s="20" t="e">
        <f>(IF(ISBLANK(J55),0,J55-I55))/I55</f>
        <v>#DIV/0!</v>
      </c>
      <c r="L55" s="4" t="e">
        <f t="shared" si="13"/>
        <v>#DIV/0!</v>
      </c>
      <c r="M55" s="103"/>
      <c r="N55" s="103"/>
      <c r="O55" s="34"/>
      <c r="P55" s="6"/>
      <c r="Q55" s="6"/>
    </row>
    <row r="56" spans="1:17">
      <c r="A56" s="13">
        <f t="shared" si="14"/>
        <v>46164</v>
      </c>
      <c r="B56" s="127"/>
      <c r="C56" s="127"/>
      <c r="D56" s="34"/>
      <c r="E56" s="34"/>
      <c r="F56" s="20" t="e">
        <f t="shared" ref="F56:F65" si="15">(IF(ISBLANK(E56),0,E56-C56))/C56</f>
        <v>#DIV/0!</v>
      </c>
      <c r="G56" s="2">
        <f t="shared" si="9"/>
        <v>0</v>
      </c>
      <c r="H56" s="2">
        <f t="shared" si="10"/>
        <v>0</v>
      </c>
      <c r="I56" s="29"/>
      <c r="J56" s="34"/>
      <c r="K56" s="20" t="e">
        <f t="shared" ref="K56:K65" si="16">(IF(ISBLANK(J56),0,J56-I56))/I56</f>
        <v>#DIV/0!</v>
      </c>
      <c r="L56" s="4" t="e">
        <f t="shared" si="13"/>
        <v>#DIV/0!</v>
      </c>
      <c r="M56" s="103"/>
      <c r="N56" s="103"/>
      <c r="O56" s="34"/>
      <c r="P56" s="6"/>
      <c r="Q56" s="6"/>
    </row>
    <row r="57" spans="1:17">
      <c r="A57" s="13">
        <f t="shared" si="14"/>
        <v>46165</v>
      </c>
      <c r="B57" s="127"/>
      <c r="C57" s="127"/>
      <c r="D57" s="14"/>
      <c r="E57" s="14"/>
      <c r="F57" s="20" t="e">
        <f t="shared" si="15"/>
        <v>#DIV/0!</v>
      </c>
      <c r="G57" s="2">
        <f t="shared" si="9"/>
        <v>0</v>
      </c>
      <c r="H57" s="2">
        <f t="shared" si="10"/>
        <v>0</v>
      </c>
      <c r="I57" s="29"/>
      <c r="J57" s="14"/>
      <c r="K57" s="20" t="e">
        <f t="shared" si="16"/>
        <v>#DIV/0!</v>
      </c>
      <c r="L57" s="4" t="e">
        <f t="shared" si="13"/>
        <v>#DIV/0!</v>
      </c>
      <c r="M57" s="103"/>
      <c r="N57" s="103"/>
      <c r="O57" s="34"/>
      <c r="P57" s="6"/>
      <c r="Q57" s="6"/>
    </row>
    <row r="58" spans="1:17">
      <c r="A58" s="13">
        <f t="shared" si="14"/>
        <v>46166</v>
      </c>
      <c r="B58" s="127"/>
      <c r="C58" s="127"/>
      <c r="D58" s="14"/>
      <c r="E58" s="14"/>
      <c r="F58" s="20" t="e">
        <f t="shared" si="15"/>
        <v>#DIV/0!</v>
      </c>
      <c r="G58" s="2">
        <f t="shared" ref="G58:G65" si="17">D58/($D$2*24)</f>
        <v>0</v>
      </c>
      <c r="H58" s="2">
        <f t="shared" si="10"/>
        <v>0</v>
      </c>
      <c r="I58" s="29"/>
      <c r="J58" s="14"/>
      <c r="K58" s="20" t="e">
        <f t="shared" si="16"/>
        <v>#DIV/0!</v>
      </c>
      <c r="L58" s="4" t="e">
        <f t="shared" si="13"/>
        <v>#DIV/0!</v>
      </c>
      <c r="M58" s="103"/>
      <c r="N58" s="103"/>
      <c r="O58" s="34"/>
      <c r="P58" s="6"/>
      <c r="Q58" s="288"/>
    </row>
    <row r="59" spans="1:17">
      <c r="A59" s="13">
        <f t="shared" si="14"/>
        <v>46167</v>
      </c>
      <c r="B59" s="1"/>
      <c r="C59" s="1"/>
      <c r="D59" s="14"/>
      <c r="E59" s="14"/>
      <c r="F59" s="20" t="e">
        <f t="shared" si="15"/>
        <v>#DIV/0!</v>
      </c>
      <c r="G59" s="2">
        <f t="shared" si="17"/>
        <v>0</v>
      </c>
      <c r="H59" s="2">
        <f t="shared" si="10"/>
        <v>0</v>
      </c>
      <c r="I59" s="29"/>
      <c r="J59" s="14"/>
      <c r="K59" s="20" t="e">
        <f t="shared" si="16"/>
        <v>#DIV/0!</v>
      </c>
      <c r="L59" s="4" t="e">
        <f t="shared" si="13"/>
        <v>#DIV/0!</v>
      </c>
      <c r="M59" s="103"/>
      <c r="N59" s="103"/>
      <c r="O59" s="34"/>
      <c r="P59" s="155"/>
      <c r="Q59" s="6"/>
    </row>
    <row r="60" spans="1:17">
      <c r="A60" s="13">
        <f t="shared" si="14"/>
        <v>46168</v>
      </c>
      <c r="B60" s="1"/>
      <c r="C60" s="1"/>
      <c r="D60" s="14"/>
      <c r="E60" s="14"/>
      <c r="F60" s="20" t="e">
        <f t="shared" si="15"/>
        <v>#DIV/0!</v>
      </c>
      <c r="G60" s="2">
        <f t="shared" si="17"/>
        <v>0</v>
      </c>
      <c r="H60" s="2">
        <f t="shared" si="10"/>
        <v>0</v>
      </c>
      <c r="I60" s="29"/>
      <c r="J60" s="14"/>
      <c r="K60" s="20" t="e">
        <f t="shared" si="16"/>
        <v>#DIV/0!</v>
      </c>
      <c r="L60" s="4" t="e">
        <f t="shared" si="13"/>
        <v>#DIV/0!</v>
      </c>
      <c r="M60" s="103"/>
      <c r="N60" s="103"/>
      <c r="O60" s="34"/>
      <c r="P60" s="6"/>
      <c r="Q60" s="123"/>
    </row>
    <row r="61" spans="1:17">
      <c r="A61" s="13">
        <f t="shared" si="14"/>
        <v>46169</v>
      </c>
      <c r="B61" s="1"/>
      <c r="C61" s="1"/>
      <c r="D61" s="14"/>
      <c r="E61" s="14"/>
      <c r="F61" s="20" t="e">
        <f t="shared" si="15"/>
        <v>#DIV/0!</v>
      </c>
      <c r="G61" s="2">
        <f t="shared" si="17"/>
        <v>0</v>
      </c>
      <c r="H61" s="2">
        <f t="shared" si="10"/>
        <v>0</v>
      </c>
      <c r="I61" s="29"/>
      <c r="J61" s="14"/>
      <c r="K61" s="20" t="e">
        <f t="shared" si="16"/>
        <v>#DIV/0!</v>
      </c>
      <c r="L61" s="4" t="e">
        <f t="shared" si="13"/>
        <v>#DIV/0!</v>
      </c>
      <c r="M61" s="103"/>
      <c r="N61" s="103"/>
      <c r="O61" s="34"/>
      <c r="P61" s="6"/>
      <c r="Q61" s="6"/>
    </row>
    <row r="62" spans="1:17">
      <c r="A62" s="13">
        <f t="shared" si="14"/>
        <v>46170</v>
      </c>
      <c r="B62" s="1"/>
      <c r="C62" s="1"/>
      <c r="D62" s="14"/>
      <c r="E62" s="14"/>
      <c r="F62" s="20" t="e">
        <f t="shared" si="15"/>
        <v>#DIV/0!</v>
      </c>
      <c r="G62" s="2">
        <f t="shared" si="17"/>
        <v>0</v>
      </c>
      <c r="H62" s="2">
        <f t="shared" ref="H62:H65" si="18">D62/($H$2*24)</f>
        <v>0</v>
      </c>
      <c r="I62" s="29"/>
      <c r="J62" s="14"/>
      <c r="K62" s="20" t="e">
        <f t="shared" si="16"/>
        <v>#DIV/0!</v>
      </c>
      <c r="L62" s="4" t="e">
        <f t="shared" si="13"/>
        <v>#DIV/0!</v>
      </c>
      <c r="M62" s="103"/>
      <c r="N62" s="103"/>
      <c r="O62" s="34"/>
      <c r="P62" s="6"/>
      <c r="Q62" s="6"/>
    </row>
    <row r="63" spans="1:17">
      <c r="A63" s="13">
        <f t="shared" si="14"/>
        <v>46171</v>
      </c>
      <c r="B63" s="1"/>
      <c r="C63" s="1"/>
      <c r="D63" s="14"/>
      <c r="E63" s="14"/>
      <c r="F63" s="20" t="e">
        <f t="shared" si="15"/>
        <v>#DIV/0!</v>
      </c>
      <c r="G63" s="2">
        <f t="shared" si="17"/>
        <v>0</v>
      </c>
      <c r="H63" s="2">
        <f t="shared" si="18"/>
        <v>0</v>
      </c>
      <c r="I63" s="29"/>
      <c r="J63" s="14"/>
      <c r="K63" s="20" t="e">
        <f t="shared" si="16"/>
        <v>#DIV/0!</v>
      </c>
      <c r="L63" s="4" t="e">
        <f t="shared" si="13"/>
        <v>#DIV/0!</v>
      </c>
      <c r="M63" s="103"/>
      <c r="N63" s="103"/>
      <c r="O63" s="34"/>
      <c r="P63" s="6"/>
      <c r="Q63" s="6"/>
    </row>
    <row r="64" spans="1:17">
      <c r="A64" s="13">
        <f t="shared" si="14"/>
        <v>46172</v>
      </c>
      <c r="B64" s="1"/>
      <c r="C64" s="1"/>
      <c r="D64" s="14"/>
      <c r="E64" s="14"/>
      <c r="F64" s="20" t="e">
        <f t="shared" si="15"/>
        <v>#DIV/0!</v>
      </c>
      <c r="G64" s="2">
        <f t="shared" si="17"/>
        <v>0</v>
      </c>
      <c r="H64" s="2">
        <f t="shared" si="18"/>
        <v>0</v>
      </c>
      <c r="I64" s="29"/>
      <c r="J64" s="14"/>
      <c r="K64" s="20" t="e">
        <f t="shared" si="16"/>
        <v>#DIV/0!</v>
      </c>
      <c r="L64" s="4" t="e">
        <f t="shared" si="13"/>
        <v>#DIV/0!</v>
      </c>
      <c r="M64" s="103"/>
      <c r="N64" s="103"/>
      <c r="O64" s="34"/>
      <c r="P64" s="6"/>
      <c r="Q64" s="6"/>
    </row>
    <row r="65" spans="1:17">
      <c r="A65" s="13">
        <f t="shared" si="14"/>
        <v>46173</v>
      </c>
      <c r="B65" s="1"/>
      <c r="C65" s="1"/>
      <c r="D65" s="14"/>
      <c r="E65" s="14"/>
      <c r="F65" s="20" t="e">
        <f t="shared" si="15"/>
        <v>#DIV/0!</v>
      </c>
      <c r="G65" s="2">
        <f t="shared" si="17"/>
        <v>0</v>
      </c>
      <c r="H65" s="2">
        <f t="shared" si="18"/>
        <v>0</v>
      </c>
      <c r="I65" s="29"/>
      <c r="J65" s="14"/>
      <c r="K65" s="20" t="e">
        <f t="shared" si="16"/>
        <v>#DIV/0!</v>
      </c>
      <c r="L65" s="4" t="e">
        <f t="shared" si="13"/>
        <v>#DIV/0!</v>
      </c>
      <c r="M65" s="103"/>
      <c r="N65" s="103"/>
      <c r="O65" s="34"/>
      <c r="P65" s="6"/>
      <c r="Q65" s="6"/>
    </row>
    <row r="66" spans="1:17">
      <c r="A66" s="349">
        <v>46143</v>
      </c>
      <c r="B66" s="89">
        <f>SUM(B35:B65)</f>
        <v>56991</v>
      </c>
      <c r="C66" s="89">
        <f>SUM(C35:C65)</f>
        <v>50991</v>
      </c>
      <c r="D66" s="89">
        <f>SUM(D35:D65)</f>
        <v>0</v>
      </c>
      <c r="E66" s="89">
        <f>SUM(E35:E65)</f>
        <v>0</v>
      </c>
      <c r="F66" s="160">
        <f>(IF(ISBLANK(E66),0,E66-C66))/C66</f>
        <v>-1</v>
      </c>
      <c r="G66" s="90">
        <f>AVERAGE(G35:G65)</f>
        <v>0</v>
      </c>
      <c r="H66" s="90">
        <f>AVERAGE(H35:H65)</f>
        <v>0</v>
      </c>
      <c r="I66" s="89">
        <f>SUM(I35:I65)</f>
        <v>16.649999999999999</v>
      </c>
      <c r="J66" s="89">
        <f>SUM(J35:J65)</f>
        <v>0</v>
      </c>
      <c r="K66" s="160">
        <f>(IF(ISBLANK(J66),0,J66-I66))/I66</f>
        <v>-1</v>
      </c>
      <c r="L66" s="161" t="e">
        <f t="shared" si="13"/>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5ADC-2894-471B-A63A-0B289FB9E312}">
  <dimension ref="A1:Q66"/>
  <sheetViews>
    <sheetView topLeftCell="A28" workbookViewId="0">
      <selection activeCell="I35" sqref="I35:I3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54296875" bestFit="1" customWidth="1"/>
    <col min="12" max="12" width="7" bestFit="1" customWidth="1"/>
    <col min="13" max="14" width="9.26953125" bestFit="1" customWidth="1"/>
    <col min="15" max="15" width="15.453125" customWidth="1"/>
    <col min="16" max="16" width="20.81640625" customWidth="1"/>
    <col min="17" max="17" width="49.7265625" bestFit="1" customWidth="1"/>
    <col min="18" max="18" width="10" customWidth="1"/>
  </cols>
  <sheetData>
    <row r="1" spans="1:17" ht="18.5">
      <c r="A1" s="405" t="s">
        <v>393</v>
      </c>
      <c r="B1" s="406"/>
      <c r="C1" s="406"/>
      <c r="D1" s="406"/>
      <c r="E1" s="406"/>
      <c r="F1" s="406"/>
      <c r="G1" s="406"/>
      <c r="H1" s="406"/>
      <c r="I1" s="406"/>
      <c r="J1" s="406"/>
      <c r="K1" s="406"/>
      <c r="L1" s="406"/>
      <c r="M1" s="406"/>
      <c r="N1" s="406"/>
      <c r="O1" s="406"/>
      <c r="P1" s="406"/>
      <c r="Q1" s="406"/>
    </row>
    <row r="2" spans="1:17" ht="18.5">
      <c r="A2" s="7">
        <v>46113</v>
      </c>
      <c r="B2" s="407" t="s">
        <v>172</v>
      </c>
      <c r="C2" s="408"/>
      <c r="D2" s="8">
        <v>3717</v>
      </c>
      <c r="E2" s="407" t="s">
        <v>173</v>
      </c>
      <c r="F2" s="407"/>
      <c r="G2" s="408"/>
      <c r="H2" s="8">
        <v>3300</v>
      </c>
      <c r="I2" s="409" t="s">
        <v>174</v>
      </c>
      <c r="J2" s="410"/>
      <c r="K2" s="9">
        <v>46038</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ht="15">
      <c r="A4" s="13">
        <f>A2</f>
        <v>46113</v>
      </c>
      <c r="B4" s="1">
        <v>21081.5</v>
      </c>
      <c r="C4" s="1">
        <v>19019.966666666667</v>
      </c>
      <c r="D4" s="244">
        <v>21179</v>
      </c>
      <c r="E4" s="244">
        <v>20940</v>
      </c>
      <c r="F4" s="20">
        <f>(IF(ISBLANK(E4),0,E4-C4))/C4</f>
        <v>0.10094830169698857</v>
      </c>
      <c r="G4" s="2">
        <f t="shared" ref="G4:G27" si="0">D4/($D$2*24)</f>
        <v>0.2374114429199175</v>
      </c>
      <c r="H4" s="2">
        <f t="shared" ref="H4:H21" si="1">D4/($H$2*24)</f>
        <v>0.26741161616161618</v>
      </c>
      <c r="I4" s="86">
        <v>6.1833333333333336</v>
      </c>
      <c r="J4" s="247">
        <v>6.41</v>
      </c>
      <c r="K4" s="20">
        <f>(IF(ISBLANK(J4),0,J4-I4))/I4</f>
        <v>3.6657681940700793E-2</v>
      </c>
      <c r="L4" s="4">
        <f t="shared" ref="L4:L35" si="2">D4/($D$2*J4)</f>
        <v>0.8889039984521091</v>
      </c>
      <c r="M4" s="250">
        <v>1</v>
      </c>
      <c r="N4" s="251">
        <v>1</v>
      </c>
      <c r="O4" s="49"/>
      <c r="P4" s="49"/>
      <c r="Q4" s="49"/>
    </row>
    <row r="5" spans="1:17" ht="15">
      <c r="A5" s="13">
        <f>A4+1</f>
        <v>46114</v>
      </c>
      <c r="B5" s="1">
        <v>21081.5</v>
      </c>
      <c r="C5" s="1">
        <v>19019.966666666667</v>
      </c>
      <c r="D5" s="245">
        <v>20968</v>
      </c>
      <c r="E5" s="245">
        <v>20920</v>
      </c>
      <c r="F5" s="20">
        <f t="shared" ref="F5:F33" si="3">(IF(ISBLANK(E5),0,E5-C5))/C5</f>
        <v>9.9896775143314284E-2</v>
      </c>
      <c r="G5" s="2">
        <f t="shared" si="0"/>
        <v>0.23504618419872658</v>
      </c>
      <c r="H5" s="2">
        <f t="shared" si="1"/>
        <v>0.26474747474747473</v>
      </c>
      <c r="I5" s="86">
        <v>6.1833333333333336</v>
      </c>
      <c r="J5" s="248">
        <v>6.25</v>
      </c>
      <c r="K5" s="20">
        <f t="shared" ref="K5:K34" si="4">(IF(ISBLANK(J5),0,J5-I5))/I5</f>
        <v>1.078167115902961E-2</v>
      </c>
      <c r="L5" s="4">
        <f t="shared" si="2"/>
        <v>0.90257734732311001</v>
      </c>
      <c r="M5" s="251">
        <v>1</v>
      </c>
      <c r="N5" s="251">
        <v>1</v>
      </c>
      <c r="O5" s="50"/>
      <c r="P5" s="50"/>
      <c r="Q5" s="50"/>
    </row>
    <row r="6" spans="1:17" ht="15">
      <c r="A6" s="13">
        <f t="shared" ref="A6:A33" si="5">A5+1</f>
        <v>46115</v>
      </c>
      <c r="B6" s="1">
        <v>21081.5</v>
      </c>
      <c r="C6" s="1">
        <v>19019.966666666667</v>
      </c>
      <c r="D6" s="245">
        <v>19338</v>
      </c>
      <c r="E6" s="245">
        <v>19320</v>
      </c>
      <c r="F6" s="20">
        <f t="shared" si="3"/>
        <v>1.5774650849370547E-2</v>
      </c>
      <c r="G6" s="2">
        <f t="shared" si="0"/>
        <v>0.21677428033360235</v>
      </c>
      <c r="H6" s="2">
        <f t="shared" si="1"/>
        <v>0.24416666666666667</v>
      </c>
      <c r="I6" s="86">
        <v>6.1833333333333336</v>
      </c>
      <c r="J6" s="248">
        <v>6.01</v>
      </c>
      <c r="K6" s="20">
        <f t="shared" si="4"/>
        <v>-2.8032345013477161E-2</v>
      </c>
      <c r="L6" s="4">
        <f t="shared" si="2"/>
        <v>0.86565436406097462</v>
      </c>
      <c r="M6" s="251">
        <v>1</v>
      </c>
      <c r="N6" s="251">
        <v>1</v>
      </c>
      <c r="O6" s="50"/>
      <c r="P6" s="50"/>
      <c r="Q6" s="50"/>
    </row>
    <row r="7" spans="1:17" ht="15">
      <c r="A7" s="13">
        <f t="shared" si="5"/>
        <v>46116</v>
      </c>
      <c r="B7" s="1">
        <v>21081.5</v>
      </c>
      <c r="C7" s="1">
        <v>19019.966666666667</v>
      </c>
      <c r="D7" s="245">
        <v>9951</v>
      </c>
      <c r="E7" s="245">
        <v>9820</v>
      </c>
      <c r="F7" s="20">
        <f t="shared" si="3"/>
        <v>-0.48370046214592033</v>
      </c>
      <c r="G7" s="2">
        <f t="shared" si="0"/>
        <v>0.11154829163303739</v>
      </c>
      <c r="H7" s="2">
        <f t="shared" si="1"/>
        <v>0.12564393939393939</v>
      </c>
      <c r="I7" s="86">
        <v>6.1833333333333336</v>
      </c>
      <c r="J7" s="248">
        <v>3</v>
      </c>
      <c r="K7" s="20">
        <f t="shared" si="4"/>
        <v>-0.51482479784366575</v>
      </c>
      <c r="L7" s="4">
        <f t="shared" si="2"/>
        <v>0.89238633306429915</v>
      </c>
      <c r="M7" s="251">
        <v>1</v>
      </c>
      <c r="N7" s="251">
        <v>0.9506</v>
      </c>
      <c r="O7" s="50">
        <v>738</v>
      </c>
      <c r="P7" s="50"/>
      <c r="Q7" s="50" t="s">
        <v>390</v>
      </c>
    </row>
    <row r="8" spans="1:17" ht="15">
      <c r="A8" s="13">
        <f t="shared" si="5"/>
        <v>46117</v>
      </c>
      <c r="B8" s="1">
        <v>21081.5</v>
      </c>
      <c r="C8" s="1">
        <v>19019.966666666667</v>
      </c>
      <c r="D8" s="245">
        <v>21140</v>
      </c>
      <c r="E8" s="245">
        <v>20960</v>
      </c>
      <c r="F8" s="20">
        <f t="shared" si="3"/>
        <v>0.10199982825066287</v>
      </c>
      <c r="G8" s="2">
        <f t="shared" si="0"/>
        <v>0.23697426239799121</v>
      </c>
      <c r="H8" s="2">
        <f t="shared" si="1"/>
        <v>0.26691919191919194</v>
      </c>
      <c r="I8" s="86">
        <v>6.1833333333333336</v>
      </c>
      <c r="J8" s="248">
        <v>6.06</v>
      </c>
      <c r="K8" s="20">
        <f t="shared" si="4"/>
        <v>-1.9946091644204952E-2</v>
      </c>
      <c r="L8" s="4">
        <f t="shared" si="2"/>
        <v>0.9385119302890742</v>
      </c>
      <c r="M8" s="251">
        <v>1</v>
      </c>
      <c r="N8" s="251">
        <v>1</v>
      </c>
      <c r="O8" s="50"/>
      <c r="P8" s="50"/>
      <c r="Q8" s="50"/>
    </row>
    <row r="9" spans="1:17" ht="15">
      <c r="A9" s="13">
        <f t="shared" si="5"/>
        <v>46118</v>
      </c>
      <c r="B9" s="1">
        <v>21081.5</v>
      </c>
      <c r="C9" s="1">
        <v>19019.966666666667</v>
      </c>
      <c r="D9" s="245">
        <v>22437</v>
      </c>
      <c r="E9" s="245">
        <v>22520</v>
      </c>
      <c r="F9" s="20">
        <f t="shared" si="3"/>
        <v>0.18401889943725802</v>
      </c>
      <c r="G9" s="2">
        <f t="shared" si="0"/>
        <v>0.25151331719128328</v>
      </c>
      <c r="H9" s="2">
        <f t="shared" si="1"/>
        <v>0.28329545454545457</v>
      </c>
      <c r="I9" s="86">
        <v>6.1833333333333336</v>
      </c>
      <c r="J9" s="249">
        <v>6.75</v>
      </c>
      <c r="K9" s="20">
        <f t="shared" si="4"/>
        <v>9.1644204851751981E-2</v>
      </c>
      <c r="L9" s="4">
        <f t="shared" si="2"/>
        <v>0.89426957223567394</v>
      </c>
      <c r="M9" s="251">
        <v>1</v>
      </c>
      <c r="N9" s="251">
        <v>1</v>
      </c>
      <c r="O9" s="50"/>
      <c r="P9" s="50"/>
      <c r="Q9" s="50"/>
    </row>
    <row r="10" spans="1:17" ht="15">
      <c r="A10" s="13">
        <f t="shared" si="5"/>
        <v>46119</v>
      </c>
      <c r="B10" s="1">
        <v>21081.5</v>
      </c>
      <c r="C10" s="1">
        <v>19019.966666666667</v>
      </c>
      <c r="D10" s="245">
        <v>23673</v>
      </c>
      <c r="E10" s="245">
        <v>23760</v>
      </c>
      <c r="F10" s="20">
        <f t="shared" si="3"/>
        <v>0.24921354576506441</v>
      </c>
      <c r="G10" s="2">
        <f t="shared" si="0"/>
        <v>0.2653685768092548</v>
      </c>
      <c r="H10" s="2">
        <f t="shared" si="1"/>
        <v>0.29890151515151514</v>
      </c>
      <c r="I10" s="86">
        <v>6.1833333333333336</v>
      </c>
      <c r="J10" s="249">
        <v>7.23</v>
      </c>
      <c r="K10" s="20">
        <f t="shared" si="4"/>
        <v>0.16927223719676551</v>
      </c>
      <c r="L10" s="4">
        <f t="shared" si="2"/>
        <v>0.88089154127553448</v>
      </c>
      <c r="M10" s="251">
        <v>1</v>
      </c>
      <c r="N10" s="251">
        <v>1</v>
      </c>
      <c r="O10" s="50"/>
      <c r="P10" s="50"/>
      <c r="Q10" s="50"/>
    </row>
    <row r="11" spans="1:17" ht="15">
      <c r="A11" s="13">
        <f t="shared" si="5"/>
        <v>46120</v>
      </c>
      <c r="B11" s="1">
        <v>21081.5</v>
      </c>
      <c r="C11" s="1">
        <v>19019.966666666667</v>
      </c>
      <c r="D11" s="245">
        <v>23570</v>
      </c>
      <c r="E11" s="245">
        <v>23360</v>
      </c>
      <c r="F11" s="20">
        <f t="shared" si="3"/>
        <v>0.22818301469157848</v>
      </c>
      <c r="G11" s="2">
        <f t="shared" si="0"/>
        <v>0.26421397184109047</v>
      </c>
      <c r="H11" s="2">
        <f t="shared" si="1"/>
        <v>0.29760101010101009</v>
      </c>
      <c r="I11" s="86">
        <v>6.1833333333333336</v>
      </c>
      <c r="J11" s="249">
        <v>7.28</v>
      </c>
      <c r="K11" s="20">
        <f t="shared" si="4"/>
        <v>0.17735849056603772</v>
      </c>
      <c r="L11" s="4">
        <f t="shared" si="2"/>
        <v>0.87103507200359498</v>
      </c>
      <c r="M11" s="251">
        <v>1</v>
      </c>
      <c r="N11" s="251">
        <v>1</v>
      </c>
      <c r="O11" s="50"/>
      <c r="P11" s="50"/>
      <c r="Q11" s="50"/>
    </row>
    <row r="12" spans="1:17" ht="15">
      <c r="A12" s="13">
        <f t="shared" si="5"/>
        <v>46121</v>
      </c>
      <c r="B12" s="1">
        <v>21081.5</v>
      </c>
      <c r="C12" s="1">
        <v>19019.966666666667</v>
      </c>
      <c r="D12" s="245">
        <v>20056</v>
      </c>
      <c r="E12" s="245">
        <v>19900</v>
      </c>
      <c r="F12" s="20">
        <f t="shared" si="3"/>
        <v>4.6268920905925152E-2</v>
      </c>
      <c r="G12" s="2">
        <f t="shared" si="0"/>
        <v>0.22482288583983498</v>
      </c>
      <c r="H12" s="2">
        <f t="shared" si="1"/>
        <v>0.25323232323232325</v>
      </c>
      <c r="I12" s="86">
        <v>6.1833333333333336</v>
      </c>
      <c r="J12" s="249">
        <v>7.34</v>
      </c>
      <c r="K12" s="20">
        <f t="shared" si="4"/>
        <v>0.18706199460916434</v>
      </c>
      <c r="L12" s="4">
        <f t="shared" si="2"/>
        <v>0.73511570301853402</v>
      </c>
      <c r="M12" s="251">
        <v>1</v>
      </c>
      <c r="N12" s="251">
        <v>1</v>
      </c>
      <c r="O12" s="50"/>
      <c r="P12" s="50"/>
      <c r="Q12" s="50"/>
    </row>
    <row r="13" spans="1:17" ht="15">
      <c r="A13" s="13">
        <f t="shared" si="5"/>
        <v>46122</v>
      </c>
      <c r="B13" s="1">
        <v>21081.5</v>
      </c>
      <c r="C13" s="1">
        <v>19019.966666666667</v>
      </c>
      <c r="D13" s="245">
        <v>19150</v>
      </c>
      <c r="E13" s="245">
        <v>19020</v>
      </c>
      <c r="F13" s="20">
        <f t="shared" si="3"/>
        <v>1.7525442560983248E-6</v>
      </c>
      <c r="G13" s="2">
        <f t="shared" si="0"/>
        <v>0.21466684602277822</v>
      </c>
      <c r="H13" s="2">
        <f t="shared" si="1"/>
        <v>0.24179292929292928</v>
      </c>
      <c r="I13" s="86">
        <v>6.1833333333333336</v>
      </c>
      <c r="J13" s="249">
        <v>5.79</v>
      </c>
      <c r="K13" s="20">
        <f t="shared" si="4"/>
        <v>-6.3611859838274956E-2</v>
      </c>
      <c r="L13" s="4">
        <f t="shared" si="2"/>
        <v>0.88981076071617915</v>
      </c>
      <c r="M13" s="251">
        <v>1</v>
      </c>
      <c r="N13" s="251">
        <v>1</v>
      </c>
      <c r="O13" s="50"/>
      <c r="P13" s="50"/>
      <c r="Q13" s="50"/>
    </row>
    <row r="14" spans="1:17" ht="15">
      <c r="A14" s="13">
        <f t="shared" si="5"/>
        <v>46123</v>
      </c>
      <c r="B14" s="1">
        <v>21081.5</v>
      </c>
      <c r="C14" s="1">
        <v>19019.966666666667</v>
      </c>
      <c r="D14" s="245">
        <v>19150</v>
      </c>
      <c r="E14" s="245">
        <v>19000</v>
      </c>
      <c r="F14" s="20">
        <f t="shared" si="3"/>
        <v>-1.0497740094181983E-3</v>
      </c>
      <c r="G14" s="2">
        <f t="shared" si="0"/>
        <v>0.21466684602277822</v>
      </c>
      <c r="H14" s="2">
        <f t="shared" si="1"/>
        <v>0.24179292929292928</v>
      </c>
      <c r="I14" s="86">
        <v>6.1833333333333336</v>
      </c>
      <c r="J14" s="249">
        <v>5.64</v>
      </c>
      <c r="K14" s="20">
        <f t="shared" si="4"/>
        <v>-8.787061994609173E-2</v>
      </c>
      <c r="L14" s="4">
        <f t="shared" si="2"/>
        <v>0.91347594052246062</v>
      </c>
      <c r="M14" s="251">
        <v>1</v>
      </c>
      <c r="N14" s="251">
        <v>1</v>
      </c>
      <c r="O14" s="50"/>
      <c r="P14" s="50"/>
      <c r="Q14" s="50"/>
    </row>
    <row r="15" spans="1:17" ht="15">
      <c r="A15" s="13">
        <f t="shared" si="5"/>
        <v>46124</v>
      </c>
      <c r="B15" s="1">
        <v>21081.5</v>
      </c>
      <c r="C15" s="1">
        <v>19019.966666666667</v>
      </c>
      <c r="D15" s="245">
        <v>20728</v>
      </c>
      <c r="E15" s="245">
        <v>20500</v>
      </c>
      <c r="F15" s="20">
        <f t="shared" si="3"/>
        <v>7.7814717516154056E-2</v>
      </c>
      <c r="G15" s="2">
        <f t="shared" si="0"/>
        <v>0.23235584252533406</v>
      </c>
      <c r="H15" s="2">
        <f t="shared" si="1"/>
        <v>0.26171717171717174</v>
      </c>
      <c r="I15" s="86">
        <v>6.1833333333333336</v>
      </c>
      <c r="J15" s="249">
        <v>5.97</v>
      </c>
      <c r="K15" s="20">
        <f t="shared" si="4"/>
        <v>-3.4501347708894958E-2</v>
      </c>
      <c r="L15" s="4">
        <f t="shared" si="2"/>
        <v>0.93409383929782541</v>
      </c>
      <c r="M15" s="251">
        <v>1</v>
      </c>
      <c r="N15" s="251">
        <v>1</v>
      </c>
      <c r="O15" s="50"/>
      <c r="P15" s="50"/>
      <c r="Q15" s="50"/>
    </row>
    <row r="16" spans="1:17" ht="15">
      <c r="A16" s="13">
        <f t="shared" si="5"/>
        <v>46125</v>
      </c>
      <c r="B16" s="1">
        <v>21081.5</v>
      </c>
      <c r="C16" s="1">
        <v>19019.966666666667</v>
      </c>
      <c r="D16" s="245">
        <v>22570</v>
      </c>
      <c r="E16" s="245">
        <v>22540</v>
      </c>
      <c r="F16" s="20">
        <f t="shared" si="3"/>
        <v>0.18507042599093232</v>
      </c>
      <c r="G16" s="2">
        <f t="shared" si="0"/>
        <v>0.25300421486862162</v>
      </c>
      <c r="H16" s="2">
        <f t="shared" si="1"/>
        <v>0.28497474747474749</v>
      </c>
      <c r="I16" s="86">
        <v>6.1833333333333336</v>
      </c>
      <c r="J16" s="249">
        <v>6.34</v>
      </c>
      <c r="K16" s="20">
        <f t="shared" si="4"/>
        <v>2.5336927223719614E-2</v>
      </c>
      <c r="L16" s="4">
        <f t="shared" si="2"/>
        <v>0.9577446619632366</v>
      </c>
      <c r="M16" s="251">
        <v>1</v>
      </c>
      <c r="N16" s="251">
        <v>1</v>
      </c>
      <c r="O16" s="50"/>
      <c r="P16" s="50"/>
      <c r="Q16" s="50"/>
    </row>
    <row r="17" spans="1:17" ht="15">
      <c r="A17" s="13">
        <f t="shared" si="5"/>
        <v>46126</v>
      </c>
      <c r="B17" s="1">
        <v>21081.5</v>
      </c>
      <c r="C17" s="1">
        <v>19019.966666666667</v>
      </c>
      <c r="D17" s="245">
        <v>22335</v>
      </c>
      <c r="E17" s="245">
        <v>22160</v>
      </c>
      <c r="F17" s="20">
        <f t="shared" si="3"/>
        <v>0.16509142147112066</v>
      </c>
      <c r="G17" s="2">
        <f t="shared" si="0"/>
        <v>0.25036992198009145</v>
      </c>
      <c r="H17" s="2">
        <f t="shared" si="1"/>
        <v>0.28200757575757573</v>
      </c>
      <c r="I17" s="86">
        <v>6.1833333333333336</v>
      </c>
      <c r="J17" s="249">
        <v>6.85</v>
      </c>
      <c r="K17" s="20">
        <f t="shared" si="4"/>
        <v>0.10781671159029639</v>
      </c>
      <c r="L17" s="4">
        <f t="shared" si="2"/>
        <v>0.8772084857696637</v>
      </c>
      <c r="M17" s="251">
        <v>1</v>
      </c>
      <c r="N17" s="251">
        <v>1</v>
      </c>
      <c r="O17" s="50"/>
      <c r="P17" s="50"/>
      <c r="Q17" s="50"/>
    </row>
    <row r="18" spans="1:17" ht="15">
      <c r="A18" s="13">
        <f t="shared" si="5"/>
        <v>46127</v>
      </c>
      <c r="B18" s="1">
        <v>21081.5</v>
      </c>
      <c r="C18" s="1">
        <v>19019.966666666667</v>
      </c>
      <c r="D18" s="245">
        <v>21667</v>
      </c>
      <c r="E18" s="245">
        <v>21500</v>
      </c>
      <c r="F18" s="20">
        <f t="shared" si="3"/>
        <v>0.13039104519986888</v>
      </c>
      <c r="G18" s="2">
        <f t="shared" si="0"/>
        <v>0.2428818043224823</v>
      </c>
      <c r="H18" s="2">
        <f t="shared" si="1"/>
        <v>0.27357323232323233</v>
      </c>
      <c r="I18" s="86">
        <v>6.1833333333333336</v>
      </c>
      <c r="J18" s="249">
        <v>6.65</v>
      </c>
      <c r="K18" s="20">
        <f t="shared" si="4"/>
        <v>7.5471698113207558E-2</v>
      </c>
      <c r="L18" s="4">
        <f t="shared" si="2"/>
        <v>0.87656591033677811</v>
      </c>
      <c r="M18" s="251">
        <v>1</v>
      </c>
      <c r="N18" s="251">
        <v>1</v>
      </c>
      <c r="O18" s="50"/>
      <c r="P18" s="50"/>
      <c r="Q18" s="50"/>
    </row>
    <row r="19" spans="1:17" ht="15">
      <c r="A19" s="13">
        <f t="shared" si="5"/>
        <v>46128</v>
      </c>
      <c r="B19" s="1">
        <v>21081.5</v>
      </c>
      <c r="C19" s="1">
        <v>19019.966666666667</v>
      </c>
      <c r="D19" s="245">
        <v>20495</v>
      </c>
      <c r="E19" s="245">
        <v>20340</v>
      </c>
      <c r="F19" s="20">
        <f t="shared" si="3"/>
        <v>6.9402505086759672E-2</v>
      </c>
      <c r="G19" s="2">
        <f t="shared" si="0"/>
        <v>0.22974396915074882</v>
      </c>
      <c r="H19" s="2">
        <f t="shared" si="1"/>
        <v>0.25877525252525252</v>
      </c>
      <c r="I19" s="86">
        <v>6.1833333333333336</v>
      </c>
      <c r="J19" s="249">
        <v>6.22</v>
      </c>
      <c r="K19" s="20">
        <f t="shared" si="4"/>
        <v>5.9299191374662281E-3</v>
      </c>
      <c r="L19" s="4">
        <f t="shared" si="2"/>
        <v>0.8864719066909923</v>
      </c>
      <c r="M19" s="251">
        <v>1</v>
      </c>
      <c r="N19" s="251">
        <v>1</v>
      </c>
      <c r="O19" s="50"/>
      <c r="P19" s="50"/>
      <c r="Q19" s="50"/>
    </row>
    <row r="20" spans="1:17" ht="15">
      <c r="A20" s="13">
        <f t="shared" si="5"/>
        <v>46129</v>
      </c>
      <c r="B20" s="1">
        <v>21081.5</v>
      </c>
      <c r="C20" s="1">
        <v>19019.966666666667</v>
      </c>
      <c r="D20" s="245">
        <v>20028</v>
      </c>
      <c r="E20" s="245">
        <v>19820</v>
      </c>
      <c r="F20" s="20">
        <f t="shared" si="3"/>
        <v>4.2062814691227961E-2</v>
      </c>
      <c r="G20" s="2">
        <f t="shared" si="0"/>
        <v>0.22450901264460588</v>
      </c>
      <c r="H20" s="2">
        <f t="shared" si="1"/>
        <v>0.25287878787878787</v>
      </c>
      <c r="I20" s="86">
        <v>6.1833333333333336</v>
      </c>
      <c r="J20" s="249">
        <v>6.05</v>
      </c>
      <c r="K20" s="20">
        <f t="shared" si="4"/>
        <v>-2.1563342318059366E-2</v>
      </c>
      <c r="L20" s="4">
        <f t="shared" si="2"/>
        <v>0.89061426503645302</v>
      </c>
      <c r="M20" s="251">
        <v>1</v>
      </c>
      <c r="N20" s="251">
        <v>1</v>
      </c>
      <c r="O20" s="50"/>
      <c r="P20" s="50"/>
      <c r="Q20" s="50"/>
    </row>
    <row r="21" spans="1:17" ht="15">
      <c r="A21" s="13">
        <f t="shared" si="5"/>
        <v>46130</v>
      </c>
      <c r="B21" s="1">
        <v>21081.5</v>
      </c>
      <c r="C21" s="1">
        <v>19019.966666666667</v>
      </c>
      <c r="D21" s="245">
        <v>17064</v>
      </c>
      <c r="E21" s="245">
        <v>17000</v>
      </c>
      <c r="F21" s="20">
        <f t="shared" si="3"/>
        <v>-0.10620242937684786</v>
      </c>
      <c r="G21" s="2">
        <f t="shared" si="0"/>
        <v>0.19128329297820823</v>
      </c>
      <c r="H21" s="2">
        <f t="shared" si="1"/>
        <v>0.21545454545454545</v>
      </c>
      <c r="I21" s="86">
        <v>6.1833333333333336</v>
      </c>
      <c r="J21" s="249">
        <v>6.74</v>
      </c>
      <c r="K21" s="20">
        <f t="shared" si="4"/>
        <v>9.0026954177897564E-2</v>
      </c>
      <c r="L21" s="4">
        <f t="shared" si="2"/>
        <v>0.6811274527413943</v>
      </c>
      <c r="M21" s="251">
        <v>0.85060000000000002</v>
      </c>
      <c r="N21" s="251">
        <v>1</v>
      </c>
      <c r="O21" s="50"/>
      <c r="P21" s="50">
        <v>1714.06</v>
      </c>
      <c r="Q21" s="50" t="s">
        <v>394</v>
      </c>
    </row>
    <row r="22" spans="1:17" ht="15">
      <c r="A22" s="13">
        <f t="shared" si="5"/>
        <v>46131</v>
      </c>
      <c r="B22" s="1">
        <v>21081.5</v>
      </c>
      <c r="C22" s="1">
        <v>19019.966666666667</v>
      </c>
      <c r="D22" s="245">
        <v>15770</v>
      </c>
      <c r="E22" s="245">
        <v>15760</v>
      </c>
      <c r="F22" s="20">
        <f t="shared" si="3"/>
        <v>-0.17139707570465426</v>
      </c>
      <c r="G22" s="2">
        <f t="shared" si="0"/>
        <v>0.17677786745583357</v>
      </c>
      <c r="H22" s="2">
        <f t="shared" ref="H22:H27" si="6">E22/($D$2*24)</f>
        <v>0.17666576988610888</v>
      </c>
      <c r="I22" s="86">
        <v>6.1833333333333336</v>
      </c>
      <c r="J22" s="249">
        <v>5.6210000000000004</v>
      </c>
      <c r="K22" s="20">
        <f t="shared" si="4"/>
        <v>-9.0943396226415063E-2</v>
      </c>
      <c r="L22" s="4">
        <f t="shared" si="2"/>
        <v>0.75478897330368355</v>
      </c>
      <c r="M22" s="251">
        <v>1</v>
      </c>
      <c r="N22" s="251">
        <v>1</v>
      </c>
      <c r="O22" s="50"/>
      <c r="P22" s="50"/>
      <c r="Q22" s="50"/>
    </row>
    <row r="23" spans="1:17" ht="15">
      <c r="A23" s="13">
        <f t="shared" si="5"/>
        <v>46132</v>
      </c>
      <c r="B23" s="1">
        <v>21081.5</v>
      </c>
      <c r="C23" s="1">
        <v>19019.966666666667</v>
      </c>
      <c r="D23" s="245">
        <v>18358</v>
      </c>
      <c r="E23" s="245">
        <v>18320</v>
      </c>
      <c r="F23" s="20">
        <f t="shared" si="3"/>
        <v>-3.6801676834344287E-2</v>
      </c>
      <c r="G23" s="2">
        <f t="shared" si="0"/>
        <v>0.20578871850058292</v>
      </c>
      <c r="H23" s="2">
        <f t="shared" si="6"/>
        <v>0.2053627477356291</v>
      </c>
      <c r="I23" s="86">
        <v>6.1833333333333336</v>
      </c>
      <c r="J23" s="248">
        <v>5.96</v>
      </c>
      <c r="K23" s="20">
        <f t="shared" si="4"/>
        <v>-3.6118598382749369E-2</v>
      </c>
      <c r="L23" s="4">
        <f t="shared" si="2"/>
        <v>0.82867940335805201</v>
      </c>
      <c r="M23" s="251">
        <v>1</v>
      </c>
      <c r="N23" s="251">
        <v>1</v>
      </c>
      <c r="O23" s="50"/>
      <c r="P23" s="50"/>
      <c r="Q23" s="50"/>
    </row>
    <row r="24" spans="1:17" ht="15">
      <c r="A24" s="13">
        <f t="shared" si="5"/>
        <v>46133</v>
      </c>
      <c r="B24" s="1">
        <v>21081.5</v>
      </c>
      <c r="C24" s="1">
        <v>19019.966666666667</v>
      </c>
      <c r="D24" s="245">
        <v>21430</v>
      </c>
      <c r="E24" s="245">
        <v>21420</v>
      </c>
      <c r="F24" s="20">
        <f>(IF(ISBLANK(E24),0,E24-C24))/C24</f>
        <v>0.12618493898517169</v>
      </c>
      <c r="G24" s="2">
        <f t="shared" si="0"/>
        <v>0.24022509192000718</v>
      </c>
      <c r="H24" s="2">
        <f t="shared" si="6"/>
        <v>0.24011299435028249</v>
      </c>
      <c r="I24" s="86">
        <v>6.1833333333333336</v>
      </c>
      <c r="J24" s="249">
        <v>6.5</v>
      </c>
      <c r="K24" s="20">
        <f>(IF(ISBLANK(J24),0,J24-I24))/I24</f>
        <v>5.1212938005390798E-2</v>
      </c>
      <c r="L24" s="4">
        <f t="shared" si="2"/>
        <v>0.88698495478156492</v>
      </c>
      <c r="M24" s="251">
        <v>1</v>
      </c>
      <c r="N24" s="251">
        <v>1</v>
      </c>
      <c r="O24" s="50"/>
      <c r="P24" s="50"/>
      <c r="Q24" s="50"/>
    </row>
    <row r="25" spans="1:17" ht="15">
      <c r="A25" s="13">
        <f t="shared" si="5"/>
        <v>46134</v>
      </c>
      <c r="B25" s="1">
        <v>21081.5</v>
      </c>
      <c r="C25" s="1">
        <v>19019.966666666667</v>
      </c>
      <c r="D25" s="245">
        <v>21543</v>
      </c>
      <c r="E25" s="245">
        <v>21540</v>
      </c>
      <c r="F25" s="20">
        <f t="shared" si="3"/>
        <v>0.13249409830721748</v>
      </c>
      <c r="G25" s="2">
        <f t="shared" si="0"/>
        <v>0.24149179445789615</v>
      </c>
      <c r="H25" s="2">
        <f t="shared" si="6"/>
        <v>0.24145816518697874</v>
      </c>
      <c r="I25" s="86">
        <v>6.1833333333333336</v>
      </c>
      <c r="J25" s="249">
        <v>6.4</v>
      </c>
      <c r="K25" s="20">
        <f t="shared" si="4"/>
        <v>3.5040431266846382E-2</v>
      </c>
      <c r="L25" s="4">
        <f t="shared" si="2"/>
        <v>0.90559422921711041</v>
      </c>
      <c r="M25" s="251">
        <v>1</v>
      </c>
      <c r="N25" s="251">
        <v>1</v>
      </c>
      <c r="O25" s="50"/>
      <c r="P25" s="50"/>
      <c r="Q25" s="50"/>
    </row>
    <row r="26" spans="1:17" ht="15">
      <c r="A26" s="13">
        <f t="shared" si="5"/>
        <v>46135</v>
      </c>
      <c r="B26" s="1">
        <v>21081.5</v>
      </c>
      <c r="C26" s="1">
        <v>19019.966666666667</v>
      </c>
      <c r="D26" s="245">
        <v>19484</v>
      </c>
      <c r="E26" s="245">
        <v>19480</v>
      </c>
      <c r="F26" s="20">
        <f t="shared" si="3"/>
        <v>2.418686327876492E-2</v>
      </c>
      <c r="G26" s="2">
        <f t="shared" si="0"/>
        <v>0.21841090485158282</v>
      </c>
      <c r="H26" s="2">
        <f t="shared" si="6"/>
        <v>0.21836606582369295</v>
      </c>
      <c r="I26" s="86">
        <v>6.1833333333333336</v>
      </c>
      <c r="J26" s="249">
        <v>6.23</v>
      </c>
      <c r="K26" s="20">
        <f t="shared" si="4"/>
        <v>7.5471698113207851E-3</v>
      </c>
      <c r="L26" s="4">
        <f t="shared" si="2"/>
        <v>0.84139032366580857</v>
      </c>
      <c r="M26" s="251">
        <v>1</v>
      </c>
      <c r="N26" s="251">
        <v>1</v>
      </c>
      <c r="O26" s="50"/>
      <c r="P26" s="50"/>
      <c r="Q26" s="50"/>
    </row>
    <row r="27" spans="1:17" ht="15">
      <c r="A27" s="13">
        <f t="shared" si="5"/>
        <v>46136</v>
      </c>
      <c r="B27" s="1">
        <v>21081.5</v>
      </c>
      <c r="C27" s="1">
        <v>19019.966666666667</v>
      </c>
      <c r="D27" s="245">
        <v>20422</v>
      </c>
      <c r="E27" s="245">
        <v>20440</v>
      </c>
      <c r="F27" s="20">
        <f t="shared" si="3"/>
        <v>7.4660137855131162E-2</v>
      </c>
      <c r="G27" s="2">
        <f t="shared" si="0"/>
        <v>0.22892565689175859</v>
      </c>
      <c r="H27" s="2">
        <f t="shared" si="6"/>
        <v>0.22912743251726303</v>
      </c>
      <c r="I27" s="86">
        <v>6.1833333333333336</v>
      </c>
      <c r="J27" s="249">
        <v>6.59</v>
      </c>
      <c r="K27" s="20">
        <f t="shared" si="4"/>
        <v>6.5768194070080804E-2</v>
      </c>
      <c r="L27" s="4">
        <f t="shared" si="2"/>
        <v>0.83372014649502368</v>
      </c>
      <c r="M27" s="251">
        <v>1</v>
      </c>
      <c r="N27" s="251">
        <v>1</v>
      </c>
      <c r="O27" s="50"/>
      <c r="P27" s="50"/>
      <c r="Q27" s="50"/>
    </row>
    <row r="28" spans="1:17" ht="15">
      <c r="A28" s="13">
        <f t="shared" si="5"/>
        <v>46137</v>
      </c>
      <c r="B28" s="1">
        <v>21081.5</v>
      </c>
      <c r="C28" s="1">
        <v>19019.966666666667</v>
      </c>
      <c r="D28" s="245">
        <v>19797</v>
      </c>
      <c r="E28" s="245">
        <v>19780</v>
      </c>
      <c r="F28" s="20">
        <f t="shared" si="3"/>
        <v>3.9959761583879372E-2</v>
      </c>
      <c r="G28" s="2">
        <f t="shared" ref="G28:G33" si="7">D28/($D$2*24)</f>
        <v>0.22191955878396558</v>
      </c>
      <c r="H28" s="2">
        <f t="shared" ref="H28:H33" si="8">E28/($D$2*24)</f>
        <v>0.2217289929154336</v>
      </c>
      <c r="I28" s="86">
        <v>6.1833333333333336</v>
      </c>
      <c r="J28" s="249">
        <v>6.3630000000000004</v>
      </c>
      <c r="K28" s="20">
        <f t="shared" si="4"/>
        <v>2.9056603773584936E-2</v>
      </c>
      <c r="L28" s="4">
        <f t="shared" si="2"/>
        <v>0.83703746830350045</v>
      </c>
      <c r="M28" s="251">
        <v>1</v>
      </c>
      <c r="N28" s="251">
        <v>1</v>
      </c>
      <c r="O28" s="6"/>
      <c r="P28" s="6"/>
      <c r="Q28" s="6"/>
    </row>
    <row r="29" spans="1:17" ht="15">
      <c r="A29" s="13">
        <f t="shared" si="5"/>
        <v>46138</v>
      </c>
      <c r="B29" s="1">
        <v>21081.5</v>
      </c>
      <c r="C29" s="1">
        <v>19019.966666666667</v>
      </c>
      <c r="D29" s="245">
        <v>19319</v>
      </c>
      <c r="E29" s="245">
        <v>19340</v>
      </c>
      <c r="F29" s="20">
        <f t="shared" si="3"/>
        <v>1.6826177403044845E-2</v>
      </c>
      <c r="G29" s="2">
        <f t="shared" si="7"/>
        <v>0.21656129495112547</v>
      </c>
      <c r="H29" s="2">
        <f t="shared" si="8"/>
        <v>0.21679669984754729</v>
      </c>
      <c r="I29" s="86">
        <v>6.1833333333333336</v>
      </c>
      <c r="J29" s="249">
        <v>5.806</v>
      </c>
      <c r="K29" s="20">
        <f t="shared" si="4"/>
        <v>-6.1024258760107843E-2</v>
      </c>
      <c r="L29" s="4">
        <f t="shared" si="2"/>
        <v>0.89518964499259568</v>
      </c>
      <c r="M29" s="251">
        <v>1</v>
      </c>
      <c r="N29" s="251">
        <v>1</v>
      </c>
      <c r="O29" s="6"/>
      <c r="P29" s="6"/>
      <c r="Q29" s="6"/>
    </row>
    <row r="30" spans="1:17" ht="15">
      <c r="A30" s="13">
        <f t="shared" si="5"/>
        <v>46139</v>
      </c>
      <c r="B30" s="1">
        <v>21081.5</v>
      </c>
      <c r="C30" s="1">
        <v>19019.966666666667</v>
      </c>
      <c r="D30" s="246">
        <v>18779</v>
      </c>
      <c r="E30" s="246">
        <v>18800</v>
      </c>
      <c r="F30" s="20">
        <f t="shared" si="3"/>
        <v>-1.1565039546161164E-2</v>
      </c>
      <c r="G30" s="2">
        <f t="shared" si="7"/>
        <v>0.21050802618599229</v>
      </c>
      <c r="H30" s="2">
        <f t="shared" si="8"/>
        <v>0.21074343108241414</v>
      </c>
      <c r="I30" s="86">
        <v>6.1833333333333336</v>
      </c>
      <c r="J30" s="246">
        <v>6.6429999999999998</v>
      </c>
      <c r="K30" s="20">
        <f t="shared" si="4"/>
        <v>7.4339622641509354E-2</v>
      </c>
      <c r="L30" s="4">
        <f t="shared" si="2"/>
        <v>0.76052877140807096</v>
      </c>
      <c r="M30" s="251">
        <v>1</v>
      </c>
      <c r="N30" s="251">
        <v>1</v>
      </c>
      <c r="O30" s="6"/>
      <c r="P30" s="6"/>
      <c r="Q30" s="6"/>
    </row>
    <row r="31" spans="1:17" ht="15">
      <c r="A31" s="13">
        <f t="shared" si="5"/>
        <v>46140</v>
      </c>
      <c r="B31" s="1">
        <v>21081.5</v>
      </c>
      <c r="C31" s="1">
        <v>19019.966666666667</v>
      </c>
      <c r="D31" s="246">
        <v>13655</v>
      </c>
      <c r="E31" s="246">
        <v>13640</v>
      </c>
      <c r="F31" s="20">
        <f t="shared" si="3"/>
        <v>-0.2828588903941297</v>
      </c>
      <c r="G31" s="2">
        <f t="shared" si="7"/>
        <v>0.15306923145906196</v>
      </c>
      <c r="H31" s="2">
        <f t="shared" si="8"/>
        <v>0.15290108510447495</v>
      </c>
      <c r="I31" s="86">
        <v>6.1833333333333336</v>
      </c>
      <c r="J31" s="246">
        <v>4.1890000000000001</v>
      </c>
      <c r="K31" s="20">
        <f t="shared" si="4"/>
        <v>-0.32253369272237198</v>
      </c>
      <c r="L31" s="4">
        <f t="shared" si="2"/>
        <v>0.87697817021186131</v>
      </c>
      <c r="M31" s="251">
        <v>1</v>
      </c>
      <c r="N31" s="251">
        <v>0.95530000000000004</v>
      </c>
      <c r="O31" s="6">
        <v>445.61</v>
      </c>
      <c r="P31" s="6"/>
      <c r="Q31" s="50" t="s">
        <v>390</v>
      </c>
    </row>
    <row r="32" spans="1:17" ht="15">
      <c r="A32" s="13">
        <f t="shared" si="5"/>
        <v>46141</v>
      </c>
      <c r="B32" s="1">
        <v>21081.5</v>
      </c>
      <c r="C32" s="1">
        <v>19019.966666666667</v>
      </c>
      <c r="D32" s="246">
        <v>14932</v>
      </c>
      <c r="E32" s="246">
        <v>14920</v>
      </c>
      <c r="F32" s="20">
        <f t="shared" si="3"/>
        <v>-0.21556119095897472</v>
      </c>
      <c r="G32" s="2">
        <f t="shared" si="7"/>
        <v>0.16738409111290467</v>
      </c>
      <c r="H32" s="2">
        <f t="shared" si="8"/>
        <v>0.16724957402923504</v>
      </c>
      <c r="I32" s="86">
        <v>6.1833333333333336</v>
      </c>
      <c r="J32" s="246">
        <v>4.7279999999999998</v>
      </c>
      <c r="K32" s="20">
        <f t="shared" si="4"/>
        <v>-0.23536388140161732</v>
      </c>
      <c r="L32" s="4">
        <f t="shared" si="2"/>
        <v>0.84966543712134357</v>
      </c>
      <c r="M32" s="251">
        <v>1</v>
      </c>
      <c r="N32" s="251">
        <v>1</v>
      </c>
      <c r="O32" s="6"/>
      <c r="P32" s="6"/>
      <c r="Q32" s="6"/>
    </row>
    <row r="33" spans="1:17" ht="15">
      <c r="A33" s="13">
        <f t="shared" si="5"/>
        <v>46142</v>
      </c>
      <c r="B33" s="1">
        <v>21081.5</v>
      </c>
      <c r="C33" s="1">
        <v>19019.966666666667</v>
      </c>
      <c r="D33" s="246">
        <v>18328</v>
      </c>
      <c r="E33" s="246">
        <v>18320</v>
      </c>
      <c r="F33" s="20">
        <f t="shared" si="3"/>
        <v>-3.6801676834344287E-2</v>
      </c>
      <c r="G33" s="2">
        <f t="shared" si="7"/>
        <v>0.20545242579140885</v>
      </c>
      <c r="H33" s="2">
        <f t="shared" si="8"/>
        <v>0.2053627477356291</v>
      </c>
      <c r="I33" s="86">
        <v>6.1833333333333336</v>
      </c>
      <c r="J33" s="6">
        <v>5.72</v>
      </c>
      <c r="K33" s="20">
        <f t="shared" si="4"/>
        <v>-7.4932614555256141E-2</v>
      </c>
      <c r="L33" s="4">
        <f t="shared" si="2"/>
        <v>0.86203815017374352</v>
      </c>
      <c r="M33" s="251">
        <v>1</v>
      </c>
      <c r="N33" s="251">
        <v>1</v>
      </c>
      <c r="O33" s="6"/>
      <c r="P33" s="6"/>
      <c r="Q33" s="6"/>
    </row>
    <row r="34" spans="1:17">
      <c r="A34" s="349">
        <v>46113</v>
      </c>
      <c r="B34" s="17">
        <f>SUM(B4:B33)</f>
        <v>632445</v>
      </c>
      <c r="C34" s="17">
        <f>SUM(C4:C33)</f>
        <v>570599.00000000012</v>
      </c>
      <c r="D34" s="17">
        <f>SUM(D4:D33)</f>
        <v>587316</v>
      </c>
      <c r="E34" s="17">
        <f>SUM(E4:E33)</f>
        <v>585140</v>
      </c>
      <c r="F34" s="20">
        <f>(IF(ISBLANK(E34),0,E34-C34))/C34</f>
        <v>2.548374602829637E-2</v>
      </c>
      <c r="G34" s="18">
        <f>AVERAGE(G4:G33)</f>
        <v>0.21945565420141688</v>
      </c>
      <c r="H34" s="18">
        <f>AVERAGE(H4:H33)</f>
        <v>0.23669206899503509</v>
      </c>
      <c r="I34" s="17">
        <f>SUM(I4:I33)</f>
        <v>185.50000000000009</v>
      </c>
      <c r="J34" s="17">
        <f>SUM(J4:J33)</f>
        <v>183.33</v>
      </c>
      <c r="K34" s="20">
        <f t="shared" si="4"/>
        <v>-1.1698113207547557E-2</v>
      </c>
      <c r="L34" s="4">
        <f t="shared" si="2"/>
        <v>0.86187787609785715</v>
      </c>
      <c r="M34" s="18">
        <f>AVERAGE(M4:M33)</f>
        <v>0.99502000000000002</v>
      </c>
      <c r="N34" s="18">
        <f>AVERAGE(N4:N33)</f>
        <v>0.99686333333333343</v>
      </c>
      <c r="O34" s="17">
        <f>SUM(O4:O33)</f>
        <v>1183.6100000000001</v>
      </c>
      <c r="P34" s="17">
        <f>SUM(P4:P33)</f>
        <v>1714.06</v>
      </c>
      <c r="Q34" s="19"/>
    </row>
    <row r="35" spans="1:17">
      <c r="A35" s="13">
        <v>46143</v>
      </c>
      <c r="B35" s="127">
        <v>19259</v>
      </c>
      <c r="C35" s="127">
        <v>17376</v>
      </c>
      <c r="D35" s="33"/>
      <c r="E35" s="33"/>
      <c r="F35" s="20">
        <f>(IF(ISBLANK(E35),0,E35-C35))/C35</f>
        <v>0</v>
      </c>
      <c r="G35" s="2">
        <f t="shared" ref="G35:G57" si="9">D35/($D$2*24)</f>
        <v>0</v>
      </c>
      <c r="H35" s="2">
        <f t="shared" ref="H35:H61" si="10">D35/($H$2*24)</f>
        <v>0</v>
      </c>
      <c r="I35" s="28">
        <v>5.55</v>
      </c>
      <c r="J35" s="33"/>
      <c r="K35" s="20">
        <f>(IF(ISBLANK(J35),0,J35-I35))/I35</f>
        <v>0</v>
      </c>
      <c r="L35" s="4" t="e">
        <f t="shared" si="2"/>
        <v>#DIV/0!</v>
      </c>
      <c r="M35" s="103"/>
      <c r="N35" s="103"/>
      <c r="O35" s="33"/>
      <c r="P35" s="6"/>
      <c r="Q35" s="6"/>
    </row>
    <row r="36" spans="1:17">
      <c r="A36" s="13">
        <f>A35+1</f>
        <v>46144</v>
      </c>
      <c r="B36" s="127">
        <v>19259</v>
      </c>
      <c r="C36" s="127">
        <v>17376</v>
      </c>
      <c r="D36" s="34"/>
      <c r="E36" s="34"/>
      <c r="F36" s="20">
        <f t="shared" ref="F36:F54" si="11">(IF(ISBLANK(E36),0,E36-C36))/C36</f>
        <v>0</v>
      </c>
      <c r="G36" s="2">
        <f t="shared" si="9"/>
        <v>0</v>
      </c>
      <c r="H36" s="2">
        <f t="shared" si="10"/>
        <v>0</v>
      </c>
      <c r="I36" s="28">
        <v>5.55</v>
      </c>
      <c r="J36" s="34"/>
      <c r="K36" s="20">
        <f t="shared" ref="K36:K54" si="12">(IF(ISBLANK(J36),0,J36-I36))/I36</f>
        <v>0</v>
      </c>
      <c r="L36" s="4" t="e">
        <f t="shared" ref="L36:L66" si="13">D36/($D$2*J36)</f>
        <v>#DIV/0!</v>
      </c>
      <c r="M36" s="103"/>
      <c r="N36" s="103"/>
      <c r="O36" s="34"/>
      <c r="P36" s="6"/>
      <c r="Q36" s="6"/>
    </row>
    <row r="37" spans="1:17">
      <c r="A37" s="13">
        <f t="shared" ref="A37:A65" si="14">A36+1</f>
        <v>46145</v>
      </c>
      <c r="B37" s="127">
        <v>19259</v>
      </c>
      <c r="C37" s="127">
        <v>17376</v>
      </c>
      <c r="D37" s="34"/>
      <c r="E37" s="34"/>
      <c r="F37" s="20">
        <f t="shared" si="11"/>
        <v>0</v>
      </c>
      <c r="G37" s="2">
        <f t="shared" si="9"/>
        <v>0</v>
      </c>
      <c r="H37" s="2">
        <f t="shared" si="10"/>
        <v>0</v>
      </c>
      <c r="I37" s="28">
        <v>5.55</v>
      </c>
      <c r="J37" s="34"/>
      <c r="K37" s="20">
        <f t="shared" si="12"/>
        <v>0</v>
      </c>
      <c r="L37" s="4" t="e">
        <f t="shared" si="13"/>
        <v>#DIV/0!</v>
      </c>
      <c r="M37" s="103"/>
      <c r="N37" s="104"/>
      <c r="O37" s="34"/>
      <c r="P37" s="6"/>
      <c r="Q37" s="6"/>
    </row>
    <row r="38" spans="1:17">
      <c r="A38" s="13">
        <f t="shared" si="14"/>
        <v>46146</v>
      </c>
      <c r="B38" s="127"/>
      <c r="C38" s="127"/>
      <c r="D38" s="34"/>
      <c r="E38" s="34"/>
      <c r="F38" s="20" t="e">
        <f t="shared" si="11"/>
        <v>#DIV/0!</v>
      </c>
      <c r="G38" s="2">
        <f t="shared" si="9"/>
        <v>0</v>
      </c>
      <c r="H38" s="2">
        <f t="shared" si="10"/>
        <v>0</v>
      </c>
      <c r="I38" s="29"/>
      <c r="J38" s="34"/>
      <c r="K38" s="20" t="e">
        <f t="shared" si="12"/>
        <v>#DIV/0!</v>
      </c>
      <c r="L38" s="4" t="e">
        <f t="shared" si="13"/>
        <v>#DIV/0!</v>
      </c>
      <c r="M38" s="103"/>
      <c r="N38" s="103"/>
      <c r="O38" s="34"/>
      <c r="P38" s="6"/>
      <c r="Q38" s="14"/>
    </row>
    <row r="39" spans="1:17">
      <c r="A39" s="13">
        <f t="shared" si="14"/>
        <v>46147</v>
      </c>
      <c r="B39" s="127"/>
      <c r="C39" s="127"/>
      <c r="D39" s="34"/>
      <c r="E39" s="34"/>
      <c r="F39" s="20" t="e">
        <f t="shared" si="11"/>
        <v>#DIV/0!</v>
      </c>
      <c r="G39" s="2">
        <f t="shared" si="9"/>
        <v>0</v>
      </c>
      <c r="H39" s="2">
        <f t="shared" si="10"/>
        <v>0</v>
      </c>
      <c r="I39" s="29"/>
      <c r="J39" s="34"/>
      <c r="K39" s="20" t="e">
        <f t="shared" si="12"/>
        <v>#DIV/0!</v>
      </c>
      <c r="L39" s="4" t="e">
        <f t="shared" si="13"/>
        <v>#DIV/0!</v>
      </c>
      <c r="M39" s="103"/>
      <c r="N39" s="103"/>
      <c r="O39" s="34"/>
      <c r="P39" s="6"/>
      <c r="Q39" s="14"/>
    </row>
    <row r="40" spans="1:17">
      <c r="A40" s="13">
        <f t="shared" si="14"/>
        <v>46148</v>
      </c>
      <c r="B40" s="127"/>
      <c r="C40" s="127"/>
      <c r="D40" s="34"/>
      <c r="E40" s="34"/>
      <c r="F40" s="20" t="e">
        <f t="shared" si="11"/>
        <v>#DIV/0!</v>
      </c>
      <c r="G40" s="2">
        <f t="shared" si="9"/>
        <v>0</v>
      </c>
      <c r="H40" s="2">
        <f t="shared" si="10"/>
        <v>0</v>
      </c>
      <c r="I40" s="29"/>
      <c r="J40" s="34"/>
      <c r="K40" s="20" t="e">
        <f t="shared" si="12"/>
        <v>#DIV/0!</v>
      </c>
      <c r="L40" s="4" t="e">
        <f t="shared" si="13"/>
        <v>#DIV/0!</v>
      </c>
      <c r="M40" s="103"/>
      <c r="N40" s="103"/>
      <c r="O40" s="34"/>
      <c r="P40" s="6"/>
      <c r="Q40" s="14"/>
    </row>
    <row r="41" spans="1:17">
      <c r="A41" s="13">
        <f t="shared" si="14"/>
        <v>46149</v>
      </c>
      <c r="B41" s="127"/>
      <c r="C41" s="127"/>
      <c r="D41" s="34"/>
      <c r="E41" s="34"/>
      <c r="F41" s="20" t="e">
        <f t="shared" si="11"/>
        <v>#DIV/0!</v>
      </c>
      <c r="G41" s="2">
        <f t="shared" si="9"/>
        <v>0</v>
      </c>
      <c r="H41" s="2">
        <f t="shared" si="10"/>
        <v>0</v>
      </c>
      <c r="I41" s="29"/>
      <c r="J41" s="34"/>
      <c r="K41" s="20" t="e">
        <f t="shared" si="12"/>
        <v>#DIV/0!</v>
      </c>
      <c r="L41" s="4" t="e">
        <f t="shared" si="13"/>
        <v>#DIV/0!</v>
      </c>
      <c r="M41" s="103"/>
      <c r="N41" s="103"/>
      <c r="O41" s="34"/>
      <c r="P41" s="6"/>
      <c r="Q41" s="202"/>
    </row>
    <row r="42" spans="1:17">
      <c r="A42" s="13">
        <f t="shared" si="14"/>
        <v>46150</v>
      </c>
      <c r="B42" s="127"/>
      <c r="C42" s="127"/>
      <c r="D42" s="34"/>
      <c r="E42" s="34"/>
      <c r="F42" s="20" t="e">
        <f t="shared" si="11"/>
        <v>#DIV/0!</v>
      </c>
      <c r="G42" s="2">
        <f t="shared" si="9"/>
        <v>0</v>
      </c>
      <c r="H42" s="2">
        <f t="shared" si="10"/>
        <v>0</v>
      </c>
      <c r="I42" s="29"/>
      <c r="J42" s="34"/>
      <c r="K42" s="20" t="e">
        <f t="shared" si="12"/>
        <v>#DIV/0!</v>
      </c>
      <c r="L42" s="4" t="e">
        <f t="shared" si="13"/>
        <v>#DIV/0!</v>
      </c>
      <c r="M42" s="103"/>
      <c r="N42" s="103"/>
      <c r="O42" s="34"/>
      <c r="P42" s="6"/>
      <c r="Q42" s="14"/>
    </row>
    <row r="43" spans="1:17">
      <c r="A43" s="13">
        <f t="shared" si="14"/>
        <v>46151</v>
      </c>
      <c r="B43" s="127"/>
      <c r="C43" s="127"/>
      <c r="D43" s="34"/>
      <c r="E43" s="34"/>
      <c r="F43" s="20" t="e">
        <f t="shared" si="11"/>
        <v>#DIV/0!</v>
      </c>
      <c r="G43" s="2">
        <f t="shared" si="9"/>
        <v>0</v>
      </c>
      <c r="H43" s="2">
        <f t="shared" si="10"/>
        <v>0</v>
      </c>
      <c r="I43" s="29"/>
      <c r="J43" s="34"/>
      <c r="K43" s="20" t="e">
        <f t="shared" si="12"/>
        <v>#DIV/0!</v>
      </c>
      <c r="L43" s="4" t="e">
        <f t="shared" si="13"/>
        <v>#DIV/0!</v>
      </c>
      <c r="M43" s="103"/>
      <c r="N43" s="103"/>
      <c r="O43" s="34"/>
      <c r="P43" s="6"/>
      <c r="Q43" s="6"/>
    </row>
    <row r="44" spans="1:17">
      <c r="A44" s="13">
        <f t="shared" si="14"/>
        <v>46152</v>
      </c>
      <c r="B44" s="127"/>
      <c r="C44" s="127"/>
      <c r="D44" s="34"/>
      <c r="E44" s="34"/>
      <c r="F44" s="20" t="e">
        <f t="shared" si="11"/>
        <v>#DIV/0!</v>
      </c>
      <c r="G44" s="2">
        <f t="shared" si="9"/>
        <v>0</v>
      </c>
      <c r="H44" s="2">
        <f t="shared" si="10"/>
        <v>0</v>
      </c>
      <c r="I44" s="29"/>
      <c r="J44" s="34"/>
      <c r="K44" s="20" t="e">
        <f t="shared" si="12"/>
        <v>#DIV/0!</v>
      </c>
      <c r="L44" s="4" t="e">
        <f t="shared" si="13"/>
        <v>#DIV/0!</v>
      </c>
      <c r="M44" s="103"/>
      <c r="N44" s="103"/>
      <c r="O44" s="34"/>
      <c r="P44" s="6"/>
      <c r="Q44" s="16"/>
    </row>
    <row r="45" spans="1:17">
      <c r="A45" s="13">
        <f t="shared" si="14"/>
        <v>46153</v>
      </c>
      <c r="B45" s="127"/>
      <c r="C45" s="127"/>
      <c r="D45" s="34"/>
      <c r="E45" s="34"/>
      <c r="F45" s="20" t="e">
        <f t="shared" si="11"/>
        <v>#DIV/0!</v>
      </c>
      <c r="G45" s="2">
        <f t="shared" si="9"/>
        <v>0</v>
      </c>
      <c r="H45" s="2">
        <f t="shared" si="10"/>
        <v>0</v>
      </c>
      <c r="I45" s="29"/>
      <c r="J45" s="34"/>
      <c r="K45" s="20" t="e">
        <f t="shared" si="12"/>
        <v>#DIV/0!</v>
      </c>
      <c r="L45" s="4" t="e">
        <f t="shared" si="13"/>
        <v>#DIV/0!</v>
      </c>
      <c r="M45" s="103"/>
      <c r="N45" s="103"/>
      <c r="O45" s="34"/>
      <c r="P45" s="6"/>
      <c r="Q45" s="6"/>
    </row>
    <row r="46" spans="1:17">
      <c r="A46" s="13">
        <f t="shared" si="14"/>
        <v>46154</v>
      </c>
      <c r="B46" s="127"/>
      <c r="C46" s="127"/>
      <c r="D46" s="34"/>
      <c r="E46" s="34"/>
      <c r="F46" s="20" t="e">
        <f t="shared" si="11"/>
        <v>#DIV/0!</v>
      </c>
      <c r="G46" s="2">
        <f t="shared" si="9"/>
        <v>0</v>
      </c>
      <c r="H46" s="2">
        <f t="shared" si="10"/>
        <v>0</v>
      </c>
      <c r="I46" s="29"/>
      <c r="J46" s="34"/>
      <c r="K46" s="20" t="e">
        <f t="shared" si="12"/>
        <v>#DIV/0!</v>
      </c>
      <c r="L46" s="4" t="e">
        <f t="shared" si="13"/>
        <v>#DIV/0!</v>
      </c>
      <c r="M46" s="104"/>
      <c r="N46" s="103"/>
      <c r="O46" s="34"/>
      <c r="P46" s="6"/>
      <c r="Q46" s="6"/>
    </row>
    <row r="47" spans="1:17">
      <c r="A47" s="13">
        <f t="shared" si="14"/>
        <v>46155</v>
      </c>
      <c r="B47" s="127"/>
      <c r="C47" s="127"/>
      <c r="D47" s="34"/>
      <c r="E47" s="34"/>
      <c r="F47" s="20" t="e">
        <f t="shared" si="11"/>
        <v>#DIV/0!</v>
      </c>
      <c r="G47" s="2">
        <f t="shared" si="9"/>
        <v>0</v>
      </c>
      <c r="H47" s="2">
        <f t="shared" si="10"/>
        <v>0</v>
      </c>
      <c r="I47" s="29"/>
      <c r="J47" s="34"/>
      <c r="K47" s="20" t="e">
        <f t="shared" si="12"/>
        <v>#DIV/0!</v>
      </c>
      <c r="L47" s="4" t="e">
        <f t="shared" si="13"/>
        <v>#DIV/0!</v>
      </c>
      <c r="M47" s="104"/>
      <c r="N47" s="103"/>
      <c r="O47" s="34"/>
      <c r="P47" s="6"/>
      <c r="Q47" s="31"/>
    </row>
    <row r="48" spans="1:17">
      <c r="A48" s="13">
        <f t="shared" si="14"/>
        <v>46156</v>
      </c>
      <c r="B48" s="127"/>
      <c r="C48" s="127"/>
      <c r="D48" s="34"/>
      <c r="E48" s="34"/>
      <c r="F48" s="20" t="e">
        <f t="shared" si="11"/>
        <v>#DIV/0!</v>
      </c>
      <c r="G48" s="2">
        <f t="shared" si="9"/>
        <v>0</v>
      </c>
      <c r="H48" s="2">
        <f t="shared" si="10"/>
        <v>0</v>
      </c>
      <c r="I48" s="29"/>
      <c r="J48" s="34"/>
      <c r="K48" s="20" t="e">
        <f t="shared" si="12"/>
        <v>#DIV/0!</v>
      </c>
      <c r="L48" s="4" t="e">
        <f t="shared" si="13"/>
        <v>#DIV/0!</v>
      </c>
      <c r="M48" s="104"/>
      <c r="N48" s="103"/>
      <c r="O48" s="34"/>
      <c r="P48" s="6"/>
      <c r="Q48" s="32"/>
    </row>
    <row r="49" spans="1:17">
      <c r="A49" s="13">
        <f t="shared" si="14"/>
        <v>46157</v>
      </c>
      <c r="B49" s="127"/>
      <c r="C49" s="127"/>
      <c r="D49" s="34"/>
      <c r="E49" s="34"/>
      <c r="F49" s="20" t="e">
        <f t="shared" si="11"/>
        <v>#DIV/0!</v>
      </c>
      <c r="G49" s="2">
        <f t="shared" si="9"/>
        <v>0</v>
      </c>
      <c r="H49" s="2">
        <f t="shared" si="10"/>
        <v>0</v>
      </c>
      <c r="I49" s="29"/>
      <c r="J49" s="34"/>
      <c r="K49" s="20" t="e">
        <f t="shared" si="12"/>
        <v>#DIV/0!</v>
      </c>
      <c r="L49" s="4" t="e">
        <f t="shared" si="13"/>
        <v>#DIV/0!</v>
      </c>
      <c r="M49" s="104"/>
      <c r="N49" s="103"/>
      <c r="O49" s="34"/>
      <c r="P49" s="6"/>
      <c r="Q49" s="32"/>
    </row>
    <row r="50" spans="1:17">
      <c r="A50" s="13">
        <f t="shared" si="14"/>
        <v>46158</v>
      </c>
      <c r="B50" s="127"/>
      <c r="C50" s="127"/>
      <c r="D50" s="34"/>
      <c r="E50" s="34"/>
      <c r="F50" s="20" t="e">
        <f t="shared" si="11"/>
        <v>#DIV/0!</v>
      </c>
      <c r="G50" s="2">
        <f t="shared" si="9"/>
        <v>0</v>
      </c>
      <c r="H50" s="2">
        <f t="shared" si="10"/>
        <v>0</v>
      </c>
      <c r="I50" s="29"/>
      <c r="J50" s="34"/>
      <c r="K50" s="20" t="e">
        <f t="shared" si="12"/>
        <v>#DIV/0!</v>
      </c>
      <c r="L50" s="4" t="e">
        <f t="shared" si="13"/>
        <v>#DIV/0!</v>
      </c>
      <c r="M50" s="104"/>
      <c r="N50" s="103"/>
      <c r="O50" s="34"/>
      <c r="P50" s="6"/>
      <c r="Q50" s="32"/>
    </row>
    <row r="51" spans="1:17">
      <c r="A51" s="13">
        <f t="shared" si="14"/>
        <v>46159</v>
      </c>
      <c r="B51" s="127"/>
      <c r="C51" s="127"/>
      <c r="D51" s="34"/>
      <c r="E51" s="34"/>
      <c r="F51" s="20" t="e">
        <f t="shared" si="11"/>
        <v>#DIV/0!</v>
      </c>
      <c r="G51" s="2">
        <f t="shared" si="9"/>
        <v>0</v>
      </c>
      <c r="H51" s="2">
        <f t="shared" si="10"/>
        <v>0</v>
      </c>
      <c r="I51" s="29"/>
      <c r="J51" s="34"/>
      <c r="K51" s="20" t="e">
        <f t="shared" si="12"/>
        <v>#DIV/0!</v>
      </c>
      <c r="L51" s="4" t="e">
        <f t="shared" si="13"/>
        <v>#DIV/0!</v>
      </c>
      <c r="M51" s="103"/>
      <c r="N51" s="103"/>
      <c r="O51" s="34"/>
      <c r="P51" s="6"/>
      <c r="Q51" s="6"/>
    </row>
    <row r="52" spans="1:17">
      <c r="A52" s="13">
        <f t="shared" si="14"/>
        <v>46160</v>
      </c>
      <c r="B52" s="127"/>
      <c r="C52" s="127"/>
      <c r="D52" s="34"/>
      <c r="E52" s="34"/>
      <c r="F52" s="20" t="e">
        <f t="shared" si="11"/>
        <v>#DIV/0!</v>
      </c>
      <c r="G52" s="2">
        <f t="shared" si="9"/>
        <v>0</v>
      </c>
      <c r="H52" s="2">
        <f t="shared" si="10"/>
        <v>0</v>
      </c>
      <c r="I52" s="29"/>
      <c r="J52" s="34"/>
      <c r="K52" s="20" t="e">
        <f t="shared" si="12"/>
        <v>#DIV/0!</v>
      </c>
      <c r="L52" s="4" t="e">
        <f t="shared" si="13"/>
        <v>#DIV/0!</v>
      </c>
      <c r="M52" s="103"/>
      <c r="N52" s="103"/>
      <c r="O52" s="34"/>
      <c r="P52" s="6"/>
      <c r="Q52" s="14"/>
    </row>
    <row r="53" spans="1:17">
      <c r="A53" s="13">
        <f t="shared" si="14"/>
        <v>46161</v>
      </c>
      <c r="B53" s="127"/>
      <c r="C53" s="127"/>
      <c r="D53" s="34"/>
      <c r="E53" s="34"/>
      <c r="F53" s="20" t="e">
        <f t="shared" si="11"/>
        <v>#DIV/0!</v>
      </c>
      <c r="G53" s="2">
        <f t="shared" si="9"/>
        <v>0</v>
      </c>
      <c r="H53" s="2">
        <f t="shared" si="10"/>
        <v>0</v>
      </c>
      <c r="I53" s="29"/>
      <c r="J53" s="34"/>
      <c r="K53" s="20" t="e">
        <f t="shared" si="12"/>
        <v>#DIV/0!</v>
      </c>
      <c r="L53" s="4" t="e">
        <f t="shared" si="13"/>
        <v>#DIV/0!</v>
      </c>
      <c r="M53" s="103"/>
      <c r="N53" s="103"/>
      <c r="O53" s="34"/>
      <c r="P53" s="6"/>
      <c r="Q53" s="14"/>
    </row>
    <row r="54" spans="1:17">
      <c r="A54" s="13">
        <f t="shared" si="14"/>
        <v>46162</v>
      </c>
      <c r="B54" s="127"/>
      <c r="C54" s="127"/>
      <c r="D54" s="34"/>
      <c r="E54" s="34"/>
      <c r="F54" s="20" t="e">
        <f t="shared" si="11"/>
        <v>#DIV/0!</v>
      </c>
      <c r="G54" s="2">
        <f t="shared" si="9"/>
        <v>0</v>
      </c>
      <c r="H54" s="2">
        <f t="shared" si="10"/>
        <v>0</v>
      </c>
      <c r="I54" s="29"/>
      <c r="J54" s="34"/>
      <c r="K54" s="20" t="e">
        <f t="shared" si="12"/>
        <v>#DIV/0!</v>
      </c>
      <c r="L54" s="4" t="e">
        <f t="shared" si="13"/>
        <v>#DIV/0!</v>
      </c>
      <c r="M54" s="103"/>
      <c r="N54" s="103"/>
      <c r="O54" s="34"/>
      <c r="P54" s="6"/>
      <c r="Q54" s="14"/>
    </row>
    <row r="55" spans="1:17">
      <c r="A55" s="13">
        <f t="shared" si="14"/>
        <v>46163</v>
      </c>
      <c r="B55" s="127"/>
      <c r="C55" s="127"/>
      <c r="D55" s="34"/>
      <c r="E55" s="34"/>
      <c r="F55" s="20" t="e">
        <f>(IF(ISBLANK(E55),0,E55-C55))/C55</f>
        <v>#DIV/0!</v>
      </c>
      <c r="G55" s="2">
        <f t="shared" si="9"/>
        <v>0</v>
      </c>
      <c r="H55" s="2">
        <f t="shared" si="10"/>
        <v>0</v>
      </c>
      <c r="I55" s="29"/>
      <c r="J55" s="34"/>
      <c r="K55" s="20" t="e">
        <f>(IF(ISBLANK(J55),0,J55-I55))/I55</f>
        <v>#DIV/0!</v>
      </c>
      <c r="L55" s="4" t="e">
        <f t="shared" si="13"/>
        <v>#DIV/0!</v>
      </c>
      <c r="M55" s="103"/>
      <c r="N55" s="103"/>
      <c r="O55" s="34"/>
      <c r="P55" s="6"/>
      <c r="Q55" s="6"/>
    </row>
    <row r="56" spans="1:17">
      <c r="A56" s="13">
        <f t="shared" si="14"/>
        <v>46164</v>
      </c>
      <c r="B56" s="127"/>
      <c r="C56" s="127"/>
      <c r="D56" s="34"/>
      <c r="E56" s="34"/>
      <c r="F56" s="20" t="e">
        <f t="shared" ref="F56:F65" si="15">(IF(ISBLANK(E56),0,E56-C56))/C56</f>
        <v>#DIV/0!</v>
      </c>
      <c r="G56" s="2">
        <f t="shared" si="9"/>
        <v>0</v>
      </c>
      <c r="H56" s="2">
        <f t="shared" si="10"/>
        <v>0</v>
      </c>
      <c r="I56" s="29"/>
      <c r="J56" s="34"/>
      <c r="K56" s="20" t="e">
        <f t="shared" ref="K56:K65" si="16">(IF(ISBLANK(J56),0,J56-I56))/I56</f>
        <v>#DIV/0!</v>
      </c>
      <c r="L56" s="4" t="e">
        <f t="shared" si="13"/>
        <v>#DIV/0!</v>
      </c>
      <c r="M56" s="103"/>
      <c r="N56" s="103"/>
      <c r="O56" s="34"/>
      <c r="P56" s="6"/>
      <c r="Q56" s="6"/>
    </row>
    <row r="57" spans="1:17">
      <c r="A57" s="13">
        <f t="shared" si="14"/>
        <v>46165</v>
      </c>
      <c r="B57" s="127"/>
      <c r="C57" s="127"/>
      <c r="D57" s="14"/>
      <c r="E57" s="14"/>
      <c r="F57" s="20" t="e">
        <f t="shared" si="15"/>
        <v>#DIV/0!</v>
      </c>
      <c r="G57" s="2">
        <f t="shared" si="9"/>
        <v>0</v>
      </c>
      <c r="H57" s="2">
        <f t="shared" si="10"/>
        <v>0</v>
      </c>
      <c r="I57" s="29"/>
      <c r="J57" s="14"/>
      <c r="K57" s="20" t="e">
        <f t="shared" si="16"/>
        <v>#DIV/0!</v>
      </c>
      <c r="L57" s="4" t="e">
        <f t="shared" si="13"/>
        <v>#DIV/0!</v>
      </c>
      <c r="M57" s="103"/>
      <c r="N57" s="103"/>
      <c r="O57" s="34"/>
      <c r="P57" s="6"/>
      <c r="Q57" s="6"/>
    </row>
    <row r="58" spans="1:17">
      <c r="A58" s="13">
        <f t="shared" si="14"/>
        <v>46166</v>
      </c>
      <c r="B58" s="127"/>
      <c r="C58" s="127"/>
      <c r="D58" s="14"/>
      <c r="E58" s="14"/>
      <c r="F58" s="20" t="e">
        <f t="shared" si="15"/>
        <v>#DIV/0!</v>
      </c>
      <c r="G58" s="2">
        <f t="shared" ref="G58:G65" si="17">D58/($D$2*24)</f>
        <v>0</v>
      </c>
      <c r="H58" s="2">
        <f t="shared" si="10"/>
        <v>0</v>
      </c>
      <c r="I58" s="29"/>
      <c r="J58" s="14"/>
      <c r="K58" s="20" t="e">
        <f t="shared" si="16"/>
        <v>#DIV/0!</v>
      </c>
      <c r="L58" s="4" t="e">
        <f t="shared" si="13"/>
        <v>#DIV/0!</v>
      </c>
      <c r="M58" s="103"/>
      <c r="N58" s="103"/>
      <c r="O58" s="34"/>
      <c r="P58" s="6"/>
      <c r="Q58" s="288"/>
    </row>
    <row r="59" spans="1:17">
      <c r="A59" s="13">
        <f t="shared" si="14"/>
        <v>46167</v>
      </c>
      <c r="B59" s="1"/>
      <c r="C59" s="1"/>
      <c r="D59" s="14"/>
      <c r="E59" s="14"/>
      <c r="F59" s="20" t="e">
        <f t="shared" si="15"/>
        <v>#DIV/0!</v>
      </c>
      <c r="G59" s="2">
        <f t="shared" si="17"/>
        <v>0</v>
      </c>
      <c r="H59" s="2">
        <f t="shared" si="10"/>
        <v>0</v>
      </c>
      <c r="I59" s="29"/>
      <c r="J59" s="14"/>
      <c r="K59" s="20" t="e">
        <f t="shared" si="16"/>
        <v>#DIV/0!</v>
      </c>
      <c r="L59" s="4" t="e">
        <f t="shared" si="13"/>
        <v>#DIV/0!</v>
      </c>
      <c r="M59" s="103"/>
      <c r="N59" s="103"/>
      <c r="O59" s="34"/>
      <c r="P59" s="155"/>
      <c r="Q59" s="6"/>
    </row>
    <row r="60" spans="1:17">
      <c r="A60" s="13">
        <f t="shared" si="14"/>
        <v>46168</v>
      </c>
      <c r="B60" s="1"/>
      <c r="C60" s="1"/>
      <c r="D60" s="14"/>
      <c r="E60" s="14"/>
      <c r="F60" s="20" t="e">
        <f t="shared" si="15"/>
        <v>#DIV/0!</v>
      </c>
      <c r="G60" s="2">
        <f t="shared" si="17"/>
        <v>0</v>
      </c>
      <c r="H60" s="2">
        <f t="shared" si="10"/>
        <v>0</v>
      </c>
      <c r="I60" s="29"/>
      <c r="J60" s="14"/>
      <c r="K60" s="20" t="e">
        <f t="shared" si="16"/>
        <v>#DIV/0!</v>
      </c>
      <c r="L60" s="4" t="e">
        <f t="shared" si="13"/>
        <v>#DIV/0!</v>
      </c>
      <c r="M60" s="103"/>
      <c r="N60" s="103"/>
      <c r="O60" s="34"/>
      <c r="P60" s="6"/>
      <c r="Q60" s="123"/>
    </row>
    <row r="61" spans="1:17">
      <c r="A61" s="13">
        <f t="shared" si="14"/>
        <v>46169</v>
      </c>
      <c r="B61" s="1"/>
      <c r="C61" s="1"/>
      <c r="D61" s="14"/>
      <c r="E61" s="14"/>
      <c r="F61" s="20" t="e">
        <f t="shared" si="15"/>
        <v>#DIV/0!</v>
      </c>
      <c r="G61" s="2">
        <f t="shared" si="17"/>
        <v>0</v>
      </c>
      <c r="H61" s="2">
        <f t="shared" si="10"/>
        <v>0</v>
      </c>
      <c r="I61" s="29"/>
      <c r="J61" s="14"/>
      <c r="K61" s="20" t="e">
        <f t="shared" si="16"/>
        <v>#DIV/0!</v>
      </c>
      <c r="L61" s="4" t="e">
        <f t="shared" si="13"/>
        <v>#DIV/0!</v>
      </c>
      <c r="M61" s="103"/>
      <c r="N61" s="103"/>
      <c r="O61" s="34"/>
      <c r="P61" s="6"/>
      <c r="Q61" s="6"/>
    </row>
    <row r="62" spans="1:17">
      <c r="A62" s="13">
        <f t="shared" si="14"/>
        <v>46170</v>
      </c>
      <c r="B62" s="1"/>
      <c r="C62" s="1"/>
      <c r="D62" s="14"/>
      <c r="E62" s="14"/>
      <c r="F62" s="20" t="e">
        <f t="shared" si="15"/>
        <v>#DIV/0!</v>
      </c>
      <c r="G62" s="2">
        <f t="shared" si="17"/>
        <v>0</v>
      </c>
      <c r="H62" s="2">
        <f t="shared" ref="H62:H65" si="18">D62/($H$2*24)</f>
        <v>0</v>
      </c>
      <c r="I62" s="29"/>
      <c r="J62" s="14"/>
      <c r="K62" s="20" t="e">
        <f t="shared" si="16"/>
        <v>#DIV/0!</v>
      </c>
      <c r="L62" s="4" t="e">
        <f t="shared" si="13"/>
        <v>#DIV/0!</v>
      </c>
      <c r="M62" s="103"/>
      <c r="N62" s="103"/>
      <c r="O62" s="34"/>
      <c r="P62" s="6"/>
      <c r="Q62" s="6"/>
    </row>
    <row r="63" spans="1:17">
      <c r="A63" s="13">
        <f t="shared" si="14"/>
        <v>46171</v>
      </c>
      <c r="B63" s="1"/>
      <c r="C63" s="1"/>
      <c r="D63" s="14"/>
      <c r="E63" s="14"/>
      <c r="F63" s="20" t="e">
        <f t="shared" si="15"/>
        <v>#DIV/0!</v>
      </c>
      <c r="G63" s="2">
        <f t="shared" si="17"/>
        <v>0</v>
      </c>
      <c r="H63" s="2">
        <f t="shared" si="18"/>
        <v>0</v>
      </c>
      <c r="I63" s="29"/>
      <c r="J63" s="14"/>
      <c r="K63" s="20" t="e">
        <f t="shared" si="16"/>
        <v>#DIV/0!</v>
      </c>
      <c r="L63" s="4" t="e">
        <f t="shared" si="13"/>
        <v>#DIV/0!</v>
      </c>
      <c r="M63" s="103"/>
      <c r="N63" s="103"/>
      <c r="O63" s="34"/>
      <c r="P63" s="6"/>
      <c r="Q63" s="6"/>
    </row>
    <row r="64" spans="1:17">
      <c r="A64" s="13">
        <f t="shared" si="14"/>
        <v>46172</v>
      </c>
      <c r="B64" s="1"/>
      <c r="C64" s="1"/>
      <c r="D64" s="14"/>
      <c r="E64" s="14"/>
      <c r="F64" s="20" t="e">
        <f t="shared" si="15"/>
        <v>#DIV/0!</v>
      </c>
      <c r="G64" s="2">
        <f t="shared" si="17"/>
        <v>0</v>
      </c>
      <c r="H64" s="2">
        <f t="shared" si="18"/>
        <v>0</v>
      </c>
      <c r="I64" s="29"/>
      <c r="J64" s="14"/>
      <c r="K64" s="20" t="e">
        <f t="shared" si="16"/>
        <v>#DIV/0!</v>
      </c>
      <c r="L64" s="4" t="e">
        <f t="shared" si="13"/>
        <v>#DIV/0!</v>
      </c>
      <c r="M64" s="103"/>
      <c r="N64" s="103"/>
      <c r="O64" s="34"/>
      <c r="P64" s="6"/>
      <c r="Q64" s="6"/>
    </row>
    <row r="65" spans="1:17">
      <c r="A65" s="13">
        <f t="shared" si="14"/>
        <v>46173</v>
      </c>
      <c r="B65" s="1"/>
      <c r="C65" s="1"/>
      <c r="D65" s="14"/>
      <c r="E65" s="14"/>
      <c r="F65" s="20" t="e">
        <f t="shared" si="15"/>
        <v>#DIV/0!</v>
      </c>
      <c r="G65" s="2">
        <f t="shared" si="17"/>
        <v>0</v>
      </c>
      <c r="H65" s="2">
        <f t="shared" si="18"/>
        <v>0</v>
      </c>
      <c r="I65" s="29"/>
      <c r="J65" s="14"/>
      <c r="K65" s="20" t="e">
        <f t="shared" si="16"/>
        <v>#DIV/0!</v>
      </c>
      <c r="L65" s="4" t="e">
        <f t="shared" si="13"/>
        <v>#DIV/0!</v>
      </c>
      <c r="M65" s="103"/>
      <c r="N65" s="103"/>
      <c r="O65" s="34"/>
      <c r="P65" s="6"/>
      <c r="Q65" s="6"/>
    </row>
    <row r="66" spans="1:17">
      <c r="A66" s="349">
        <v>46143</v>
      </c>
      <c r="B66" s="89">
        <f>SUM(B35:B65)</f>
        <v>57777</v>
      </c>
      <c r="C66" s="89">
        <f>SUM(C35:C65)</f>
        <v>52128</v>
      </c>
      <c r="D66" s="89">
        <f>SUM(D35:D65)</f>
        <v>0</v>
      </c>
      <c r="E66" s="89">
        <f>SUM(E35:E65)</f>
        <v>0</v>
      </c>
      <c r="F66" s="160">
        <f>(IF(ISBLANK(E66),0,E66-C66))/C66</f>
        <v>-1</v>
      </c>
      <c r="G66" s="90">
        <f>AVERAGE(G35:G65)</f>
        <v>0</v>
      </c>
      <c r="H66" s="90">
        <f>AVERAGE(H35:H65)</f>
        <v>0</v>
      </c>
      <c r="I66" s="89">
        <f>SUM(I35:I65)</f>
        <v>16.649999999999999</v>
      </c>
      <c r="J66" s="89">
        <f>SUM(J35:J65)</f>
        <v>0</v>
      </c>
      <c r="K66" s="160">
        <f>(IF(ISBLANK(J66),0,J66-I66))/I66</f>
        <v>-1</v>
      </c>
      <c r="L66" s="161" t="e">
        <f t="shared" si="13"/>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4F8E9-55CC-4D12-AD08-C879FDE571E8}">
  <dimension ref="A1:Q66"/>
  <sheetViews>
    <sheetView topLeftCell="A23" workbookViewId="0">
      <selection activeCell="B35" sqref="B35:C3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5429687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395</v>
      </c>
      <c r="B1" s="406"/>
      <c r="C1" s="406"/>
      <c r="D1" s="406"/>
      <c r="E1" s="406"/>
      <c r="F1" s="406"/>
      <c r="G1" s="406"/>
      <c r="H1" s="406"/>
      <c r="I1" s="406"/>
      <c r="J1" s="406"/>
      <c r="K1" s="406"/>
      <c r="L1" s="406"/>
      <c r="M1" s="406"/>
      <c r="N1" s="406"/>
      <c r="O1" s="406"/>
      <c r="P1" s="406"/>
      <c r="Q1" s="406"/>
    </row>
    <row r="2" spans="1:17" ht="18.5">
      <c r="A2" s="7">
        <v>46113</v>
      </c>
      <c r="B2" s="407" t="s">
        <v>172</v>
      </c>
      <c r="C2" s="408"/>
      <c r="D2" s="8">
        <v>6000</v>
      </c>
      <c r="E2" s="407" t="s">
        <v>173</v>
      </c>
      <c r="F2" s="407"/>
      <c r="G2" s="408"/>
      <c r="H2" s="8">
        <v>4900</v>
      </c>
      <c r="I2" s="409" t="s">
        <v>174</v>
      </c>
      <c r="J2" s="410"/>
      <c r="K2" s="9">
        <v>45314</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29238.333333333332</v>
      </c>
      <c r="C4" s="1">
        <v>28222.433333333334</v>
      </c>
      <c r="D4" s="31">
        <v>32867.800000000003</v>
      </c>
      <c r="E4" s="49">
        <v>32160</v>
      </c>
      <c r="F4" s="20">
        <f>(IF(ISBLANK(E4),0,E4-C4))/C4</f>
        <v>0.13951903509383193</v>
      </c>
      <c r="G4" s="2">
        <f t="shared" ref="G4:G27" si="0">D4/($D$2*24)</f>
        <v>0.22824861111111114</v>
      </c>
      <c r="H4" s="2">
        <f t="shared" ref="H4:H21" si="1">D4/($H$2*24)</f>
        <v>0.27948809523809526</v>
      </c>
      <c r="I4" s="26">
        <v>6.09</v>
      </c>
      <c r="J4" s="49">
        <v>6.98</v>
      </c>
      <c r="K4" s="20">
        <f>(IF(ISBLANK(J4),0,J4-I4))/I4</f>
        <v>0.14614121510673245</v>
      </c>
      <c r="L4" s="4">
        <f t="shared" ref="L4:L35" si="2">D4/($D$2*J4)</f>
        <v>0.78480897803247385</v>
      </c>
      <c r="M4" s="61">
        <v>1</v>
      </c>
      <c r="N4" s="62">
        <v>1</v>
      </c>
      <c r="O4" s="49"/>
      <c r="P4" s="49"/>
      <c r="Q4" s="49"/>
    </row>
    <row r="5" spans="1:17">
      <c r="A5" s="13">
        <f>A4+1</f>
        <v>46114</v>
      </c>
      <c r="B5" s="1">
        <v>29238.333333333332</v>
      </c>
      <c r="C5" s="1">
        <v>28222.433333333334</v>
      </c>
      <c r="D5" s="32">
        <v>29088.9</v>
      </c>
      <c r="E5" s="50">
        <v>28350</v>
      </c>
      <c r="F5" s="20">
        <f t="shared" ref="F5:F28" si="3">(IF(ISBLANK(E5),0,E5-C5))/C5</f>
        <v>4.5200449287977418E-3</v>
      </c>
      <c r="G5" s="2">
        <f t="shared" si="0"/>
        <v>0.20200625</v>
      </c>
      <c r="H5" s="2">
        <f t="shared" si="1"/>
        <v>0.24735459183673469</v>
      </c>
      <c r="I5" s="26">
        <v>6.09</v>
      </c>
      <c r="J5" s="50">
        <v>6.17</v>
      </c>
      <c r="K5" s="20">
        <f t="shared" ref="K5:K34" si="4">(IF(ISBLANK(J5),0,J5-I5))/I5</f>
        <v>1.3136288998357976E-2</v>
      </c>
      <c r="L5" s="4">
        <f t="shared" si="2"/>
        <v>0.78576175040518648</v>
      </c>
      <c r="M5" s="61">
        <v>1</v>
      </c>
      <c r="N5" s="64">
        <v>1</v>
      </c>
      <c r="O5" s="50"/>
      <c r="P5" s="50"/>
      <c r="Q5" s="50"/>
    </row>
    <row r="6" spans="1:17">
      <c r="A6" s="13">
        <f t="shared" ref="A6:A33" si="5">A5+1</f>
        <v>46115</v>
      </c>
      <c r="B6" s="1">
        <v>29238.333333333332</v>
      </c>
      <c r="C6" s="1">
        <v>28222.433333333334</v>
      </c>
      <c r="D6" s="32">
        <v>26605.200000000001</v>
      </c>
      <c r="E6" s="50">
        <v>25830</v>
      </c>
      <c r="F6" s="20">
        <f t="shared" si="3"/>
        <v>-8.4770625731539831E-2</v>
      </c>
      <c r="G6" s="2">
        <f t="shared" si="0"/>
        <v>0.18475833333333333</v>
      </c>
      <c r="H6" s="2">
        <f t="shared" si="1"/>
        <v>0.22623469387755102</v>
      </c>
      <c r="I6" s="26">
        <v>6.09</v>
      </c>
      <c r="J6" s="50">
        <v>5.64</v>
      </c>
      <c r="K6" s="20">
        <f t="shared" si="4"/>
        <v>-7.3891625615763581E-2</v>
      </c>
      <c r="L6" s="4">
        <f t="shared" si="2"/>
        <v>0.7862056737588653</v>
      </c>
      <c r="M6" s="61">
        <v>1</v>
      </c>
      <c r="N6" s="64">
        <v>1</v>
      </c>
      <c r="O6" s="50"/>
      <c r="P6" s="50"/>
      <c r="Q6" s="50"/>
    </row>
    <row r="7" spans="1:17">
      <c r="A7" s="13">
        <f t="shared" si="5"/>
        <v>46116</v>
      </c>
      <c r="B7" s="1">
        <v>29238.333333333332</v>
      </c>
      <c r="C7" s="1">
        <v>28222.433333333334</v>
      </c>
      <c r="D7" s="32">
        <v>16623.3</v>
      </c>
      <c r="E7" s="50">
        <v>16140</v>
      </c>
      <c r="F7" s="20">
        <f t="shared" si="3"/>
        <v>-0.4281145141040284</v>
      </c>
      <c r="G7" s="2">
        <f t="shared" si="0"/>
        <v>0.11543958333333333</v>
      </c>
      <c r="H7" s="2">
        <f t="shared" si="1"/>
        <v>0.14135459183673468</v>
      </c>
      <c r="I7" s="26">
        <v>6.09</v>
      </c>
      <c r="J7" s="50">
        <v>3.46</v>
      </c>
      <c r="K7" s="20">
        <f t="shared" si="4"/>
        <v>-0.43185550082101803</v>
      </c>
      <c r="L7" s="4">
        <f t="shared" si="2"/>
        <v>0.80073699421965316</v>
      </c>
      <c r="M7" s="61">
        <v>1</v>
      </c>
      <c r="N7" s="64">
        <v>0.95320000000000005</v>
      </c>
      <c r="O7" s="50"/>
      <c r="P7" s="50">
        <v>556.11</v>
      </c>
      <c r="Q7" s="50" t="s">
        <v>396</v>
      </c>
    </row>
    <row r="8" spans="1:17">
      <c r="A8" s="13">
        <f t="shared" si="5"/>
        <v>46117</v>
      </c>
      <c r="B8" s="1">
        <v>29238.333333333332</v>
      </c>
      <c r="C8" s="1">
        <v>28222.433333333334</v>
      </c>
      <c r="D8" s="32">
        <v>29932.400000000001</v>
      </c>
      <c r="E8" s="50">
        <v>29130</v>
      </c>
      <c r="F8" s="20">
        <f t="shared" si="3"/>
        <v>3.2157633466521278E-2</v>
      </c>
      <c r="G8" s="2">
        <f t="shared" si="0"/>
        <v>0.2078638888888889</v>
      </c>
      <c r="H8" s="2">
        <f t="shared" si="1"/>
        <v>0.25452721088435376</v>
      </c>
      <c r="I8" s="26">
        <v>6.09</v>
      </c>
      <c r="J8" s="50">
        <v>6.38</v>
      </c>
      <c r="K8" s="20">
        <f t="shared" si="4"/>
        <v>4.7619047619047623E-2</v>
      </c>
      <c r="L8" s="4">
        <f t="shared" si="2"/>
        <v>0.78193312434691753</v>
      </c>
      <c r="M8" s="61">
        <v>1</v>
      </c>
      <c r="N8" s="64">
        <v>1</v>
      </c>
      <c r="O8" s="50"/>
      <c r="P8" s="50"/>
      <c r="Q8" s="50"/>
    </row>
    <row r="9" spans="1:17">
      <c r="A9" s="13">
        <f t="shared" si="5"/>
        <v>46118</v>
      </c>
      <c r="B9" s="1">
        <v>29238.333333333332</v>
      </c>
      <c r="C9" s="1">
        <v>28222.433333333334</v>
      </c>
      <c r="D9" s="32">
        <v>32947.699999999997</v>
      </c>
      <c r="E9" s="50">
        <v>32160</v>
      </c>
      <c r="F9" s="20">
        <f t="shared" si="3"/>
        <v>0.13951903509383193</v>
      </c>
      <c r="G9" s="2">
        <f t="shared" si="0"/>
        <v>0.22880347222222219</v>
      </c>
      <c r="H9" s="2">
        <f t="shared" si="1"/>
        <v>0.2801675170068027</v>
      </c>
      <c r="I9" s="26">
        <v>6.09</v>
      </c>
      <c r="J9" s="50">
        <v>7.06</v>
      </c>
      <c r="K9" s="20">
        <f t="shared" si="4"/>
        <v>0.15927750410509028</v>
      </c>
      <c r="L9" s="4">
        <f t="shared" si="2"/>
        <v>0.77780217186024547</v>
      </c>
      <c r="M9" s="61">
        <v>1</v>
      </c>
      <c r="N9" s="64">
        <v>1</v>
      </c>
      <c r="O9" s="50"/>
      <c r="P9" s="50"/>
      <c r="Q9" s="50"/>
    </row>
    <row r="10" spans="1:17">
      <c r="A10" s="13">
        <f t="shared" si="5"/>
        <v>46119</v>
      </c>
      <c r="B10" s="1">
        <v>29238.333333333332</v>
      </c>
      <c r="C10" s="1">
        <v>28222.433333333334</v>
      </c>
      <c r="D10" s="32">
        <v>35568</v>
      </c>
      <c r="E10" s="50">
        <v>34740</v>
      </c>
      <c r="F10" s="20">
        <f t="shared" si="3"/>
        <v>0.23093567410322516</v>
      </c>
      <c r="G10" s="2">
        <f t="shared" si="0"/>
        <v>0.247</v>
      </c>
      <c r="H10" s="2">
        <f t="shared" si="1"/>
        <v>0.30244897959183675</v>
      </c>
      <c r="I10" s="26">
        <v>6.09</v>
      </c>
      <c r="J10" s="50">
        <v>7.52</v>
      </c>
      <c r="K10" s="20">
        <f t="shared" si="4"/>
        <v>0.23481116584564857</v>
      </c>
      <c r="L10" s="4">
        <f t="shared" si="2"/>
        <v>0.78829787234042559</v>
      </c>
      <c r="M10" s="61">
        <v>1</v>
      </c>
      <c r="N10" s="64">
        <v>1</v>
      </c>
      <c r="O10" s="50"/>
      <c r="P10" s="50"/>
      <c r="Q10" s="50"/>
    </row>
    <row r="11" spans="1:17">
      <c r="A11" s="13">
        <f t="shared" si="5"/>
        <v>46120</v>
      </c>
      <c r="B11" s="1">
        <v>29238.333333333332</v>
      </c>
      <c r="C11" s="1">
        <v>28222.433333333334</v>
      </c>
      <c r="D11" s="32">
        <v>35742.800000000003</v>
      </c>
      <c r="E11" s="50">
        <v>34980</v>
      </c>
      <c r="F11" s="20">
        <f t="shared" si="3"/>
        <v>0.23943954749944779</v>
      </c>
      <c r="G11" s="2">
        <f t="shared" si="0"/>
        <v>0.2482138888888889</v>
      </c>
      <c r="H11" s="2">
        <f t="shared" si="1"/>
        <v>0.30393537414965988</v>
      </c>
      <c r="I11" s="26">
        <v>6.09</v>
      </c>
      <c r="J11" s="50">
        <v>7.75</v>
      </c>
      <c r="K11" s="20">
        <f t="shared" si="4"/>
        <v>0.27257799671592781</v>
      </c>
      <c r="L11" s="4">
        <f t="shared" si="2"/>
        <v>0.76866236559139789</v>
      </c>
      <c r="M11" s="61">
        <v>1</v>
      </c>
      <c r="N11" s="64">
        <v>1</v>
      </c>
      <c r="O11" s="50"/>
      <c r="P11" s="50"/>
      <c r="Q11" s="50"/>
    </row>
    <row r="12" spans="1:17">
      <c r="A12" s="13">
        <f t="shared" si="5"/>
        <v>46121</v>
      </c>
      <c r="B12" s="1">
        <v>29238.333333333332</v>
      </c>
      <c r="C12" s="1">
        <v>28222.433333333334</v>
      </c>
      <c r="D12" s="32">
        <v>34507.4</v>
      </c>
      <c r="E12" s="50">
        <v>33810</v>
      </c>
      <c r="F12" s="20">
        <f t="shared" si="3"/>
        <v>0.19798316469286248</v>
      </c>
      <c r="G12" s="2">
        <f t="shared" si="0"/>
        <v>0.23963472222222224</v>
      </c>
      <c r="H12" s="2">
        <f t="shared" si="1"/>
        <v>0.29343027210884354</v>
      </c>
      <c r="I12" s="26">
        <v>6.09</v>
      </c>
      <c r="J12" s="50">
        <v>7.49</v>
      </c>
      <c r="K12" s="20">
        <f t="shared" si="4"/>
        <v>0.22988505747126442</v>
      </c>
      <c r="L12" s="4">
        <f t="shared" si="2"/>
        <v>0.76785491766800185</v>
      </c>
      <c r="M12" s="61">
        <v>1</v>
      </c>
      <c r="N12" s="64">
        <v>1</v>
      </c>
      <c r="O12" s="50"/>
      <c r="P12" s="50"/>
      <c r="Q12" s="50"/>
    </row>
    <row r="13" spans="1:17">
      <c r="A13" s="13">
        <f t="shared" si="5"/>
        <v>46122</v>
      </c>
      <c r="B13" s="1">
        <v>29238.333333333332</v>
      </c>
      <c r="C13" s="1">
        <v>28222.433333333334</v>
      </c>
      <c r="D13" s="32">
        <v>32016.9</v>
      </c>
      <c r="E13" s="50">
        <v>31170</v>
      </c>
      <c r="F13" s="20">
        <f t="shared" si="3"/>
        <v>0.1044405573344136</v>
      </c>
      <c r="G13" s="2">
        <f t="shared" si="0"/>
        <v>0.22233958333333334</v>
      </c>
      <c r="H13" s="2">
        <f t="shared" si="1"/>
        <v>0.27225255102040818</v>
      </c>
      <c r="I13" s="26">
        <v>6.09</v>
      </c>
      <c r="J13" s="50">
        <v>6.76</v>
      </c>
      <c r="K13" s="20">
        <f t="shared" si="4"/>
        <v>0.11001642036124794</v>
      </c>
      <c r="L13" s="4">
        <f t="shared" si="2"/>
        <v>0.78937130177514792</v>
      </c>
      <c r="M13" s="61">
        <v>1</v>
      </c>
      <c r="N13" s="64">
        <v>1</v>
      </c>
      <c r="O13" s="50"/>
      <c r="P13" s="50"/>
      <c r="Q13" s="50"/>
    </row>
    <row r="14" spans="1:17">
      <c r="A14" s="13">
        <f t="shared" si="5"/>
        <v>46123</v>
      </c>
      <c r="B14" s="1">
        <v>29238.333333333332</v>
      </c>
      <c r="C14" s="1">
        <v>28222.433333333334</v>
      </c>
      <c r="D14" s="32">
        <v>29092.9</v>
      </c>
      <c r="E14" s="50">
        <v>28440</v>
      </c>
      <c r="F14" s="20">
        <f t="shared" si="3"/>
        <v>7.7089974523812266E-3</v>
      </c>
      <c r="G14" s="2">
        <f t="shared" si="0"/>
        <v>0.20203402777777779</v>
      </c>
      <c r="H14" s="2">
        <f t="shared" si="1"/>
        <v>0.24738860544217689</v>
      </c>
      <c r="I14" s="26">
        <v>6.09</v>
      </c>
      <c r="J14" s="50">
        <v>6.23</v>
      </c>
      <c r="K14" s="20">
        <f t="shared" si="4"/>
        <v>2.298850574712653E-2</v>
      </c>
      <c r="L14" s="4">
        <f t="shared" si="2"/>
        <v>0.77830123060460144</v>
      </c>
      <c r="M14" s="61">
        <v>1</v>
      </c>
      <c r="N14" s="64">
        <v>1</v>
      </c>
      <c r="O14" s="50"/>
      <c r="P14" s="50"/>
      <c r="Q14" s="50"/>
    </row>
    <row r="15" spans="1:17">
      <c r="A15" s="13">
        <f t="shared" si="5"/>
        <v>46124</v>
      </c>
      <c r="B15" s="1">
        <v>29238.333333333332</v>
      </c>
      <c r="C15" s="1">
        <v>28222.433333333334</v>
      </c>
      <c r="D15" s="32">
        <v>27919.4</v>
      </c>
      <c r="E15" s="50">
        <v>27300</v>
      </c>
      <c r="F15" s="20">
        <f t="shared" si="3"/>
        <v>-3.2684401179676248E-2</v>
      </c>
      <c r="G15" s="2">
        <f t="shared" si="0"/>
        <v>0.19388472222222222</v>
      </c>
      <c r="H15" s="2">
        <f t="shared" si="1"/>
        <v>0.23740986394557825</v>
      </c>
      <c r="I15" s="26">
        <v>6.09</v>
      </c>
      <c r="J15" s="50">
        <v>6.01</v>
      </c>
      <c r="K15" s="20">
        <f t="shared" si="4"/>
        <v>-1.3136288998357976E-2</v>
      </c>
      <c r="L15" s="4">
        <f t="shared" si="2"/>
        <v>0.77424847476428182</v>
      </c>
      <c r="M15" s="61">
        <v>1</v>
      </c>
      <c r="N15" s="64">
        <v>1</v>
      </c>
      <c r="O15" s="50"/>
      <c r="P15" s="50"/>
      <c r="Q15" s="50"/>
    </row>
    <row r="16" spans="1:17">
      <c r="A16" s="13">
        <f t="shared" si="5"/>
        <v>46125</v>
      </c>
      <c r="B16" s="1">
        <v>29238.333333333332</v>
      </c>
      <c r="C16" s="1">
        <v>28222.433333333334</v>
      </c>
      <c r="D16" s="32">
        <v>34223</v>
      </c>
      <c r="E16" s="50">
        <v>33570</v>
      </c>
      <c r="F16" s="20">
        <f t="shared" si="3"/>
        <v>0.18947929129663987</v>
      </c>
      <c r="G16" s="2">
        <f t="shared" si="0"/>
        <v>0.23765972222222223</v>
      </c>
      <c r="H16" s="2">
        <f t="shared" si="1"/>
        <v>0.29101190476190475</v>
      </c>
      <c r="I16" s="26">
        <v>6.09</v>
      </c>
      <c r="J16" s="50">
        <v>7.42</v>
      </c>
      <c r="K16" s="20">
        <f t="shared" si="4"/>
        <v>0.21839080459770116</v>
      </c>
      <c r="L16" s="4">
        <f t="shared" si="2"/>
        <v>0.76871069182389939</v>
      </c>
      <c r="M16" s="61">
        <v>1</v>
      </c>
      <c r="N16" s="64">
        <v>1</v>
      </c>
      <c r="O16" s="50"/>
      <c r="P16" s="50"/>
      <c r="Q16" s="50"/>
    </row>
    <row r="17" spans="1:17">
      <c r="A17" s="13">
        <f t="shared" si="5"/>
        <v>46126</v>
      </c>
      <c r="B17" s="1">
        <v>29238.333333333332</v>
      </c>
      <c r="C17" s="1">
        <v>28222.433333333334</v>
      </c>
      <c r="D17" s="32">
        <v>32110.5</v>
      </c>
      <c r="E17" s="50">
        <v>31470</v>
      </c>
      <c r="F17" s="20">
        <f t="shared" si="3"/>
        <v>0.11507039907969188</v>
      </c>
      <c r="G17" s="2">
        <f t="shared" si="0"/>
        <v>0.22298958333333332</v>
      </c>
      <c r="H17" s="2">
        <f t="shared" si="1"/>
        <v>0.27304846938775512</v>
      </c>
      <c r="I17" s="26">
        <v>6.09</v>
      </c>
      <c r="J17" s="50">
        <v>6.9</v>
      </c>
      <c r="K17" s="20">
        <f t="shared" si="4"/>
        <v>0.13300492610837447</v>
      </c>
      <c r="L17" s="4">
        <f t="shared" si="2"/>
        <v>0.77561594202898554</v>
      </c>
      <c r="M17" s="61">
        <v>1</v>
      </c>
      <c r="N17" s="64">
        <v>1</v>
      </c>
      <c r="O17" s="50"/>
      <c r="P17" s="50"/>
      <c r="Q17" s="50"/>
    </row>
    <row r="18" spans="1:17">
      <c r="A18" s="13">
        <f t="shared" si="5"/>
        <v>46127</v>
      </c>
      <c r="B18" s="1">
        <v>29238.333333333332</v>
      </c>
      <c r="C18" s="1">
        <v>28222.433333333334</v>
      </c>
      <c r="D18" s="32">
        <v>31153.9</v>
      </c>
      <c r="E18" s="50">
        <v>30540</v>
      </c>
      <c r="F18" s="20">
        <f t="shared" si="3"/>
        <v>8.2117889669329203E-2</v>
      </c>
      <c r="G18" s="2">
        <f t="shared" si="0"/>
        <v>0.2163465277777778</v>
      </c>
      <c r="H18" s="2">
        <f t="shared" si="1"/>
        <v>0.2649141156462585</v>
      </c>
      <c r="I18" s="26">
        <v>6.09</v>
      </c>
      <c r="J18" s="50">
        <v>6.59</v>
      </c>
      <c r="K18" s="20">
        <f t="shared" si="4"/>
        <v>8.2101806239737271E-2</v>
      </c>
      <c r="L18" s="4">
        <f t="shared" si="2"/>
        <v>0.78790844714213459</v>
      </c>
      <c r="M18" s="61">
        <v>1</v>
      </c>
      <c r="N18" s="64">
        <v>1</v>
      </c>
      <c r="O18" s="50"/>
      <c r="P18" s="50"/>
      <c r="Q18" s="50"/>
    </row>
    <row r="19" spans="1:17">
      <c r="A19" s="13">
        <f t="shared" si="5"/>
        <v>46128</v>
      </c>
      <c r="B19" s="1">
        <v>29238.333333333332</v>
      </c>
      <c r="C19" s="1">
        <v>28222.433333333334</v>
      </c>
      <c r="D19" s="32">
        <v>30628.5</v>
      </c>
      <c r="E19" s="50">
        <v>30030</v>
      </c>
      <c r="F19" s="20">
        <f t="shared" si="3"/>
        <v>6.4047158702356125E-2</v>
      </c>
      <c r="G19" s="2">
        <f t="shared" si="0"/>
        <v>0.21269791666666665</v>
      </c>
      <c r="H19" s="2">
        <f t="shared" si="1"/>
        <v>0.26044642857142858</v>
      </c>
      <c r="I19" s="26">
        <v>6.09</v>
      </c>
      <c r="J19" s="50">
        <v>6.43</v>
      </c>
      <c r="K19" s="20">
        <f t="shared" si="4"/>
        <v>5.5829228243021327E-2</v>
      </c>
      <c r="L19" s="4">
        <f t="shared" si="2"/>
        <v>0.79389580093312595</v>
      </c>
      <c r="M19" s="61">
        <v>1</v>
      </c>
      <c r="N19" s="64">
        <v>1</v>
      </c>
      <c r="O19" s="50"/>
      <c r="P19" s="50"/>
      <c r="Q19" s="50"/>
    </row>
    <row r="20" spans="1:17">
      <c r="A20" s="13">
        <f t="shared" si="5"/>
        <v>46129</v>
      </c>
      <c r="B20" s="1">
        <v>29238.333333333332</v>
      </c>
      <c r="C20" s="1">
        <v>28222.433333333334</v>
      </c>
      <c r="D20" s="32">
        <v>31882</v>
      </c>
      <c r="E20" s="50">
        <v>31290</v>
      </c>
      <c r="F20" s="20">
        <f t="shared" si="3"/>
        <v>0.10869249403252491</v>
      </c>
      <c r="G20" s="2">
        <f t="shared" si="0"/>
        <v>0.22140277777777778</v>
      </c>
      <c r="H20" s="2">
        <f t="shared" si="1"/>
        <v>0.27110544217687077</v>
      </c>
      <c r="I20" s="26">
        <v>6.09</v>
      </c>
      <c r="J20" s="50">
        <v>6.62</v>
      </c>
      <c r="K20" s="20">
        <f t="shared" si="4"/>
        <v>8.7027914614121557E-2</v>
      </c>
      <c r="L20" s="4">
        <f t="shared" si="2"/>
        <v>0.80266868076535747</v>
      </c>
      <c r="M20" s="61">
        <v>1</v>
      </c>
      <c r="N20" s="64">
        <v>1</v>
      </c>
      <c r="O20" s="50"/>
      <c r="P20" s="50"/>
      <c r="Q20" s="50"/>
    </row>
    <row r="21" spans="1:17">
      <c r="A21" s="13">
        <f t="shared" si="5"/>
        <v>46130</v>
      </c>
      <c r="B21" s="1">
        <v>29238.333333333332</v>
      </c>
      <c r="C21" s="1">
        <v>28222.433333333334</v>
      </c>
      <c r="D21" s="32">
        <v>31330.1</v>
      </c>
      <c r="E21" s="50">
        <v>30690</v>
      </c>
      <c r="F21" s="20">
        <f t="shared" si="3"/>
        <v>8.7432810541968345E-2</v>
      </c>
      <c r="G21" s="2">
        <f t="shared" si="0"/>
        <v>0.21757013888888888</v>
      </c>
      <c r="H21" s="2">
        <f t="shared" si="1"/>
        <v>0.26641241496598639</v>
      </c>
      <c r="I21" s="26">
        <v>6.09</v>
      </c>
      <c r="J21" s="50">
        <v>6.68</v>
      </c>
      <c r="K21" s="20">
        <f t="shared" si="4"/>
        <v>9.6880131362889962E-2</v>
      </c>
      <c r="L21" s="4">
        <f t="shared" si="2"/>
        <v>0.78168912175648697</v>
      </c>
      <c r="M21" s="61">
        <v>1</v>
      </c>
      <c r="N21" s="64">
        <v>1</v>
      </c>
      <c r="O21" s="50"/>
      <c r="P21" s="50"/>
      <c r="Q21" s="50"/>
    </row>
    <row r="22" spans="1:17">
      <c r="A22" s="13">
        <f t="shared" si="5"/>
        <v>46131</v>
      </c>
      <c r="B22" s="1">
        <v>29238.333333333332</v>
      </c>
      <c r="C22" s="1">
        <v>28222.433333333334</v>
      </c>
      <c r="D22" s="32">
        <v>27091.5</v>
      </c>
      <c r="E22" s="50">
        <v>26550</v>
      </c>
      <c r="F22" s="20">
        <f t="shared" si="3"/>
        <v>-5.9259005542871959E-2</v>
      </c>
      <c r="G22" s="2">
        <f t="shared" si="0"/>
        <v>0.18813541666666667</v>
      </c>
      <c r="H22" s="2">
        <f t="shared" ref="H22:H27" si="6">E22/($D$2*24)</f>
        <v>0.18437500000000001</v>
      </c>
      <c r="I22" s="26">
        <v>6.09</v>
      </c>
      <c r="J22" s="50">
        <v>5.65</v>
      </c>
      <c r="K22" s="20">
        <f t="shared" si="4"/>
        <v>-7.2249589490968727E-2</v>
      </c>
      <c r="L22" s="4">
        <f t="shared" si="2"/>
        <v>0.79915929203539826</v>
      </c>
      <c r="M22" s="61">
        <v>1</v>
      </c>
      <c r="N22" s="64">
        <v>1</v>
      </c>
      <c r="O22" s="50"/>
      <c r="P22" s="50"/>
      <c r="Q22" s="50"/>
    </row>
    <row r="23" spans="1:17">
      <c r="A23" s="13">
        <f t="shared" si="5"/>
        <v>46132</v>
      </c>
      <c r="B23" s="1">
        <v>29238.333333333332</v>
      </c>
      <c r="C23" s="1">
        <v>28222.433333333334</v>
      </c>
      <c r="D23" s="32">
        <v>29151.200000000001</v>
      </c>
      <c r="E23" s="50">
        <v>28560</v>
      </c>
      <c r="F23" s="20">
        <f t="shared" si="3"/>
        <v>1.196093415049254E-2</v>
      </c>
      <c r="G23" s="2">
        <f t="shared" si="0"/>
        <v>0.20243888888888889</v>
      </c>
      <c r="H23" s="2">
        <f t="shared" si="6"/>
        <v>0.19833333333333333</v>
      </c>
      <c r="I23" s="26">
        <v>6.09</v>
      </c>
      <c r="J23" s="50">
        <v>6.31</v>
      </c>
      <c r="K23" s="20">
        <f t="shared" si="4"/>
        <v>3.6124794745484363E-2</v>
      </c>
      <c r="L23" s="4">
        <f t="shared" si="2"/>
        <v>0.769973586899102</v>
      </c>
      <c r="M23" s="61">
        <v>1</v>
      </c>
      <c r="N23" s="64">
        <v>1</v>
      </c>
      <c r="O23" s="50"/>
      <c r="P23" s="50"/>
      <c r="Q23" s="50"/>
    </row>
    <row r="24" spans="1:17">
      <c r="A24" s="13">
        <f t="shared" si="5"/>
        <v>46133</v>
      </c>
      <c r="B24" s="1">
        <v>29238.333333333332</v>
      </c>
      <c r="C24" s="1">
        <v>28222.433333333334</v>
      </c>
      <c r="D24" s="32">
        <v>31840.3</v>
      </c>
      <c r="E24" s="50">
        <v>31230</v>
      </c>
      <c r="F24" s="20">
        <f>(IF(ISBLANK(E24),0,E24-C24))/C24</f>
        <v>0.10656652568346926</v>
      </c>
      <c r="G24" s="2">
        <f t="shared" si="0"/>
        <v>0.22111319444444444</v>
      </c>
      <c r="H24" s="2">
        <f t="shared" si="6"/>
        <v>0.21687500000000001</v>
      </c>
      <c r="I24" s="26">
        <v>6.09</v>
      </c>
      <c r="J24" s="50">
        <v>6.7</v>
      </c>
      <c r="K24" s="20">
        <f>(IF(ISBLANK(J24),0,J24-I24))/I24</f>
        <v>0.10016420361247953</v>
      </c>
      <c r="L24" s="4">
        <f t="shared" si="2"/>
        <v>0.79204726368159206</v>
      </c>
      <c r="M24" s="61">
        <v>1</v>
      </c>
      <c r="N24" s="64">
        <v>1</v>
      </c>
      <c r="O24" s="50"/>
      <c r="P24" s="50"/>
      <c r="Q24" s="50"/>
    </row>
    <row r="25" spans="1:17">
      <c r="A25" s="13">
        <f t="shared" si="5"/>
        <v>46134</v>
      </c>
      <c r="B25" s="1">
        <v>29238.333333333332</v>
      </c>
      <c r="C25" s="1">
        <v>28222.433333333334</v>
      </c>
      <c r="D25" s="32">
        <v>29971.9</v>
      </c>
      <c r="E25" s="50">
        <v>29340</v>
      </c>
      <c r="F25" s="20">
        <f t="shared" si="3"/>
        <v>3.9598522688216078E-2</v>
      </c>
      <c r="G25" s="2">
        <f t="shared" si="0"/>
        <v>0.20813819444444445</v>
      </c>
      <c r="H25" s="2">
        <f t="shared" si="6"/>
        <v>0.20374999999999999</v>
      </c>
      <c r="I25" s="26">
        <v>6.09</v>
      </c>
      <c r="J25" s="50">
        <v>6.42</v>
      </c>
      <c r="K25" s="20">
        <f t="shared" si="4"/>
        <v>5.4187192118226611E-2</v>
      </c>
      <c r="L25" s="4">
        <f t="shared" si="2"/>
        <v>0.77808670820353065</v>
      </c>
      <c r="M25" s="61">
        <v>1</v>
      </c>
      <c r="N25" s="64">
        <v>1</v>
      </c>
      <c r="O25" s="50"/>
      <c r="P25" s="50"/>
      <c r="Q25" s="50"/>
    </row>
    <row r="26" spans="1:17">
      <c r="A26" s="13">
        <f t="shared" si="5"/>
        <v>46135</v>
      </c>
      <c r="B26" s="1">
        <v>29238.333333333332</v>
      </c>
      <c r="C26" s="1">
        <v>28222.433333333334</v>
      </c>
      <c r="D26" s="32">
        <v>29866.1</v>
      </c>
      <c r="E26" s="50">
        <v>29250</v>
      </c>
      <c r="F26" s="20">
        <f t="shared" si="3"/>
        <v>3.6409570164632594E-2</v>
      </c>
      <c r="G26" s="2">
        <f t="shared" si="0"/>
        <v>0.20740347222222222</v>
      </c>
      <c r="H26" s="2">
        <f t="shared" si="6"/>
        <v>0.203125</v>
      </c>
      <c r="I26" s="26">
        <v>6.09</v>
      </c>
      <c r="J26" s="50">
        <v>6.22</v>
      </c>
      <c r="K26" s="20">
        <f t="shared" si="4"/>
        <v>2.1346469622331676E-2</v>
      </c>
      <c r="L26" s="4">
        <f t="shared" si="2"/>
        <v>0.80027063236870311</v>
      </c>
      <c r="M26" s="61">
        <v>1</v>
      </c>
      <c r="N26" s="64">
        <v>1</v>
      </c>
      <c r="O26" s="50"/>
      <c r="P26" s="50"/>
      <c r="Q26" s="50"/>
    </row>
    <row r="27" spans="1:17">
      <c r="A27" s="13">
        <f t="shared" si="5"/>
        <v>46136</v>
      </c>
      <c r="B27" s="1">
        <v>29238.333333333332</v>
      </c>
      <c r="C27" s="1">
        <v>28222.433333333334</v>
      </c>
      <c r="D27" s="32">
        <v>25983</v>
      </c>
      <c r="E27" s="50">
        <v>25440</v>
      </c>
      <c r="F27" s="20">
        <f t="shared" si="3"/>
        <v>-9.8589420000401606E-2</v>
      </c>
      <c r="G27" s="2">
        <f t="shared" si="0"/>
        <v>0.1804375</v>
      </c>
      <c r="H27" s="2">
        <f t="shared" si="6"/>
        <v>0.17666666666666667</v>
      </c>
      <c r="I27" s="26">
        <v>6.09</v>
      </c>
      <c r="J27" s="50">
        <v>5.6</v>
      </c>
      <c r="K27" s="20">
        <f t="shared" si="4"/>
        <v>-8.0459770114942569E-2</v>
      </c>
      <c r="L27" s="4">
        <f t="shared" si="2"/>
        <v>0.77330357142857142</v>
      </c>
      <c r="M27" s="61">
        <v>1</v>
      </c>
      <c r="N27" s="64">
        <v>1</v>
      </c>
      <c r="O27" s="50"/>
      <c r="P27" s="50"/>
      <c r="Q27" s="50"/>
    </row>
    <row r="28" spans="1:17">
      <c r="A28" s="13">
        <f t="shared" si="5"/>
        <v>46137</v>
      </c>
      <c r="B28" s="1">
        <v>29238.333333333332</v>
      </c>
      <c r="C28" s="1">
        <v>28222.433333333334</v>
      </c>
      <c r="D28" s="6">
        <v>30190.11</v>
      </c>
      <c r="E28" s="6">
        <v>29610</v>
      </c>
      <c r="F28" s="20">
        <f t="shared" si="3"/>
        <v>4.916538025896653E-2</v>
      </c>
      <c r="G28" s="2">
        <f t="shared" ref="G28:G33" si="7">D28/($D$2*24)</f>
        <v>0.20965354166666667</v>
      </c>
      <c r="H28" s="2">
        <f t="shared" ref="H28:H33" si="8">E28/($D$2*24)</f>
        <v>0.205625</v>
      </c>
      <c r="I28" s="26">
        <v>6.09</v>
      </c>
      <c r="J28" s="6">
        <v>6.24</v>
      </c>
      <c r="K28" s="20">
        <f t="shared" si="4"/>
        <v>2.4630541871921242E-2</v>
      </c>
      <c r="L28" s="4">
        <f t="shared" si="2"/>
        <v>0.80635977564102568</v>
      </c>
      <c r="M28" s="61">
        <v>1</v>
      </c>
      <c r="N28" s="64">
        <v>1</v>
      </c>
      <c r="O28" s="6"/>
      <c r="P28" s="6"/>
      <c r="Q28" s="6"/>
    </row>
    <row r="29" spans="1:17">
      <c r="A29" s="13">
        <f t="shared" si="5"/>
        <v>46138</v>
      </c>
      <c r="B29" s="1">
        <v>29238.333333333332</v>
      </c>
      <c r="C29" s="1">
        <v>28222.433333333334</v>
      </c>
      <c r="D29" s="6">
        <v>27369.9</v>
      </c>
      <c r="E29" s="6">
        <v>26820</v>
      </c>
      <c r="F29" s="20">
        <f t="shared" ref="F29:F35" si="9">(IF(ISBLANK(E29),0,E29-C29))/C29</f>
        <v>-4.96921479721215E-2</v>
      </c>
      <c r="G29" s="2">
        <f t="shared" si="7"/>
        <v>0.19006875000000001</v>
      </c>
      <c r="H29" s="2">
        <f t="shared" si="8"/>
        <v>0.18625</v>
      </c>
      <c r="I29" s="26">
        <v>6.09</v>
      </c>
      <c r="J29" s="6">
        <v>5.62</v>
      </c>
      <c r="K29" s="20">
        <f t="shared" si="4"/>
        <v>-7.7175697865352999E-2</v>
      </c>
      <c r="L29" s="4">
        <f t="shared" si="2"/>
        <v>0.81168149466192174</v>
      </c>
      <c r="M29" s="61">
        <v>1</v>
      </c>
      <c r="N29" s="64">
        <v>1</v>
      </c>
      <c r="O29" s="6"/>
      <c r="P29" s="6"/>
      <c r="Q29" s="6"/>
    </row>
    <row r="30" spans="1:17">
      <c r="A30" s="13">
        <f t="shared" si="5"/>
        <v>46139</v>
      </c>
      <c r="B30" s="1">
        <v>29238.333333333332</v>
      </c>
      <c r="C30" s="1">
        <v>28222.433333333334</v>
      </c>
      <c r="D30" s="6">
        <v>30747</v>
      </c>
      <c r="E30" s="6">
        <v>30150</v>
      </c>
      <c r="F30" s="20">
        <f t="shared" si="9"/>
        <v>6.8299095400467441E-2</v>
      </c>
      <c r="G30" s="2">
        <f t="shared" si="7"/>
        <v>0.21352083333333333</v>
      </c>
      <c r="H30" s="2">
        <f t="shared" si="8"/>
        <v>0.20937500000000001</v>
      </c>
      <c r="I30" s="26">
        <v>6.09</v>
      </c>
      <c r="J30" s="6">
        <v>6.18</v>
      </c>
      <c r="K30" s="20">
        <f t="shared" si="4"/>
        <v>1.4778325123152686E-2</v>
      </c>
      <c r="L30" s="4">
        <f t="shared" si="2"/>
        <v>0.82920711974110028</v>
      </c>
      <c r="M30" s="61">
        <v>1</v>
      </c>
      <c r="N30" s="64">
        <v>1</v>
      </c>
      <c r="O30" s="6"/>
      <c r="P30" s="6"/>
      <c r="Q30" s="6"/>
    </row>
    <row r="31" spans="1:17">
      <c r="A31" s="13">
        <f t="shared" si="5"/>
        <v>46140</v>
      </c>
      <c r="B31" s="1">
        <v>29238.333333333332</v>
      </c>
      <c r="C31" s="1">
        <v>28222.433333333334</v>
      </c>
      <c r="D31" s="6">
        <v>26108</v>
      </c>
      <c r="E31" s="6">
        <v>25260</v>
      </c>
      <c r="F31" s="20">
        <f t="shared" si="9"/>
        <v>-0.10496732504756857</v>
      </c>
      <c r="G31" s="2">
        <f t="shared" si="7"/>
        <v>0.18130555555555555</v>
      </c>
      <c r="H31" s="2">
        <f t="shared" si="8"/>
        <v>0.17541666666666667</v>
      </c>
      <c r="I31" s="26">
        <v>6.09</v>
      </c>
      <c r="J31" s="6">
        <v>5.55</v>
      </c>
      <c r="K31" s="20">
        <f t="shared" si="4"/>
        <v>-8.8669950738916259E-2</v>
      </c>
      <c r="L31" s="4">
        <f t="shared" si="2"/>
        <v>0.78402402402402405</v>
      </c>
      <c r="M31" s="61">
        <v>1</v>
      </c>
      <c r="N31" s="64">
        <v>1</v>
      </c>
      <c r="O31" s="6"/>
      <c r="P31" s="6"/>
      <c r="Q31" s="6"/>
    </row>
    <row r="32" spans="1:17">
      <c r="A32" s="13">
        <f t="shared" si="5"/>
        <v>46141</v>
      </c>
      <c r="B32" s="1">
        <v>29238.333333333332</v>
      </c>
      <c r="C32" s="1">
        <v>28222.433333333334</v>
      </c>
      <c r="D32" s="6">
        <v>27253.8</v>
      </c>
      <c r="E32" s="6">
        <v>26730</v>
      </c>
      <c r="F32" s="20">
        <f t="shared" si="9"/>
        <v>-5.2881100495704984E-2</v>
      </c>
      <c r="G32" s="2">
        <f t="shared" si="7"/>
        <v>0.1892625</v>
      </c>
      <c r="H32" s="2">
        <f t="shared" si="8"/>
        <v>0.18562500000000001</v>
      </c>
      <c r="I32" s="26">
        <v>6.09</v>
      </c>
      <c r="J32" s="6">
        <v>5.58</v>
      </c>
      <c r="K32" s="20">
        <f t="shared" si="4"/>
        <v>-8.3743842364531987E-2</v>
      </c>
      <c r="L32" s="4">
        <f t="shared" si="2"/>
        <v>0.81403225806451607</v>
      </c>
      <c r="M32" s="61">
        <v>1</v>
      </c>
      <c r="N32" s="64">
        <v>1</v>
      </c>
      <c r="O32" s="6"/>
      <c r="P32" s="6"/>
      <c r="Q32" s="6"/>
    </row>
    <row r="33" spans="1:17">
      <c r="A33" s="13">
        <f t="shared" si="5"/>
        <v>46142</v>
      </c>
      <c r="B33" s="1"/>
      <c r="C33" s="1"/>
      <c r="D33" s="6"/>
      <c r="E33" s="6"/>
      <c r="F33" s="20" t="e">
        <f t="shared" si="9"/>
        <v>#DIV/0!</v>
      </c>
      <c r="G33" s="2">
        <f t="shared" si="7"/>
        <v>0</v>
      </c>
      <c r="H33" s="2">
        <f t="shared" si="8"/>
        <v>0</v>
      </c>
      <c r="I33" s="26"/>
      <c r="J33" s="6"/>
      <c r="K33" s="20" t="e">
        <f t="shared" si="4"/>
        <v>#DIV/0!</v>
      </c>
      <c r="L33" s="4" t="e">
        <f t="shared" si="2"/>
        <v>#DIV/0!</v>
      </c>
      <c r="M33" s="6"/>
      <c r="N33" s="6"/>
      <c r="O33" s="6"/>
      <c r="P33" s="6"/>
      <c r="Q33" s="6"/>
    </row>
    <row r="34" spans="1:17">
      <c r="A34" s="349">
        <v>46113</v>
      </c>
      <c r="B34" s="89">
        <f>SUM(B4:B33)</f>
        <v>847911.66666666698</v>
      </c>
      <c r="C34" s="89">
        <f>SUM(C4:C33)</f>
        <v>818450.566666667</v>
      </c>
      <c r="D34" s="89">
        <f>SUM(D4:D33)</f>
        <v>869813.51000000013</v>
      </c>
      <c r="E34" s="89">
        <f>SUM(E4:E33)</f>
        <v>850740</v>
      </c>
      <c r="F34" s="92">
        <f t="shared" si="9"/>
        <v>3.9451904181384265E-2</v>
      </c>
      <c r="G34" s="90">
        <f>AVERAGE(G4:G33)</f>
        <v>0.20134571990740735</v>
      </c>
      <c r="H34" s="90">
        <f>AVERAGE(H4:H33)</f>
        <v>0.22861159297052158</v>
      </c>
      <c r="I34" s="89">
        <f>SUM(I4:I33)</f>
        <v>176.61000000000007</v>
      </c>
      <c r="J34" s="89">
        <f>SUM(J4:J33)</f>
        <v>184.16000000000005</v>
      </c>
      <c r="K34" s="92">
        <f t="shared" si="4"/>
        <v>4.2749561180001019E-2</v>
      </c>
      <c r="L34" s="93">
        <f t="shared" si="2"/>
        <v>0.78719004307848239</v>
      </c>
      <c r="M34" s="90">
        <f>AVERAGE(M4:M33)</f>
        <v>1</v>
      </c>
      <c r="N34" s="90">
        <f>AVERAGE(N4:N33)</f>
        <v>0.99838620689655166</v>
      </c>
      <c r="O34" s="89">
        <f>SUM(O4:O33)</f>
        <v>0</v>
      </c>
      <c r="P34" s="89">
        <f>SUM(P4:P33)</f>
        <v>556.11</v>
      </c>
      <c r="Q34" s="19"/>
    </row>
    <row r="35" spans="1:17">
      <c r="A35" s="13">
        <v>46143</v>
      </c>
      <c r="B35" s="127">
        <v>27256</v>
      </c>
      <c r="C35" s="127">
        <v>26309</v>
      </c>
      <c r="D35" s="33"/>
      <c r="E35" s="33"/>
      <c r="F35" s="20">
        <f t="shared" si="9"/>
        <v>0</v>
      </c>
      <c r="G35" s="2">
        <f t="shared" ref="G35:G57" si="10">D35/($D$2*24)</f>
        <v>0</v>
      </c>
      <c r="H35" s="2">
        <f t="shared" ref="H35:H61" si="11">D35/($H$2*24)</f>
        <v>0</v>
      </c>
      <c r="I35" s="28">
        <v>5.65</v>
      </c>
      <c r="J35" s="33"/>
      <c r="K35" s="20">
        <f>(IF(ISBLANK(J35),0,J35-I35))/I35</f>
        <v>0</v>
      </c>
      <c r="L35" s="4" t="e">
        <f t="shared" si="2"/>
        <v>#DIV/0!</v>
      </c>
      <c r="M35" s="103"/>
      <c r="N35" s="103"/>
      <c r="O35" s="33"/>
      <c r="P35" s="6"/>
      <c r="Q35" s="6"/>
    </row>
    <row r="36" spans="1:17">
      <c r="A36" s="13">
        <f>A35+1</f>
        <v>46144</v>
      </c>
      <c r="B36" s="127">
        <v>27256</v>
      </c>
      <c r="C36" s="127">
        <v>26309</v>
      </c>
      <c r="D36" s="34"/>
      <c r="E36" s="34"/>
      <c r="F36" s="20">
        <f t="shared" ref="F36:F54" si="12">(IF(ISBLANK(E36),0,E36-C36))/C36</f>
        <v>0</v>
      </c>
      <c r="G36" s="2">
        <f t="shared" si="10"/>
        <v>0</v>
      </c>
      <c r="H36" s="2">
        <f t="shared" si="11"/>
        <v>0</v>
      </c>
      <c r="I36" s="28">
        <v>5.65</v>
      </c>
      <c r="J36" s="34"/>
      <c r="K36" s="20">
        <f t="shared" ref="K36:K54" si="13">(IF(ISBLANK(J36),0,J36-I36))/I36</f>
        <v>0</v>
      </c>
      <c r="L36" s="4" t="e">
        <f t="shared" ref="L36:L66" si="14">D36/($D$2*J36)</f>
        <v>#DIV/0!</v>
      </c>
      <c r="M36" s="103"/>
      <c r="N36" s="103"/>
      <c r="O36" s="34"/>
      <c r="P36" s="6"/>
      <c r="Q36" s="6"/>
    </row>
    <row r="37" spans="1:17">
      <c r="A37" s="13">
        <f t="shared" ref="A37:A65" si="15">A36+1</f>
        <v>46145</v>
      </c>
      <c r="B37" s="127">
        <v>27256</v>
      </c>
      <c r="C37" s="127">
        <v>26309</v>
      </c>
      <c r="D37" s="34"/>
      <c r="E37" s="34"/>
      <c r="F37" s="20">
        <f t="shared" si="12"/>
        <v>0</v>
      </c>
      <c r="G37" s="2">
        <f t="shared" si="10"/>
        <v>0</v>
      </c>
      <c r="H37" s="2">
        <f t="shared" si="11"/>
        <v>0</v>
      </c>
      <c r="I37" s="28">
        <v>5.65</v>
      </c>
      <c r="J37" s="34"/>
      <c r="K37" s="20">
        <f t="shared" si="13"/>
        <v>0</v>
      </c>
      <c r="L37" s="4" t="e">
        <f t="shared" si="14"/>
        <v>#DIV/0!</v>
      </c>
      <c r="M37" s="103"/>
      <c r="N37" s="104"/>
      <c r="O37" s="34"/>
      <c r="P37" s="6"/>
      <c r="Q37" s="6"/>
    </row>
    <row r="38" spans="1:17">
      <c r="A38" s="13">
        <f t="shared" si="15"/>
        <v>46146</v>
      </c>
      <c r="B38" s="127"/>
      <c r="C38" s="127"/>
      <c r="D38" s="34"/>
      <c r="E38" s="34"/>
      <c r="F38" s="20" t="e">
        <f t="shared" si="12"/>
        <v>#DIV/0!</v>
      </c>
      <c r="G38" s="2">
        <f t="shared" si="10"/>
        <v>0</v>
      </c>
      <c r="H38" s="2">
        <f t="shared" si="11"/>
        <v>0</v>
      </c>
      <c r="I38" s="29"/>
      <c r="J38" s="34"/>
      <c r="K38" s="20" t="e">
        <f t="shared" si="13"/>
        <v>#DIV/0!</v>
      </c>
      <c r="L38" s="4" t="e">
        <f t="shared" si="14"/>
        <v>#DIV/0!</v>
      </c>
      <c r="M38" s="103"/>
      <c r="N38" s="103"/>
      <c r="O38" s="34"/>
      <c r="P38" s="6"/>
      <c r="Q38" s="14"/>
    </row>
    <row r="39" spans="1:17">
      <c r="A39" s="13">
        <f t="shared" si="15"/>
        <v>46147</v>
      </c>
      <c r="B39" s="127"/>
      <c r="C39" s="127"/>
      <c r="D39" s="34"/>
      <c r="E39" s="34"/>
      <c r="F39" s="20" t="e">
        <f t="shared" si="12"/>
        <v>#DIV/0!</v>
      </c>
      <c r="G39" s="2">
        <f t="shared" si="10"/>
        <v>0</v>
      </c>
      <c r="H39" s="2">
        <f t="shared" si="11"/>
        <v>0</v>
      </c>
      <c r="I39" s="29"/>
      <c r="J39" s="34"/>
      <c r="K39" s="20" t="e">
        <f t="shared" si="13"/>
        <v>#DIV/0!</v>
      </c>
      <c r="L39" s="4" t="e">
        <f t="shared" si="14"/>
        <v>#DIV/0!</v>
      </c>
      <c r="M39" s="103"/>
      <c r="N39" s="103"/>
      <c r="O39" s="34"/>
      <c r="P39" s="6"/>
      <c r="Q39" s="14"/>
    </row>
    <row r="40" spans="1:17">
      <c r="A40" s="13">
        <f t="shared" si="15"/>
        <v>46148</v>
      </c>
      <c r="B40" s="127"/>
      <c r="C40" s="127"/>
      <c r="D40" s="34"/>
      <c r="E40" s="34"/>
      <c r="F40" s="20" t="e">
        <f t="shared" si="12"/>
        <v>#DIV/0!</v>
      </c>
      <c r="G40" s="2">
        <f t="shared" si="10"/>
        <v>0</v>
      </c>
      <c r="H40" s="2">
        <f t="shared" si="11"/>
        <v>0</v>
      </c>
      <c r="I40" s="29"/>
      <c r="J40" s="34"/>
      <c r="K40" s="20" t="e">
        <f t="shared" si="13"/>
        <v>#DIV/0!</v>
      </c>
      <c r="L40" s="4" t="e">
        <f t="shared" si="14"/>
        <v>#DIV/0!</v>
      </c>
      <c r="M40" s="103"/>
      <c r="N40" s="103"/>
      <c r="O40" s="34"/>
      <c r="P40" s="6"/>
      <c r="Q40" s="14"/>
    </row>
    <row r="41" spans="1:17">
      <c r="A41" s="13">
        <f t="shared" si="15"/>
        <v>46149</v>
      </c>
      <c r="B41" s="127"/>
      <c r="C41" s="127"/>
      <c r="D41" s="34"/>
      <c r="E41" s="34"/>
      <c r="F41" s="20" t="e">
        <f t="shared" si="12"/>
        <v>#DIV/0!</v>
      </c>
      <c r="G41" s="2">
        <f t="shared" si="10"/>
        <v>0</v>
      </c>
      <c r="H41" s="2">
        <f t="shared" si="11"/>
        <v>0</v>
      </c>
      <c r="I41" s="29"/>
      <c r="J41" s="34"/>
      <c r="K41" s="20" t="e">
        <f t="shared" si="13"/>
        <v>#DIV/0!</v>
      </c>
      <c r="L41" s="4" t="e">
        <f t="shared" si="14"/>
        <v>#DIV/0!</v>
      </c>
      <c r="M41" s="103"/>
      <c r="N41" s="103"/>
      <c r="O41" s="34"/>
      <c r="P41" s="6"/>
      <c r="Q41" s="202"/>
    </row>
    <row r="42" spans="1:17">
      <c r="A42" s="13">
        <f t="shared" si="15"/>
        <v>46150</v>
      </c>
      <c r="B42" s="127"/>
      <c r="C42" s="127"/>
      <c r="D42" s="34"/>
      <c r="E42" s="34"/>
      <c r="F42" s="20" t="e">
        <f t="shared" si="12"/>
        <v>#DIV/0!</v>
      </c>
      <c r="G42" s="2">
        <f t="shared" si="10"/>
        <v>0</v>
      </c>
      <c r="H42" s="2">
        <f t="shared" si="11"/>
        <v>0</v>
      </c>
      <c r="I42" s="29"/>
      <c r="J42" s="34"/>
      <c r="K42" s="20" t="e">
        <f t="shared" si="13"/>
        <v>#DIV/0!</v>
      </c>
      <c r="L42" s="4" t="e">
        <f t="shared" si="14"/>
        <v>#DIV/0!</v>
      </c>
      <c r="M42" s="103"/>
      <c r="N42" s="103"/>
      <c r="O42" s="34"/>
      <c r="P42" s="6"/>
      <c r="Q42" s="14"/>
    </row>
    <row r="43" spans="1:17">
      <c r="A43" s="13">
        <f t="shared" si="15"/>
        <v>46151</v>
      </c>
      <c r="B43" s="127"/>
      <c r="C43" s="127"/>
      <c r="D43" s="34"/>
      <c r="E43" s="34"/>
      <c r="F43" s="20" t="e">
        <f t="shared" si="12"/>
        <v>#DIV/0!</v>
      </c>
      <c r="G43" s="2">
        <f t="shared" si="10"/>
        <v>0</v>
      </c>
      <c r="H43" s="2">
        <f t="shared" si="11"/>
        <v>0</v>
      </c>
      <c r="I43" s="29"/>
      <c r="J43" s="34"/>
      <c r="K43" s="20" t="e">
        <f t="shared" si="13"/>
        <v>#DIV/0!</v>
      </c>
      <c r="L43" s="4" t="e">
        <f t="shared" si="14"/>
        <v>#DIV/0!</v>
      </c>
      <c r="M43" s="103"/>
      <c r="N43" s="103"/>
      <c r="O43" s="34"/>
      <c r="P43" s="6"/>
      <c r="Q43" s="6"/>
    </row>
    <row r="44" spans="1:17">
      <c r="A44" s="13">
        <f t="shared" si="15"/>
        <v>46152</v>
      </c>
      <c r="B44" s="127"/>
      <c r="C44" s="127"/>
      <c r="D44" s="34"/>
      <c r="E44" s="34"/>
      <c r="F44" s="20" t="e">
        <f t="shared" si="12"/>
        <v>#DIV/0!</v>
      </c>
      <c r="G44" s="2">
        <f t="shared" si="10"/>
        <v>0</v>
      </c>
      <c r="H44" s="2">
        <f t="shared" si="11"/>
        <v>0</v>
      </c>
      <c r="I44" s="29"/>
      <c r="J44" s="34"/>
      <c r="K44" s="20" t="e">
        <f t="shared" si="13"/>
        <v>#DIV/0!</v>
      </c>
      <c r="L44" s="4" t="e">
        <f t="shared" si="14"/>
        <v>#DIV/0!</v>
      </c>
      <c r="M44" s="103"/>
      <c r="N44" s="103"/>
      <c r="O44" s="34"/>
      <c r="P44" s="6"/>
      <c r="Q44" s="16"/>
    </row>
    <row r="45" spans="1:17">
      <c r="A45" s="13">
        <f t="shared" si="15"/>
        <v>46153</v>
      </c>
      <c r="B45" s="127"/>
      <c r="C45" s="127"/>
      <c r="D45" s="34"/>
      <c r="E45" s="34"/>
      <c r="F45" s="20" t="e">
        <f t="shared" si="12"/>
        <v>#DIV/0!</v>
      </c>
      <c r="G45" s="2">
        <f t="shared" si="10"/>
        <v>0</v>
      </c>
      <c r="H45" s="2">
        <f t="shared" si="11"/>
        <v>0</v>
      </c>
      <c r="I45" s="29"/>
      <c r="J45" s="34"/>
      <c r="K45" s="20" t="e">
        <f t="shared" si="13"/>
        <v>#DIV/0!</v>
      </c>
      <c r="L45" s="4" t="e">
        <f t="shared" si="14"/>
        <v>#DIV/0!</v>
      </c>
      <c r="M45" s="103"/>
      <c r="N45" s="103"/>
      <c r="O45" s="34"/>
      <c r="P45" s="6"/>
      <c r="Q45" s="6"/>
    </row>
    <row r="46" spans="1:17">
      <c r="A46" s="13">
        <f t="shared" si="15"/>
        <v>46154</v>
      </c>
      <c r="B46" s="127"/>
      <c r="C46" s="127"/>
      <c r="D46" s="34"/>
      <c r="E46" s="34"/>
      <c r="F46" s="20" t="e">
        <f t="shared" si="12"/>
        <v>#DIV/0!</v>
      </c>
      <c r="G46" s="2">
        <f t="shared" si="10"/>
        <v>0</v>
      </c>
      <c r="H46" s="2">
        <f t="shared" si="11"/>
        <v>0</v>
      </c>
      <c r="I46" s="29"/>
      <c r="J46" s="34"/>
      <c r="K46" s="20" t="e">
        <f t="shared" si="13"/>
        <v>#DIV/0!</v>
      </c>
      <c r="L46" s="4" t="e">
        <f t="shared" si="14"/>
        <v>#DIV/0!</v>
      </c>
      <c r="M46" s="104"/>
      <c r="N46" s="103"/>
      <c r="O46" s="34"/>
      <c r="P46" s="6"/>
      <c r="Q46" s="6"/>
    </row>
    <row r="47" spans="1:17">
      <c r="A47" s="13">
        <f t="shared" si="15"/>
        <v>46155</v>
      </c>
      <c r="B47" s="127"/>
      <c r="C47" s="127"/>
      <c r="D47" s="34"/>
      <c r="E47" s="34"/>
      <c r="F47" s="20" t="e">
        <f t="shared" si="12"/>
        <v>#DIV/0!</v>
      </c>
      <c r="G47" s="2">
        <f t="shared" si="10"/>
        <v>0</v>
      </c>
      <c r="H47" s="2">
        <f t="shared" si="11"/>
        <v>0</v>
      </c>
      <c r="I47" s="29"/>
      <c r="J47" s="34"/>
      <c r="K47" s="20" t="e">
        <f t="shared" si="13"/>
        <v>#DIV/0!</v>
      </c>
      <c r="L47" s="4" t="e">
        <f t="shared" si="14"/>
        <v>#DIV/0!</v>
      </c>
      <c r="M47" s="104"/>
      <c r="N47" s="103"/>
      <c r="O47" s="34"/>
      <c r="P47" s="6"/>
      <c r="Q47" s="31"/>
    </row>
    <row r="48" spans="1:17">
      <c r="A48" s="13">
        <f t="shared" si="15"/>
        <v>46156</v>
      </c>
      <c r="B48" s="127"/>
      <c r="C48" s="127"/>
      <c r="D48" s="34"/>
      <c r="E48" s="34"/>
      <c r="F48" s="20" t="e">
        <f t="shared" si="12"/>
        <v>#DIV/0!</v>
      </c>
      <c r="G48" s="2">
        <f t="shared" si="10"/>
        <v>0</v>
      </c>
      <c r="H48" s="2">
        <f t="shared" si="11"/>
        <v>0</v>
      </c>
      <c r="I48" s="29"/>
      <c r="J48" s="34"/>
      <c r="K48" s="20" t="e">
        <f t="shared" si="13"/>
        <v>#DIV/0!</v>
      </c>
      <c r="L48" s="4" t="e">
        <f t="shared" si="14"/>
        <v>#DIV/0!</v>
      </c>
      <c r="M48" s="104"/>
      <c r="N48" s="103"/>
      <c r="O48" s="34"/>
      <c r="P48" s="6"/>
      <c r="Q48" s="32"/>
    </row>
    <row r="49" spans="1:17">
      <c r="A49" s="13">
        <f t="shared" si="15"/>
        <v>46157</v>
      </c>
      <c r="B49" s="127"/>
      <c r="C49" s="127"/>
      <c r="D49" s="34"/>
      <c r="E49" s="34"/>
      <c r="F49" s="20" t="e">
        <f t="shared" si="12"/>
        <v>#DIV/0!</v>
      </c>
      <c r="G49" s="2">
        <f t="shared" si="10"/>
        <v>0</v>
      </c>
      <c r="H49" s="2">
        <f t="shared" si="11"/>
        <v>0</v>
      </c>
      <c r="I49" s="29"/>
      <c r="J49" s="34"/>
      <c r="K49" s="20" t="e">
        <f t="shared" si="13"/>
        <v>#DIV/0!</v>
      </c>
      <c r="L49" s="4" t="e">
        <f t="shared" si="14"/>
        <v>#DIV/0!</v>
      </c>
      <c r="M49" s="104"/>
      <c r="N49" s="103"/>
      <c r="O49" s="34"/>
      <c r="P49" s="6"/>
      <c r="Q49" s="32"/>
    </row>
    <row r="50" spans="1:17">
      <c r="A50" s="13">
        <f t="shared" si="15"/>
        <v>46158</v>
      </c>
      <c r="B50" s="127"/>
      <c r="C50" s="127"/>
      <c r="D50" s="34"/>
      <c r="E50" s="34"/>
      <c r="F50" s="20" t="e">
        <f t="shared" si="12"/>
        <v>#DIV/0!</v>
      </c>
      <c r="G50" s="2">
        <f t="shared" si="10"/>
        <v>0</v>
      </c>
      <c r="H50" s="2">
        <f t="shared" si="11"/>
        <v>0</v>
      </c>
      <c r="I50" s="29"/>
      <c r="J50" s="34"/>
      <c r="K50" s="20" t="e">
        <f t="shared" si="13"/>
        <v>#DIV/0!</v>
      </c>
      <c r="L50" s="4" t="e">
        <f t="shared" si="14"/>
        <v>#DIV/0!</v>
      </c>
      <c r="M50" s="104"/>
      <c r="N50" s="103"/>
      <c r="O50" s="34"/>
      <c r="P50" s="6"/>
      <c r="Q50" s="32"/>
    </row>
    <row r="51" spans="1:17">
      <c r="A51" s="13">
        <f t="shared" si="15"/>
        <v>46159</v>
      </c>
      <c r="B51" s="127"/>
      <c r="C51" s="127"/>
      <c r="D51" s="34"/>
      <c r="E51" s="34"/>
      <c r="F51" s="20" t="e">
        <f t="shared" si="12"/>
        <v>#DIV/0!</v>
      </c>
      <c r="G51" s="2">
        <f t="shared" si="10"/>
        <v>0</v>
      </c>
      <c r="H51" s="2">
        <f t="shared" si="11"/>
        <v>0</v>
      </c>
      <c r="I51" s="29"/>
      <c r="J51" s="34"/>
      <c r="K51" s="20" t="e">
        <f t="shared" si="13"/>
        <v>#DIV/0!</v>
      </c>
      <c r="L51" s="4" t="e">
        <f t="shared" si="14"/>
        <v>#DIV/0!</v>
      </c>
      <c r="M51" s="103"/>
      <c r="N51" s="103"/>
      <c r="O51" s="34"/>
      <c r="P51" s="6"/>
      <c r="Q51" s="6"/>
    </row>
    <row r="52" spans="1:17">
      <c r="A52" s="13">
        <f t="shared" si="15"/>
        <v>46160</v>
      </c>
      <c r="B52" s="127"/>
      <c r="C52" s="127"/>
      <c r="D52" s="34"/>
      <c r="E52" s="34"/>
      <c r="F52" s="20" t="e">
        <f t="shared" si="12"/>
        <v>#DIV/0!</v>
      </c>
      <c r="G52" s="2">
        <f t="shared" si="10"/>
        <v>0</v>
      </c>
      <c r="H52" s="2">
        <f t="shared" si="11"/>
        <v>0</v>
      </c>
      <c r="I52" s="29"/>
      <c r="J52" s="34"/>
      <c r="K52" s="20" t="e">
        <f t="shared" si="13"/>
        <v>#DIV/0!</v>
      </c>
      <c r="L52" s="4" t="e">
        <f t="shared" si="14"/>
        <v>#DIV/0!</v>
      </c>
      <c r="M52" s="103"/>
      <c r="N52" s="103"/>
      <c r="O52" s="34"/>
      <c r="P52" s="6"/>
      <c r="Q52" s="14"/>
    </row>
    <row r="53" spans="1:17">
      <c r="A53" s="13">
        <f t="shared" si="15"/>
        <v>46161</v>
      </c>
      <c r="B53" s="127"/>
      <c r="C53" s="127"/>
      <c r="D53" s="34"/>
      <c r="E53" s="34"/>
      <c r="F53" s="20" t="e">
        <f t="shared" si="12"/>
        <v>#DIV/0!</v>
      </c>
      <c r="G53" s="2">
        <f t="shared" si="10"/>
        <v>0</v>
      </c>
      <c r="H53" s="2">
        <f t="shared" si="11"/>
        <v>0</v>
      </c>
      <c r="I53" s="29"/>
      <c r="J53" s="34"/>
      <c r="K53" s="20" t="e">
        <f t="shared" si="13"/>
        <v>#DIV/0!</v>
      </c>
      <c r="L53" s="4" t="e">
        <f t="shared" si="14"/>
        <v>#DIV/0!</v>
      </c>
      <c r="M53" s="103"/>
      <c r="N53" s="103"/>
      <c r="O53" s="34"/>
      <c r="P53" s="6"/>
      <c r="Q53" s="14"/>
    </row>
    <row r="54" spans="1:17">
      <c r="A54" s="13">
        <f t="shared" si="15"/>
        <v>46162</v>
      </c>
      <c r="B54" s="127"/>
      <c r="C54" s="127"/>
      <c r="D54" s="34"/>
      <c r="E54" s="34"/>
      <c r="F54" s="20" t="e">
        <f t="shared" si="12"/>
        <v>#DIV/0!</v>
      </c>
      <c r="G54" s="2">
        <f t="shared" si="10"/>
        <v>0</v>
      </c>
      <c r="H54" s="2">
        <f t="shared" si="11"/>
        <v>0</v>
      </c>
      <c r="I54" s="29"/>
      <c r="J54" s="34"/>
      <c r="K54" s="20" t="e">
        <f t="shared" si="13"/>
        <v>#DIV/0!</v>
      </c>
      <c r="L54" s="4" t="e">
        <f t="shared" si="14"/>
        <v>#DIV/0!</v>
      </c>
      <c r="M54" s="103"/>
      <c r="N54" s="103"/>
      <c r="O54" s="34"/>
      <c r="P54" s="6"/>
      <c r="Q54" s="14"/>
    </row>
    <row r="55" spans="1:17">
      <c r="A55" s="13">
        <f t="shared" si="15"/>
        <v>46163</v>
      </c>
      <c r="B55" s="127"/>
      <c r="C55" s="127"/>
      <c r="D55" s="34"/>
      <c r="E55" s="34"/>
      <c r="F55" s="20" t="e">
        <f>(IF(ISBLANK(E55),0,E55-C55))/C55</f>
        <v>#DIV/0!</v>
      </c>
      <c r="G55" s="2">
        <f t="shared" si="10"/>
        <v>0</v>
      </c>
      <c r="H55" s="2">
        <f t="shared" si="11"/>
        <v>0</v>
      </c>
      <c r="I55" s="29"/>
      <c r="J55" s="34"/>
      <c r="K55" s="20" t="e">
        <f>(IF(ISBLANK(J55),0,J55-I55))/I55</f>
        <v>#DIV/0!</v>
      </c>
      <c r="L55" s="4" t="e">
        <f t="shared" si="14"/>
        <v>#DIV/0!</v>
      </c>
      <c r="M55" s="103"/>
      <c r="N55" s="103"/>
      <c r="O55" s="34"/>
      <c r="P55" s="6"/>
      <c r="Q55" s="6"/>
    </row>
    <row r="56" spans="1:17">
      <c r="A56" s="13">
        <f t="shared" si="15"/>
        <v>46164</v>
      </c>
      <c r="B56" s="127"/>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4"/>
        <v>#DIV/0!</v>
      </c>
      <c r="M56" s="103"/>
      <c r="N56" s="103"/>
      <c r="O56" s="34"/>
      <c r="P56" s="6"/>
      <c r="Q56" s="6"/>
    </row>
    <row r="57" spans="1:17">
      <c r="A57" s="13">
        <f t="shared" si="15"/>
        <v>46165</v>
      </c>
      <c r="B57" s="127"/>
      <c r="C57" s="127"/>
      <c r="D57" s="14"/>
      <c r="E57" s="14"/>
      <c r="F57" s="20" t="e">
        <f t="shared" si="16"/>
        <v>#DIV/0!</v>
      </c>
      <c r="G57" s="2">
        <f t="shared" si="10"/>
        <v>0</v>
      </c>
      <c r="H57" s="2">
        <f t="shared" si="11"/>
        <v>0</v>
      </c>
      <c r="I57" s="29"/>
      <c r="J57" s="14"/>
      <c r="K57" s="20" t="e">
        <f t="shared" si="17"/>
        <v>#DIV/0!</v>
      </c>
      <c r="L57" s="4" t="e">
        <f t="shared" si="14"/>
        <v>#DIV/0!</v>
      </c>
      <c r="M57" s="103"/>
      <c r="N57" s="103"/>
      <c r="O57" s="34"/>
      <c r="P57" s="6"/>
      <c r="Q57" s="6"/>
    </row>
    <row r="58" spans="1:17">
      <c r="A58" s="13">
        <f t="shared" si="15"/>
        <v>46166</v>
      </c>
      <c r="B58" s="127"/>
      <c r="C58" s="127"/>
      <c r="D58" s="14"/>
      <c r="E58" s="14"/>
      <c r="F58" s="20" t="e">
        <f t="shared" si="16"/>
        <v>#DIV/0!</v>
      </c>
      <c r="G58" s="2">
        <f t="shared" ref="G58:G65" si="18">D58/($D$2*24)</f>
        <v>0</v>
      </c>
      <c r="H58" s="2">
        <f t="shared" si="11"/>
        <v>0</v>
      </c>
      <c r="I58" s="29"/>
      <c r="J58" s="14"/>
      <c r="K58" s="20" t="e">
        <f t="shared" si="17"/>
        <v>#DIV/0!</v>
      </c>
      <c r="L58" s="4" t="e">
        <f t="shared" si="14"/>
        <v>#DIV/0!</v>
      </c>
      <c r="M58" s="103"/>
      <c r="N58" s="103"/>
      <c r="O58" s="34"/>
      <c r="P58" s="6"/>
      <c r="Q58" s="288"/>
    </row>
    <row r="59" spans="1:17">
      <c r="A59" s="13">
        <f t="shared" si="15"/>
        <v>46167</v>
      </c>
      <c r="B59" s="1"/>
      <c r="C59" s="1"/>
      <c r="D59" s="14"/>
      <c r="E59" s="14"/>
      <c r="F59" s="20" t="e">
        <f t="shared" si="16"/>
        <v>#DIV/0!</v>
      </c>
      <c r="G59" s="2">
        <f t="shared" si="18"/>
        <v>0</v>
      </c>
      <c r="H59" s="2">
        <f t="shared" si="11"/>
        <v>0</v>
      </c>
      <c r="I59" s="29"/>
      <c r="J59" s="14"/>
      <c r="K59" s="20" t="e">
        <f t="shared" si="17"/>
        <v>#DIV/0!</v>
      </c>
      <c r="L59" s="4" t="e">
        <f t="shared" si="14"/>
        <v>#DIV/0!</v>
      </c>
      <c r="M59" s="103"/>
      <c r="N59" s="103"/>
      <c r="O59" s="34"/>
      <c r="P59" s="155"/>
      <c r="Q59" s="6"/>
    </row>
    <row r="60" spans="1:17">
      <c r="A60" s="13">
        <f t="shared" si="15"/>
        <v>46168</v>
      </c>
      <c r="B60" s="1"/>
      <c r="C60" s="1"/>
      <c r="D60" s="14"/>
      <c r="E60" s="14"/>
      <c r="F60" s="20" t="e">
        <f t="shared" si="16"/>
        <v>#DIV/0!</v>
      </c>
      <c r="G60" s="2">
        <f t="shared" si="18"/>
        <v>0</v>
      </c>
      <c r="H60" s="2">
        <f t="shared" si="11"/>
        <v>0</v>
      </c>
      <c r="I60" s="29"/>
      <c r="J60" s="14"/>
      <c r="K60" s="20" t="e">
        <f t="shared" si="17"/>
        <v>#DIV/0!</v>
      </c>
      <c r="L60" s="4" t="e">
        <f t="shared" si="14"/>
        <v>#DIV/0!</v>
      </c>
      <c r="M60" s="103"/>
      <c r="N60" s="103"/>
      <c r="O60" s="34"/>
      <c r="P60" s="6"/>
      <c r="Q60" s="123"/>
    </row>
    <row r="61" spans="1:17">
      <c r="A61" s="13">
        <f t="shared" si="15"/>
        <v>46169</v>
      </c>
      <c r="B61" s="1"/>
      <c r="C61" s="1"/>
      <c r="D61" s="14"/>
      <c r="E61" s="14"/>
      <c r="F61" s="20" t="e">
        <f t="shared" si="16"/>
        <v>#DIV/0!</v>
      </c>
      <c r="G61" s="2">
        <f t="shared" si="18"/>
        <v>0</v>
      </c>
      <c r="H61" s="2">
        <f t="shared" si="11"/>
        <v>0</v>
      </c>
      <c r="I61" s="29"/>
      <c r="J61" s="14"/>
      <c r="K61" s="20" t="e">
        <f t="shared" si="17"/>
        <v>#DIV/0!</v>
      </c>
      <c r="L61" s="4" t="e">
        <f t="shared" si="14"/>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4"/>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4"/>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4"/>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4"/>
        <v>#DIV/0!</v>
      </c>
      <c r="M65" s="103"/>
      <c r="N65" s="103"/>
      <c r="O65" s="34"/>
      <c r="P65" s="6"/>
      <c r="Q65" s="6"/>
    </row>
    <row r="66" spans="1:17">
      <c r="A66" s="349">
        <v>46143</v>
      </c>
      <c r="B66" s="89">
        <f>SUM(B35:B65)</f>
        <v>81768</v>
      </c>
      <c r="C66" s="89">
        <f>SUM(C35:C65)</f>
        <v>78927</v>
      </c>
      <c r="D66" s="89">
        <f>SUM(D35:D65)</f>
        <v>0</v>
      </c>
      <c r="E66" s="89">
        <f>SUM(E35:E65)</f>
        <v>0</v>
      </c>
      <c r="F66" s="160">
        <f>(IF(ISBLANK(E66),0,E66-C66))/C66</f>
        <v>-1</v>
      </c>
      <c r="G66" s="90">
        <f>AVERAGE(G35:G65)</f>
        <v>0</v>
      </c>
      <c r="H66" s="90">
        <f>AVERAGE(H35:H65)</f>
        <v>0</v>
      </c>
      <c r="I66" s="89">
        <f>SUM(I35:I65)</f>
        <v>16.950000000000003</v>
      </c>
      <c r="J66" s="89">
        <f>SUM(J35:J65)</f>
        <v>0</v>
      </c>
      <c r="K66" s="160">
        <f>(IF(ISBLANK(J66),0,J66-I66))/I66</f>
        <v>-1</v>
      </c>
      <c r="L66" s="161" t="e">
        <f t="shared" si="14"/>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DFE2-D07A-4669-9A6F-BE82B4419C0A}">
  <dimension ref="A1:Q66"/>
  <sheetViews>
    <sheetView topLeftCell="A33" workbookViewId="0">
      <selection activeCell="B37" sqref="B37:C37"/>
    </sheetView>
  </sheetViews>
  <sheetFormatPr defaultRowHeight="14.5"/>
  <cols>
    <col min="1" max="1" width="10.81640625" bestFit="1" customWidth="1"/>
    <col min="2" max="2" width="9.7265625" bestFit="1" customWidth="1"/>
    <col min="3" max="3" width="10.1796875" bestFit="1" customWidth="1"/>
    <col min="4" max="6" width="9.7265625" bestFit="1" customWidth="1"/>
    <col min="7" max="8" width="6.7265625" bestFit="1" customWidth="1"/>
    <col min="9" max="10" width="9.7265625" bestFit="1" customWidth="1"/>
    <col min="11" max="11" width="9.54296875" bestFit="1" customWidth="1"/>
    <col min="12" max="12" width="7" bestFit="1" customWidth="1"/>
    <col min="13" max="14" width="9.26953125" bestFit="1" customWidth="1"/>
    <col min="15" max="16" width="9.7265625" bestFit="1" customWidth="1"/>
    <col min="17" max="17" width="49.7265625" bestFit="1" customWidth="1"/>
    <col min="18" max="18" width="10" customWidth="1"/>
  </cols>
  <sheetData>
    <row r="1" spans="1:17" ht="18.5">
      <c r="A1" s="405" t="s">
        <v>395</v>
      </c>
      <c r="B1" s="406"/>
      <c r="C1" s="406"/>
      <c r="D1" s="406"/>
      <c r="E1" s="406"/>
      <c r="F1" s="406"/>
      <c r="G1" s="406"/>
      <c r="H1" s="406"/>
      <c r="I1" s="406"/>
      <c r="J1" s="406"/>
      <c r="K1" s="406"/>
      <c r="L1" s="406"/>
      <c r="M1" s="406"/>
      <c r="N1" s="406"/>
      <c r="O1" s="406"/>
      <c r="P1" s="406"/>
      <c r="Q1" s="406"/>
    </row>
    <row r="2" spans="1:17" ht="18.5">
      <c r="A2" s="7">
        <v>46113</v>
      </c>
      <c r="B2" s="407" t="s">
        <v>172</v>
      </c>
      <c r="C2" s="408"/>
      <c r="D2" s="8">
        <v>6000</v>
      </c>
      <c r="E2" s="407" t="s">
        <v>173</v>
      </c>
      <c r="F2" s="407"/>
      <c r="G2" s="408"/>
      <c r="H2" s="8">
        <v>4500</v>
      </c>
      <c r="I2" s="409" t="s">
        <v>174</v>
      </c>
      <c r="J2" s="410"/>
      <c r="K2" s="9">
        <v>45482</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29385.266666666666</v>
      </c>
      <c r="C4" s="1">
        <v>28313.133333333335</v>
      </c>
      <c r="D4" s="31">
        <v>33192.699999999997</v>
      </c>
      <c r="E4" s="49">
        <v>32610</v>
      </c>
      <c r="F4" s="20">
        <f>(IF(ISBLANK(E4),0,E4-C4))/C4</f>
        <v>0.15176231525063744</v>
      </c>
      <c r="G4" s="2">
        <f t="shared" ref="G4:G27" si="0">D4/($D$2*24)</f>
        <v>0.2305048611111111</v>
      </c>
      <c r="H4" s="2">
        <f t="shared" ref="H4:H21" si="1">D4/($H$2*24)</f>
        <v>0.30733981481481476</v>
      </c>
      <c r="I4" s="26">
        <v>6.09</v>
      </c>
      <c r="J4" s="49">
        <v>6.91</v>
      </c>
      <c r="K4" s="20">
        <f>(IF(ISBLANK(J4),0,J4-I4))/I4</f>
        <v>0.13464696223316919</v>
      </c>
      <c r="L4" s="4">
        <f t="shared" ref="L4:L35" si="2">D4/($D$2*J4)</f>
        <v>0.80059575494452473</v>
      </c>
      <c r="M4" s="61">
        <v>1</v>
      </c>
      <c r="N4" s="62">
        <v>1</v>
      </c>
      <c r="O4" s="49"/>
      <c r="P4" s="49"/>
      <c r="Q4" s="49"/>
    </row>
    <row r="5" spans="1:17">
      <c r="A5" s="13">
        <f>A4+1</f>
        <v>46114</v>
      </c>
      <c r="B5" s="1">
        <v>29385.266666666666</v>
      </c>
      <c r="C5" s="1">
        <v>28313.133333333335</v>
      </c>
      <c r="D5" s="32">
        <v>29295</v>
      </c>
      <c r="E5" s="50">
        <v>28800</v>
      </c>
      <c r="F5" s="20">
        <f t="shared" ref="F5:F33" si="3">(IF(ISBLANK(E5),0,E5-C5))/C5</f>
        <v>1.719578899780308E-2</v>
      </c>
      <c r="G5" s="2">
        <f t="shared" si="0"/>
        <v>0.20343749999999999</v>
      </c>
      <c r="H5" s="2">
        <f t="shared" si="1"/>
        <v>0.27124999999999999</v>
      </c>
      <c r="I5" s="26">
        <v>6.09</v>
      </c>
      <c r="J5" s="50">
        <v>6.05</v>
      </c>
      <c r="K5" s="20">
        <f t="shared" ref="K5:K34" si="4">(IF(ISBLANK(J5),0,J5-I5))/I5</f>
        <v>-6.5681444991789878E-3</v>
      </c>
      <c r="L5" s="4">
        <f t="shared" si="2"/>
        <v>0.80702479338842981</v>
      </c>
      <c r="M5" s="61">
        <v>1</v>
      </c>
      <c r="N5" s="64">
        <v>1</v>
      </c>
      <c r="O5" s="50"/>
      <c r="P5" s="50"/>
      <c r="Q5" s="50"/>
    </row>
    <row r="6" spans="1:17">
      <c r="A6" s="13">
        <f t="shared" ref="A6:A33" si="5">A5+1</f>
        <v>46115</v>
      </c>
      <c r="B6" s="1">
        <v>29385.266666666666</v>
      </c>
      <c r="C6" s="1">
        <v>28313.133333333335</v>
      </c>
      <c r="D6" s="32">
        <v>25343.1</v>
      </c>
      <c r="E6" s="50">
        <v>24900</v>
      </c>
      <c r="F6" s="20">
        <f t="shared" si="3"/>
        <v>-0.12054947409564942</v>
      </c>
      <c r="G6" s="2">
        <f t="shared" si="0"/>
        <v>0.17599374999999998</v>
      </c>
      <c r="H6" s="2">
        <f t="shared" si="1"/>
        <v>0.23465833333333333</v>
      </c>
      <c r="I6" s="26">
        <v>6.09</v>
      </c>
      <c r="J6" s="50">
        <v>5.28</v>
      </c>
      <c r="K6" s="20">
        <f t="shared" si="4"/>
        <v>-0.13300492610837433</v>
      </c>
      <c r="L6" s="4">
        <f t="shared" si="2"/>
        <v>0.79997159090909087</v>
      </c>
      <c r="M6" s="61">
        <v>1</v>
      </c>
      <c r="N6" s="64">
        <v>1</v>
      </c>
      <c r="O6" s="50"/>
      <c r="P6" s="50"/>
      <c r="Q6" s="50"/>
    </row>
    <row r="7" spans="1:17">
      <c r="A7" s="13">
        <f t="shared" si="5"/>
        <v>46116</v>
      </c>
      <c r="B7" s="1">
        <v>29385.266666666666</v>
      </c>
      <c r="C7" s="1">
        <v>28313.133333333335</v>
      </c>
      <c r="D7" s="32">
        <v>16989.2</v>
      </c>
      <c r="E7" s="50">
        <v>16650</v>
      </c>
      <c r="F7" s="20">
        <f t="shared" si="3"/>
        <v>-0.4119336844856451</v>
      </c>
      <c r="G7" s="2">
        <f t="shared" si="0"/>
        <v>0.11798055555555556</v>
      </c>
      <c r="H7" s="2">
        <f t="shared" si="1"/>
        <v>0.15730740740740742</v>
      </c>
      <c r="I7" s="26">
        <v>6.09</v>
      </c>
      <c r="J7" s="50">
        <v>3.4</v>
      </c>
      <c r="K7" s="20">
        <f t="shared" si="4"/>
        <v>-0.44170771756978655</v>
      </c>
      <c r="L7" s="4">
        <f t="shared" si="2"/>
        <v>0.83280392156862748</v>
      </c>
      <c r="M7" s="61">
        <v>1</v>
      </c>
      <c r="N7" s="64">
        <v>0.95309999999999995</v>
      </c>
      <c r="O7" s="50"/>
      <c r="P7" s="50">
        <v>556.11</v>
      </c>
      <c r="Q7" s="50" t="s">
        <v>396</v>
      </c>
    </row>
    <row r="8" spans="1:17">
      <c r="A8" s="13">
        <f t="shared" si="5"/>
        <v>46117</v>
      </c>
      <c r="B8" s="1">
        <v>29385.266666666666</v>
      </c>
      <c r="C8" s="1">
        <v>28313.133333333335</v>
      </c>
      <c r="D8" s="32">
        <v>30200.9</v>
      </c>
      <c r="E8" s="50">
        <v>29670</v>
      </c>
      <c r="F8" s="20">
        <f t="shared" si="3"/>
        <v>4.7923578457111711E-2</v>
      </c>
      <c r="G8" s="2">
        <f t="shared" si="0"/>
        <v>0.20972847222222224</v>
      </c>
      <c r="H8" s="2">
        <f t="shared" si="1"/>
        <v>0.27963796296296295</v>
      </c>
      <c r="I8" s="26">
        <v>6.09</v>
      </c>
      <c r="J8" s="50">
        <v>6.24</v>
      </c>
      <c r="K8" s="20">
        <f t="shared" si="4"/>
        <v>2.4630541871921242E-2</v>
      </c>
      <c r="L8" s="4">
        <f t="shared" si="2"/>
        <v>0.80664797008547018</v>
      </c>
      <c r="M8" s="61">
        <v>1</v>
      </c>
      <c r="N8" s="64">
        <v>1</v>
      </c>
      <c r="O8" s="50"/>
      <c r="P8" s="50"/>
      <c r="Q8" s="50"/>
    </row>
    <row r="9" spans="1:17">
      <c r="A9" s="13">
        <f t="shared" si="5"/>
        <v>46118</v>
      </c>
      <c r="B9" s="1">
        <v>29385.266666666666</v>
      </c>
      <c r="C9" s="1">
        <v>28313.133333333335</v>
      </c>
      <c r="D9" s="32">
        <v>33584.5</v>
      </c>
      <c r="E9" s="50">
        <v>33000</v>
      </c>
      <c r="F9" s="20">
        <f t="shared" si="3"/>
        <v>0.16553684155998269</v>
      </c>
      <c r="G9" s="2">
        <f t="shared" si="0"/>
        <v>0.23322569444444444</v>
      </c>
      <c r="H9" s="2">
        <f t="shared" si="1"/>
        <v>0.3109675925925926</v>
      </c>
      <c r="I9" s="26">
        <v>6.09</v>
      </c>
      <c r="J9" s="50">
        <v>7.05</v>
      </c>
      <c r="K9" s="20">
        <f t="shared" si="4"/>
        <v>0.15763546798029557</v>
      </c>
      <c r="L9" s="4">
        <f t="shared" si="2"/>
        <v>0.79395981087470446</v>
      </c>
      <c r="M9" s="61">
        <v>1</v>
      </c>
      <c r="N9" s="64">
        <v>1</v>
      </c>
      <c r="O9" s="50"/>
      <c r="P9" s="50"/>
      <c r="Q9" s="50"/>
    </row>
    <row r="10" spans="1:17">
      <c r="A10" s="13">
        <f t="shared" si="5"/>
        <v>46119</v>
      </c>
      <c r="B10" s="1">
        <v>29385.266666666666</v>
      </c>
      <c r="C10" s="1">
        <v>28313.133333333335</v>
      </c>
      <c r="D10" s="32">
        <v>35635.300000000003</v>
      </c>
      <c r="E10" s="50">
        <v>34860</v>
      </c>
      <c r="F10" s="20">
        <f t="shared" si="3"/>
        <v>0.23123073626609081</v>
      </c>
      <c r="G10" s="2">
        <f t="shared" si="0"/>
        <v>0.24746736111111114</v>
      </c>
      <c r="H10" s="2">
        <f t="shared" si="1"/>
        <v>0.32995648148148149</v>
      </c>
      <c r="I10" s="26">
        <v>6.09</v>
      </c>
      <c r="J10" s="50">
        <v>7.49</v>
      </c>
      <c r="K10" s="20">
        <f t="shared" si="4"/>
        <v>0.22988505747126442</v>
      </c>
      <c r="L10" s="4">
        <f t="shared" si="2"/>
        <v>0.79295282599020922</v>
      </c>
      <c r="M10" s="61">
        <v>1</v>
      </c>
      <c r="N10" s="64">
        <v>1</v>
      </c>
      <c r="O10" s="50"/>
      <c r="P10" s="50"/>
      <c r="Q10" s="50"/>
    </row>
    <row r="11" spans="1:17">
      <c r="A11" s="13">
        <f t="shared" si="5"/>
        <v>46120</v>
      </c>
      <c r="B11" s="1">
        <v>29385.266666666666</v>
      </c>
      <c r="C11" s="1">
        <v>28313.133333333335</v>
      </c>
      <c r="D11" s="32">
        <v>35785.699999999997</v>
      </c>
      <c r="E11" s="50">
        <v>35040</v>
      </c>
      <c r="F11" s="20">
        <f t="shared" si="3"/>
        <v>0.23758820994732707</v>
      </c>
      <c r="G11" s="2">
        <f t="shared" si="0"/>
        <v>0.24851180555555555</v>
      </c>
      <c r="H11" s="2">
        <f t="shared" si="1"/>
        <v>0.33134907407407405</v>
      </c>
      <c r="I11" s="26">
        <v>6.09</v>
      </c>
      <c r="J11" s="50">
        <v>7.66</v>
      </c>
      <c r="K11" s="20">
        <f t="shared" si="4"/>
        <v>0.25779967159277511</v>
      </c>
      <c r="L11" s="4">
        <f t="shared" si="2"/>
        <v>0.77862706701479545</v>
      </c>
      <c r="M11" s="61">
        <v>1</v>
      </c>
      <c r="N11" s="64">
        <v>1</v>
      </c>
      <c r="O11" s="50"/>
      <c r="P11" s="50"/>
      <c r="Q11" s="50"/>
    </row>
    <row r="12" spans="1:17">
      <c r="A12" s="13">
        <f t="shared" si="5"/>
        <v>46121</v>
      </c>
      <c r="B12" s="1">
        <v>29385.266666666666</v>
      </c>
      <c r="C12" s="1">
        <v>28313.133333333335</v>
      </c>
      <c r="D12" s="32">
        <v>34807.9</v>
      </c>
      <c r="E12" s="50">
        <v>34200</v>
      </c>
      <c r="F12" s="20">
        <f t="shared" si="3"/>
        <v>0.20791999943489115</v>
      </c>
      <c r="G12" s="2">
        <f t="shared" si="0"/>
        <v>0.24172152777777778</v>
      </c>
      <c r="H12" s="2">
        <f t="shared" si="1"/>
        <v>0.32229537037037037</v>
      </c>
      <c r="I12" s="26">
        <v>6.09</v>
      </c>
      <c r="J12" s="50">
        <v>7.4</v>
      </c>
      <c r="K12" s="20">
        <f t="shared" si="4"/>
        <v>0.21510673234811176</v>
      </c>
      <c r="L12" s="4">
        <f t="shared" si="2"/>
        <v>0.7839617117117117</v>
      </c>
      <c r="M12" s="61">
        <v>1</v>
      </c>
      <c r="N12" s="64">
        <v>1</v>
      </c>
      <c r="O12" s="50"/>
      <c r="P12" s="50"/>
      <c r="Q12" s="50"/>
    </row>
    <row r="13" spans="1:17">
      <c r="A13" s="13">
        <f t="shared" si="5"/>
        <v>46122</v>
      </c>
      <c r="B13" s="1">
        <v>29385.266666666666</v>
      </c>
      <c r="C13" s="1">
        <v>28313.133333333335</v>
      </c>
      <c r="D13" s="32">
        <v>31577.1</v>
      </c>
      <c r="E13" s="50">
        <v>30990</v>
      </c>
      <c r="F13" s="20">
        <f t="shared" si="3"/>
        <v>9.4545052119511017E-2</v>
      </c>
      <c r="G13" s="2">
        <f t="shared" si="0"/>
        <v>0.21928541666666665</v>
      </c>
      <c r="H13" s="2">
        <f t="shared" si="1"/>
        <v>0.29238055555555553</v>
      </c>
      <c r="I13" s="26">
        <v>6.09</v>
      </c>
      <c r="J13" s="50">
        <v>6.61</v>
      </c>
      <c r="K13" s="20">
        <f t="shared" si="4"/>
        <v>8.5385878489326841E-2</v>
      </c>
      <c r="L13" s="4">
        <f t="shared" si="2"/>
        <v>0.79619515885022685</v>
      </c>
      <c r="M13" s="61">
        <v>1</v>
      </c>
      <c r="N13" s="64">
        <v>1</v>
      </c>
      <c r="O13" s="50"/>
      <c r="P13" s="50"/>
      <c r="Q13" s="50"/>
    </row>
    <row r="14" spans="1:17">
      <c r="A14" s="13">
        <f t="shared" si="5"/>
        <v>46123</v>
      </c>
      <c r="B14" s="1">
        <v>29385.266666666666</v>
      </c>
      <c r="C14" s="1">
        <v>28313.133333333335</v>
      </c>
      <c r="D14" s="32">
        <v>28735.599999999999</v>
      </c>
      <c r="E14" s="50">
        <v>28260</v>
      </c>
      <c r="F14" s="20">
        <f t="shared" si="3"/>
        <v>-1.8766320459057291E-3</v>
      </c>
      <c r="G14" s="2">
        <f t="shared" si="0"/>
        <v>0.19955277777777777</v>
      </c>
      <c r="H14" s="2">
        <f t="shared" si="1"/>
        <v>0.26607037037037035</v>
      </c>
      <c r="I14" s="26">
        <v>6.09</v>
      </c>
      <c r="J14" s="50">
        <v>6.09</v>
      </c>
      <c r="K14" s="20">
        <f t="shared" si="4"/>
        <v>0</v>
      </c>
      <c r="L14" s="4">
        <f t="shared" si="2"/>
        <v>0.7864148877941981</v>
      </c>
      <c r="M14" s="61">
        <v>1</v>
      </c>
      <c r="N14" s="64">
        <v>1</v>
      </c>
      <c r="O14" s="50"/>
      <c r="P14" s="50"/>
      <c r="Q14" s="50"/>
    </row>
    <row r="15" spans="1:17">
      <c r="A15" s="13">
        <f t="shared" si="5"/>
        <v>46124</v>
      </c>
      <c r="B15" s="1">
        <v>29385.266666666666</v>
      </c>
      <c r="C15" s="1">
        <v>28313.133333333335</v>
      </c>
      <c r="D15" s="32">
        <v>27904.7</v>
      </c>
      <c r="E15" s="50">
        <v>27360</v>
      </c>
      <c r="F15" s="20">
        <f t="shared" si="3"/>
        <v>-3.3664000452087076E-2</v>
      </c>
      <c r="G15" s="2">
        <f t="shared" si="0"/>
        <v>0.19378263888888889</v>
      </c>
      <c r="H15" s="2">
        <f t="shared" si="1"/>
        <v>0.25837685185185189</v>
      </c>
      <c r="I15" s="26">
        <v>6.09</v>
      </c>
      <c r="J15" s="50">
        <v>5.86</v>
      </c>
      <c r="K15" s="20">
        <f t="shared" si="4"/>
        <v>-3.7766830870279072E-2</v>
      </c>
      <c r="L15" s="4">
        <f t="shared" si="2"/>
        <v>0.79364903299203637</v>
      </c>
      <c r="M15" s="61">
        <v>1</v>
      </c>
      <c r="N15" s="64">
        <v>1</v>
      </c>
      <c r="O15" s="50"/>
      <c r="P15" s="50"/>
      <c r="Q15" s="50"/>
    </row>
    <row r="16" spans="1:17">
      <c r="A16" s="13">
        <f t="shared" si="5"/>
        <v>46125</v>
      </c>
      <c r="B16" s="1">
        <v>29385.266666666666</v>
      </c>
      <c r="C16" s="1">
        <v>28313.133333333335</v>
      </c>
      <c r="D16" s="32">
        <v>34074.5</v>
      </c>
      <c r="E16" s="50">
        <v>33510</v>
      </c>
      <c r="F16" s="20">
        <f t="shared" si="3"/>
        <v>0.18354968365681879</v>
      </c>
      <c r="G16" s="2">
        <f t="shared" si="0"/>
        <v>0.23662847222222222</v>
      </c>
      <c r="H16" s="2">
        <f t="shared" si="1"/>
        <v>0.31550462962962961</v>
      </c>
      <c r="I16" s="26">
        <v>6.09</v>
      </c>
      <c r="J16" s="50">
        <v>7.34</v>
      </c>
      <c r="K16" s="20">
        <f t="shared" si="4"/>
        <v>0.20525451559934318</v>
      </c>
      <c r="L16" s="4">
        <f t="shared" si="2"/>
        <v>0.77371707538601275</v>
      </c>
      <c r="M16" s="61">
        <v>1</v>
      </c>
      <c r="N16" s="64">
        <v>1</v>
      </c>
      <c r="O16" s="50"/>
      <c r="P16" s="50"/>
      <c r="Q16" s="50"/>
    </row>
    <row r="17" spans="1:17">
      <c r="A17" s="13">
        <f t="shared" si="5"/>
        <v>46126</v>
      </c>
      <c r="B17" s="1">
        <v>29385.266666666666</v>
      </c>
      <c r="C17" s="1">
        <v>28313.133333333335</v>
      </c>
      <c r="D17" s="32">
        <v>32097</v>
      </c>
      <c r="E17" s="50">
        <v>31530</v>
      </c>
      <c r="F17" s="20">
        <f t="shared" si="3"/>
        <v>0.11361747316321982</v>
      </c>
      <c r="G17" s="2">
        <f t="shared" si="0"/>
        <v>0.22289583333333332</v>
      </c>
      <c r="H17" s="2">
        <f t="shared" si="1"/>
        <v>0.29719444444444443</v>
      </c>
      <c r="I17" s="26">
        <v>6.09</v>
      </c>
      <c r="J17" s="50">
        <v>6.98</v>
      </c>
      <c r="K17" s="20">
        <f t="shared" si="4"/>
        <v>0.14614121510673245</v>
      </c>
      <c r="L17" s="4">
        <f t="shared" si="2"/>
        <v>0.76640401146131809</v>
      </c>
      <c r="M17" s="61">
        <v>1</v>
      </c>
      <c r="N17" s="64">
        <v>1</v>
      </c>
      <c r="O17" s="50"/>
      <c r="P17" s="50"/>
      <c r="Q17" s="50"/>
    </row>
    <row r="18" spans="1:17">
      <c r="A18" s="13">
        <f t="shared" si="5"/>
        <v>46127</v>
      </c>
      <c r="B18" s="1">
        <v>29385.266666666666</v>
      </c>
      <c r="C18" s="1">
        <v>28313.133333333335</v>
      </c>
      <c r="D18" s="32">
        <v>31863.4</v>
      </c>
      <c r="E18" s="50">
        <v>31320</v>
      </c>
      <c r="F18" s="20">
        <f t="shared" si="3"/>
        <v>0.10620042053511085</v>
      </c>
      <c r="G18" s="2">
        <f t="shared" si="0"/>
        <v>0.22127361111111113</v>
      </c>
      <c r="H18" s="2">
        <f t="shared" si="1"/>
        <v>0.29503148148148151</v>
      </c>
      <c r="I18" s="26">
        <v>6.09</v>
      </c>
      <c r="J18" s="50">
        <v>6.68</v>
      </c>
      <c r="K18" s="20">
        <f t="shared" si="4"/>
        <v>9.6880131362889962E-2</v>
      </c>
      <c r="L18" s="4">
        <f t="shared" si="2"/>
        <v>0.79499500998003991</v>
      </c>
      <c r="M18" s="61">
        <v>1</v>
      </c>
      <c r="N18" s="64">
        <v>1</v>
      </c>
      <c r="O18" s="50"/>
      <c r="P18" s="50"/>
      <c r="Q18" s="50"/>
    </row>
    <row r="19" spans="1:17">
      <c r="A19" s="13">
        <f t="shared" si="5"/>
        <v>46128</v>
      </c>
      <c r="B19" s="1">
        <v>29385.266666666666</v>
      </c>
      <c r="C19" s="1">
        <v>28313.133333333335</v>
      </c>
      <c r="D19" s="32">
        <v>30205.200000000001</v>
      </c>
      <c r="E19" s="50">
        <v>29700</v>
      </c>
      <c r="F19" s="20">
        <f t="shared" si="3"/>
        <v>4.8983157403984422E-2</v>
      </c>
      <c r="G19" s="2">
        <f t="shared" si="0"/>
        <v>0.20975833333333335</v>
      </c>
      <c r="H19" s="2">
        <f t="shared" si="1"/>
        <v>0.2796777777777778</v>
      </c>
      <c r="I19" s="26">
        <v>6.09</v>
      </c>
      <c r="J19" s="50">
        <v>6.36</v>
      </c>
      <c r="K19" s="20">
        <f t="shared" si="4"/>
        <v>4.4334975369458206E-2</v>
      </c>
      <c r="L19" s="4">
        <f t="shared" si="2"/>
        <v>0.79154088050314464</v>
      </c>
      <c r="M19" s="61">
        <v>1</v>
      </c>
      <c r="N19" s="64">
        <v>1</v>
      </c>
      <c r="O19" s="50"/>
      <c r="P19" s="50"/>
      <c r="Q19" s="50"/>
    </row>
    <row r="20" spans="1:17">
      <c r="A20" s="13">
        <f t="shared" si="5"/>
        <v>46129</v>
      </c>
      <c r="B20" s="1">
        <v>29385.266666666666</v>
      </c>
      <c r="C20" s="1">
        <v>28313.133333333335</v>
      </c>
      <c r="D20" s="32">
        <v>29598.2</v>
      </c>
      <c r="E20" s="50">
        <v>29100</v>
      </c>
      <c r="F20" s="20">
        <f t="shared" si="3"/>
        <v>2.7791578466530194E-2</v>
      </c>
      <c r="G20" s="2">
        <f t="shared" si="0"/>
        <v>0.20554305555555555</v>
      </c>
      <c r="H20" s="2">
        <f t="shared" si="1"/>
        <v>0.27405740740740742</v>
      </c>
      <c r="I20" s="26">
        <v>6.09</v>
      </c>
      <c r="J20" s="50">
        <v>6.28</v>
      </c>
      <c r="K20" s="20">
        <f t="shared" si="4"/>
        <v>3.119868637110023E-2</v>
      </c>
      <c r="L20" s="4">
        <f t="shared" si="2"/>
        <v>0.78551486199575371</v>
      </c>
      <c r="M20" s="61">
        <v>1</v>
      </c>
      <c r="N20" s="64">
        <v>1</v>
      </c>
      <c r="O20" s="50"/>
      <c r="P20" s="50"/>
      <c r="Q20" s="50"/>
    </row>
    <row r="21" spans="1:17">
      <c r="A21" s="13">
        <f t="shared" si="5"/>
        <v>46130</v>
      </c>
      <c r="B21" s="1">
        <v>29385.266666666666</v>
      </c>
      <c r="C21" s="1">
        <v>28313.133333333335</v>
      </c>
      <c r="D21" s="32">
        <v>31706.799999999999</v>
      </c>
      <c r="E21" s="50">
        <v>31170</v>
      </c>
      <c r="F21" s="20">
        <f t="shared" si="3"/>
        <v>0.10090252580074729</v>
      </c>
      <c r="G21" s="2">
        <f t="shared" si="0"/>
        <v>0.22018611111111111</v>
      </c>
      <c r="H21" s="2">
        <f t="shared" si="1"/>
        <v>0.2935814814814815</v>
      </c>
      <c r="I21" s="26">
        <v>6.09</v>
      </c>
      <c r="J21" s="50">
        <v>6.74</v>
      </c>
      <c r="K21" s="20">
        <f t="shared" si="4"/>
        <v>0.10673234811165852</v>
      </c>
      <c r="L21" s="4">
        <f t="shared" si="2"/>
        <v>0.78404549950544011</v>
      </c>
      <c r="M21" s="61">
        <v>1</v>
      </c>
      <c r="N21" s="64">
        <v>1</v>
      </c>
      <c r="O21" s="50"/>
      <c r="P21" s="50"/>
      <c r="Q21" s="50"/>
    </row>
    <row r="22" spans="1:17">
      <c r="A22" s="13">
        <f t="shared" si="5"/>
        <v>46131</v>
      </c>
      <c r="B22" s="1">
        <v>29385.266666666666</v>
      </c>
      <c r="C22" s="1">
        <v>28313.133333333335</v>
      </c>
      <c r="D22" s="32">
        <v>25770.6</v>
      </c>
      <c r="E22" s="50">
        <v>25320</v>
      </c>
      <c r="F22" s="20">
        <f t="shared" si="3"/>
        <v>-0.10571536883943146</v>
      </c>
      <c r="G22" s="2">
        <f t="shared" si="0"/>
        <v>0.1789625</v>
      </c>
      <c r="H22" s="2">
        <f t="shared" ref="H22:H27" si="6">E22/($D$2*24)</f>
        <v>0.17583333333333334</v>
      </c>
      <c r="I22" s="26">
        <v>6.09</v>
      </c>
      <c r="J22" s="50">
        <v>5.54</v>
      </c>
      <c r="K22" s="20">
        <f t="shared" si="4"/>
        <v>-9.0311986863710975E-2</v>
      </c>
      <c r="L22" s="4">
        <f t="shared" si="2"/>
        <v>0.77528880866425987</v>
      </c>
      <c r="M22" s="61">
        <v>1</v>
      </c>
      <c r="N22" s="66">
        <v>0.99060000000000004</v>
      </c>
      <c r="O22" s="50"/>
      <c r="P22" s="50">
        <v>509.76</v>
      </c>
      <c r="Q22" s="50" t="s">
        <v>396</v>
      </c>
    </row>
    <row r="23" spans="1:17">
      <c r="A23" s="13">
        <f t="shared" si="5"/>
        <v>46132</v>
      </c>
      <c r="B23" s="1">
        <v>29385.266666666666</v>
      </c>
      <c r="C23" s="1">
        <v>28313.133333333335</v>
      </c>
      <c r="D23" s="32">
        <v>28419.200000000001</v>
      </c>
      <c r="E23" s="50">
        <v>27900</v>
      </c>
      <c r="F23" s="20">
        <f t="shared" si="3"/>
        <v>-1.4591579408378267E-2</v>
      </c>
      <c r="G23" s="2">
        <f t="shared" si="0"/>
        <v>0.19735555555555556</v>
      </c>
      <c r="H23" s="2">
        <f t="shared" si="6"/>
        <v>0.19375000000000001</v>
      </c>
      <c r="I23" s="26">
        <v>6.09</v>
      </c>
      <c r="J23" s="50">
        <v>6.15</v>
      </c>
      <c r="K23" s="20">
        <f t="shared" si="4"/>
        <v>9.8522167487685545E-3</v>
      </c>
      <c r="L23" s="4">
        <f t="shared" si="2"/>
        <v>0.77016802168021681</v>
      </c>
      <c r="M23" s="61">
        <v>1</v>
      </c>
      <c r="N23" s="64">
        <v>1</v>
      </c>
      <c r="O23" s="50"/>
      <c r="P23" s="50"/>
      <c r="Q23" s="50"/>
    </row>
    <row r="24" spans="1:17">
      <c r="A24" s="13">
        <f t="shared" si="5"/>
        <v>46133</v>
      </c>
      <c r="B24" s="1">
        <v>29385.266666666666</v>
      </c>
      <c r="C24" s="1">
        <v>28313.133333333335</v>
      </c>
      <c r="D24" s="32">
        <v>32048.6</v>
      </c>
      <c r="E24" s="50">
        <v>31530</v>
      </c>
      <c r="F24" s="20">
        <f>(IF(ISBLANK(E24),0,E24-C24))/C24</f>
        <v>0.11361747316321982</v>
      </c>
      <c r="G24" s="2">
        <f t="shared" si="0"/>
        <v>0.2225597222222222</v>
      </c>
      <c r="H24" s="2">
        <f t="shared" si="6"/>
        <v>0.21895833333333334</v>
      </c>
      <c r="I24" s="26">
        <v>6.09</v>
      </c>
      <c r="J24" s="50">
        <v>6.83</v>
      </c>
      <c r="K24" s="20">
        <f>(IF(ISBLANK(J24),0,J24-I24))/I24</f>
        <v>0.1215106732348112</v>
      </c>
      <c r="L24" s="4">
        <f t="shared" si="2"/>
        <v>0.78205466081015129</v>
      </c>
      <c r="M24" s="61">
        <v>1</v>
      </c>
      <c r="N24" s="64">
        <v>1</v>
      </c>
      <c r="O24" s="50"/>
      <c r="P24" s="50"/>
      <c r="Q24" s="50"/>
    </row>
    <row r="25" spans="1:17">
      <c r="A25" s="13">
        <f t="shared" si="5"/>
        <v>46134</v>
      </c>
      <c r="B25" s="1">
        <v>29385.266666666666</v>
      </c>
      <c r="C25" s="1">
        <v>28313.133333333335</v>
      </c>
      <c r="D25" s="32">
        <v>30359.3</v>
      </c>
      <c r="E25" s="50">
        <v>29820</v>
      </c>
      <c r="F25" s="20">
        <f t="shared" si="3"/>
        <v>5.3221473191475271E-2</v>
      </c>
      <c r="G25" s="2">
        <f t="shared" si="0"/>
        <v>0.21082847222222223</v>
      </c>
      <c r="H25" s="2">
        <f t="shared" si="6"/>
        <v>0.20708333333333334</v>
      </c>
      <c r="I25" s="26">
        <v>6.09</v>
      </c>
      <c r="J25" s="50">
        <v>6.4</v>
      </c>
      <c r="K25" s="20">
        <f t="shared" si="4"/>
        <v>5.0903119868637194E-2</v>
      </c>
      <c r="L25" s="4">
        <f t="shared" si="2"/>
        <v>0.79060677083333331</v>
      </c>
      <c r="M25" s="61">
        <v>1</v>
      </c>
      <c r="N25" s="64">
        <v>1</v>
      </c>
      <c r="O25" s="50"/>
      <c r="P25" s="50"/>
      <c r="Q25" s="50"/>
    </row>
    <row r="26" spans="1:17">
      <c r="A26" s="13">
        <f t="shared" si="5"/>
        <v>46135</v>
      </c>
      <c r="B26" s="1">
        <v>29385.266666666666</v>
      </c>
      <c r="C26" s="1">
        <v>28313.133333333335</v>
      </c>
      <c r="D26" s="32">
        <v>29680.1</v>
      </c>
      <c r="E26" s="50">
        <v>29130</v>
      </c>
      <c r="F26" s="20">
        <f t="shared" si="3"/>
        <v>2.8851157413402904E-2</v>
      </c>
      <c r="G26" s="2">
        <f t="shared" si="0"/>
        <v>0.20611180555555556</v>
      </c>
      <c r="H26" s="2">
        <f t="shared" si="6"/>
        <v>0.20229166666666668</v>
      </c>
      <c r="I26" s="26">
        <v>6.09</v>
      </c>
      <c r="J26" s="50">
        <v>6.23</v>
      </c>
      <c r="K26" s="20">
        <f t="shared" si="4"/>
        <v>2.298850574712653E-2</v>
      </c>
      <c r="L26" s="4">
        <f t="shared" si="2"/>
        <v>0.79401016586409845</v>
      </c>
      <c r="M26" s="61">
        <v>1</v>
      </c>
      <c r="N26" s="64">
        <v>1</v>
      </c>
      <c r="O26" s="50"/>
      <c r="P26" s="50"/>
      <c r="Q26" s="50"/>
    </row>
    <row r="27" spans="1:17">
      <c r="A27" s="13">
        <f t="shared" si="5"/>
        <v>46136</v>
      </c>
      <c r="B27" s="1">
        <v>29385.266666666666</v>
      </c>
      <c r="C27" s="1">
        <v>28313.133333333335</v>
      </c>
      <c r="D27" s="32">
        <v>27067.9</v>
      </c>
      <c r="E27" s="50">
        <v>26580</v>
      </c>
      <c r="F27" s="20">
        <f t="shared" si="3"/>
        <v>-6.1213053070777575E-2</v>
      </c>
      <c r="G27" s="2">
        <f t="shared" si="0"/>
        <v>0.18797152777777779</v>
      </c>
      <c r="H27" s="2">
        <f t="shared" si="6"/>
        <v>0.18458333333333332</v>
      </c>
      <c r="I27" s="26">
        <v>6.09</v>
      </c>
      <c r="J27" s="50">
        <v>5.68</v>
      </c>
      <c r="K27" s="20">
        <f t="shared" si="4"/>
        <v>-6.7323481116584594E-2</v>
      </c>
      <c r="L27" s="4">
        <f t="shared" si="2"/>
        <v>0.79424589201877938</v>
      </c>
      <c r="M27" s="61">
        <v>1</v>
      </c>
      <c r="N27" s="64">
        <v>1</v>
      </c>
      <c r="O27" s="50"/>
      <c r="P27" s="50"/>
      <c r="Q27" s="50"/>
    </row>
    <row r="28" spans="1:17">
      <c r="A28" s="13">
        <f t="shared" si="5"/>
        <v>46137</v>
      </c>
      <c r="B28" s="1">
        <v>29385.266666666666</v>
      </c>
      <c r="C28" s="1">
        <v>28313.133333333335</v>
      </c>
      <c r="D28" s="6">
        <v>30627.8</v>
      </c>
      <c r="E28" s="6">
        <v>30090</v>
      </c>
      <c r="F28" s="20">
        <f t="shared" si="3"/>
        <v>6.2757683713329682E-2</v>
      </c>
      <c r="G28" s="2">
        <f t="shared" ref="G28:G33" si="7">D28/($D$2*24)</f>
        <v>0.21269305555555554</v>
      </c>
      <c r="H28" s="2">
        <f t="shared" ref="H28:H33" si="8">E28/($D$2*24)</f>
        <v>0.20895833333333333</v>
      </c>
      <c r="I28" s="26">
        <v>6.09</v>
      </c>
      <c r="J28" s="6">
        <v>6.25</v>
      </c>
      <c r="K28" s="20">
        <f t="shared" si="4"/>
        <v>2.6272577996715951E-2</v>
      </c>
      <c r="L28" s="4">
        <f t="shared" si="2"/>
        <v>0.81674133333333332</v>
      </c>
      <c r="M28" s="61">
        <v>1</v>
      </c>
      <c r="N28" s="64">
        <v>1</v>
      </c>
      <c r="O28" s="6"/>
      <c r="P28" s="6"/>
      <c r="Q28" s="6"/>
    </row>
    <row r="29" spans="1:17">
      <c r="A29" s="13">
        <f t="shared" si="5"/>
        <v>46138</v>
      </c>
      <c r="B29" s="1">
        <v>29385.266666666666</v>
      </c>
      <c r="C29" s="1">
        <v>28313.133333333335</v>
      </c>
      <c r="D29" s="6">
        <v>28214.7</v>
      </c>
      <c r="E29" s="6">
        <v>27720</v>
      </c>
      <c r="F29" s="20">
        <f t="shared" si="3"/>
        <v>-2.0949053089614537E-2</v>
      </c>
      <c r="G29" s="2">
        <f t="shared" si="7"/>
        <v>0.19593541666666667</v>
      </c>
      <c r="H29" s="2">
        <f t="shared" si="8"/>
        <v>0.1925</v>
      </c>
      <c r="I29" s="26">
        <v>6.09</v>
      </c>
      <c r="J29" s="6">
        <v>5.67</v>
      </c>
      <c r="K29" s="20">
        <f t="shared" si="4"/>
        <v>-6.8965517241379296E-2</v>
      </c>
      <c r="L29" s="4">
        <f t="shared" si="2"/>
        <v>0.8293562610229277</v>
      </c>
      <c r="M29" s="61">
        <v>1</v>
      </c>
      <c r="N29" s="64">
        <v>1</v>
      </c>
      <c r="O29" s="6"/>
      <c r="P29" s="6"/>
      <c r="Q29" s="6"/>
    </row>
    <row r="30" spans="1:17">
      <c r="A30" s="13">
        <f t="shared" si="5"/>
        <v>46139</v>
      </c>
      <c r="B30" s="1">
        <v>29385.266666666666</v>
      </c>
      <c r="C30" s="1">
        <v>28313.133333333335</v>
      </c>
      <c r="D30" s="6">
        <v>31050.6</v>
      </c>
      <c r="E30" s="6">
        <v>30510</v>
      </c>
      <c r="F30" s="20">
        <f t="shared" si="3"/>
        <v>7.7591788969547631E-2</v>
      </c>
      <c r="G30" s="2">
        <f t="shared" si="7"/>
        <v>0.21562916666666665</v>
      </c>
      <c r="H30" s="2">
        <f t="shared" si="8"/>
        <v>0.21187500000000001</v>
      </c>
      <c r="I30" s="26">
        <v>6.09</v>
      </c>
      <c r="J30" s="6">
        <v>6.48</v>
      </c>
      <c r="K30" s="20">
        <f t="shared" si="4"/>
        <v>6.4039408866995162E-2</v>
      </c>
      <c r="L30" s="4">
        <f t="shared" si="2"/>
        <v>0.79862654320987647</v>
      </c>
      <c r="M30" s="61">
        <v>1</v>
      </c>
      <c r="N30" s="64">
        <v>1</v>
      </c>
      <c r="O30" s="6"/>
      <c r="P30" s="6"/>
      <c r="Q30" s="6"/>
    </row>
    <row r="31" spans="1:17">
      <c r="A31" s="13">
        <f t="shared" si="5"/>
        <v>46140</v>
      </c>
      <c r="B31" s="1">
        <v>29385.266666666666</v>
      </c>
      <c r="C31" s="1">
        <v>28313.133333333335</v>
      </c>
      <c r="D31" s="6">
        <v>25559.7</v>
      </c>
      <c r="E31" s="6">
        <v>25410</v>
      </c>
      <c r="F31" s="20">
        <f t="shared" si="3"/>
        <v>-0.10253663199881333</v>
      </c>
      <c r="G31" s="2">
        <f t="shared" si="7"/>
        <v>0.17749791666666667</v>
      </c>
      <c r="H31" s="2">
        <f t="shared" si="8"/>
        <v>0.17645833333333333</v>
      </c>
      <c r="I31" s="26">
        <v>6.09</v>
      </c>
      <c r="J31" s="6">
        <v>5.38</v>
      </c>
      <c r="K31" s="20">
        <f t="shared" si="4"/>
        <v>-0.11658456486042693</v>
      </c>
      <c r="L31" s="4">
        <f t="shared" si="2"/>
        <v>0.79181226765799262</v>
      </c>
      <c r="M31" s="61">
        <v>1</v>
      </c>
      <c r="N31" s="64">
        <v>1</v>
      </c>
      <c r="O31" s="6"/>
      <c r="P31" s="6"/>
      <c r="Q31" s="6"/>
    </row>
    <row r="32" spans="1:17">
      <c r="A32" s="13">
        <f t="shared" si="5"/>
        <v>46141</v>
      </c>
      <c r="B32" s="1">
        <v>29385.266666666666</v>
      </c>
      <c r="C32" s="1">
        <v>28313.133333333335</v>
      </c>
      <c r="D32" s="6">
        <v>27522.6</v>
      </c>
      <c r="E32" s="6">
        <v>27060</v>
      </c>
      <c r="F32" s="20">
        <f t="shared" si="3"/>
        <v>-4.425978992081419E-2</v>
      </c>
      <c r="G32" s="2">
        <f t="shared" si="7"/>
        <v>0.19112916666666666</v>
      </c>
      <c r="H32" s="2">
        <f t="shared" si="8"/>
        <v>0.18791666666666668</v>
      </c>
      <c r="I32" s="26">
        <v>6.09</v>
      </c>
      <c r="J32" s="6">
        <v>5.71</v>
      </c>
      <c r="K32" s="20">
        <f t="shared" si="4"/>
        <v>-6.2397372742200315E-2</v>
      </c>
      <c r="L32" s="4">
        <f t="shared" si="2"/>
        <v>0.80334500875656734</v>
      </c>
      <c r="M32" s="61">
        <v>1</v>
      </c>
      <c r="N32" s="64">
        <v>1</v>
      </c>
      <c r="O32" s="6"/>
      <c r="P32" s="6"/>
      <c r="Q32" s="6"/>
    </row>
    <row r="33" spans="1:17">
      <c r="A33" s="13">
        <f t="shared" si="5"/>
        <v>46142</v>
      </c>
      <c r="B33" s="1"/>
      <c r="C33" s="1"/>
      <c r="D33" s="6"/>
      <c r="E33" s="6"/>
      <c r="F33" s="20" t="e">
        <f t="shared" si="3"/>
        <v>#DIV/0!</v>
      </c>
      <c r="G33" s="2">
        <f t="shared" si="7"/>
        <v>0</v>
      </c>
      <c r="H33" s="2">
        <f t="shared" si="8"/>
        <v>0</v>
      </c>
      <c r="I33" s="26"/>
      <c r="J33" s="6"/>
      <c r="K33" s="20" t="e">
        <f t="shared" si="4"/>
        <v>#DIV/0!</v>
      </c>
      <c r="L33" s="4" t="e">
        <f t="shared" si="2"/>
        <v>#DIV/0!</v>
      </c>
      <c r="M33" s="6"/>
      <c r="N33" s="6"/>
      <c r="O33" s="6"/>
      <c r="P33" s="6"/>
      <c r="Q33" s="6"/>
    </row>
    <row r="34" spans="1:17">
      <c r="A34" s="349">
        <v>46113</v>
      </c>
      <c r="B34" s="89">
        <f>SUM(B4:B33)</f>
        <v>852172.73333333398</v>
      </c>
      <c r="C34" s="89">
        <f>SUM(C4:C33)</f>
        <v>821080.86666666658</v>
      </c>
      <c r="D34" s="89">
        <f>SUM(D4:D33)</f>
        <v>868917.89999999991</v>
      </c>
      <c r="E34" s="89">
        <f>SUM(E4:E33)</f>
        <v>853740</v>
      </c>
      <c r="F34" s="92">
        <f>(IF(ISBLANK(E34),0,E34-C34))/C34</f>
        <v>3.977578172771138E-2</v>
      </c>
      <c r="G34" s="90">
        <f>AVERAGE(G4:G33)</f>
        <v>0.20113840277777778</v>
      </c>
      <c r="H34" s="90">
        <f>AVERAGE(H4:H33)</f>
        <v>0.24256151234567899</v>
      </c>
      <c r="I34" s="89">
        <f>SUM(I4:I33)</f>
        <v>176.61000000000007</v>
      </c>
      <c r="J34" s="89">
        <f>SUM(J4:J33)</f>
        <v>182.74</v>
      </c>
      <c r="K34" s="92">
        <f t="shared" si="4"/>
        <v>3.4709246362040293E-2</v>
      </c>
      <c r="L34" s="93">
        <f t="shared" si="2"/>
        <v>0.79249014993980516</v>
      </c>
      <c r="M34" s="90">
        <f>AVERAGE(M4:M33)</f>
        <v>1</v>
      </c>
      <c r="N34" s="90">
        <f>AVERAGE(N4:N33)</f>
        <v>0.99805862068965512</v>
      </c>
      <c r="O34" s="89">
        <f>SUM(O4:O33)</f>
        <v>0</v>
      </c>
      <c r="P34" s="89">
        <f>SUM(P4:P33)</f>
        <v>1065.8699999999999</v>
      </c>
      <c r="Q34" s="19"/>
    </row>
    <row r="35" spans="1:17">
      <c r="A35" s="13">
        <v>46143</v>
      </c>
      <c r="B35" s="127">
        <v>27393</v>
      </c>
      <c r="C35" s="127">
        <v>26353</v>
      </c>
      <c r="D35" s="33"/>
      <c r="E35" s="33"/>
      <c r="F35" s="20">
        <f>(IF(ISBLANK(E35),0,E35-C35))/C35</f>
        <v>0</v>
      </c>
      <c r="G35" s="2">
        <f t="shared" ref="G35:G57" si="9">D35/($D$2*24)</f>
        <v>0</v>
      </c>
      <c r="H35" s="2">
        <f t="shared" ref="H35:H61" si="10">D35/($H$2*24)</f>
        <v>0</v>
      </c>
      <c r="I35" s="28">
        <v>5.65</v>
      </c>
      <c r="J35" s="33"/>
      <c r="K35" s="20">
        <f>(IF(ISBLANK(J35),0,J35-I35))/I35</f>
        <v>0</v>
      </c>
      <c r="L35" s="4" t="e">
        <f t="shared" si="2"/>
        <v>#DIV/0!</v>
      </c>
      <c r="M35" s="103"/>
      <c r="N35" s="103"/>
      <c r="O35" s="33"/>
      <c r="P35" s="6"/>
      <c r="Q35" s="6"/>
    </row>
    <row r="36" spans="1:17">
      <c r="A36" s="13">
        <f>A35+1</f>
        <v>46144</v>
      </c>
      <c r="B36" s="127">
        <v>27393</v>
      </c>
      <c r="C36" s="127">
        <v>26353</v>
      </c>
      <c r="D36" s="34"/>
      <c r="E36" s="34"/>
      <c r="F36" s="20">
        <f t="shared" ref="F36:F54" si="11">(IF(ISBLANK(E36),0,E36-C36))/C36</f>
        <v>0</v>
      </c>
      <c r="G36" s="2">
        <f t="shared" si="9"/>
        <v>0</v>
      </c>
      <c r="H36" s="2">
        <f t="shared" si="10"/>
        <v>0</v>
      </c>
      <c r="I36" s="28">
        <v>5.65</v>
      </c>
      <c r="J36" s="34"/>
      <c r="K36" s="20">
        <f t="shared" ref="K36:K54" si="12">(IF(ISBLANK(J36),0,J36-I36))/I36</f>
        <v>0</v>
      </c>
      <c r="L36" s="4" t="e">
        <f t="shared" ref="L36:L66" si="13">D36/($D$2*J36)</f>
        <v>#DIV/0!</v>
      </c>
      <c r="M36" s="103"/>
      <c r="N36" s="103"/>
      <c r="O36" s="34"/>
      <c r="P36" s="6"/>
      <c r="Q36" s="6"/>
    </row>
    <row r="37" spans="1:17">
      <c r="A37" s="13">
        <f t="shared" ref="A37:A65" si="14">A36+1</f>
        <v>46145</v>
      </c>
      <c r="B37" s="127">
        <v>27393</v>
      </c>
      <c r="C37" s="127">
        <v>26353</v>
      </c>
      <c r="D37" s="34"/>
      <c r="E37" s="34"/>
      <c r="F37" s="20">
        <f t="shared" si="11"/>
        <v>0</v>
      </c>
      <c r="G37" s="2">
        <f t="shared" si="9"/>
        <v>0</v>
      </c>
      <c r="H37" s="2">
        <f t="shared" si="10"/>
        <v>0</v>
      </c>
      <c r="I37" s="28">
        <v>5.65</v>
      </c>
      <c r="J37" s="34"/>
      <c r="K37" s="20">
        <f t="shared" si="12"/>
        <v>0</v>
      </c>
      <c r="L37" s="4" t="e">
        <f t="shared" si="13"/>
        <v>#DIV/0!</v>
      </c>
      <c r="M37" s="103"/>
      <c r="N37" s="104"/>
      <c r="O37" s="34"/>
      <c r="P37" s="6"/>
      <c r="Q37" s="6"/>
    </row>
    <row r="38" spans="1:17">
      <c r="A38" s="13">
        <f t="shared" si="14"/>
        <v>46146</v>
      </c>
      <c r="B38" s="127"/>
      <c r="C38" s="127"/>
      <c r="D38" s="34"/>
      <c r="E38" s="34"/>
      <c r="F38" s="20" t="e">
        <f t="shared" si="11"/>
        <v>#DIV/0!</v>
      </c>
      <c r="G38" s="2">
        <f t="shared" si="9"/>
        <v>0</v>
      </c>
      <c r="H38" s="2">
        <f t="shared" si="10"/>
        <v>0</v>
      </c>
      <c r="I38" s="29"/>
      <c r="J38" s="34"/>
      <c r="K38" s="20" t="e">
        <f t="shared" si="12"/>
        <v>#DIV/0!</v>
      </c>
      <c r="L38" s="4" t="e">
        <f t="shared" si="13"/>
        <v>#DIV/0!</v>
      </c>
      <c r="M38" s="103"/>
      <c r="N38" s="103"/>
      <c r="O38" s="34"/>
      <c r="P38" s="6"/>
      <c r="Q38" s="14"/>
    </row>
    <row r="39" spans="1:17">
      <c r="A39" s="13">
        <f t="shared" si="14"/>
        <v>46147</v>
      </c>
      <c r="B39" s="127"/>
      <c r="C39" s="127"/>
      <c r="D39" s="34"/>
      <c r="E39" s="34"/>
      <c r="F39" s="20" t="e">
        <f t="shared" si="11"/>
        <v>#DIV/0!</v>
      </c>
      <c r="G39" s="2">
        <f t="shared" si="9"/>
        <v>0</v>
      </c>
      <c r="H39" s="2">
        <f t="shared" si="10"/>
        <v>0</v>
      </c>
      <c r="I39" s="29"/>
      <c r="J39" s="34"/>
      <c r="K39" s="20" t="e">
        <f t="shared" si="12"/>
        <v>#DIV/0!</v>
      </c>
      <c r="L39" s="4" t="e">
        <f t="shared" si="13"/>
        <v>#DIV/0!</v>
      </c>
      <c r="M39" s="103"/>
      <c r="N39" s="103"/>
      <c r="O39" s="34"/>
      <c r="P39" s="6"/>
      <c r="Q39" s="14"/>
    </row>
    <row r="40" spans="1:17">
      <c r="A40" s="13">
        <f t="shared" si="14"/>
        <v>46148</v>
      </c>
      <c r="B40" s="127"/>
      <c r="C40" s="127"/>
      <c r="D40" s="34"/>
      <c r="E40" s="34"/>
      <c r="F40" s="20" t="e">
        <f t="shared" si="11"/>
        <v>#DIV/0!</v>
      </c>
      <c r="G40" s="2">
        <f t="shared" si="9"/>
        <v>0</v>
      </c>
      <c r="H40" s="2">
        <f t="shared" si="10"/>
        <v>0</v>
      </c>
      <c r="I40" s="29"/>
      <c r="J40" s="34"/>
      <c r="K40" s="20" t="e">
        <f t="shared" si="12"/>
        <v>#DIV/0!</v>
      </c>
      <c r="L40" s="4" t="e">
        <f t="shared" si="13"/>
        <v>#DIV/0!</v>
      </c>
      <c r="M40" s="103"/>
      <c r="N40" s="103"/>
      <c r="O40" s="34"/>
      <c r="P40" s="6"/>
      <c r="Q40" s="14"/>
    </row>
    <row r="41" spans="1:17">
      <c r="A41" s="13">
        <f t="shared" si="14"/>
        <v>46149</v>
      </c>
      <c r="B41" s="127"/>
      <c r="C41" s="127"/>
      <c r="D41" s="34"/>
      <c r="E41" s="34"/>
      <c r="F41" s="20" t="e">
        <f t="shared" si="11"/>
        <v>#DIV/0!</v>
      </c>
      <c r="G41" s="2">
        <f t="shared" si="9"/>
        <v>0</v>
      </c>
      <c r="H41" s="2">
        <f t="shared" si="10"/>
        <v>0</v>
      </c>
      <c r="I41" s="29"/>
      <c r="J41" s="34"/>
      <c r="K41" s="20" t="e">
        <f t="shared" si="12"/>
        <v>#DIV/0!</v>
      </c>
      <c r="L41" s="4" t="e">
        <f t="shared" si="13"/>
        <v>#DIV/0!</v>
      </c>
      <c r="M41" s="103"/>
      <c r="N41" s="103"/>
      <c r="O41" s="34"/>
      <c r="P41" s="6"/>
      <c r="Q41" s="202"/>
    </row>
    <row r="42" spans="1:17">
      <c r="A42" s="13">
        <f t="shared" si="14"/>
        <v>46150</v>
      </c>
      <c r="B42" s="127"/>
      <c r="C42" s="127"/>
      <c r="D42" s="34"/>
      <c r="E42" s="34"/>
      <c r="F42" s="20" t="e">
        <f t="shared" si="11"/>
        <v>#DIV/0!</v>
      </c>
      <c r="G42" s="2">
        <f t="shared" si="9"/>
        <v>0</v>
      </c>
      <c r="H42" s="2">
        <f t="shared" si="10"/>
        <v>0</v>
      </c>
      <c r="I42" s="29"/>
      <c r="J42" s="34"/>
      <c r="K42" s="20" t="e">
        <f t="shared" si="12"/>
        <v>#DIV/0!</v>
      </c>
      <c r="L42" s="4" t="e">
        <f t="shared" si="13"/>
        <v>#DIV/0!</v>
      </c>
      <c r="M42" s="103"/>
      <c r="N42" s="103"/>
      <c r="O42" s="34"/>
      <c r="P42" s="6"/>
      <c r="Q42" s="14"/>
    </row>
    <row r="43" spans="1:17">
      <c r="A43" s="13">
        <f t="shared" si="14"/>
        <v>46151</v>
      </c>
      <c r="B43" s="127"/>
      <c r="C43" s="127"/>
      <c r="D43" s="34"/>
      <c r="E43" s="34"/>
      <c r="F43" s="20" t="e">
        <f t="shared" si="11"/>
        <v>#DIV/0!</v>
      </c>
      <c r="G43" s="2">
        <f t="shared" si="9"/>
        <v>0</v>
      </c>
      <c r="H43" s="2">
        <f t="shared" si="10"/>
        <v>0</v>
      </c>
      <c r="I43" s="29"/>
      <c r="J43" s="34"/>
      <c r="K43" s="20" t="e">
        <f t="shared" si="12"/>
        <v>#DIV/0!</v>
      </c>
      <c r="L43" s="4" t="e">
        <f t="shared" si="13"/>
        <v>#DIV/0!</v>
      </c>
      <c r="M43" s="103"/>
      <c r="N43" s="103"/>
      <c r="O43" s="34"/>
      <c r="P43" s="6"/>
      <c r="Q43" s="6"/>
    </row>
    <row r="44" spans="1:17">
      <c r="A44" s="13">
        <f t="shared" si="14"/>
        <v>46152</v>
      </c>
      <c r="B44" s="127"/>
      <c r="C44" s="127"/>
      <c r="D44" s="34"/>
      <c r="E44" s="34"/>
      <c r="F44" s="20" t="e">
        <f t="shared" si="11"/>
        <v>#DIV/0!</v>
      </c>
      <c r="G44" s="2">
        <f t="shared" si="9"/>
        <v>0</v>
      </c>
      <c r="H44" s="2">
        <f t="shared" si="10"/>
        <v>0</v>
      </c>
      <c r="I44" s="29"/>
      <c r="J44" s="34"/>
      <c r="K44" s="20" t="e">
        <f t="shared" si="12"/>
        <v>#DIV/0!</v>
      </c>
      <c r="L44" s="4" t="e">
        <f t="shared" si="13"/>
        <v>#DIV/0!</v>
      </c>
      <c r="M44" s="103"/>
      <c r="N44" s="103"/>
      <c r="O44" s="34"/>
      <c r="P44" s="6"/>
      <c r="Q44" s="16"/>
    </row>
    <row r="45" spans="1:17">
      <c r="A45" s="13">
        <f t="shared" si="14"/>
        <v>46153</v>
      </c>
      <c r="B45" s="127"/>
      <c r="C45" s="127"/>
      <c r="D45" s="34"/>
      <c r="E45" s="34"/>
      <c r="F45" s="20" t="e">
        <f t="shared" si="11"/>
        <v>#DIV/0!</v>
      </c>
      <c r="G45" s="2">
        <f t="shared" si="9"/>
        <v>0</v>
      </c>
      <c r="H45" s="2">
        <f t="shared" si="10"/>
        <v>0</v>
      </c>
      <c r="I45" s="29"/>
      <c r="J45" s="34"/>
      <c r="K45" s="20" t="e">
        <f t="shared" si="12"/>
        <v>#DIV/0!</v>
      </c>
      <c r="L45" s="4" t="e">
        <f t="shared" si="13"/>
        <v>#DIV/0!</v>
      </c>
      <c r="M45" s="103"/>
      <c r="N45" s="103"/>
      <c r="O45" s="34"/>
      <c r="P45" s="6"/>
      <c r="Q45" s="6"/>
    </row>
    <row r="46" spans="1:17">
      <c r="A46" s="13">
        <f t="shared" si="14"/>
        <v>46154</v>
      </c>
      <c r="B46" s="127"/>
      <c r="C46" s="127"/>
      <c r="D46" s="34"/>
      <c r="E46" s="34"/>
      <c r="F46" s="20" t="e">
        <f t="shared" si="11"/>
        <v>#DIV/0!</v>
      </c>
      <c r="G46" s="2">
        <f t="shared" si="9"/>
        <v>0</v>
      </c>
      <c r="H46" s="2">
        <f t="shared" si="10"/>
        <v>0</v>
      </c>
      <c r="I46" s="29"/>
      <c r="J46" s="34"/>
      <c r="K46" s="20" t="e">
        <f t="shared" si="12"/>
        <v>#DIV/0!</v>
      </c>
      <c r="L46" s="4" t="e">
        <f t="shared" si="13"/>
        <v>#DIV/0!</v>
      </c>
      <c r="M46" s="104"/>
      <c r="N46" s="103"/>
      <c r="O46" s="34"/>
      <c r="P46" s="6"/>
      <c r="Q46" s="6"/>
    </row>
    <row r="47" spans="1:17">
      <c r="A47" s="13">
        <f t="shared" si="14"/>
        <v>46155</v>
      </c>
      <c r="B47" s="127"/>
      <c r="C47" s="127"/>
      <c r="D47" s="34"/>
      <c r="E47" s="34"/>
      <c r="F47" s="20" t="e">
        <f t="shared" si="11"/>
        <v>#DIV/0!</v>
      </c>
      <c r="G47" s="2">
        <f t="shared" si="9"/>
        <v>0</v>
      </c>
      <c r="H47" s="2">
        <f t="shared" si="10"/>
        <v>0</v>
      </c>
      <c r="I47" s="29"/>
      <c r="J47" s="34"/>
      <c r="K47" s="20" t="e">
        <f t="shared" si="12"/>
        <v>#DIV/0!</v>
      </c>
      <c r="L47" s="4" t="e">
        <f t="shared" si="13"/>
        <v>#DIV/0!</v>
      </c>
      <c r="M47" s="104"/>
      <c r="N47" s="103"/>
      <c r="O47" s="34"/>
      <c r="P47" s="6"/>
      <c r="Q47" s="31"/>
    </row>
    <row r="48" spans="1:17">
      <c r="A48" s="13">
        <f t="shared" si="14"/>
        <v>46156</v>
      </c>
      <c r="B48" s="127"/>
      <c r="C48" s="127"/>
      <c r="D48" s="34"/>
      <c r="E48" s="34"/>
      <c r="F48" s="20" t="e">
        <f t="shared" si="11"/>
        <v>#DIV/0!</v>
      </c>
      <c r="G48" s="2">
        <f t="shared" si="9"/>
        <v>0</v>
      </c>
      <c r="H48" s="2">
        <f t="shared" si="10"/>
        <v>0</v>
      </c>
      <c r="I48" s="29"/>
      <c r="J48" s="34"/>
      <c r="K48" s="20" t="e">
        <f t="shared" si="12"/>
        <v>#DIV/0!</v>
      </c>
      <c r="L48" s="4" t="e">
        <f t="shared" si="13"/>
        <v>#DIV/0!</v>
      </c>
      <c r="M48" s="104"/>
      <c r="N48" s="103"/>
      <c r="O48" s="34"/>
      <c r="P48" s="6"/>
      <c r="Q48" s="32"/>
    </row>
    <row r="49" spans="1:17">
      <c r="A49" s="13">
        <f t="shared" si="14"/>
        <v>46157</v>
      </c>
      <c r="B49" s="127"/>
      <c r="C49" s="127"/>
      <c r="D49" s="34"/>
      <c r="E49" s="34"/>
      <c r="F49" s="20" t="e">
        <f t="shared" si="11"/>
        <v>#DIV/0!</v>
      </c>
      <c r="G49" s="2">
        <f t="shared" si="9"/>
        <v>0</v>
      </c>
      <c r="H49" s="2">
        <f t="shared" si="10"/>
        <v>0</v>
      </c>
      <c r="I49" s="29"/>
      <c r="J49" s="34"/>
      <c r="K49" s="20" t="e">
        <f t="shared" si="12"/>
        <v>#DIV/0!</v>
      </c>
      <c r="L49" s="4" t="e">
        <f t="shared" si="13"/>
        <v>#DIV/0!</v>
      </c>
      <c r="M49" s="104"/>
      <c r="N49" s="103"/>
      <c r="O49" s="34"/>
      <c r="P49" s="6"/>
      <c r="Q49" s="32"/>
    </row>
    <row r="50" spans="1:17">
      <c r="A50" s="13">
        <f t="shared" si="14"/>
        <v>46158</v>
      </c>
      <c r="B50" s="127"/>
      <c r="C50" s="127"/>
      <c r="D50" s="34"/>
      <c r="E50" s="34"/>
      <c r="F50" s="20" t="e">
        <f t="shared" si="11"/>
        <v>#DIV/0!</v>
      </c>
      <c r="G50" s="2">
        <f t="shared" si="9"/>
        <v>0</v>
      </c>
      <c r="H50" s="2">
        <f t="shared" si="10"/>
        <v>0</v>
      </c>
      <c r="I50" s="29"/>
      <c r="J50" s="34"/>
      <c r="K50" s="20" t="e">
        <f t="shared" si="12"/>
        <v>#DIV/0!</v>
      </c>
      <c r="L50" s="4" t="e">
        <f t="shared" si="13"/>
        <v>#DIV/0!</v>
      </c>
      <c r="M50" s="104"/>
      <c r="N50" s="103"/>
      <c r="O50" s="34"/>
      <c r="P50" s="6"/>
      <c r="Q50" s="32"/>
    </row>
    <row r="51" spans="1:17">
      <c r="A51" s="13">
        <f t="shared" si="14"/>
        <v>46159</v>
      </c>
      <c r="B51" s="127"/>
      <c r="C51" s="127"/>
      <c r="D51" s="34"/>
      <c r="E51" s="34"/>
      <c r="F51" s="20" t="e">
        <f t="shared" si="11"/>
        <v>#DIV/0!</v>
      </c>
      <c r="G51" s="2">
        <f t="shared" si="9"/>
        <v>0</v>
      </c>
      <c r="H51" s="2">
        <f t="shared" si="10"/>
        <v>0</v>
      </c>
      <c r="I51" s="29"/>
      <c r="J51" s="34"/>
      <c r="K51" s="20" t="e">
        <f t="shared" si="12"/>
        <v>#DIV/0!</v>
      </c>
      <c r="L51" s="4" t="e">
        <f t="shared" si="13"/>
        <v>#DIV/0!</v>
      </c>
      <c r="M51" s="103"/>
      <c r="N51" s="103"/>
      <c r="O51" s="34"/>
      <c r="P51" s="6"/>
      <c r="Q51" s="6"/>
    </row>
    <row r="52" spans="1:17">
      <c r="A52" s="13">
        <f t="shared" si="14"/>
        <v>46160</v>
      </c>
      <c r="B52" s="127"/>
      <c r="C52" s="127"/>
      <c r="D52" s="34"/>
      <c r="E52" s="34"/>
      <c r="F52" s="20" t="e">
        <f t="shared" si="11"/>
        <v>#DIV/0!</v>
      </c>
      <c r="G52" s="2">
        <f t="shared" si="9"/>
        <v>0</v>
      </c>
      <c r="H52" s="2">
        <f t="shared" si="10"/>
        <v>0</v>
      </c>
      <c r="I52" s="29"/>
      <c r="J52" s="34"/>
      <c r="K52" s="20" t="e">
        <f t="shared" si="12"/>
        <v>#DIV/0!</v>
      </c>
      <c r="L52" s="4" t="e">
        <f t="shared" si="13"/>
        <v>#DIV/0!</v>
      </c>
      <c r="M52" s="103"/>
      <c r="N52" s="103"/>
      <c r="O52" s="34"/>
      <c r="P52" s="6"/>
      <c r="Q52" s="14"/>
    </row>
    <row r="53" spans="1:17">
      <c r="A53" s="13">
        <f t="shared" si="14"/>
        <v>46161</v>
      </c>
      <c r="B53" s="127"/>
      <c r="C53" s="127"/>
      <c r="D53" s="34"/>
      <c r="E53" s="34"/>
      <c r="F53" s="20" t="e">
        <f t="shared" si="11"/>
        <v>#DIV/0!</v>
      </c>
      <c r="G53" s="2">
        <f t="shared" si="9"/>
        <v>0</v>
      </c>
      <c r="H53" s="2">
        <f t="shared" si="10"/>
        <v>0</v>
      </c>
      <c r="I53" s="29"/>
      <c r="J53" s="34"/>
      <c r="K53" s="20" t="e">
        <f t="shared" si="12"/>
        <v>#DIV/0!</v>
      </c>
      <c r="L53" s="4" t="e">
        <f t="shared" si="13"/>
        <v>#DIV/0!</v>
      </c>
      <c r="M53" s="103"/>
      <c r="N53" s="103"/>
      <c r="O53" s="34"/>
      <c r="P53" s="6"/>
      <c r="Q53" s="14"/>
    </row>
    <row r="54" spans="1:17">
      <c r="A54" s="13">
        <f t="shared" si="14"/>
        <v>46162</v>
      </c>
      <c r="B54" s="127"/>
      <c r="C54" s="127"/>
      <c r="D54" s="34"/>
      <c r="E54" s="34"/>
      <c r="F54" s="20" t="e">
        <f t="shared" si="11"/>
        <v>#DIV/0!</v>
      </c>
      <c r="G54" s="2">
        <f t="shared" si="9"/>
        <v>0</v>
      </c>
      <c r="H54" s="2">
        <f t="shared" si="10"/>
        <v>0</v>
      </c>
      <c r="I54" s="29"/>
      <c r="J54" s="34"/>
      <c r="K54" s="20" t="e">
        <f t="shared" si="12"/>
        <v>#DIV/0!</v>
      </c>
      <c r="L54" s="4" t="e">
        <f t="shared" si="13"/>
        <v>#DIV/0!</v>
      </c>
      <c r="M54" s="103"/>
      <c r="N54" s="103"/>
      <c r="O54" s="34"/>
      <c r="P54" s="6"/>
      <c r="Q54" s="14"/>
    </row>
    <row r="55" spans="1:17">
      <c r="A55" s="13">
        <f t="shared" si="14"/>
        <v>46163</v>
      </c>
      <c r="B55" s="127"/>
      <c r="C55" s="127"/>
      <c r="D55" s="34"/>
      <c r="E55" s="34"/>
      <c r="F55" s="20" t="e">
        <f>(IF(ISBLANK(E55),0,E55-C55))/C55</f>
        <v>#DIV/0!</v>
      </c>
      <c r="G55" s="2">
        <f t="shared" si="9"/>
        <v>0</v>
      </c>
      <c r="H55" s="2">
        <f t="shared" si="10"/>
        <v>0</v>
      </c>
      <c r="I55" s="29"/>
      <c r="J55" s="34"/>
      <c r="K55" s="20" t="e">
        <f>(IF(ISBLANK(J55),0,J55-I55))/I55</f>
        <v>#DIV/0!</v>
      </c>
      <c r="L55" s="4" t="e">
        <f t="shared" si="13"/>
        <v>#DIV/0!</v>
      </c>
      <c r="M55" s="103"/>
      <c r="N55" s="103"/>
      <c r="O55" s="34"/>
      <c r="P55" s="6"/>
      <c r="Q55" s="6"/>
    </row>
    <row r="56" spans="1:17">
      <c r="A56" s="13">
        <f t="shared" si="14"/>
        <v>46164</v>
      </c>
      <c r="B56" s="127"/>
      <c r="C56" s="127"/>
      <c r="D56" s="34"/>
      <c r="E56" s="34"/>
      <c r="F56" s="20" t="e">
        <f t="shared" ref="F56:F65" si="15">(IF(ISBLANK(E56),0,E56-C56))/C56</f>
        <v>#DIV/0!</v>
      </c>
      <c r="G56" s="2">
        <f t="shared" si="9"/>
        <v>0</v>
      </c>
      <c r="H56" s="2">
        <f t="shared" si="10"/>
        <v>0</v>
      </c>
      <c r="I56" s="29"/>
      <c r="J56" s="34"/>
      <c r="K56" s="20" t="e">
        <f t="shared" ref="K56:K65" si="16">(IF(ISBLANK(J56),0,J56-I56))/I56</f>
        <v>#DIV/0!</v>
      </c>
      <c r="L56" s="4" t="e">
        <f t="shared" si="13"/>
        <v>#DIV/0!</v>
      </c>
      <c r="M56" s="103"/>
      <c r="N56" s="103"/>
      <c r="O56" s="34"/>
      <c r="P56" s="6"/>
      <c r="Q56" s="6"/>
    </row>
    <row r="57" spans="1:17">
      <c r="A57" s="13">
        <f t="shared" si="14"/>
        <v>46165</v>
      </c>
      <c r="B57" s="127"/>
      <c r="C57" s="127"/>
      <c r="D57" s="14"/>
      <c r="E57" s="14"/>
      <c r="F57" s="20" t="e">
        <f t="shared" si="15"/>
        <v>#DIV/0!</v>
      </c>
      <c r="G57" s="2">
        <f t="shared" si="9"/>
        <v>0</v>
      </c>
      <c r="H57" s="2">
        <f t="shared" si="10"/>
        <v>0</v>
      </c>
      <c r="I57" s="29"/>
      <c r="J57" s="14"/>
      <c r="K57" s="20" t="e">
        <f t="shared" si="16"/>
        <v>#DIV/0!</v>
      </c>
      <c r="L57" s="4" t="e">
        <f t="shared" si="13"/>
        <v>#DIV/0!</v>
      </c>
      <c r="M57" s="103"/>
      <c r="N57" s="103"/>
      <c r="O57" s="34"/>
      <c r="P57" s="6"/>
      <c r="Q57" s="6"/>
    </row>
    <row r="58" spans="1:17">
      <c r="A58" s="13">
        <f t="shared" si="14"/>
        <v>46166</v>
      </c>
      <c r="B58" s="127"/>
      <c r="C58" s="127"/>
      <c r="D58" s="14"/>
      <c r="E58" s="14"/>
      <c r="F58" s="20" t="e">
        <f t="shared" si="15"/>
        <v>#DIV/0!</v>
      </c>
      <c r="G58" s="2">
        <f t="shared" ref="G58:G65" si="17">D58/($D$2*24)</f>
        <v>0</v>
      </c>
      <c r="H58" s="2">
        <f t="shared" si="10"/>
        <v>0</v>
      </c>
      <c r="I58" s="29"/>
      <c r="J58" s="14"/>
      <c r="K58" s="20" t="e">
        <f t="shared" si="16"/>
        <v>#DIV/0!</v>
      </c>
      <c r="L58" s="4" t="e">
        <f t="shared" si="13"/>
        <v>#DIV/0!</v>
      </c>
      <c r="M58" s="103"/>
      <c r="N58" s="103"/>
      <c r="O58" s="34"/>
      <c r="P58" s="6"/>
      <c r="Q58" s="288"/>
    </row>
    <row r="59" spans="1:17">
      <c r="A59" s="13">
        <f t="shared" si="14"/>
        <v>46167</v>
      </c>
      <c r="B59" s="1"/>
      <c r="C59" s="1"/>
      <c r="D59" s="14"/>
      <c r="E59" s="14"/>
      <c r="F59" s="20" t="e">
        <f t="shared" si="15"/>
        <v>#DIV/0!</v>
      </c>
      <c r="G59" s="2">
        <f t="shared" si="17"/>
        <v>0</v>
      </c>
      <c r="H59" s="2">
        <f t="shared" si="10"/>
        <v>0</v>
      </c>
      <c r="I59" s="29"/>
      <c r="J59" s="14"/>
      <c r="K59" s="20" t="e">
        <f t="shared" si="16"/>
        <v>#DIV/0!</v>
      </c>
      <c r="L59" s="4" t="e">
        <f t="shared" si="13"/>
        <v>#DIV/0!</v>
      </c>
      <c r="M59" s="103"/>
      <c r="N59" s="103"/>
      <c r="O59" s="34"/>
      <c r="P59" s="155"/>
      <c r="Q59" s="6"/>
    </row>
    <row r="60" spans="1:17">
      <c r="A60" s="13">
        <f t="shared" si="14"/>
        <v>46168</v>
      </c>
      <c r="B60" s="1"/>
      <c r="C60" s="1"/>
      <c r="D60" s="14"/>
      <c r="E60" s="14"/>
      <c r="F60" s="20" t="e">
        <f t="shared" si="15"/>
        <v>#DIV/0!</v>
      </c>
      <c r="G60" s="2">
        <f t="shared" si="17"/>
        <v>0</v>
      </c>
      <c r="H60" s="2">
        <f t="shared" si="10"/>
        <v>0</v>
      </c>
      <c r="I60" s="29"/>
      <c r="J60" s="14"/>
      <c r="K60" s="20" t="e">
        <f t="shared" si="16"/>
        <v>#DIV/0!</v>
      </c>
      <c r="L60" s="4" t="e">
        <f t="shared" si="13"/>
        <v>#DIV/0!</v>
      </c>
      <c r="M60" s="103"/>
      <c r="N60" s="103"/>
      <c r="O60" s="34"/>
      <c r="P60" s="6"/>
      <c r="Q60" s="123"/>
    </row>
    <row r="61" spans="1:17">
      <c r="A61" s="13">
        <f t="shared" si="14"/>
        <v>46169</v>
      </c>
      <c r="B61" s="1"/>
      <c r="C61" s="1"/>
      <c r="D61" s="14"/>
      <c r="E61" s="14"/>
      <c r="F61" s="20" t="e">
        <f t="shared" si="15"/>
        <v>#DIV/0!</v>
      </c>
      <c r="G61" s="2">
        <f t="shared" si="17"/>
        <v>0</v>
      </c>
      <c r="H61" s="2">
        <f t="shared" si="10"/>
        <v>0</v>
      </c>
      <c r="I61" s="29"/>
      <c r="J61" s="14"/>
      <c r="K61" s="20" t="e">
        <f t="shared" si="16"/>
        <v>#DIV/0!</v>
      </c>
      <c r="L61" s="4" t="e">
        <f t="shared" si="13"/>
        <v>#DIV/0!</v>
      </c>
      <c r="M61" s="103"/>
      <c r="N61" s="103"/>
      <c r="O61" s="34"/>
      <c r="P61" s="6"/>
      <c r="Q61" s="6"/>
    </row>
    <row r="62" spans="1:17">
      <c r="A62" s="13">
        <f t="shared" si="14"/>
        <v>46170</v>
      </c>
      <c r="B62" s="1"/>
      <c r="C62" s="1"/>
      <c r="D62" s="14"/>
      <c r="E62" s="14"/>
      <c r="F62" s="20" t="e">
        <f t="shared" si="15"/>
        <v>#DIV/0!</v>
      </c>
      <c r="G62" s="2">
        <f t="shared" si="17"/>
        <v>0</v>
      </c>
      <c r="H62" s="2">
        <f t="shared" ref="H62:H65" si="18">D62/($H$2*24)</f>
        <v>0</v>
      </c>
      <c r="I62" s="29"/>
      <c r="J62" s="14"/>
      <c r="K62" s="20" t="e">
        <f t="shared" si="16"/>
        <v>#DIV/0!</v>
      </c>
      <c r="L62" s="4" t="e">
        <f t="shared" si="13"/>
        <v>#DIV/0!</v>
      </c>
      <c r="M62" s="103"/>
      <c r="N62" s="103"/>
      <c r="O62" s="34"/>
      <c r="P62" s="6"/>
      <c r="Q62" s="6"/>
    </row>
    <row r="63" spans="1:17">
      <c r="A63" s="13">
        <f t="shared" si="14"/>
        <v>46171</v>
      </c>
      <c r="B63" s="1"/>
      <c r="C63" s="1"/>
      <c r="D63" s="14"/>
      <c r="E63" s="14"/>
      <c r="F63" s="20" t="e">
        <f t="shared" si="15"/>
        <v>#DIV/0!</v>
      </c>
      <c r="G63" s="2">
        <f t="shared" si="17"/>
        <v>0</v>
      </c>
      <c r="H63" s="2">
        <f t="shared" si="18"/>
        <v>0</v>
      </c>
      <c r="I63" s="29"/>
      <c r="J63" s="14"/>
      <c r="K63" s="20" t="e">
        <f t="shared" si="16"/>
        <v>#DIV/0!</v>
      </c>
      <c r="L63" s="4" t="e">
        <f t="shared" si="13"/>
        <v>#DIV/0!</v>
      </c>
      <c r="M63" s="103"/>
      <c r="N63" s="103"/>
      <c r="O63" s="34"/>
      <c r="P63" s="6"/>
      <c r="Q63" s="6"/>
    </row>
    <row r="64" spans="1:17">
      <c r="A64" s="13">
        <f t="shared" si="14"/>
        <v>46172</v>
      </c>
      <c r="B64" s="1"/>
      <c r="C64" s="1"/>
      <c r="D64" s="14"/>
      <c r="E64" s="14"/>
      <c r="F64" s="20" t="e">
        <f t="shared" si="15"/>
        <v>#DIV/0!</v>
      </c>
      <c r="G64" s="2">
        <f t="shared" si="17"/>
        <v>0</v>
      </c>
      <c r="H64" s="2">
        <f t="shared" si="18"/>
        <v>0</v>
      </c>
      <c r="I64" s="29"/>
      <c r="J64" s="14"/>
      <c r="K64" s="20" t="e">
        <f t="shared" si="16"/>
        <v>#DIV/0!</v>
      </c>
      <c r="L64" s="4" t="e">
        <f t="shared" si="13"/>
        <v>#DIV/0!</v>
      </c>
      <c r="M64" s="103"/>
      <c r="N64" s="103"/>
      <c r="O64" s="34"/>
      <c r="P64" s="6"/>
      <c r="Q64" s="6"/>
    </row>
    <row r="65" spans="1:17">
      <c r="A65" s="13">
        <f t="shared" si="14"/>
        <v>46173</v>
      </c>
      <c r="B65" s="1"/>
      <c r="C65" s="1"/>
      <c r="D65" s="14"/>
      <c r="E65" s="14"/>
      <c r="F65" s="20" t="e">
        <f t="shared" si="15"/>
        <v>#DIV/0!</v>
      </c>
      <c r="G65" s="2">
        <f t="shared" si="17"/>
        <v>0</v>
      </c>
      <c r="H65" s="2">
        <f t="shared" si="18"/>
        <v>0</v>
      </c>
      <c r="I65" s="29"/>
      <c r="J65" s="14"/>
      <c r="K65" s="20" t="e">
        <f t="shared" si="16"/>
        <v>#DIV/0!</v>
      </c>
      <c r="L65" s="4" t="e">
        <f t="shared" si="13"/>
        <v>#DIV/0!</v>
      </c>
      <c r="M65" s="103"/>
      <c r="N65" s="103"/>
      <c r="O65" s="34"/>
      <c r="P65" s="6"/>
      <c r="Q65" s="6"/>
    </row>
    <row r="66" spans="1:17">
      <c r="A66" s="349">
        <v>46143</v>
      </c>
      <c r="B66" s="89">
        <f>SUM(B35:B65)</f>
        <v>82179</v>
      </c>
      <c r="C66" s="89">
        <f>SUM(C35:C65)</f>
        <v>79059</v>
      </c>
      <c r="D66" s="89">
        <f>SUM(D35:D65)</f>
        <v>0</v>
      </c>
      <c r="E66" s="89">
        <f>SUM(E35:E65)</f>
        <v>0</v>
      </c>
      <c r="F66" s="160">
        <f>(IF(ISBLANK(E66),0,E66-C66))/C66</f>
        <v>-1</v>
      </c>
      <c r="G66" s="90">
        <f>AVERAGE(G35:G65)</f>
        <v>0</v>
      </c>
      <c r="H66" s="90">
        <f>AVERAGE(H35:H65)</f>
        <v>0</v>
      </c>
      <c r="I66" s="89">
        <f>SUM(I35:I65)</f>
        <v>16.950000000000003</v>
      </c>
      <c r="J66" s="89">
        <f>SUM(J35:J65)</f>
        <v>0</v>
      </c>
      <c r="K66" s="160">
        <f>(IF(ISBLANK(J66),0,J66-I66))/I66</f>
        <v>-1</v>
      </c>
      <c r="L66" s="161" t="e">
        <f t="shared" si="13"/>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F0DA-62CD-44C9-852B-F836F72A0A83}">
  <dimension ref="A1:Q66"/>
  <sheetViews>
    <sheetView topLeftCell="A25" workbookViewId="0">
      <selection activeCell="I35" sqref="I35:I37"/>
    </sheetView>
  </sheetViews>
  <sheetFormatPr defaultRowHeight="14.5"/>
  <cols>
    <col min="1" max="1" width="11.26953125" bestFit="1" customWidth="1"/>
    <col min="2" max="6" width="10.54296875" customWidth="1"/>
    <col min="7" max="7" width="6.81640625" bestFit="1" customWidth="1"/>
    <col min="8" max="12" width="8.7265625" customWidth="1"/>
    <col min="13" max="16" width="10.26953125" customWidth="1"/>
    <col min="17" max="17" width="43.1796875" customWidth="1"/>
    <col min="18" max="18" width="10" customWidth="1"/>
  </cols>
  <sheetData>
    <row r="1" spans="1:17" ht="18.75" customHeight="1">
      <c r="A1" s="405" t="s">
        <v>395</v>
      </c>
      <c r="B1" s="406"/>
      <c r="C1" s="406"/>
      <c r="D1" s="406"/>
      <c r="E1" s="406"/>
      <c r="F1" s="406"/>
      <c r="G1" s="406"/>
      <c r="H1" s="406"/>
      <c r="I1" s="406"/>
      <c r="J1" s="406"/>
      <c r="K1" s="406"/>
      <c r="L1" s="406"/>
      <c r="M1" s="406"/>
      <c r="N1" s="406"/>
      <c r="O1" s="406"/>
      <c r="P1" s="406"/>
      <c r="Q1" s="406"/>
    </row>
    <row r="2" spans="1:17" ht="18.75" customHeight="1">
      <c r="A2" s="7">
        <v>46113</v>
      </c>
      <c r="B2" s="407" t="s">
        <v>172</v>
      </c>
      <c r="C2" s="408"/>
      <c r="D2" s="8">
        <v>4000</v>
      </c>
      <c r="E2" s="407" t="s">
        <v>173</v>
      </c>
      <c r="F2" s="407"/>
      <c r="G2" s="408"/>
      <c r="H2" s="8">
        <v>3200</v>
      </c>
      <c r="I2" s="409" t="s">
        <v>174</v>
      </c>
      <c r="J2" s="410"/>
      <c r="K2" s="9">
        <v>44979</v>
      </c>
      <c r="L2" s="10" t="s">
        <v>175</v>
      </c>
      <c r="M2" s="10" t="s">
        <v>175</v>
      </c>
      <c r="N2" s="10" t="s">
        <v>175</v>
      </c>
      <c r="O2" s="10" t="s">
        <v>175</v>
      </c>
      <c r="P2" s="10" t="s">
        <v>175</v>
      </c>
      <c r="Q2" s="11" t="s">
        <v>175</v>
      </c>
    </row>
    <row r="3" spans="1:17" ht="62.25" customHeight="1">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19103.733333333334</v>
      </c>
      <c r="C4" s="1">
        <v>18278.266666666666</v>
      </c>
      <c r="D4" s="31">
        <v>20345.599999999999</v>
      </c>
      <c r="E4" s="49">
        <v>20320</v>
      </c>
      <c r="F4" s="20">
        <f>(IF(ISBLANK(E4),0,E4-C4))/C4</f>
        <v>0.11170278728106971</v>
      </c>
      <c r="G4" s="2">
        <f t="shared" ref="G4:G27" si="0">D4/($D$2*24)</f>
        <v>0.21193333333333331</v>
      </c>
      <c r="H4" s="2">
        <f t="shared" ref="H4:H21" si="1">D4/($H$2*24)</f>
        <v>0.26491666666666663</v>
      </c>
      <c r="I4" s="26">
        <v>6.0600000000000005</v>
      </c>
      <c r="J4" s="49">
        <v>6.5</v>
      </c>
      <c r="K4" s="20">
        <f>(IF(ISBLANK(J4),0,J4-I4))/I4</f>
        <v>7.2607260726072514E-2</v>
      </c>
      <c r="L4" s="4">
        <f t="shared" ref="L4:L35" si="2">D4/($D$2*J4)</f>
        <v>0.78252307692307688</v>
      </c>
      <c r="M4" s="61">
        <v>1</v>
      </c>
      <c r="N4" s="62">
        <v>1</v>
      </c>
      <c r="O4" s="49"/>
      <c r="P4" s="49"/>
      <c r="Q4" s="49"/>
    </row>
    <row r="5" spans="1:17">
      <c r="A5" s="13">
        <f>A4+1</f>
        <v>46114</v>
      </c>
      <c r="B5" s="1">
        <v>19103.733333333334</v>
      </c>
      <c r="C5" s="1">
        <v>18278.266666666666</v>
      </c>
      <c r="D5" s="32">
        <v>20064</v>
      </c>
      <c r="E5" s="50">
        <v>19960</v>
      </c>
      <c r="F5" s="20">
        <f t="shared" ref="F5:F33" si="3">(IF(ISBLANK(E5),0,E5-C5))/C5</f>
        <v>9.2007265459160992E-2</v>
      </c>
      <c r="G5" s="2">
        <f t="shared" si="0"/>
        <v>0.20899999999999999</v>
      </c>
      <c r="H5" s="2">
        <f t="shared" si="1"/>
        <v>0.26124999999999998</v>
      </c>
      <c r="I5" s="26">
        <v>6.0600000000000005</v>
      </c>
      <c r="J5" s="50">
        <v>6.28</v>
      </c>
      <c r="K5" s="20">
        <f t="shared" ref="K5:K34" si="4">(IF(ISBLANK(J5),0,J5-I5))/I5</f>
        <v>3.6303630363036257E-2</v>
      </c>
      <c r="L5" s="4">
        <f t="shared" si="2"/>
        <v>0.79872611464968157</v>
      </c>
      <c r="M5" s="61">
        <v>1</v>
      </c>
      <c r="N5" s="64">
        <v>1</v>
      </c>
      <c r="O5" s="50"/>
      <c r="P5" s="50"/>
      <c r="Q5" s="50"/>
    </row>
    <row r="6" spans="1:17">
      <c r="A6" s="13">
        <f t="shared" ref="A6:A33" si="5">A5+1</f>
        <v>46115</v>
      </c>
      <c r="B6" s="1">
        <v>19103.733333333334</v>
      </c>
      <c r="C6" s="1">
        <v>18278.266666666666</v>
      </c>
      <c r="D6" s="32">
        <v>16912.3</v>
      </c>
      <c r="E6" s="50">
        <v>16840</v>
      </c>
      <c r="F6" s="20">
        <f t="shared" si="3"/>
        <v>-7.8687256997381216E-2</v>
      </c>
      <c r="G6" s="2">
        <f t="shared" si="0"/>
        <v>0.17616979166666666</v>
      </c>
      <c r="H6" s="2">
        <f t="shared" si="1"/>
        <v>0.22021223958333333</v>
      </c>
      <c r="I6" s="26">
        <v>6.0600000000000005</v>
      </c>
      <c r="J6" s="50">
        <v>5.56</v>
      </c>
      <c r="K6" s="20">
        <f t="shared" si="4"/>
        <v>-8.2508250825082646E-2</v>
      </c>
      <c r="L6" s="4">
        <f t="shared" si="2"/>
        <v>0.76044514388489204</v>
      </c>
      <c r="M6" s="61">
        <v>1</v>
      </c>
      <c r="N6" s="64">
        <v>1</v>
      </c>
      <c r="O6" s="50"/>
      <c r="P6" s="50"/>
      <c r="Q6" s="50"/>
    </row>
    <row r="7" spans="1:17">
      <c r="A7" s="13">
        <f t="shared" si="5"/>
        <v>46116</v>
      </c>
      <c r="B7" s="1">
        <v>19103.733333333334</v>
      </c>
      <c r="C7" s="1">
        <v>18278.266666666666</v>
      </c>
      <c r="D7" s="32">
        <v>10265.200000000001</v>
      </c>
      <c r="E7" s="50">
        <v>10260</v>
      </c>
      <c r="F7" s="20">
        <f t="shared" si="3"/>
        <v>-0.43867762807560162</v>
      </c>
      <c r="G7" s="2">
        <f t="shared" si="0"/>
        <v>0.10692916666666667</v>
      </c>
      <c r="H7" s="2">
        <f t="shared" si="1"/>
        <v>0.13366145833333334</v>
      </c>
      <c r="I7" s="26">
        <v>6.0600000000000005</v>
      </c>
      <c r="J7" s="50">
        <v>3.36</v>
      </c>
      <c r="K7" s="20">
        <f t="shared" si="4"/>
        <v>-0.44554455445544561</v>
      </c>
      <c r="L7" s="4">
        <f t="shared" si="2"/>
        <v>0.76377976190476193</v>
      </c>
      <c r="M7" s="61">
        <v>1</v>
      </c>
      <c r="N7" s="64">
        <v>0.95850000000000002</v>
      </c>
      <c r="O7" s="50">
        <v>305.5</v>
      </c>
      <c r="P7" s="50"/>
      <c r="Q7" s="50" t="s">
        <v>397</v>
      </c>
    </row>
    <row r="8" spans="1:17">
      <c r="A8" s="13">
        <f t="shared" si="5"/>
        <v>46117</v>
      </c>
      <c r="B8" s="1">
        <v>19103.733333333334</v>
      </c>
      <c r="C8" s="1">
        <v>18278.266666666666</v>
      </c>
      <c r="D8" s="32">
        <v>20109.3</v>
      </c>
      <c r="E8" s="50">
        <v>20000</v>
      </c>
      <c r="F8" s="20">
        <f t="shared" si="3"/>
        <v>9.4195656772706401E-2</v>
      </c>
      <c r="G8" s="2">
        <f t="shared" si="0"/>
        <v>0.209471875</v>
      </c>
      <c r="H8" s="2">
        <f t="shared" si="1"/>
        <v>0.26183984374999997</v>
      </c>
      <c r="I8" s="26">
        <v>6.0600000000000005</v>
      </c>
      <c r="J8" s="50">
        <v>6.31</v>
      </c>
      <c r="K8" s="20">
        <f t="shared" si="4"/>
        <v>4.1254125412541101E-2</v>
      </c>
      <c r="L8" s="4">
        <f t="shared" si="2"/>
        <v>0.79672345483359741</v>
      </c>
      <c r="M8" s="61">
        <v>1</v>
      </c>
      <c r="N8" s="64">
        <v>1</v>
      </c>
      <c r="O8" s="50"/>
      <c r="P8" s="50"/>
      <c r="Q8" s="50"/>
    </row>
    <row r="9" spans="1:17">
      <c r="A9" s="13">
        <f t="shared" si="5"/>
        <v>46118</v>
      </c>
      <c r="B9" s="1">
        <v>19103.733333333334</v>
      </c>
      <c r="C9" s="1">
        <v>18278.266666666666</v>
      </c>
      <c r="D9" s="32">
        <v>21138.7</v>
      </c>
      <c r="E9" s="50">
        <v>21120</v>
      </c>
      <c r="F9" s="20">
        <f t="shared" si="3"/>
        <v>0.15547061355197794</v>
      </c>
      <c r="G9" s="2">
        <f t="shared" si="0"/>
        <v>0.22019479166666667</v>
      </c>
      <c r="H9" s="2">
        <f t="shared" si="1"/>
        <v>0.27524348958333333</v>
      </c>
      <c r="I9" s="26">
        <v>6.0600000000000005</v>
      </c>
      <c r="J9" s="50">
        <v>6.63</v>
      </c>
      <c r="K9" s="20">
        <f t="shared" si="4"/>
        <v>9.4059405940593949E-2</v>
      </c>
      <c r="L9" s="4">
        <f t="shared" si="2"/>
        <v>0.79708521870286575</v>
      </c>
      <c r="M9" s="61">
        <v>1</v>
      </c>
      <c r="N9" s="64">
        <v>1</v>
      </c>
      <c r="O9" s="50"/>
      <c r="P9" s="50"/>
      <c r="Q9" s="50"/>
    </row>
    <row r="10" spans="1:17">
      <c r="A10" s="13">
        <f t="shared" si="5"/>
        <v>46119</v>
      </c>
      <c r="B10" s="1">
        <v>19103.733333333334</v>
      </c>
      <c r="C10" s="1">
        <v>18278.266666666666</v>
      </c>
      <c r="D10" s="32">
        <v>22359.1</v>
      </c>
      <c r="E10" s="50">
        <v>22300</v>
      </c>
      <c r="F10" s="20">
        <f t="shared" si="3"/>
        <v>0.22002815730156763</v>
      </c>
      <c r="G10" s="2">
        <f t="shared" si="0"/>
        <v>0.23290729166666665</v>
      </c>
      <c r="H10" s="2">
        <f t="shared" si="1"/>
        <v>0.29113411458333333</v>
      </c>
      <c r="I10" s="26">
        <v>6.0600000000000005</v>
      </c>
      <c r="J10" s="50">
        <v>7.25</v>
      </c>
      <c r="K10" s="20">
        <f t="shared" si="4"/>
        <v>0.19636963696369628</v>
      </c>
      <c r="L10" s="4">
        <f t="shared" si="2"/>
        <v>0.77100344827586198</v>
      </c>
      <c r="M10" s="61">
        <v>1</v>
      </c>
      <c r="N10" s="64">
        <v>1</v>
      </c>
      <c r="O10" s="50"/>
      <c r="P10" s="50"/>
      <c r="Q10" s="50"/>
    </row>
    <row r="11" spans="1:17">
      <c r="A11" s="13">
        <f t="shared" si="5"/>
        <v>46120</v>
      </c>
      <c r="B11" s="1">
        <v>19103.733333333334</v>
      </c>
      <c r="C11" s="1">
        <v>18278.266666666666</v>
      </c>
      <c r="D11" s="32">
        <v>22910</v>
      </c>
      <c r="E11" s="50">
        <v>22900</v>
      </c>
      <c r="F11" s="20">
        <f t="shared" si="3"/>
        <v>0.25285402700474885</v>
      </c>
      <c r="G11" s="2">
        <f t="shared" si="0"/>
        <v>0.23864583333333333</v>
      </c>
      <c r="H11" s="2">
        <f t="shared" si="1"/>
        <v>0.29830729166666664</v>
      </c>
      <c r="I11" s="26">
        <v>6.0600000000000005</v>
      </c>
      <c r="J11" s="50">
        <v>7.41</v>
      </c>
      <c r="K11" s="20">
        <f t="shared" si="4"/>
        <v>0.22277227722772269</v>
      </c>
      <c r="L11" s="4">
        <f t="shared" si="2"/>
        <v>0.77294197031039136</v>
      </c>
      <c r="M11" s="61">
        <v>1</v>
      </c>
      <c r="N11" s="64">
        <v>1</v>
      </c>
      <c r="O11" s="50"/>
      <c r="P11" s="50"/>
      <c r="Q11" s="50"/>
    </row>
    <row r="12" spans="1:17">
      <c r="A12" s="13">
        <f t="shared" si="5"/>
        <v>46121</v>
      </c>
      <c r="B12" s="1">
        <v>19103.733333333334</v>
      </c>
      <c r="C12" s="1">
        <v>18278.266666666666</v>
      </c>
      <c r="D12" s="32">
        <v>19850</v>
      </c>
      <c r="E12" s="50">
        <v>19840</v>
      </c>
      <c r="F12" s="20">
        <f t="shared" si="3"/>
        <v>8.5442091518524749E-2</v>
      </c>
      <c r="G12" s="2">
        <f t="shared" si="0"/>
        <v>0.20677083333333332</v>
      </c>
      <c r="H12" s="2">
        <f t="shared" si="1"/>
        <v>0.25846354166666669</v>
      </c>
      <c r="I12" s="26">
        <v>6.0600000000000005</v>
      </c>
      <c r="J12" s="50">
        <v>5.81</v>
      </c>
      <c r="K12" s="20">
        <f t="shared" si="4"/>
        <v>-4.1254125412541399E-2</v>
      </c>
      <c r="L12" s="4">
        <f t="shared" si="2"/>
        <v>0.85413080895008608</v>
      </c>
      <c r="M12" s="61">
        <v>1</v>
      </c>
      <c r="N12" s="64">
        <v>1</v>
      </c>
      <c r="O12" s="50"/>
      <c r="P12" s="50"/>
      <c r="Q12" s="50"/>
    </row>
    <row r="13" spans="1:17">
      <c r="A13" s="13">
        <f t="shared" si="5"/>
        <v>46122</v>
      </c>
      <c r="B13" s="1">
        <v>19103.733333333334</v>
      </c>
      <c r="C13" s="1">
        <v>18278.266666666666</v>
      </c>
      <c r="D13" s="32">
        <v>16696.2</v>
      </c>
      <c r="E13" s="50">
        <v>16680</v>
      </c>
      <c r="F13" s="20">
        <f t="shared" si="3"/>
        <v>-8.7440822251562869E-2</v>
      </c>
      <c r="G13" s="2">
        <f t="shared" si="0"/>
        <v>0.17391875000000001</v>
      </c>
      <c r="H13" s="2">
        <f t="shared" si="1"/>
        <v>0.21739843750000001</v>
      </c>
      <c r="I13" s="26">
        <v>6.0600000000000005</v>
      </c>
      <c r="J13" s="50">
        <v>5.38</v>
      </c>
      <c r="K13" s="20">
        <f t="shared" si="4"/>
        <v>-0.11221122112211231</v>
      </c>
      <c r="L13" s="4">
        <f t="shared" si="2"/>
        <v>0.77584572490706327</v>
      </c>
      <c r="M13" s="61">
        <v>1</v>
      </c>
      <c r="N13" s="64">
        <v>1</v>
      </c>
      <c r="O13" s="50"/>
      <c r="P13" s="50"/>
      <c r="Q13" s="50"/>
    </row>
    <row r="14" spans="1:17">
      <c r="A14" s="13">
        <f t="shared" si="5"/>
        <v>46123</v>
      </c>
      <c r="B14" s="1">
        <v>19103.733333333334</v>
      </c>
      <c r="C14" s="1">
        <v>18278.266666666666</v>
      </c>
      <c r="D14" s="32">
        <v>18951.099999999999</v>
      </c>
      <c r="E14" s="50">
        <v>18880</v>
      </c>
      <c r="F14" s="20">
        <f t="shared" si="3"/>
        <v>3.2920699993434839E-2</v>
      </c>
      <c r="G14" s="2">
        <f t="shared" si="0"/>
        <v>0.19740729166666665</v>
      </c>
      <c r="H14" s="2">
        <f t="shared" si="1"/>
        <v>0.24675911458333333</v>
      </c>
      <c r="I14" s="26">
        <v>6.0600000000000005</v>
      </c>
      <c r="J14" s="50">
        <v>5.88</v>
      </c>
      <c r="K14" s="20">
        <f t="shared" si="4"/>
        <v>-2.9702970297029799E-2</v>
      </c>
      <c r="L14" s="4">
        <f t="shared" si="2"/>
        <v>0.80574404761904761</v>
      </c>
      <c r="M14" s="61">
        <v>1</v>
      </c>
      <c r="N14" s="64">
        <v>1</v>
      </c>
      <c r="O14" s="50"/>
      <c r="P14" s="50"/>
      <c r="Q14" s="50"/>
    </row>
    <row r="15" spans="1:17">
      <c r="A15" s="13">
        <f t="shared" si="5"/>
        <v>46124</v>
      </c>
      <c r="B15" s="1">
        <v>19103.733333333334</v>
      </c>
      <c r="C15" s="1">
        <v>18278.266666666666</v>
      </c>
      <c r="D15" s="32">
        <v>19550.7</v>
      </c>
      <c r="E15" s="50">
        <v>19440</v>
      </c>
      <c r="F15" s="20">
        <f t="shared" si="3"/>
        <v>6.3558178383070624E-2</v>
      </c>
      <c r="G15" s="2">
        <f t="shared" si="0"/>
        <v>0.20365312500000002</v>
      </c>
      <c r="H15" s="2">
        <f t="shared" si="1"/>
        <v>0.25456640624999999</v>
      </c>
      <c r="I15" s="26">
        <v>6.0600000000000005</v>
      </c>
      <c r="J15" s="50">
        <v>6.19</v>
      </c>
      <c r="K15" s="20">
        <f t="shared" si="4"/>
        <v>2.1452145214521434E-2</v>
      </c>
      <c r="L15" s="4">
        <f t="shared" si="2"/>
        <v>0.78960823909531508</v>
      </c>
      <c r="M15" s="61">
        <v>1</v>
      </c>
      <c r="N15" s="64">
        <v>1</v>
      </c>
      <c r="O15" s="50"/>
      <c r="P15" s="50"/>
      <c r="Q15" s="50"/>
    </row>
    <row r="16" spans="1:17">
      <c r="A16" s="13">
        <f t="shared" si="5"/>
        <v>46125</v>
      </c>
      <c r="B16" s="1">
        <v>19103.733333333334</v>
      </c>
      <c r="C16" s="1">
        <v>18278.266666666666</v>
      </c>
      <c r="D16" s="32">
        <v>21142.6</v>
      </c>
      <c r="E16" s="50">
        <v>21100</v>
      </c>
      <c r="F16" s="20">
        <f t="shared" si="3"/>
        <v>0.15437641789520526</v>
      </c>
      <c r="G16" s="2">
        <f t="shared" si="0"/>
        <v>0.22023541666666666</v>
      </c>
      <c r="H16" s="2">
        <f t="shared" si="1"/>
        <v>0.2752942708333333</v>
      </c>
      <c r="I16" s="26">
        <v>6.0600000000000005</v>
      </c>
      <c r="J16" s="50">
        <v>7</v>
      </c>
      <c r="K16" s="20">
        <f t="shared" si="4"/>
        <v>0.15511551155115502</v>
      </c>
      <c r="L16" s="4">
        <f t="shared" si="2"/>
        <v>0.75509285714285712</v>
      </c>
      <c r="M16" s="61">
        <v>1</v>
      </c>
      <c r="N16" s="64">
        <v>1</v>
      </c>
      <c r="O16" s="50"/>
      <c r="P16" s="50"/>
      <c r="Q16" s="50"/>
    </row>
    <row r="17" spans="1:17">
      <c r="A17" s="13">
        <f t="shared" si="5"/>
        <v>46126</v>
      </c>
      <c r="B17" s="1">
        <v>19103.733333333334</v>
      </c>
      <c r="C17" s="1">
        <v>18278.266666666666</v>
      </c>
      <c r="D17" s="32">
        <v>15808.2</v>
      </c>
      <c r="E17" s="50">
        <v>15720</v>
      </c>
      <c r="F17" s="20">
        <f t="shared" si="3"/>
        <v>-0.13996221377665277</v>
      </c>
      <c r="G17" s="2">
        <f t="shared" si="0"/>
        <v>0.16466875</v>
      </c>
      <c r="H17" s="2">
        <f t="shared" si="1"/>
        <v>0.20583593750000001</v>
      </c>
      <c r="I17" s="26">
        <v>6.0600000000000005</v>
      </c>
      <c r="J17" s="50">
        <v>6.91</v>
      </c>
      <c r="K17" s="20">
        <f t="shared" si="4"/>
        <v>0.14026402640264019</v>
      </c>
      <c r="L17" s="4">
        <f t="shared" si="2"/>
        <v>0.57193198263386402</v>
      </c>
      <c r="M17" s="61">
        <v>1</v>
      </c>
      <c r="N17" s="64">
        <v>0.81540000000000001</v>
      </c>
      <c r="O17" s="50">
        <v>2702.66</v>
      </c>
      <c r="P17" s="50"/>
      <c r="Q17" s="50" t="s">
        <v>398</v>
      </c>
    </row>
    <row r="18" spans="1:17">
      <c r="A18" s="13">
        <f t="shared" si="5"/>
        <v>46127</v>
      </c>
      <c r="B18" s="1">
        <v>19103.733333333334</v>
      </c>
      <c r="C18" s="1">
        <v>18278.266666666666</v>
      </c>
      <c r="D18" s="32">
        <v>18201.599999999999</v>
      </c>
      <c r="E18" s="50">
        <v>18140</v>
      </c>
      <c r="F18" s="20">
        <f t="shared" si="3"/>
        <v>-7.5645393071552972E-3</v>
      </c>
      <c r="G18" s="2">
        <f t="shared" si="0"/>
        <v>0.18959999999999999</v>
      </c>
      <c r="H18" s="2">
        <f t="shared" si="1"/>
        <v>0.23699999999999999</v>
      </c>
      <c r="I18" s="26">
        <v>6.0600000000000005</v>
      </c>
      <c r="J18" s="50">
        <v>6.78</v>
      </c>
      <c r="K18" s="20">
        <f t="shared" si="4"/>
        <v>0.11881188118811876</v>
      </c>
      <c r="L18" s="4">
        <f t="shared" si="2"/>
        <v>0.67115044247787603</v>
      </c>
      <c r="M18" s="61">
        <v>1</v>
      </c>
      <c r="N18" s="64">
        <v>0.93079999999999996</v>
      </c>
      <c r="O18" s="50">
        <v>1040.24</v>
      </c>
      <c r="P18" s="50"/>
      <c r="Q18" s="50" t="s">
        <v>399</v>
      </c>
    </row>
    <row r="19" spans="1:17">
      <c r="A19" s="13">
        <f t="shared" si="5"/>
        <v>46128</v>
      </c>
      <c r="B19" s="1">
        <v>19103.733333333334</v>
      </c>
      <c r="C19" s="1">
        <v>18278.266666666666</v>
      </c>
      <c r="D19" s="32">
        <v>14270.6</v>
      </c>
      <c r="E19" s="50">
        <v>14260</v>
      </c>
      <c r="F19" s="20">
        <f t="shared" si="3"/>
        <v>-0.21983849672106034</v>
      </c>
      <c r="G19" s="2">
        <f t="shared" si="0"/>
        <v>0.14865208333333332</v>
      </c>
      <c r="H19" s="2">
        <f t="shared" si="1"/>
        <v>0.18581510416666666</v>
      </c>
      <c r="I19" s="26">
        <v>6.0600000000000005</v>
      </c>
      <c r="J19" s="50">
        <v>5.97</v>
      </c>
      <c r="K19" s="20">
        <f t="shared" si="4"/>
        <v>-1.4851485148514974E-2</v>
      </c>
      <c r="L19" s="4">
        <f t="shared" si="2"/>
        <v>0.59759631490787268</v>
      </c>
      <c r="M19" s="61">
        <v>1</v>
      </c>
      <c r="N19" s="64">
        <v>0.86770000000000003</v>
      </c>
      <c r="O19" s="50">
        <v>1774</v>
      </c>
      <c r="P19" s="50"/>
      <c r="Q19" s="50" t="s">
        <v>400</v>
      </c>
    </row>
    <row r="20" spans="1:17">
      <c r="A20" s="13">
        <f t="shared" si="5"/>
        <v>46129</v>
      </c>
      <c r="B20" s="1">
        <v>19103.733333333334</v>
      </c>
      <c r="C20" s="1">
        <v>18278.266666666666</v>
      </c>
      <c r="D20" s="32">
        <v>18323.400000000001</v>
      </c>
      <c r="E20" s="50">
        <v>18260</v>
      </c>
      <c r="F20" s="20">
        <f t="shared" si="3"/>
        <v>-9.9936536651905848E-4</v>
      </c>
      <c r="G20" s="2">
        <f t="shared" si="0"/>
        <v>0.19086875</v>
      </c>
      <c r="H20" s="2">
        <f t="shared" si="1"/>
        <v>0.23858593750000001</v>
      </c>
      <c r="I20" s="26">
        <v>6.0600000000000005</v>
      </c>
      <c r="J20" s="50">
        <v>5.97</v>
      </c>
      <c r="K20" s="20">
        <f t="shared" si="4"/>
        <v>-1.4851485148514974E-2</v>
      </c>
      <c r="L20" s="4">
        <f t="shared" si="2"/>
        <v>0.76731155778894478</v>
      </c>
      <c r="M20" s="61">
        <v>1</v>
      </c>
      <c r="N20" s="64">
        <v>1</v>
      </c>
      <c r="O20" s="50"/>
      <c r="P20" s="50"/>
      <c r="Q20" s="50"/>
    </row>
    <row r="21" spans="1:17">
      <c r="A21" s="13">
        <f t="shared" si="5"/>
        <v>46130</v>
      </c>
      <c r="B21" s="1">
        <v>19103.733333333334</v>
      </c>
      <c r="C21" s="1">
        <v>18278.266666666666</v>
      </c>
      <c r="D21" s="32">
        <v>12869.3</v>
      </c>
      <c r="E21" s="50">
        <v>12440</v>
      </c>
      <c r="F21" s="20">
        <f t="shared" si="3"/>
        <v>-0.31941030148737665</v>
      </c>
      <c r="G21" s="2">
        <f t="shared" si="0"/>
        <v>0.13405520833333331</v>
      </c>
      <c r="H21" s="2">
        <f t="shared" si="1"/>
        <v>0.16756901041666666</v>
      </c>
      <c r="I21" s="26">
        <v>6.0600000000000005</v>
      </c>
      <c r="J21" s="50">
        <v>6.25</v>
      </c>
      <c r="K21" s="20">
        <f t="shared" si="4"/>
        <v>3.1353135313531268E-2</v>
      </c>
      <c r="L21" s="4">
        <f t="shared" si="2"/>
        <v>0.51477200000000001</v>
      </c>
      <c r="M21" s="61">
        <v>1</v>
      </c>
      <c r="N21" s="64">
        <v>0.75380000000000003</v>
      </c>
      <c r="O21" s="50">
        <v>2708</v>
      </c>
      <c r="P21" s="50"/>
      <c r="Q21" s="50" t="s">
        <v>401</v>
      </c>
    </row>
    <row r="22" spans="1:17">
      <c r="A22" s="13">
        <f t="shared" si="5"/>
        <v>46131</v>
      </c>
      <c r="B22" s="1">
        <v>19103.733333333334</v>
      </c>
      <c r="C22" s="1">
        <v>18278.266666666666</v>
      </c>
      <c r="D22" s="32">
        <v>15886.1</v>
      </c>
      <c r="E22" s="50">
        <v>15780</v>
      </c>
      <c r="F22" s="20">
        <f t="shared" si="3"/>
        <v>-0.13667962680633466</v>
      </c>
      <c r="G22" s="2">
        <f t="shared" si="0"/>
        <v>0.16548020833333335</v>
      </c>
      <c r="H22" s="2">
        <f t="shared" ref="H22:H27" si="6">E22/($D$2*24)</f>
        <v>0.16437499999999999</v>
      </c>
      <c r="I22" s="26">
        <v>6.0600000000000005</v>
      </c>
      <c r="J22" s="50">
        <v>5.25</v>
      </c>
      <c r="K22" s="20">
        <f t="shared" si="4"/>
        <v>-0.13366336633663373</v>
      </c>
      <c r="L22" s="4">
        <f t="shared" si="2"/>
        <v>0.75648095238095237</v>
      </c>
      <c r="M22" s="61">
        <v>1</v>
      </c>
      <c r="N22" s="66">
        <v>1</v>
      </c>
      <c r="O22" s="50"/>
      <c r="P22" s="50"/>
      <c r="Q22" s="50"/>
    </row>
    <row r="23" spans="1:17">
      <c r="A23" s="13">
        <f t="shared" si="5"/>
        <v>46132</v>
      </c>
      <c r="B23" s="1">
        <v>19103.733333333334</v>
      </c>
      <c r="C23" s="1">
        <v>18278.266666666666</v>
      </c>
      <c r="D23" s="32">
        <v>15675.1</v>
      </c>
      <c r="E23" s="50">
        <v>15660</v>
      </c>
      <c r="F23" s="20">
        <f t="shared" si="3"/>
        <v>-0.14324480074697088</v>
      </c>
      <c r="G23" s="2">
        <f t="shared" si="0"/>
        <v>0.16328229166666666</v>
      </c>
      <c r="H23" s="2">
        <f t="shared" si="6"/>
        <v>0.16312499999999999</v>
      </c>
      <c r="I23" s="26">
        <v>6.0600000000000005</v>
      </c>
      <c r="J23" s="50">
        <v>5.59</v>
      </c>
      <c r="K23" s="20">
        <f t="shared" si="4"/>
        <v>-7.7557755775577664E-2</v>
      </c>
      <c r="L23" s="4">
        <f t="shared" si="2"/>
        <v>0.70103309481216458</v>
      </c>
      <c r="M23" s="61">
        <v>1</v>
      </c>
      <c r="N23" s="64">
        <v>0.99970000000000003</v>
      </c>
      <c r="O23" s="50">
        <v>255</v>
      </c>
      <c r="P23" s="50"/>
      <c r="Q23" s="50" t="s">
        <v>402</v>
      </c>
    </row>
    <row r="24" spans="1:17">
      <c r="A24" s="13">
        <f t="shared" si="5"/>
        <v>46133</v>
      </c>
      <c r="B24" s="1">
        <v>19103.733333333334</v>
      </c>
      <c r="C24" s="1">
        <v>18278.266666666666</v>
      </c>
      <c r="D24" s="32">
        <v>21129.200000000001</v>
      </c>
      <c r="E24" s="50">
        <v>20920</v>
      </c>
      <c r="F24" s="20">
        <f>(IF(ISBLANK(E24),0,E24-C24))/C24</f>
        <v>0.14452865698425088</v>
      </c>
      <c r="G24" s="2">
        <f t="shared" si="0"/>
        <v>0.22009583333333335</v>
      </c>
      <c r="H24" s="2">
        <f t="shared" si="6"/>
        <v>0.21791666666666668</v>
      </c>
      <c r="I24" s="26">
        <v>6.0600000000000005</v>
      </c>
      <c r="J24" s="50">
        <v>6.75</v>
      </c>
      <c r="K24" s="20">
        <f>(IF(ISBLANK(J24),0,J24-I24))/I24</f>
        <v>0.11386138613861377</v>
      </c>
      <c r="L24" s="4">
        <f t="shared" si="2"/>
        <v>0.78256296296296302</v>
      </c>
      <c r="M24" s="61">
        <v>1</v>
      </c>
      <c r="N24" s="64">
        <v>1</v>
      </c>
      <c r="O24" s="50"/>
      <c r="P24" s="50"/>
      <c r="Q24" s="50"/>
    </row>
    <row r="25" spans="1:17">
      <c r="A25" s="13">
        <f t="shared" si="5"/>
        <v>46134</v>
      </c>
      <c r="B25" s="1">
        <v>19103.733333333334</v>
      </c>
      <c r="C25" s="1">
        <v>18278.266666666666</v>
      </c>
      <c r="D25" s="32">
        <v>17541.400000000001</v>
      </c>
      <c r="E25" s="50">
        <v>17500</v>
      </c>
      <c r="F25" s="20">
        <f t="shared" si="3"/>
        <v>-4.25788003238819E-2</v>
      </c>
      <c r="G25" s="2">
        <f t="shared" si="0"/>
        <v>0.18272291666666668</v>
      </c>
      <c r="H25" s="2">
        <f t="shared" si="6"/>
        <v>0.18229166666666666</v>
      </c>
      <c r="I25" s="26">
        <v>6.0600000000000005</v>
      </c>
      <c r="J25" s="50">
        <v>6.47</v>
      </c>
      <c r="K25" s="20">
        <f t="shared" si="4"/>
        <v>6.7656765676567532E-2</v>
      </c>
      <c r="L25" s="4">
        <f t="shared" si="2"/>
        <v>0.67779752704791352</v>
      </c>
      <c r="M25" s="61">
        <v>1</v>
      </c>
      <c r="N25" s="64">
        <v>0.95079999999999998</v>
      </c>
      <c r="O25" s="50">
        <v>453</v>
      </c>
      <c r="P25" s="50"/>
      <c r="Q25" s="50" t="s">
        <v>403</v>
      </c>
    </row>
    <row r="26" spans="1:17">
      <c r="A26" s="13">
        <f t="shared" si="5"/>
        <v>46135</v>
      </c>
      <c r="B26" s="1">
        <v>19103.733333333334</v>
      </c>
      <c r="C26" s="1">
        <v>18278.266666666666</v>
      </c>
      <c r="D26" s="32">
        <v>15709.3</v>
      </c>
      <c r="E26" s="50">
        <v>15660</v>
      </c>
      <c r="F26" s="20">
        <f t="shared" si="3"/>
        <v>-0.14324480074697088</v>
      </c>
      <c r="G26" s="2">
        <f t="shared" si="0"/>
        <v>0.16363854166666666</v>
      </c>
      <c r="H26" s="2">
        <f t="shared" si="6"/>
        <v>0.16312499999999999</v>
      </c>
      <c r="I26" s="26">
        <v>6.0600000000000005</v>
      </c>
      <c r="J26" s="50">
        <v>6.31</v>
      </c>
      <c r="K26" s="20">
        <f t="shared" si="4"/>
        <v>4.1254125412541101E-2</v>
      </c>
      <c r="L26" s="4">
        <f t="shared" si="2"/>
        <v>0.62239698890649764</v>
      </c>
      <c r="M26" s="61">
        <v>1</v>
      </c>
      <c r="N26" s="64">
        <v>0.91539999999999999</v>
      </c>
      <c r="O26" s="50">
        <v>915.23</v>
      </c>
      <c r="P26" s="50"/>
      <c r="Q26" s="50" t="s">
        <v>404</v>
      </c>
    </row>
    <row r="27" spans="1:17">
      <c r="A27" s="13">
        <f t="shared" si="5"/>
        <v>46136</v>
      </c>
      <c r="B27" s="1">
        <v>19103.733333333334</v>
      </c>
      <c r="C27" s="1">
        <v>18278.266666666666</v>
      </c>
      <c r="D27" s="32">
        <v>8950.7999999999993</v>
      </c>
      <c r="E27" s="50">
        <v>8920</v>
      </c>
      <c r="F27" s="20">
        <f t="shared" si="3"/>
        <v>-0.51198873707937298</v>
      </c>
      <c r="G27" s="2">
        <f t="shared" si="0"/>
        <v>9.3237499999999987E-2</v>
      </c>
      <c r="H27" s="2">
        <f t="shared" si="6"/>
        <v>9.2916666666666661E-2</v>
      </c>
      <c r="I27" s="26">
        <v>6.0600000000000005</v>
      </c>
      <c r="J27" s="50">
        <v>5.63</v>
      </c>
      <c r="K27" s="20">
        <f t="shared" si="4"/>
        <v>-7.0957095709571052E-2</v>
      </c>
      <c r="L27" s="4">
        <f t="shared" si="2"/>
        <v>0.39746003552397863</v>
      </c>
      <c r="M27" s="61">
        <v>1</v>
      </c>
      <c r="N27" s="64">
        <v>0.58460000000000001</v>
      </c>
      <c r="O27" s="50">
        <v>8515</v>
      </c>
      <c r="P27" s="50"/>
      <c r="Q27" s="50" t="s">
        <v>405</v>
      </c>
    </row>
    <row r="28" spans="1:17">
      <c r="A28" s="13">
        <f t="shared" si="5"/>
        <v>46137</v>
      </c>
      <c r="B28" s="1">
        <v>19103.733333333334</v>
      </c>
      <c r="C28" s="1">
        <v>18278.266666666666</v>
      </c>
      <c r="D28" s="6">
        <v>13987</v>
      </c>
      <c r="E28" s="6">
        <v>13980</v>
      </c>
      <c r="F28" s="20">
        <f t="shared" si="3"/>
        <v>-0.23515723591587823</v>
      </c>
      <c r="G28" s="2">
        <f t="shared" ref="G28:G33" si="7">D28/($D$2*24)</f>
        <v>0.14569791666666668</v>
      </c>
      <c r="H28" s="2">
        <f t="shared" ref="H28:H33" si="8">E28/($D$2*24)</f>
        <v>0.145625</v>
      </c>
      <c r="I28" s="26">
        <v>6.0600000000000005</v>
      </c>
      <c r="J28" s="6">
        <v>6</v>
      </c>
      <c r="K28" s="20">
        <f t="shared" si="4"/>
        <v>-9.9009900990099826E-3</v>
      </c>
      <c r="L28" s="4">
        <f t="shared" si="2"/>
        <v>0.58279166666666671</v>
      </c>
      <c r="M28" s="61">
        <v>1</v>
      </c>
      <c r="N28" s="64">
        <v>0.84619999999999995</v>
      </c>
      <c r="O28" s="6">
        <v>1347</v>
      </c>
      <c r="P28" s="6"/>
      <c r="Q28" s="6" t="s">
        <v>406</v>
      </c>
    </row>
    <row r="29" spans="1:17">
      <c r="A29" s="13">
        <f t="shared" si="5"/>
        <v>46138</v>
      </c>
      <c r="B29" s="1">
        <v>19103.733333333334</v>
      </c>
      <c r="C29" s="1">
        <v>18278.266666666666</v>
      </c>
      <c r="D29" s="6">
        <v>14093.5</v>
      </c>
      <c r="E29" s="6">
        <v>14040</v>
      </c>
      <c r="F29" s="20">
        <f t="shared" si="3"/>
        <v>-0.23187464894556012</v>
      </c>
      <c r="G29" s="2">
        <f t="shared" si="7"/>
        <v>0.14680729166666667</v>
      </c>
      <c r="H29" s="2">
        <f t="shared" si="8"/>
        <v>0.14624999999999999</v>
      </c>
      <c r="I29" s="26">
        <v>6.0600000000000005</v>
      </c>
      <c r="J29" s="6">
        <v>6.34</v>
      </c>
      <c r="K29" s="20">
        <f t="shared" si="4"/>
        <v>4.6204620462046098E-2</v>
      </c>
      <c r="L29" s="4">
        <f t="shared" si="2"/>
        <v>0.55573738170346998</v>
      </c>
      <c r="M29" s="61">
        <v>1</v>
      </c>
      <c r="N29" s="64">
        <v>0.85229999999999995</v>
      </c>
      <c r="O29" s="6">
        <v>2012</v>
      </c>
      <c r="P29" s="6"/>
      <c r="Q29" s="6" t="s">
        <v>407</v>
      </c>
    </row>
    <row r="30" spans="1:17">
      <c r="A30" s="13">
        <f t="shared" si="5"/>
        <v>46139</v>
      </c>
      <c r="B30" s="1">
        <v>19103.733333333334</v>
      </c>
      <c r="C30" s="1">
        <v>18278.266666666666</v>
      </c>
      <c r="D30" s="6">
        <v>14917</v>
      </c>
      <c r="E30" s="6">
        <v>14880</v>
      </c>
      <c r="F30" s="20">
        <f t="shared" si="3"/>
        <v>-0.18591843136110645</v>
      </c>
      <c r="G30" s="2">
        <f t="shared" si="7"/>
        <v>0.15538541666666666</v>
      </c>
      <c r="H30" s="2">
        <f t="shared" si="8"/>
        <v>0.155</v>
      </c>
      <c r="I30" s="26">
        <v>6.0600000000000005</v>
      </c>
      <c r="J30" s="6">
        <v>6.03</v>
      </c>
      <c r="K30" s="20">
        <f t="shared" si="4"/>
        <v>-4.9504950495049913E-3</v>
      </c>
      <c r="L30" s="4">
        <f t="shared" si="2"/>
        <v>0.6184494195688226</v>
      </c>
      <c r="M30" s="61">
        <v>1</v>
      </c>
      <c r="N30" s="64">
        <v>0.89949999999999997</v>
      </c>
      <c r="O30" s="6">
        <v>910</v>
      </c>
      <c r="P30" s="6"/>
      <c r="Q30" s="6" t="s">
        <v>408</v>
      </c>
    </row>
    <row r="31" spans="1:17">
      <c r="A31" s="13">
        <f t="shared" si="5"/>
        <v>46140</v>
      </c>
      <c r="B31" s="1">
        <v>19103.733333333334</v>
      </c>
      <c r="C31" s="1">
        <v>18278.266666666666</v>
      </c>
      <c r="D31" s="6">
        <v>14248</v>
      </c>
      <c r="E31" s="6">
        <v>14240</v>
      </c>
      <c r="F31" s="20">
        <f t="shared" si="3"/>
        <v>-0.22093269237783306</v>
      </c>
      <c r="G31" s="2">
        <f t="shared" si="7"/>
        <v>0.14841666666666667</v>
      </c>
      <c r="H31" s="2">
        <f t="shared" si="8"/>
        <v>0.14833333333333334</v>
      </c>
      <c r="I31" s="26">
        <v>6.0600000000000005</v>
      </c>
      <c r="J31" s="6">
        <v>4.4400000000000004</v>
      </c>
      <c r="K31" s="20">
        <f t="shared" si="4"/>
        <v>-0.26732673267326734</v>
      </c>
      <c r="L31" s="4">
        <f t="shared" si="2"/>
        <v>0.80225225225225227</v>
      </c>
      <c r="M31" s="61">
        <v>1</v>
      </c>
      <c r="N31" s="64">
        <v>1</v>
      </c>
      <c r="O31" s="6"/>
      <c r="P31" s="6"/>
      <c r="Q31" s="6"/>
    </row>
    <row r="32" spans="1:17">
      <c r="A32" s="13">
        <f t="shared" si="5"/>
        <v>46141</v>
      </c>
      <c r="B32" s="1">
        <v>19103.733333333334</v>
      </c>
      <c r="C32" s="1">
        <v>18278.266666666666</v>
      </c>
      <c r="D32" s="6">
        <v>15866</v>
      </c>
      <c r="E32" s="6">
        <v>15840</v>
      </c>
      <c r="F32" s="20">
        <f t="shared" si="3"/>
        <v>-0.13339703983601653</v>
      </c>
      <c r="G32" s="2">
        <f t="shared" si="7"/>
        <v>0.16527083333333334</v>
      </c>
      <c r="H32" s="2">
        <f t="shared" si="8"/>
        <v>0.16500000000000001</v>
      </c>
      <c r="I32" s="26">
        <v>6.0600000000000005</v>
      </c>
      <c r="J32" s="6">
        <v>5.19</v>
      </c>
      <c r="K32" s="20">
        <f t="shared" si="4"/>
        <v>-0.14356435643564358</v>
      </c>
      <c r="L32" s="4">
        <f t="shared" si="2"/>
        <v>0.76425818882466279</v>
      </c>
      <c r="M32" s="61">
        <v>1</v>
      </c>
      <c r="N32" s="64">
        <v>1</v>
      </c>
      <c r="O32" s="6"/>
      <c r="P32" s="6"/>
      <c r="Q32" s="6"/>
    </row>
    <row r="33" spans="1:17">
      <c r="A33" s="13">
        <f t="shared" si="5"/>
        <v>46142</v>
      </c>
      <c r="B33" s="1">
        <v>19103.733333333334</v>
      </c>
      <c r="C33" s="1">
        <v>18278.266666666666</v>
      </c>
      <c r="D33" s="6">
        <v>17175</v>
      </c>
      <c r="E33" s="6">
        <v>17100</v>
      </c>
      <c r="F33" s="20">
        <f t="shared" si="3"/>
        <v>-6.4462713459336032E-2</v>
      </c>
      <c r="G33" s="2">
        <f t="shared" si="7"/>
        <v>0.17890624999999999</v>
      </c>
      <c r="H33" s="2">
        <f t="shared" si="8"/>
        <v>0.17812500000000001</v>
      </c>
      <c r="I33" s="26">
        <v>6.0600000000000005</v>
      </c>
      <c r="J33" s="6">
        <v>5.5</v>
      </c>
      <c r="K33" s="20">
        <f t="shared" si="4"/>
        <v>-9.2409240924092487E-2</v>
      </c>
      <c r="L33" s="4">
        <f t="shared" si="2"/>
        <v>0.78068181818181814</v>
      </c>
      <c r="M33" s="6">
        <v>1</v>
      </c>
      <c r="N33" s="6">
        <v>1</v>
      </c>
      <c r="O33" s="6"/>
      <c r="P33" s="6"/>
      <c r="Q33" s="6"/>
    </row>
    <row r="34" spans="1:17">
      <c r="A34" s="349">
        <v>46113</v>
      </c>
      <c r="B34" s="89">
        <f>SUM(B4:B33)</f>
        <v>573111.99999999988</v>
      </c>
      <c r="C34" s="89">
        <f>SUM(C4:C33)</f>
        <v>548348</v>
      </c>
      <c r="D34" s="89">
        <f>SUM(D4:D33)</f>
        <v>514946.29999999993</v>
      </c>
      <c r="E34" s="89">
        <f>SUM(E4:E33)</f>
        <v>512980</v>
      </c>
      <c r="F34" s="92">
        <f>(IF(ISBLANK(E34),0,E34-C34))/C34</f>
        <v>-6.4499186647895126E-2</v>
      </c>
      <c r="G34" s="90">
        <f>AVERAGE(G4:G33)</f>
        <v>0.17880079861111112</v>
      </c>
      <c r="H34" s="90">
        <f>AVERAGE(H4:H33)</f>
        <v>0.20719787326388889</v>
      </c>
      <c r="I34" s="89">
        <f>SUM(I4:I33)</f>
        <v>181.80000000000004</v>
      </c>
      <c r="J34" s="89">
        <f>SUM(J4:J33)</f>
        <v>180.94</v>
      </c>
      <c r="K34" s="92">
        <f t="shared" si="4"/>
        <v>-4.730473047304961E-3</v>
      </c>
      <c r="L34" s="93">
        <f t="shared" si="2"/>
        <v>0.7114876478390626</v>
      </c>
      <c r="M34" s="90">
        <f>AVERAGE(M4:M33)</f>
        <v>1</v>
      </c>
      <c r="N34" s="90">
        <f>AVERAGE(N4:N33)</f>
        <v>0.94582333333333346</v>
      </c>
      <c r="O34" s="89">
        <f>SUM(O4:O33)</f>
        <v>22937.629999999997</v>
      </c>
      <c r="P34" s="89">
        <f>SUM(P4:P33)</f>
        <v>0</v>
      </c>
      <c r="Q34" s="19"/>
    </row>
    <row r="35" spans="1:17">
      <c r="A35" s="13">
        <v>46143</v>
      </c>
      <c r="B35" s="127">
        <v>18143</v>
      </c>
      <c r="C35" s="127">
        <v>17359</v>
      </c>
      <c r="D35" s="33"/>
      <c r="E35" s="33"/>
      <c r="F35" s="20">
        <f>(IF(ISBLANK(E35),0,E35-C35))/C35</f>
        <v>0</v>
      </c>
      <c r="G35" s="2">
        <f t="shared" ref="G35:G57" si="9">D35/($D$2*24)</f>
        <v>0</v>
      </c>
      <c r="H35" s="2">
        <f t="shared" ref="H35:H61" si="10">D35/($H$2*24)</f>
        <v>0</v>
      </c>
      <c r="I35" s="28">
        <v>5.64</v>
      </c>
      <c r="J35" s="33"/>
      <c r="K35" s="20">
        <f>(IF(ISBLANK(J35),0,J35-I35))/I35</f>
        <v>0</v>
      </c>
      <c r="L35" s="4" t="e">
        <f t="shared" si="2"/>
        <v>#DIV/0!</v>
      </c>
      <c r="M35" s="103"/>
      <c r="N35" s="103"/>
      <c r="O35" s="33"/>
      <c r="P35" s="6"/>
      <c r="Q35" s="6"/>
    </row>
    <row r="36" spans="1:17">
      <c r="A36" s="13">
        <f>A35+1</f>
        <v>46144</v>
      </c>
      <c r="B36" s="127">
        <v>18143</v>
      </c>
      <c r="C36" s="127">
        <v>17359</v>
      </c>
      <c r="D36" s="34"/>
      <c r="E36" s="34"/>
      <c r="F36" s="20">
        <f t="shared" ref="F36:F54" si="11">(IF(ISBLANK(E36),0,E36-C36))/C36</f>
        <v>0</v>
      </c>
      <c r="G36" s="2">
        <f t="shared" si="9"/>
        <v>0</v>
      </c>
      <c r="H36" s="2">
        <f t="shared" si="10"/>
        <v>0</v>
      </c>
      <c r="I36" s="28">
        <v>5.64</v>
      </c>
      <c r="J36" s="34"/>
      <c r="K36" s="20">
        <f t="shared" ref="K36:K54" si="12">(IF(ISBLANK(J36),0,J36-I36))/I36</f>
        <v>0</v>
      </c>
      <c r="L36" s="4" t="e">
        <f t="shared" ref="L36:L66" si="13">D36/($D$2*J36)</f>
        <v>#DIV/0!</v>
      </c>
      <c r="M36" s="103"/>
      <c r="N36" s="103"/>
      <c r="O36" s="34"/>
      <c r="P36" s="6"/>
      <c r="Q36" s="6"/>
    </row>
    <row r="37" spans="1:17">
      <c r="A37" s="13">
        <f t="shared" ref="A37:A65" si="14">A36+1</f>
        <v>46145</v>
      </c>
      <c r="B37" s="127">
        <v>18143</v>
      </c>
      <c r="C37" s="127">
        <v>17359</v>
      </c>
      <c r="D37" s="34"/>
      <c r="E37" s="34"/>
      <c r="F37" s="20">
        <f t="shared" si="11"/>
        <v>0</v>
      </c>
      <c r="G37" s="2">
        <f t="shared" si="9"/>
        <v>0</v>
      </c>
      <c r="H37" s="2">
        <f t="shared" si="10"/>
        <v>0</v>
      </c>
      <c r="I37" s="28">
        <v>5.64</v>
      </c>
      <c r="J37" s="34"/>
      <c r="K37" s="20">
        <f t="shared" si="12"/>
        <v>0</v>
      </c>
      <c r="L37" s="4" t="e">
        <f t="shared" si="13"/>
        <v>#DIV/0!</v>
      </c>
      <c r="M37" s="103"/>
      <c r="N37" s="104"/>
      <c r="O37" s="34"/>
      <c r="P37" s="6"/>
      <c r="Q37" s="6"/>
    </row>
    <row r="38" spans="1:17">
      <c r="A38" s="13">
        <f t="shared" si="14"/>
        <v>46146</v>
      </c>
      <c r="B38" s="127"/>
      <c r="C38" s="127"/>
      <c r="D38" s="34"/>
      <c r="E38" s="34"/>
      <c r="F38" s="20" t="e">
        <f t="shared" si="11"/>
        <v>#DIV/0!</v>
      </c>
      <c r="G38" s="2">
        <f t="shared" si="9"/>
        <v>0</v>
      </c>
      <c r="H38" s="2">
        <f t="shared" si="10"/>
        <v>0</v>
      </c>
      <c r="I38" s="29"/>
      <c r="J38" s="34"/>
      <c r="K38" s="20" t="e">
        <f t="shared" si="12"/>
        <v>#DIV/0!</v>
      </c>
      <c r="L38" s="4" t="e">
        <f t="shared" si="13"/>
        <v>#DIV/0!</v>
      </c>
      <c r="M38" s="103"/>
      <c r="N38" s="103"/>
      <c r="O38" s="34"/>
      <c r="P38" s="6"/>
      <c r="Q38" s="14"/>
    </row>
    <row r="39" spans="1:17">
      <c r="A39" s="13">
        <f t="shared" si="14"/>
        <v>46147</v>
      </c>
      <c r="B39" s="127"/>
      <c r="C39" s="127"/>
      <c r="D39" s="34"/>
      <c r="E39" s="34"/>
      <c r="F39" s="20" t="e">
        <f t="shared" si="11"/>
        <v>#DIV/0!</v>
      </c>
      <c r="G39" s="2">
        <f t="shared" si="9"/>
        <v>0</v>
      </c>
      <c r="H39" s="2">
        <f t="shared" si="10"/>
        <v>0</v>
      </c>
      <c r="I39" s="29"/>
      <c r="J39" s="34"/>
      <c r="K39" s="20" t="e">
        <f t="shared" si="12"/>
        <v>#DIV/0!</v>
      </c>
      <c r="L39" s="4" t="e">
        <f t="shared" si="13"/>
        <v>#DIV/0!</v>
      </c>
      <c r="M39" s="103"/>
      <c r="N39" s="103"/>
      <c r="O39" s="34"/>
      <c r="P39" s="6"/>
      <c r="Q39" s="14"/>
    </row>
    <row r="40" spans="1:17">
      <c r="A40" s="13">
        <f t="shared" si="14"/>
        <v>46148</v>
      </c>
      <c r="B40" s="127"/>
      <c r="C40" s="127"/>
      <c r="D40" s="34"/>
      <c r="E40" s="34"/>
      <c r="F40" s="20" t="e">
        <f t="shared" si="11"/>
        <v>#DIV/0!</v>
      </c>
      <c r="G40" s="2">
        <f t="shared" si="9"/>
        <v>0</v>
      </c>
      <c r="H40" s="2">
        <f t="shared" si="10"/>
        <v>0</v>
      </c>
      <c r="I40" s="29"/>
      <c r="J40" s="34"/>
      <c r="K40" s="20" t="e">
        <f t="shared" si="12"/>
        <v>#DIV/0!</v>
      </c>
      <c r="L40" s="4" t="e">
        <f t="shared" si="13"/>
        <v>#DIV/0!</v>
      </c>
      <c r="M40" s="103"/>
      <c r="N40" s="103"/>
      <c r="O40" s="34"/>
      <c r="P40" s="6"/>
      <c r="Q40" s="14"/>
    </row>
    <row r="41" spans="1:17">
      <c r="A41" s="13">
        <f t="shared" si="14"/>
        <v>46149</v>
      </c>
      <c r="B41" s="127"/>
      <c r="C41" s="127"/>
      <c r="D41" s="34"/>
      <c r="E41" s="34"/>
      <c r="F41" s="20" t="e">
        <f t="shared" si="11"/>
        <v>#DIV/0!</v>
      </c>
      <c r="G41" s="2">
        <f t="shared" si="9"/>
        <v>0</v>
      </c>
      <c r="H41" s="2">
        <f t="shared" si="10"/>
        <v>0</v>
      </c>
      <c r="I41" s="29"/>
      <c r="J41" s="34"/>
      <c r="K41" s="20" t="e">
        <f t="shared" si="12"/>
        <v>#DIV/0!</v>
      </c>
      <c r="L41" s="4" t="e">
        <f t="shared" si="13"/>
        <v>#DIV/0!</v>
      </c>
      <c r="M41" s="103"/>
      <c r="N41" s="103"/>
      <c r="O41" s="34"/>
      <c r="P41" s="6"/>
      <c r="Q41" s="202"/>
    </row>
    <row r="42" spans="1:17">
      <c r="A42" s="13">
        <f t="shared" si="14"/>
        <v>46150</v>
      </c>
      <c r="B42" s="127"/>
      <c r="C42" s="127"/>
      <c r="D42" s="34"/>
      <c r="E42" s="34"/>
      <c r="F42" s="20" t="e">
        <f t="shared" si="11"/>
        <v>#DIV/0!</v>
      </c>
      <c r="G42" s="2">
        <f t="shared" si="9"/>
        <v>0</v>
      </c>
      <c r="H42" s="2">
        <f t="shared" si="10"/>
        <v>0</v>
      </c>
      <c r="I42" s="29"/>
      <c r="J42" s="34"/>
      <c r="K42" s="20" t="e">
        <f t="shared" si="12"/>
        <v>#DIV/0!</v>
      </c>
      <c r="L42" s="4" t="e">
        <f t="shared" si="13"/>
        <v>#DIV/0!</v>
      </c>
      <c r="M42" s="103"/>
      <c r="N42" s="103"/>
      <c r="O42" s="34"/>
      <c r="P42" s="6"/>
      <c r="Q42" s="14"/>
    </row>
    <row r="43" spans="1:17">
      <c r="A43" s="13">
        <f t="shared" si="14"/>
        <v>46151</v>
      </c>
      <c r="B43" s="127"/>
      <c r="C43" s="127"/>
      <c r="D43" s="34"/>
      <c r="E43" s="34"/>
      <c r="F43" s="20" t="e">
        <f t="shared" si="11"/>
        <v>#DIV/0!</v>
      </c>
      <c r="G43" s="2">
        <f t="shared" si="9"/>
        <v>0</v>
      </c>
      <c r="H43" s="2">
        <f t="shared" si="10"/>
        <v>0</v>
      </c>
      <c r="I43" s="29"/>
      <c r="J43" s="34"/>
      <c r="K43" s="20" t="e">
        <f t="shared" si="12"/>
        <v>#DIV/0!</v>
      </c>
      <c r="L43" s="4" t="e">
        <f t="shared" si="13"/>
        <v>#DIV/0!</v>
      </c>
      <c r="M43" s="103"/>
      <c r="N43" s="103"/>
      <c r="O43" s="34"/>
      <c r="P43" s="6"/>
      <c r="Q43" s="6"/>
    </row>
    <row r="44" spans="1:17">
      <c r="A44" s="13">
        <f t="shared" si="14"/>
        <v>46152</v>
      </c>
      <c r="B44" s="127"/>
      <c r="C44" s="127"/>
      <c r="D44" s="34"/>
      <c r="E44" s="34"/>
      <c r="F44" s="20" t="e">
        <f t="shared" si="11"/>
        <v>#DIV/0!</v>
      </c>
      <c r="G44" s="2">
        <f t="shared" si="9"/>
        <v>0</v>
      </c>
      <c r="H44" s="2">
        <f t="shared" si="10"/>
        <v>0</v>
      </c>
      <c r="I44" s="29"/>
      <c r="J44" s="34"/>
      <c r="K44" s="20" t="e">
        <f t="shared" si="12"/>
        <v>#DIV/0!</v>
      </c>
      <c r="L44" s="4" t="e">
        <f t="shared" si="13"/>
        <v>#DIV/0!</v>
      </c>
      <c r="M44" s="103"/>
      <c r="N44" s="103"/>
      <c r="O44" s="34"/>
      <c r="P44" s="6"/>
      <c r="Q44" s="16"/>
    </row>
    <row r="45" spans="1:17">
      <c r="A45" s="13">
        <f t="shared" si="14"/>
        <v>46153</v>
      </c>
      <c r="B45" s="127"/>
      <c r="C45" s="127"/>
      <c r="D45" s="34"/>
      <c r="E45" s="34"/>
      <c r="F45" s="20" t="e">
        <f t="shared" si="11"/>
        <v>#DIV/0!</v>
      </c>
      <c r="G45" s="2">
        <f t="shared" si="9"/>
        <v>0</v>
      </c>
      <c r="H45" s="2">
        <f t="shared" si="10"/>
        <v>0</v>
      </c>
      <c r="I45" s="29"/>
      <c r="J45" s="34"/>
      <c r="K45" s="20" t="e">
        <f t="shared" si="12"/>
        <v>#DIV/0!</v>
      </c>
      <c r="L45" s="4" t="e">
        <f t="shared" si="13"/>
        <v>#DIV/0!</v>
      </c>
      <c r="M45" s="103"/>
      <c r="N45" s="103"/>
      <c r="O45" s="34"/>
      <c r="P45" s="6"/>
      <c r="Q45" s="6"/>
    </row>
    <row r="46" spans="1:17">
      <c r="A46" s="13">
        <f t="shared" si="14"/>
        <v>46154</v>
      </c>
      <c r="B46" s="127"/>
      <c r="C46" s="127"/>
      <c r="D46" s="34"/>
      <c r="E46" s="34"/>
      <c r="F46" s="20" t="e">
        <f t="shared" si="11"/>
        <v>#DIV/0!</v>
      </c>
      <c r="G46" s="2">
        <f t="shared" si="9"/>
        <v>0</v>
      </c>
      <c r="H46" s="2">
        <f t="shared" si="10"/>
        <v>0</v>
      </c>
      <c r="I46" s="29"/>
      <c r="J46" s="34"/>
      <c r="K46" s="20" t="e">
        <f t="shared" si="12"/>
        <v>#DIV/0!</v>
      </c>
      <c r="L46" s="4" t="e">
        <f t="shared" si="13"/>
        <v>#DIV/0!</v>
      </c>
      <c r="M46" s="104"/>
      <c r="N46" s="103"/>
      <c r="O46" s="34"/>
      <c r="P46" s="6"/>
      <c r="Q46" s="6"/>
    </row>
    <row r="47" spans="1:17">
      <c r="A47" s="13">
        <f t="shared" si="14"/>
        <v>46155</v>
      </c>
      <c r="B47" s="127"/>
      <c r="C47" s="127"/>
      <c r="D47" s="34"/>
      <c r="E47" s="34"/>
      <c r="F47" s="20" t="e">
        <f t="shared" si="11"/>
        <v>#DIV/0!</v>
      </c>
      <c r="G47" s="2">
        <f t="shared" si="9"/>
        <v>0</v>
      </c>
      <c r="H47" s="2">
        <f t="shared" si="10"/>
        <v>0</v>
      </c>
      <c r="I47" s="29"/>
      <c r="J47" s="34"/>
      <c r="K47" s="20" t="e">
        <f t="shared" si="12"/>
        <v>#DIV/0!</v>
      </c>
      <c r="L47" s="4" t="e">
        <f t="shared" si="13"/>
        <v>#DIV/0!</v>
      </c>
      <c r="M47" s="104"/>
      <c r="N47" s="103"/>
      <c r="O47" s="34"/>
      <c r="P47" s="6"/>
      <c r="Q47" s="31"/>
    </row>
    <row r="48" spans="1:17">
      <c r="A48" s="13">
        <f t="shared" si="14"/>
        <v>46156</v>
      </c>
      <c r="B48" s="127"/>
      <c r="C48" s="127"/>
      <c r="D48" s="34"/>
      <c r="E48" s="34"/>
      <c r="F48" s="20" t="e">
        <f t="shared" si="11"/>
        <v>#DIV/0!</v>
      </c>
      <c r="G48" s="2">
        <f t="shared" si="9"/>
        <v>0</v>
      </c>
      <c r="H48" s="2">
        <f t="shared" si="10"/>
        <v>0</v>
      </c>
      <c r="I48" s="29"/>
      <c r="J48" s="34"/>
      <c r="K48" s="20" t="e">
        <f t="shared" si="12"/>
        <v>#DIV/0!</v>
      </c>
      <c r="L48" s="4" t="e">
        <f t="shared" si="13"/>
        <v>#DIV/0!</v>
      </c>
      <c r="M48" s="104"/>
      <c r="N48" s="103"/>
      <c r="O48" s="34"/>
      <c r="P48" s="6"/>
      <c r="Q48" s="32"/>
    </row>
    <row r="49" spans="1:17">
      <c r="A49" s="13">
        <f t="shared" si="14"/>
        <v>46157</v>
      </c>
      <c r="B49" s="127"/>
      <c r="C49" s="127"/>
      <c r="D49" s="34"/>
      <c r="E49" s="34"/>
      <c r="F49" s="20" t="e">
        <f t="shared" si="11"/>
        <v>#DIV/0!</v>
      </c>
      <c r="G49" s="2">
        <f t="shared" si="9"/>
        <v>0</v>
      </c>
      <c r="H49" s="2">
        <f t="shared" si="10"/>
        <v>0</v>
      </c>
      <c r="I49" s="29"/>
      <c r="J49" s="34"/>
      <c r="K49" s="20" t="e">
        <f t="shared" si="12"/>
        <v>#DIV/0!</v>
      </c>
      <c r="L49" s="4" t="e">
        <f t="shared" si="13"/>
        <v>#DIV/0!</v>
      </c>
      <c r="M49" s="104"/>
      <c r="N49" s="103"/>
      <c r="O49" s="34"/>
      <c r="P49" s="6"/>
      <c r="Q49" s="32"/>
    </row>
    <row r="50" spans="1:17">
      <c r="A50" s="13">
        <f t="shared" si="14"/>
        <v>46158</v>
      </c>
      <c r="B50" s="127"/>
      <c r="C50" s="127"/>
      <c r="D50" s="34"/>
      <c r="E50" s="34"/>
      <c r="F50" s="20" t="e">
        <f t="shared" si="11"/>
        <v>#DIV/0!</v>
      </c>
      <c r="G50" s="2">
        <f t="shared" si="9"/>
        <v>0</v>
      </c>
      <c r="H50" s="2">
        <f t="shared" si="10"/>
        <v>0</v>
      </c>
      <c r="I50" s="29"/>
      <c r="J50" s="34"/>
      <c r="K50" s="20" t="e">
        <f t="shared" si="12"/>
        <v>#DIV/0!</v>
      </c>
      <c r="L50" s="4" t="e">
        <f t="shared" si="13"/>
        <v>#DIV/0!</v>
      </c>
      <c r="M50" s="104"/>
      <c r="N50" s="103"/>
      <c r="O50" s="34"/>
      <c r="P50" s="6"/>
      <c r="Q50" s="32"/>
    </row>
    <row r="51" spans="1:17">
      <c r="A51" s="13">
        <f t="shared" si="14"/>
        <v>46159</v>
      </c>
      <c r="B51" s="127"/>
      <c r="C51" s="127"/>
      <c r="D51" s="34"/>
      <c r="E51" s="34"/>
      <c r="F51" s="20" t="e">
        <f t="shared" si="11"/>
        <v>#DIV/0!</v>
      </c>
      <c r="G51" s="2">
        <f t="shared" si="9"/>
        <v>0</v>
      </c>
      <c r="H51" s="2">
        <f t="shared" si="10"/>
        <v>0</v>
      </c>
      <c r="I51" s="29"/>
      <c r="J51" s="34"/>
      <c r="K51" s="20" t="e">
        <f t="shared" si="12"/>
        <v>#DIV/0!</v>
      </c>
      <c r="L51" s="4" t="e">
        <f t="shared" si="13"/>
        <v>#DIV/0!</v>
      </c>
      <c r="M51" s="103"/>
      <c r="N51" s="103"/>
      <c r="O51" s="34"/>
      <c r="P51" s="6"/>
      <c r="Q51" s="6"/>
    </row>
    <row r="52" spans="1:17">
      <c r="A52" s="13">
        <f t="shared" si="14"/>
        <v>46160</v>
      </c>
      <c r="B52" s="127"/>
      <c r="C52" s="127"/>
      <c r="D52" s="34"/>
      <c r="E52" s="34"/>
      <c r="F52" s="20" t="e">
        <f t="shared" si="11"/>
        <v>#DIV/0!</v>
      </c>
      <c r="G52" s="2">
        <f t="shared" si="9"/>
        <v>0</v>
      </c>
      <c r="H52" s="2">
        <f t="shared" si="10"/>
        <v>0</v>
      </c>
      <c r="I52" s="29"/>
      <c r="J52" s="34"/>
      <c r="K52" s="20" t="e">
        <f t="shared" si="12"/>
        <v>#DIV/0!</v>
      </c>
      <c r="L52" s="4" t="e">
        <f t="shared" si="13"/>
        <v>#DIV/0!</v>
      </c>
      <c r="M52" s="103"/>
      <c r="N52" s="103"/>
      <c r="O52" s="34"/>
      <c r="P52" s="6"/>
      <c r="Q52" s="14"/>
    </row>
    <row r="53" spans="1:17">
      <c r="A53" s="13">
        <f t="shared" si="14"/>
        <v>46161</v>
      </c>
      <c r="B53" s="127"/>
      <c r="C53" s="127"/>
      <c r="D53" s="34"/>
      <c r="E53" s="34"/>
      <c r="F53" s="20" t="e">
        <f t="shared" si="11"/>
        <v>#DIV/0!</v>
      </c>
      <c r="G53" s="2">
        <f t="shared" si="9"/>
        <v>0</v>
      </c>
      <c r="H53" s="2">
        <f t="shared" si="10"/>
        <v>0</v>
      </c>
      <c r="I53" s="29"/>
      <c r="J53" s="34"/>
      <c r="K53" s="20" t="e">
        <f t="shared" si="12"/>
        <v>#DIV/0!</v>
      </c>
      <c r="L53" s="4" t="e">
        <f t="shared" si="13"/>
        <v>#DIV/0!</v>
      </c>
      <c r="M53" s="103"/>
      <c r="N53" s="103"/>
      <c r="O53" s="34"/>
      <c r="P53" s="6"/>
      <c r="Q53" s="14"/>
    </row>
    <row r="54" spans="1:17">
      <c r="A54" s="13">
        <f t="shared" si="14"/>
        <v>46162</v>
      </c>
      <c r="B54" s="127"/>
      <c r="C54" s="127"/>
      <c r="D54" s="34"/>
      <c r="E54" s="34"/>
      <c r="F54" s="20" t="e">
        <f t="shared" si="11"/>
        <v>#DIV/0!</v>
      </c>
      <c r="G54" s="2">
        <f t="shared" si="9"/>
        <v>0</v>
      </c>
      <c r="H54" s="2">
        <f t="shared" si="10"/>
        <v>0</v>
      </c>
      <c r="I54" s="29"/>
      <c r="J54" s="34"/>
      <c r="K54" s="20" t="e">
        <f t="shared" si="12"/>
        <v>#DIV/0!</v>
      </c>
      <c r="L54" s="4" t="e">
        <f t="shared" si="13"/>
        <v>#DIV/0!</v>
      </c>
      <c r="M54" s="103"/>
      <c r="N54" s="103"/>
      <c r="O54" s="34"/>
      <c r="P54" s="6"/>
      <c r="Q54" s="14"/>
    </row>
    <row r="55" spans="1:17">
      <c r="A55" s="13">
        <f t="shared" si="14"/>
        <v>46163</v>
      </c>
      <c r="B55" s="127"/>
      <c r="C55" s="127"/>
      <c r="D55" s="34"/>
      <c r="E55" s="34"/>
      <c r="F55" s="20" t="e">
        <f>(IF(ISBLANK(E55),0,E55-C55))/C55</f>
        <v>#DIV/0!</v>
      </c>
      <c r="G55" s="2">
        <f t="shared" si="9"/>
        <v>0</v>
      </c>
      <c r="H55" s="2">
        <f t="shared" si="10"/>
        <v>0</v>
      </c>
      <c r="I55" s="29"/>
      <c r="J55" s="34"/>
      <c r="K55" s="20" t="e">
        <f>(IF(ISBLANK(J55),0,J55-I55))/I55</f>
        <v>#DIV/0!</v>
      </c>
      <c r="L55" s="4" t="e">
        <f t="shared" si="13"/>
        <v>#DIV/0!</v>
      </c>
      <c r="M55" s="103"/>
      <c r="N55" s="103"/>
      <c r="O55" s="34"/>
      <c r="P55" s="6"/>
      <c r="Q55" s="6"/>
    </row>
    <row r="56" spans="1:17">
      <c r="A56" s="13">
        <f t="shared" si="14"/>
        <v>46164</v>
      </c>
      <c r="B56" s="127"/>
      <c r="C56" s="127"/>
      <c r="D56" s="34"/>
      <c r="E56" s="34"/>
      <c r="F56" s="20" t="e">
        <f t="shared" ref="F56:F65" si="15">(IF(ISBLANK(E56),0,E56-C56))/C56</f>
        <v>#DIV/0!</v>
      </c>
      <c r="G56" s="2">
        <f t="shared" si="9"/>
        <v>0</v>
      </c>
      <c r="H56" s="2">
        <f t="shared" si="10"/>
        <v>0</v>
      </c>
      <c r="I56" s="29"/>
      <c r="J56" s="34"/>
      <c r="K56" s="20" t="e">
        <f t="shared" ref="K56:K65" si="16">(IF(ISBLANK(J56),0,J56-I56))/I56</f>
        <v>#DIV/0!</v>
      </c>
      <c r="L56" s="4" t="e">
        <f t="shared" si="13"/>
        <v>#DIV/0!</v>
      </c>
      <c r="M56" s="103"/>
      <c r="N56" s="103"/>
      <c r="O56" s="34"/>
      <c r="P56" s="6"/>
      <c r="Q56" s="6"/>
    </row>
    <row r="57" spans="1:17">
      <c r="A57" s="13">
        <f t="shared" si="14"/>
        <v>46165</v>
      </c>
      <c r="B57" s="127"/>
      <c r="C57" s="127"/>
      <c r="D57" s="14"/>
      <c r="E57" s="14"/>
      <c r="F57" s="20" t="e">
        <f t="shared" si="15"/>
        <v>#DIV/0!</v>
      </c>
      <c r="G57" s="2">
        <f t="shared" si="9"/>
        <v>0</v>
      </c>
      <c r="H57" s="2">
        <f t="shared" si="10"/>
        <v>0</v>
      </c>
      <c r="I57" s="29"/>
      <c r="J57" s="14"/>
      <c r="K57" s="20" t="e">
        <f t="shared" si="16"/>
        <v>#DIV/0!</v>
      </c>
      <c r="L57" s="4" t="e">
        <f t="shared" si="13"/>
        <v>#DIV/0!</v>
      </c>
      <c r="M57" s="103"/>
      <c r="N57" s="103"/>
      <c r="O57" s="34"/>
      <c r="P57" s="6"/>
      <c r="Q57" s="6"/>
    </row>
    <row r="58" spans="1:17">
      <c r="A58" s="13">
        <f t="shared" si="14"/>
        <v>46166</v>
      </c>
      <c r="B58" s="127"/>
      <c r="C58" s="127"/>
      <c r="D58" s="14"/>
      <c r="E58" s="14"/>
      <c r="F58" s="20" t="e">
        <f t="shared" si="15"/>
        <v>#DIV/0!</v>
      </c>
      <c r="G58" s="2">
        <f t="shared" ref="G58:G65" si="17">D58/($D$2*24)</f>
        <v>0</v>
      </c>
      <c r="H58" s="2">
        <f t="shared" si="10"/>
        <v>0</v>
      </c>
      <c r="I58" s="29"/>
      <c r="J58" s="14"/>
      <c r="K58" s="20" t="e">
        <f t="shared" si="16"/>
        <v>#DIV/0!</v>
      </c>
      <c r="L58" s="4" t="e">
        <f t="shared" si="13"/>
        <v>#DIV/0!</v>
      </c>
      <c r="M58" s="103"/>
      <c r="N58" s="103"/>
      <c r="O58" s="34"/>
      <c r="P58" s="6"/>
      <c r="Q58" s="288"/>
    </row>
    <row r="59" spans="1:17">
      <c r="A59" s="13">
        <f t="shared" si="14"/>
        <v>46167</v>
      </c>
      <c r="B59" s="1"/>
      <c r="C59" s="1"/>
      <c r="D59" s="14"/>
      <c r="E59" s="14"/>
      <c r="F59" s="20" t="e">
        <f t="shared" si="15"/>
        <v>#DIV/0!</v>
      </c>
      <c r="G59" s="2">
        <f t="shared" si="17"/>
        <v>0</v>
      </c>
      <c r="H59" s="2">
        <f t="shared" si="10"/>
        <v>0</v>
      </c>
      <c r="I59" s="29"/>
      <c r="J59" s="14"/>
      <c r="K59" s="20" t="e">
        <f t="shared" si="16"/>
        <v>#DIV/0!</v>
      </c>
      <c r="L59" s="4" t="e">
        <f t="shared" si="13"/>
        <v>#DIV/0!</v>
      </c>
      <c r="M59" s="103"/>
      <c r="N59" s="103"/>
      <c r="O59" s="34"/>
      <c r="P59" s="155"/>
      <c r="Q59" s="6"/>
    </row>
    <row r="60" spans="1:17">
      <c r="A60" s="13">
        <f t="shared" si="14"/>
        <v>46168</v>
      </c>
      <c r="B60" s="1"/>
      <c r="C60" s="1"/>
      <c r="D60" s="14"/>
      <c r="E60" s="14"/>
      <c r="F60" s="20" t="e">
        <f t="shared" si="15"/>
        <v>#DIV/0!</v>
      </c>
      <c r="G60" s="2">
        <f t="shared" si="17"/>
        <v>0</v>
      </c>
      <c r="H60" s="2">
        <f t="shared" si="10"/>
        <v>0</v>
      </c>
      <c r="I60" s="29"/>
      <c r="J60" s="14"/>
      <c r="K60" s="20" t="e">
        <f t="shared" si="16"/>
        <v>#DIV/0!</v>
      </c>
      <c r="L60" s="4" t="e">
        <f t="shared" si="13"/>
        <v>#DIV/0!</v>
      </c>
      <c r="M60" s="103"/>
      <c r="N60" s="103"/>
      <c r="O60" s="34"/>
      <c r="P60" s="6"/>
      <c r="Q60" s="123"/>
    </row>
    <row r="61" spans="1:17">
      <c r="A61" s="13">
        <f t="shared" si="14"/>
        <v>46169</v>
      </c>
      <c r="B61" s="1"/>
      <c r="C61" s="1"/>
      <c r="D61" s="14"/>
      <c r="E61" s="14"/>
      <c r="F61" s="20" t="e">
        <f t="shared" si="15"/>
        <v>#DIV/0!</v>
      </c>
      <c r="G61" s="2">
        <f t="shared" si="17"/>
        <v>0</v>
      </c>
      <c r="H61" s="2">
        <f t="shared" si="10"/>
        <v>0</v>
      </c>
      <c r="I61" s="29"/>
      <c r="J61" s="14"/>
      <c r="K61" s="20" t="e">
        <f t="shared" si="16"/>
        <v>#DIV/0!</v>
      </c>
      <c r="L61" s="4" t="e">
        <f t="shared" si="13"/>
        <v>#DIV/0!</v>
      </c>
      <c r="M61" s="103"/>
      <c r="N61" s="103"/>
      <c r="O61" s="34"/>
      <c r="P61" s="6"/>
      <c r="Q61" s="6"/>
    </row>
    <row r="62" spans="1:17">
      <c r="A62" s="13">
        <f t="shared" si="14"/>
        <v>46170</v>
      </c>
      <c r="B62" s="1"/>
      <c r="C62" s="1"/>
      <c r="D62" s="14"/>
      <c r="E62" s="14"/>
      <c r="F62" s="20" t="e">
        <f t="shared" si="15"/>
        <v>#DIV/0!</v>
      </c>
      <c r="G62" s="2">
        <f t="shared" si="17"/>
        <v>0</v>
      </c>
      <c r="H62" s="2">
        <f t="shared" ref="H62:H65" si="18">D62/($H$2*24)</f>
        <v>0</v>
      </c>
      <c r="I62" s="29"/>
      <c r="J62" s="14"/>
      <c r="K62" s="20" t="e">
        <f t="shared" si="16"/>
        <v>#DIV/0!</v>
      </c>
      <c r="L62" s="4" t="e">
        <f t="shared" si="13"/>
        <v>#DIV/0!</v>
      </c>
      <c r="M62" s="103"/>
      <c r="N62" s="103"/>
      <c r="O62" s="34"/>
      <c r="P62" s="6"/>
      <c r="Q62" s="6"/>
    </row>
    <row r="63" spans="1:17">
      <c r="A63" s="13">
        <f t="shared" si="14"/>
        <v>46171</v>
      </c>
      <c r="B63" s="1"/>
      <c r="C63" s="1"/>
      <c r="D63" s="14"/>
      <c r="E63" s="14"/>
      <c r="F63" s="20" t="e">
        <f t="shared" si="15"/>
        <v>#DIV/0!</v>
      </c>
      <c r="G63" s="2">
        <f t="shared" si="17"/>
        <v>0</v>
      </c>
      <c r="H63" s="2">
        <f t="shared" si="18"/>
        <v>0</v>
      </c>
      <c r="I63" s="29"/>
      <c r="J63" s="14"/>
      <c r="K63" s="20" t="e">
        <f t="shared" si="16"/>
        <v>#DIV/0!</v>
      </c>
      <c r="L63" s="4" t="e">
        <f t="shared" si="13"/>
        <v>#DIV/0!</v>
      </c>
      <c r="M63" s="103"/>
      <c r="N63" s="103"/>
      <c r="O63" s="34"/>
      <c r="P63" s="6"/>
      <c r="Q63" s="6"/>
    </row>
    <row r="64" spans="1:17">
      <c r="A64" s="13">
        <f t="shared" si="14"/>
        <v>46172</v>
      </c>
      <c r="B64" s="1"/>
      <c r="C64" s="1"/>
      <c r="D64" s="14"/>
      <c r="E64" s="14"/>
      <c r="F64" s="20" t="e">
        <f t="shared" si="15"/>
        <v>#DIV/0!</v>
      </c>
      <c r="G64" s="2">
        <f t="shared" si="17"/>
        <v>0</v>
      </c>
      <c r="H64" s="2">
        <f t="shared" si="18"/>
        <v>0</v>
      </c>
      <c r="I64" s="29"/>
      <c r="J64" s="14"/>
      <c r="K64" s="20" t="e">
        <f t="shared" si="16"/>
        <v>#DIV/0!</v>
      </c>
      <c r="L64" s="4" t="e">
        <f t="shared" si="13"/>
        <v>#DIV/0!</v>
      </c>
      <c r="M64" s="103"/>
      <c r="N64" s="103"/>
      <c r="O64" s="34"/>
      <c r="P64" s="6"/>
      <c r="Q64" s="6"/>
    </row>
    <row r="65" spans="1:17">
      <c r="A65" s="13">
        <f t="shared" si="14"/>
        <v>46173</v>
      </c>
      <c r="B65" s="1"/>
      <c r="C65" s="1"/>
      <c r="D65" s="14"/>
      <c r="E65" s="14"/>
      <c r="F65" s="20" t="e">
        <f t="shared" si="15"/>
        <v>#DIV/0!</v>
      </c>
      <c r="G65" s="2">
        <f t="shared" si="17"/>
        <v>0</v>
      </c>
      <c r="H65" s="2">
        <f t="shared" si="18"/>
        <v>0</v>
      </c>
      <c r="I65" s="29"/>
      <c r="J65" s="14"/>
      <c r="K65" s="20" t="e">
        <f t="shared" si="16"/>
        <v>#DIV/0!</v>
      </c>
      <c r="L65" s="4" t="e">
        <f t="shared" si="13"/>
        <v>#DIV/0!</v>
      </c>
      <c r="M65" s="103"/>
      <c r="N65" s="103"/>
      <c r="O65" s="34"/>
      <c r="P65" s="6"/>
      <c r="Q65" s="6"/>
    </row>
    <row r="66" spans="1:17">
      <c r="A66" s="349">
        <v>46143</v>
      </c>
      <c r="B66" s="89">
        <f>SUM(B35:B65)</f>
        <v>54429</v>
      </c>
      <c r="C66" s="89">
        <f>SUM(C35:C65)</f>
        <v>52077</v>
      </c>
      <c r="D66" s="89">
        <f>SUM(D35:D65)</f>
        <v>0</v>
      </c>
      <c r="E66" s="89">
        <f>SUM(E35:E65)</f>
        <v>0</v>
      </c>
      <c r="F66" s="160">
        <f>(IF(ISBLANK(E66),0,E66-C66))/C66</f>
        <v>-1</v>
      </c>
      <c r="G66" s="90">
        <f>AVERAGE(G35:G65)</f>
        <v>0</v>
      </c>
      <c r="H66" s="90">
        <f>AVERAGE(H35:H65)</f>
        <v>0</v>
      </c>
      <c r="I66" s="89">
        <f>SUM(I35:I65)</f>
        <v>16.919999999999998</v>
      </c>
      <c r="J66" s="89">
        <f>SUM(J35:J65)</f>
        <v>0</v>
      </c>
      <c r="K66" s="160">
        <f>(IF(ISBLANK(J66),0,J66-I66))/I66</f>
        <v>-1</v>
      </c>
      <c r="L66" s="161" t="e">
        <f t="shared" si="13"/>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075F9-6C40-4E83-B594-C39B20804308}">
  <dimension ref="A1:Q66"/>
  <sheetViews>
    <sheetView topLeftCell="A25" workbookViewId="0">
      <selection activeCell="I35" sqref="I35:I37"/>
    </sheetView>
  </sheetViews>
  <sheetFormatPr defaultRowHeight="14.5"/>
  <cols>
    <col min="1" max="1" width="11.26953125" bestFit="1" customWidth="1"/>
    <col min="2" max="6" width="10.54296875" customWidth="1"/>
    <col min="7" max="7" width="6.81640625" bestFit="1" customWidth="1"/>
    <col min="8" max="12" width="8.7265625" customWidth="1"/>
    <col min="13" max="16" width="10.26953125" customWidth="1"/>
    <col min="17" max="17" width="43.1796875" customWidth="1"/>
    <col min="18" max="18" width="10" customWidth="1"/>
  </cols>
  <sheetData>
    <row r="1" spans="1:17" ht="18.75" customHeight="1">
      <c r="A1" s="405" t="s">
        <v>409</v>
      </c>
      <c r="B1" s="406"/>
      <c r="C1" s="406"/>
      <c r="D1" s="406"/>
      <c r="E1" s="406"/>
      <c r="F1" s="406"/>
      <c r="G1" s="406"/>
      <c r="H1" s="406"/>
      <c r="I1" s="406"/>
      <c r="J1" s="406"/>
      <c r="K1" s="406"/>
      <c r="L1" s="406"/>
      <c r="M1" s="406"/>
      <c r="N1" s="406"/>
      <c r="O1" s="406"/>
      <c r="P1" s="406"/>
      <c r="Q1" s="406"/>
    </row>
    <row r="2" spans="1:17" ht="18.75" customHeight="1">
      <c r="A2" s="7">
        <v>46113</v>
      </c>
      <c r="B2" s="407" t="s">
        <v>172</v>
      </c>
      <c r="C2" s="408"/>
      <c r="D2" s="8">
        <v>1600</v>
      </c>
      <c r="E2" s="407" t="s">
        <v>173</v>
      </c>
      <c r="F2" s="407"/>
      <c r="G2" s="408"/>
      <c r="H2" s="8">
        <v>1320</v>
      </c>
      <c r="I2" s="409" t="s">
        <v>174</v>
      </c>
      <c r="J2" s="410"/>
      <c r="K2" s="9">
        <v>45844</v>
      </c>
      <c r="L2" s="10" t="s">
        <v>175</v>
      </c>
      <c r="M2" s="10" t="s">
        <v>175</v>
      </c>
      <c r="N2" s="10" t="s">
        <v>175</v>
      </c>
      <c r="O2" s="10" t="s">
        <v>175</v>
      </c>
      <c r="P2" s="10" t="s">
        <v>175</v>
      </c>
      <c r="Q2" s="11" t="s">
        <v>175</v>
      </c>
    </row>
    <row r="3" spans="1:17" ht="62.25" customHeight="1">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11500</v>
      </c>
      <c r="C4" s="1">
        <v>10785</v>
      </c>
      <c r="D4" s="31"/>
      <c r="E4" s="49"/>
      <c r="F4" s="21">
        <f t="shared" ref="F4:F35" si="0">(IF(ISBLANK(E4),0,E4-C4))/C4</f>
        <v>0</v>
      </c>
      <c r="G4" s="2">
        <f t="shared" ref="G4:G33" si="1">D4/($D$2*24)</f>
        <v>0</v>
      </c>
      <c r="H4" s="2">
        <f t="shared" ref="H4:H21" si="2">D4/($H$2*24)</f>
        <v>0</v>
      </c>
      <c r="I4" s="26">
        <v>8.94</v>
      </c>
      <c r="J4" s="49"/>
      <c r="K4" s="21">
        <f t="shared" ref="K4:K35" si="3">(IF(ISBLANK(J4),0,J4-I4))/I4</f>
        <v>0</v>
      </c>
      <c r="L4" s="22" t="e">
        <f t="shared" ref="L4:L35" si="4">D4/($D$2*J4)</f>
        <v>#DIV/0!</v>
      </c>
      <c r="M4" s="61"/>
      <c r="N4" s="62"/>
      <c r="O4" s="49"/>
      <c r="P4" s="49"/>
      <c r="Q4" s="49"/>
    </row>
    <row r="5" spans="1:17">
      <c r="A5" s="13">
        <f t="shared" ref="A5:A33" si="5">A4+1</f>
        <v>46114</v>
      </c>
      <c r="B5" s="1">
        <v>11500</v>
      </c>
      <c r="C5" s="1">
        <v>10785</v>
      </c>
      <c r="D5" s="32"/>
      <c r="E5" s="50"/>
      <c r="F5" s="21">
        <f t="shared" si="0"/>
        <v>0</v>
      </c>
      <c r="G5" s="2">
        <f t="shared" si="1"/>
        <v>0</v>
      </c>
      <c r="H5" s="2">
        <f t="shared" si="2"/>
        <v>0</v>
      </c>
      <c r="I5" s="26">
        <v>8.94</v>
      </c>
      <c r="J5" s="50"/>
      <c r="K5" s="21">
        <f t="shared" si="3"/>
        <v>0</v>
      </c>
      <c r="L5" s="22" t="e">
        <f t="shared" si="4"/>
        <v>#DIV/0!</v>
      </c>
      <c r="M5" s="61"/>
      <c r="N5" s="64"/>
      <c r="O5" s="50"/>
      <c r="P5" s="50"/>
      <c r="Q5" s="50"/>
    </row>
    <row r="6" spans="1:17">
      <c r="A6" s="13">
        <f t="shared" si="5"/>
        <v>46115</v>
      </c>
      <c r="B6" s="1">
        <v>11500</v>
      </c>
      <c r="C6" s="1">
        <v>10785</v>
      </c>
      <c r="D6" s="32"/>
      <c r="E6" s="50"/>
      <c r="F6" s="21">
        <f t="shared" si="0"/>
        <v>0</v>
      </c>
      <c r="G6" s="2">
        <f t="shared" si="1"/>
        <v>0</v>
      </c>
      <c r="H6" s="2">
        <f t="shared" si="2"/>
        <v>0</v>
      </c>
      <c r="I6" s="26">
        <v>8.94</v>
      </c>
      <c r="J6" s="50"/>
      <c r="K6" s="21">
        <f t="shared" si="3"/>
        <v>0</v>
      </c>
      <c r="L6" s="22" t="e">
        <f t="shared" si="4"/>
        <v>#DIV/0!</v>
      </c>
      <c r="M6" s="61"/>
      <c r="N6" s="64"/>
      <c r="O6" s="50"/>
      <c r="P6" s="50"/>
      <c r="Q6" s="50"/>
    </row>
    <row r="7" spans="1:17">
      <c r="A7" s="13">
        <f t="shared" si="5"/>
        <v>46116</v>
      </c>
      <c r="B7" s="1">
        <v>11500</v>
      </c>
      <c r="C7" s="1">
        <v>10785</v>
      </c>
      <c r="D7" s="32"/>
      <c r="E7" s="50"/>
      <c r="F7" s="21">
        <f t="shared" si="0"/>
        <v>0</v>
      </c>
      <c r="G7" s="2">
        <f t="shared" si="1"/>
        <v>0</v>
      </c>
      <c r="H7" s="2">
        <f t="shared" si="2"/>
        <v>0</v>
      </c>
      <c r="I7" s="26">
        <v>8.94</v>
      </c>
      <c r="J7" s="50"/>
      <c r="K7" s="21">
        <f t="shared" si="3"/>
        <v>0</v>
      </c>
      <c r="L7" s="22" t="e">
        <f t="shared" si="4"/>
        <v>#DIV/0!</v>
      </c>
      <c r="M7" s="61"/>
      <c r="N7" s="64"/>
      <c r="O7" s="50"/>
      <c r="P7" s="50"/>
      <c r="Q7" s="50"/>
    </row>
    <row r="8" spans="1:17">
      <c r="A8" s="13">
        <f t="shared" si="5"/>
        <v>46117</v>
      </c>
      <c r="B8" s="1">
        <v>11500</v>
      </c>
      <c r="C8" s="1">
        <v>10785</v>
      </c>
      <c r="D8" s="32"/>
      <c r="E8" s="50"/>
      <c r="F8" s="21">
        <f t="shared" si="0"/>
        <v>0</v>
      </c>
      <c r="G8" s="2">
        <f t="shared" si="1"/>
        <v>0</v>
      </c>
      <c r="H8" s="2">
        <f t="shared" si="2"/>
        <v>0</v>
      </c>
      <c r="I8" s="26">
        <v>8.94</v>
      </c>
      <c r="J8" s="50"/>
      <c r="K8" s="21">
        <f t="shared" si="3"/>
        <v>0</v>
      </c>
      <c r="L8" s="22" t="e">
        <f t="shared" si="4"/>
        <v>#DIV/0!</v>
      </c>
      <c r="M8" s="61"/>
      <c r="N8" s="64"/>
      <c r="O8" s="50"/>
      <c r="P8" s="50"/>
      <c r="Q8" s="50"/>
    </row>
    <row r="9" spans="1:17">
      <c r="A9" s="13">
        <f t="shared" si="5"/>
        <v>46118</v>
      </c>
      <c r="B9" s="1">
        <v>11500</v>
      </c>
      <c r="C9" s="1">
        <v>10785</v>
      </c>
      <c r="D9" s="32"/>
      <c r="E9" s="50"/>
      <c r="F9" s="21">
        <f t="shared" si="0"/>
        <v>0</v>
      </c>
      <c r="G9" s="2">
        <f t="shared" si="1"/>
        <v>0</v>
      </c>
      <c r="H9" s="2">
        <f t="shared" si="2"/>
        <v>0</v>
      </c>
      <c r="I9" s="26">
        <v>8.94</v>
      </c>
      <c r="J9" s="50"/>
      <c r="K9" s="21">
        <f t="shared" si="3"/>
        <v>0</v>
      </c>
      <c r="L9" s="22" t="e">
        <f t="shared" si="4"/>
        <v>#DIV/0!</v>
      </c>
      <c r="M9" s="61"/>
      <c r="N9" s="64"/>
      <c r="O9" s="50"/>
      <c r="P9" s="50"/>
      <c r="Q9" s="50"/>
    </row>
    <row r="10" spans="1:17">
      <c r="A10" s="13">
        <f t="shared" si="5"/>
        <v>46119</v>
      </c>
      <c r="B10" s="1">
        <v>11500</v>
      </c>
      <c r="C10" s="1">
        <v>10785</v>
      </c>
      <c r="D10" s="32"/>
      <c r="E10" s="50"/>
      <c r="F10" s="21">
        <f t="shared" si="0"/>
        <v>0</v>
      </c>
      <c r="G10" s="2">
        <f t="shared" si="1"/>
        <v>0</v>
      </c>
      <c r="H10" s="2">
        <f t="shared" si="2"/>
        <v>0</v>
      </c>
      <c r="I10" s="26">
        <v>8.94</v>
      </c>
      <c r="J10" s="50"/>
      <c r="K10" s="21">
        <f t="shared" si="3"/>
        <v>0</v>
      </c>
      <c r="L10" s="22" t="e">
        <f t="shared" si="4"/>
        <v>#DIV/0!</v>
      </c>
      <c r="M10" s="61"/>
      <c r="N10" s="64"/>
      <c r="O10" s="50"/>
      <c r="P10" s="50"/>
      <c r="Q10" s="50"/>
    </row>
    <row r="11" spans="1:17">
      <c r="A11" s="13">
        <f t="shared" si="5"/>
        <v>46120</v>
      </c>
      <c r="B11" s="1">
        <v>11500</v>
      </c>
      <c r="C11" s="1">
        <v>10785</v>
      </c>
      <c r="D11" s="32"/>
      <c r="E11" s="50"/>
      <c r="F11" s="21">
        <f t="shared" si="0"/>
        <v>0</v>
      </c>
      <c r="G11" s="2">
        <f t="shared" si="1"/>
        <v>0</v>
      </c>
      <c r="H11" s="2">
        <f t="shared" si="2"/>
        <v>0</v>
      </c>
      <c r="I11" s="26">
        <v>8.94</v>
      </c>
      <c r="J11" s="50"/>
      <c r="K11" s="21">
        <f t="shared" si="3"/>
        <v>0</v>
      </c>
      <c r="L11" s="22" t="e">
        <f t="shared" si="4"/>
        <v>#DIV/0!</v>
      </c>
      <c r="M11" s="61"/>
      <c r="N11" s="64"/>
      <c r="O11" s="50"/>
      <c r="P11" s="50"/>
      <c r="Q11" s="50"/>
    </row>
    <row r="12" spans="1:17">
      <c r="A12" s="13">
        <f t="shared" si="5"/>
        <v>46121</v>
      </c>
      <c r="B12" s="1">
        <v>11500</v>
      </c>
      <c r="C12" s="1">
        <v>10785</v>
      </c>
      <c r="D12" s="32"/>
      <c r="E12" s="50"/>
      <c r="F12" s="21">
        <f t="shared" si="0"/>
        <v>0</v>
      </c>
      <c r="G12" s="2">
        <f t="shared" si="1"/>
        <v>0</v>
      </c>
      <c r="H12" s="2">
        <f t="shared" si="2"/>
        <v>0</v>
      </c>
      <c r="I12" s="26">
        <v>8.94</v>
      </c>
      <c r="J12" s="50"/>
      <c r="K12" s="21">
        <f t="shared" si="3"/>
        <v>0</v>
      </c>
      <c r="L12" s="22" t="e">
        <f t="shared" si="4"/>
        <v>#DIV/0!</v>
      </c>
      <c r="M12" s="61"/>
      <c r="N12" s="64"/>
      <c r="O12" s="50"/>
      <c r="P12" s="50"/>
      <c r="Q12" s="50"/>
    </row>
    <row r="13" spans="1:17">
      <c r="A13" s="13">
        <f t="shared" si="5"/>
        <v>46122</v>
      </c>
      <c r="B13" s="1">
        <v>11500</v>
      </c>
      <c r="C13" s="1">
        <v>10785</v>
      </c>
      <c r="D13" s="32"/>
      <c r="E13" s="50"/>
      <c r="F13" s="21">
        <f t="shared" si="0"/>
        <v>0</v>
      </c>
      <c r="G13" s="2">
        <f t="shared" si="1"/>
        <v>0</v>
      </c>
      <c r="H13" s="2">
        <f t="shared" si="2"/>
        <v>0</v>
      </c>
      <c r="I13" s="26">
        <v>8.94</v>
      </c>
      <c r="J13" s="50"/>
      <c r="K13" s="21">
        <f t="shared" si="3"/>
        <v>0</v>
      </c>
      <c r="L13" s="22" t="e">
        <f t="shared" si="4"/>
        <v>#DIV/0!</v>
      </c>
      <c r="M13" s="61"/>
      <c r="N13" s="64"/>
      <c r="O13" s="50"/>
      <c r="P13" s="50"/>
      <c r="Q13" s="50"/>
    </row>
    <row r="14" spans="1:17">
      <c r="A14" s="13">
        <f t="shared" si="5"/>
        <v>46123</v>
      </c>
      <c r="B14" s="1">
        <v>11500</v>
      </c>
      <c r="C14" s="1">
        <v>10785</v>
      </c>
      <c r="D14" s="32"/>
      <c r="E14" s="50"/>
      <c r="F14" s="21">
        <f t="shared" si="0"/>
        <v>0</v>
      </c>
      <c r="G14" s="2">
        <f t="shared" si="1"/>
        <v>0</v>
      </c>
      <c r="H14" s="2">
        <f t="shared" si="2"/>
        <v>0</v>
      </c>
      <c r="I14" s="26">
        <v>8.94</v>
      </c>
      <c r="J14" s="50"/>
      <c r="K14" s="21">
        <f t="shared" si="3"/>
        <v>0</v>
      </c>
      <c r="L14" s="22" t="e">
        <f t="shared" si="4"/>
        <v>#DIV/0!</v>
      </c>
      <c r="M14" s="61"/>
      <c r="N14" s="64"/>
      <c r="O14" s="50"/>
      <c r="P14" s="50"/>
      <c r="Q14" s="50"/>
    </row>
    <row r="15" spans="1:17">
      <c r="A15" s="13">
        <f t="shared" si="5"/>
        <v>46124</v>
      </c>
      <c r="B15" s="1">
        <v>11500</v>
      </c>
      <c r="C15" s="1">
        <v>10785</v>
      </c>
      <c r="D15" s="32"/>
      <c r="E15" s="50"/>
      <c r="F15" s="21">
        <f t="shared" si="0"/>
        <v>0</v>
      </c>
      <c r="G15" s="2">
        <f t="shared" si="1"/>
        <v>0</v>
      </c>
      <c r="H15" s="2">
        <f t="shared" si="2"/>
        <v>0</v>
      </c>
      <c r="I15" s="26">
        <v>8.94</v>
      </c>
      <c r="J15" s="50"/>
      <c r="K15" s="21">
        <f t="shared" si="3"/>
        <v>0</v>
      </c>
      <c r="L15" s="22" t="e">
        <f t="shared" si="4"/>
        <v>#DIV/0!</v>
      </c>
      <c r="M15" s="61"/>
      <c r="N15" s="64"/>
      <c r="O15" s="50"/>
      <c r="P15" s="50"/>
      <c r="Q15" s="50"/>
    </row>
    <row r="16" spans="1:17">
      <c r="A16" s="13">
        <f t="shared" si="5"/>
        <v>46125</v>
      </c>
      <c r="B16" s="1">
        <v>11500</v>
      </c>
      <c r="C16" s="1">
        <v>10785</v>
      </c>
      <c r="D16" s="32"/>
      <c r="E16" s="50"/>
      <c r="F16" s="21">
        <f t="shared" si="0"/>
        <v>0</v>
      </c>
      <c r="G16" s="2">
        <f t="shared" si="1"/>
        <v>0</v>
      </c>
      <c r="H16" s="2">
        <f t="shared" si="2"/>
        <v>0</v>
      </c>
      <c r="I16" s="26">
        <v>8.94</v>
      </c>
      <c r="J16" s="50"/>
      <c r="K16" s="21">
        <f t="shared" si="3"/>
        <v>0</v>
      </c>
      <c r="L16" s="22" t="e">
        <f t="shared" si="4"/>
        <v>#DIV/0!</v>
      </c>
      <c r="M16" s="61"/>
      <c r="N16" s="64"/>
      <c r="O16" s="50"/>
      <c r="P16" s="50"/>
      <c r="Q16" s="50"/>
    </row>
    <row r="17" spans="1:17">
      <c r="A17" s="13">
        <f t="shared" si="5"/>
        <v>46126</v>
      </c>
      <c r="B17" s="1">
        <v>11500</v>
      </c>
      <c r="C17" s="1">
        <v>10785</v>
      </c>
      <c r="D17" s="32"/>
      <c r="E17" s="50"/>
      <c r="F17" s="21">
        <f t="shared" si="0"/>
        <v>0</v>
      </c>
      <c r="G17" s="2">
        <f t="shared" si="1"/>
        <v>0</v>
      </c>
      <c r="H17" s="2">
        <f t="shared" si="2"/>
        <v>0</v>
      </c>
      <c r="I17" s="26">
        <v>8.94</v>
      </c>
      <c r="J17" s="50"/>
      <c r="K17" s="21">
        <f t="shared" si="3"/>
        <v>0</v>
      </c>
      <c r="L17" s="22" t="e">
        <f t="shared" si="4"/>
        <v>#DIV/0!</v>
      </c>
      <c r="M17" s="61"/>
      <c r="N17" s="64"/>
      <c r="O17" s="50"/>
      <c r="P17" s="50"/>
      <c r="Q17" s="50"/>
    </row>
    <row r="18" spans="1:17">
      <c r="A18" s="13">
        <f t="shared" si="5"/>
        <v>46127</v>
      </c>
      <c r="B18" s="1">
        <v>11500</v>
      </c>
      <c r="C18" s="1">
        <v>10785</v>
      </c>
      <c r="D18" s="32"/>
      <c r="E18" s="50"/>
      <c r="F18" s="21">
        <f t="shared" si="0"/>
        <v>0</v>
      </c>
      <c r="G18" s="2">
        <f t="shared" si="1"/>
        <v>0</v>
      </c>
      <c r="H18" s="2">
        <f t="shared" si="2"/>
        <v>0</v>
      </c>
      <c r="I18" s="26">
        <v>8.94</v>
      </c>
      <c r="J18" s="50"/>
      <c r="K18" s="21">
        <f t="shared" si="3"/>
        <v>0</v>
      </c>
      <c r="L18" s="22" t="e">
        <f t="shared" si="4"/>
        <v>#DIV/0!</v>
      </c>
      <c r="M18" s="61"/>
      <c r="N18" s="64"/>
      <c r="O18" s="50"/>
      <c r="P18" s="50"/>
      <c r="Q18" s="50"/>
    </row>
    <row r="19" spans="1:17">
      <c r="A19" s="13">
        <f t="shared" si="5"/>
        <v>46128</v>
      </c>
      <c r="B19" s="1">
        <v>11500</v>
      </c>
      <c r="C19" s="1">
        <v>10785</v>
      </c>
      <c r="D19" s="32"/>
      <c r="E19" s="50"/>
      <c r="F19" s="21">
        <f t="shared" si="0"/>
        <v>0</v>
      </c>
      <c r="G19" s="2">
        <f t="shared" si="1"/>
        <v>0</v>
      </c>
      <c r="H19" s="2">
        <f t="shared" si="2"/>
        <v>0</v>
      </c>
      <c r="I19" s="26">
        <v>8.94</v>
      </c>
      <c r="J19" s="50"/>
      <c r="K19" s="21">
        <f t="shared" si="3"/>
        <v>0</v>
      </c>
      <c r="L19" s="22" t="e">
        <f t="shared" si="4"/>
        <v>#DIV/0!</v>
      </c>
      <c r="M19" s="61"/>
      <c r="N19" s="64"/>
      <c r="O19" s="50"/>
      <c r="P19" s="50"/>
      <c r="Q19" s="50"/>
    </row>
    <row r="20" spans="1:17">
      <c r="A20" s="13">
        <f t="shared" si="5"/>
        <v>46129</v>
      </c>
      <c r="B20" s="1">
        <v>11500</v>
      </c>
      <c r="C20" s="1">
        <v>10785</v>
      </c>
      <c r="D20" s="32"/>
      <c r="E20" s="50"/>
      <c r="F20" s="21">
        <f t="shared" si="0"/>
        <v>0</v>
      </c>
      <c r="G20" s="2">
        <f t="shared" si="1"/>
        <v>0</v>
      </c>
      <c r="H20" s="2">
        <f t="shared" si="2"/>
        <v>0</v>
      </c>
      <c r="I20" s="26">
        <v>8.94</v>
      </c>
      <c r="J20" s="50"/>
      <c r="K20" s="21">
        <f t="shared" si="3"/>
        <v>0</v>
      </c>
      <c r="L20" s="22" t="e">
        <f t="shared" si="4"/>
        <v>#DIV/0!</v>
      </c>
      <c r="M20" s="61"/>
      <c r="N20" s="64"/>
      <c r="O20" s="50"/>
      <c r="P20" s="50"/>
      <c r="Q20" s="50"/>
    </row>
    <row r="21" spans="1:17">
      <c r="A21" s="13">
        <f t="shared" si="5"/>
        <v>46130</v>
      </c>
      <c r="B21" s="1">
        <v>11500</v>
      </c>
      <c r="C21" s="1">
        <v>10785</v>
      </c>
      <c r="D21" s="32"/>
      <c r="E21" s="50"/>
      <c r="F21" s="21">
        <f t="shared" si="0"/>
        <v>0</v>
      </c>
      <c r="G21" s="2">
        <f t="shared" si="1"/>
        <v>0</v>
      </c>
      <c r="H21" s="2">
        <f t="shared" si="2"/>
        <v>0</v>
      </c>
      <c r="I21" s="26">
        <v>8.94</v>
      </c>
      <c r="J21" s="50"/>
      <c r="K21" s="21">
        <f t="shared" si="3"/>
        <v>0</v>
      </c>
      <c r="L21" s="22" t="e">
        <f t="shared" si="4"/>
        <v>#DIV/0!</v>
      </c>
      <c r="M21" s="61"/>
      <c r="N21" s="64"/>
      <c r="O21" s="50"/>
      <c r="P21" s="50"/>
      <c r="Q21" s="50"/>
    </row>
    <row r="22" spans="1:17">
      <c r="A22" s="13">
        <f t="shared" si="5"/>
        <v>46131</v>
      </c>
      <c r="B22" s="1">
        <v>11500</v>
      </c>
      <c r="C22" s="1">
        <v>10785</v>
      </c>
      <c r="D22" s="32"/>
      <c r="E22" s="50"/>
      <c r="F22" s="21">
        <f t="shared" si="0"/>
        <v>0</v>
      </c>
      <c r="G22" s="2">
        <f t="shared" si="1"/>
        <v>0</v>
      </c>
      <c r="H22" s="2">
        <f t="shared" ref="H22:H33" si="6">E22/($D$2*24)</f>
        <v>0</v>
      </c>
      <c r="I22" s="26">
        <v>8.94</v>
      </c>
      <c r="J22" s="50"/>
      <c r="K22" s="21">
        <f t="shared" si="3"/>
        <v>0</v>
      </c>
      <c r="L22" s="22" t="e">
        <f t="shared" si="4"/>
        <v>#DIV/0!</v>
      </c>
      <c r="M22" s="61"/>
      <c r="N22" s="66"/>
      <c r="O22" s="50"/>
      <c r="P22" s="50"/>
      <c r="Q22" s="50"/>
    </row>
    <row r="23" spans="1:17">
      <c r="A23" s="13">
        <f t="shared" si="5"/>
        <v>46132</v>
      </c>
      <c r="B23" s="1">
        <v>11500</v>
      </c>
      <c r="C23" s="1">
        <v>10785</v>
      </c>
      <c r="D23" s="32"/>
      <c r="E23" s="50"/>
      <c r="F23" s="21">
        <f t="shared" si="0"/>
        <v>0</v>
      </c>
      <c r="G23" s="2">
        <f t="shared" si="1"/>
        <v>0</v>
      </c>
      <c r="H23" s="2">
        <f t="shared" si="6"/>
        <v>0</v>
      </c>
      <c r="I23" s="26">
        <v>8.94</v>
      </c>
      <c r="J23" s="50"/>
      <c r="K23" s="21">
        <f t="shared" si="3"/>
        <v>0</v>
      </c>
      <c r="L23" s="22" t="e">
        <f t="shared" si="4"/>
        <v>#DIV/0!</v>
      </c>
      <c r="M23" s="61"/>
      <c r="N23" s="64"/>
      <c r="O23" s="50"/>
      <c r="P23" s="50"/>
      <c r="Q23" s="50"/>
    </row>
    <row r="24" spans="1:17">
      <c r="A24" s="13">
        <f t="shared" si="5"/>
        <v>46133</v>
      </c>
      <c r="B24" s="1">
        <v>11500</v>
      </c>
      <c r="C24" s="1">
        <v>10785</v>
      </c>
      <c r="D24" s="32"/>
      <c r="E24" s="50"/>
      <c r="F24" s="21">
        <f t="shared" si="0"/>
        <v>0</v>
      </c>
      <c r="G24" s="2">
        <f t="shared" si="1"/>
        <v>0</v>
      </c>
      <c r="H24" s="2">
        <f t="shared" si="6"/>
        <v>0</v>
      </c>
      <c r="I24" s="26">
        <v>8.94</v>
      </c>
      <c r="J24" s="50"/>
      <c r="K24" s="21">
        <f t="shared" si="3"/>
        <v>0</v>
      </c>
      <c r="L24" s="22" t="e">
        <f t="shared" si="4"/>
        <v>#DIV/0!</v>
      </c>
      <c r="M24" s="61"/>
      <c r="N24" s="64"/>
      <c r="O24" s="50"/>
      <c r="P24" s="50"/>
      <c r="Q24" s="50"/>
    </row>
    <row r="25" spans="1:17">
      <c r="A25" s="13">
        <f t="shared" si="5"/>
        <v>46134</v>
      </c>
      <c r="B25" s="1">
        <v>11500</v>
      </c>
      <c r="C25" s="1">
        <v>10785</v>
      </c>
      <c r="D25" s="32"/>
      <c r="E25" s="50"/>
      <c r="F25" s="21">
        <f t="shared" si="0"/>
        <v>0</v>
      </c>
      <c r="G25" s="2">
        <f t="shared" si="1"/>
        <v>0</v>
      </c>
      <c r="H25" s="2">
        <f t="shared" si="6"/>
        <v>0</v>
      </c>
      <c r="I25" s="26">
        <v>8.94</v>
      </c>
      <c r="J25" s="50"/>
      <c r="K25" s="21">
        <f t="shared" si="3"/>
        <v>0</v>
      </c>
      <c r="L25" s="22" t="e">
        <f t="shared" si="4"/>
        <v>#DIV/0!</v>
      </c>
      <c r="M25" s="61"/>
      <c r="N25" s="64"/>
      <c r="O25" s="50"/>
      <c r="P25" s="50"/>
      <c r="Q25" s="50"/>
    </row>
    <row r="26" spans="1:17">
      <c r="A26" s="13">
        <f t="shared" si="5"/>
        <v>46135</v>
      </c>
      <c r="B26" s="1">
        <v>11500</v>
      </c>
      <c r="C26" s="1">
        <v>10785</v>
      </c>
      <c r="D26" s="32"/>
      <c r="E26" s="50"/>
      <c r="F26" s="21">
        <f t="shared" si="0"/>
        <v>0</v>
      </c>
      <c r="G26" s="2">
        <f t="shared" si="1"/>
        <v>0</v>
      </c>
      <c r="H26" s="2">
        <f t="shared" si="6"/>
        <v>0</v>
      </c>
      <c r="I26" s="26">
        <v>8.94</v>
      </c>
      <c r="J26" s="50"/>
      <c r="K26" s="21">
        <f t="shared" si="3"/>
        <v>0</v>
      </c>
      <c r="L26" s="22" t="e">
        <f t="shared" si="4"/>
        <v>#DIV/0!</v>
      </c>
      <c r="M26" s="61"/>
      <c r="N26" s="64"/>
      <c r="O26" s="50"/>
      <c r="P26" s="50"/>
      <c r="Q26" s="50"/>
    </row>
    <row r="27" spans="1:17">
      <c r="A27" s="13">
        <f t="shared" si="5"/>
        <v>46136</v>
      </c>
      <c r="B27" s="1">
        <v>11500</v>
      </c>
      <c r="C27" s="1">
        <v>10785</v>
      </c>
      <c r="D27" s="32"/>
      <c r="E27" s="50"/>
      <c r="F27" s="21">
        <f t="shared" si="0"/>
        <v>0</v>
      </c>
      <c r="G27" s="2">
        <f t="shared" si="1"/>
        <v>0</v>
      </c>
      <c r="H27" s="2">
        <f t="shared" si="6"/>
        <v>0</v>
      </c>
      <c r="I27" s="26">
        <v>8.94</v>
      </c>
      <c r="J27" s="50"/>
      <c r="K27" s="21">
        <f t="shared" si="3"/>
        <v>0</v>
      </c>
      <c r="L27" s="22" t="e">
        <f t="shared" si="4"/>
        <v>#DIV/0!</v>
      </c>
      <c r="M27" s="61"/>
      <c r="N27" s="64"/>
      <c r="O27" s="50"/>
      <c r="P27" s="50"/>
      <c r="Q27" s="50"/>
    </row>
    <row r="28" spans="1:17">
      <c r="A28" s="13">
        <f t="shared" si="5"/>
        <v>46137</v>
      </c>
      <c r="B28" s="1">
        <v>11500</v>
      </c>
      <c r="C28" s="1">
        <v>10785</v>
      </c>
      <c r="D28" s="6"/>
      <c r="E28" s="6"/>
      <c r="F28" s="21">
        <f t="shared" si="0"/>
        <v>0</v>
      </c>
      <c r="G28" s="2">
        <f t="shared" si="1"/>
        <v>0</v>
      </c>
      <c r="H28" s="2">
        <f t="shared" si="6"/>
        <v>0</v>
      </c>
      <c r="I28" s="26">
        <v>8.94</v>
      </c>
      <c r="J28" s="6"/>
      <c r="K28" s="21">
        <f t="shared" si="3"/>
        <v>0</v>
      </c>
      <c r="L28" s="22" t="e">
        <f t="shared" si="4"/>
        <v>#DIV/0!</v>
      </c>
      <c r="M28" s="61"/>
      <c r="N28" s="64"/>
      <c r="O28" s="6"/>
      <c r="P28" s="6"/>
      <c r="Q28" s="6"/>
    </row>
    <row r="29" spans="1:17">
      <c r="A29" s="13">
        <f t="shared" si="5"/>
        <v>46138</v>
      </c>
      <c r="B29" s="1">
        <v>11500</v>
      </c>
      <c r="C29" s="1">
        <v>10785</v>
      </c>
      <c r="D29" s="6"/>
      <c r="E29" s="6"/>
      <c r="F29" s="21">
        <f t="shared" si="0"/>
        <v>0</v>
      </c>
      <c r="G29" s="2">
        <f t="shared" si="1"/>
        <v>0</v>
      </c>
      <c r="H29" s="2">
        <f t="shared" si="6"/>
        <v>0</v>
      </c>
      <c r="I29" s="26">
        <v>8.94</v>
      </c>
      <c r="J29" s="6"/>
      <c r="K29" s="21">
        <f t="shared" si="3"/>
        <v>0</v>
      </c>
      <c r="L29" s="22" t="e">
        <f t="shared" si="4"/>
        <v>#DIV/0!</v>
      </c>
      <c r="M29" s="61"/>
      <c r="N29" s="64"/>
      <c r="O29" s="6"/>
      <c r="P29" s="6"/>
      <c r="Q29" s="6"/>
    </row>
    <row r="30" spans="1:17">
      <c r="A30" s="13">
        <f t="shared" si="5"/>
        <v>46139</v>
      </c>
      <c r="B30" s="1">
        <v>11500</v>
      </c>
      <c r="C30" s="1">
        <v>10785</v>
      </c>
      <c r="D30" s="6"/>
      <c r="E30" s="6"/>
      <c r="F30" s="21">
        <f t="shared" si="0"/>
        <v>0</v>
      </c>
      <c r="G30" s="2">
        <f t="shared" si="1"/>
        <v>0</v>
      </c>
      <c r="H30" s="2">
        <f t="shared" si="6"/>
        <v>0</v>
      </c>
      <c r="I30" s="26">
        <v>8.94</v>
      </c>
      <c r="J30" s="6"/>
      <c r="K30" s="21">
        <f t="shared" si="3"/>
        <v>0</v>
      </c>
      <c r="L30" s="22" t="e">
        <f t="shared" si="4"/>
        <v>#DIV/0!</v>
      </c>
      <c r="M30" s="61"/>
      <c r="N30" s="64"/>
      <c r="O30" s="6"/>
      <c r="P30" s="6"/>
      <c r="Q30" s="6"/>
    </row>
    <row r="31" spans="1:17">
      <c r="A31" s="13">
        <f t="shared" si="5"/>
        <v>46140</v>
      </c>
      <c r="B31" s="1">
        <v>11500</v>
      </c>
      <c r="C31" s="1">
        <v>10785</v>
      </c>
      <c r="D31" s="6"/>
      <c r="E31" s="6"/>
      <c r="F31" s="21">
        <f t="shared" si="0"/>
        <v>0</v>
      </c>
      <c r="G31" s="2">
        <f t="shared" si="1"/>
        <v>0</v>
      </c>
      <c r="H31" s="2">
        <f t="shared" si="6"/>
        <v>0</v>
      </c>
      <c r="I31" s="26">
        <v>8.94</v>
      </c>
      <c r="J31" s="6"/>
      <c r="K31" s="21">
        <f t="shared" si="3"/>
        <v>0</v>
      </c>
      <c r="L31" s="22" t="e">
        <f t="shared" si="4"/>
        <v>#DIV/0!</v>
      </c>
      <c r="M31" s="61"/>
      <c r="N31" s="64"/>
      <c r="O31" s="6"/>
      <c r="P31" s="6"/>
      <c r="Q31" s="6"/>
    </row>
    <row r="32" spans="1:17">
      <c r="A32" s="13">
        <f t="shared" si="5"/>
        <v>46141</v>
      </c>
      <c r="B32" s="1">
        <v>11500</v>
      </c>
      <c r="C32" s="1">
        <v>10785</v>
      </c>
      <c r="D32" s="6"/>
      <c r="E32" s="6"/>
      <c r="F32" s="21">
        <f t="shared" si="0"/>
        <v>0</v>
      </c>
      <c r="G32" s="2">
        <f t="shared" si="1"/>
        <v>0</v>
      </c>
      <c r="H32" s="2">
        <f t="shared" si="6"/>
        <v>0</v>
      </c>
      <c r="I32" s="26">
        <v>8.94</v>
      </c>
      <c r="J32" s="6"/>
      <c r="K32" s="21">
        <f t="shared" si="3"/>
        <v>0</v>
      </c>
      <c r="L32" s="22" t="e">
        <f t="shared" si="4"/>
        <v>#DIV/0!</v>
      </c>
      <c r="M32" s="61"/>
      <c r="N32" s="64"/>
      <c r="O32" s="6"/>
      <c r="P32" s="6"/>
      <c r="Q32" s="6"/>
    </row>
    <row r="33" spans="1:17">
      <c r="A33" s="13">
        <f t="shared" si="5"/>
        <v>46142</v>
      </c>
      <c r="B33" s="1">
        <v>11500</v>
      </c>
      <c r="C33" s="1">
        <v>10785</v>
      </c>
      <c r="D33" s="6"/>
      <c r="E33" s="6"/>
      <c r="F33" s="21">
        <f t="shared" si="0"/>
        <v>0</v>
      </c>
      <c r="G33" s="2">
        <f t="shared" si="1"/>
        <v>0</v>
      </c>
      <c r="H33" s="2">
        <f t="shared" si="6"/>
        <v>0</v>
      </c>
      <c r="I33" s="26">
        <v>8.94</v>
      </c>
      <c r="J33" s="6"/>
      <c r="K33" s="21">
        <f t="shared" si="3"/>
        <v>0</v>
      </c>
      <c r="L33" s="22" t="e">
        <f t="shared" si="4"/>
        <v>#DIV/0!</v>
      </c>
      <c r="M33" s="6"/>
      <c r="N33" s="6"/>
      <c r="O33" s="6"/>
      <c r="P33" s="6"/>
      <c r="Q33" s="6"/>
    </row>
    <row r="34" spans="1:17">
      <c r="A34" s="349">
        <v>46113</v>
      </c>
      <c r="B34" s="89">
        <f>SUM(B4:B33)</f>
        <v>345000</v>
      </c>
      <c r="C34" s="89">
        <f>SUM(C4:C33)</f>
        <v>323550</v>
      </c>
      <c r="D34" s="89">
        <f>SUM(D4:D33)</f>
        <v>0</v>
      </c>
      <c r="E34" s="89">
        <f>SUM(E4:E33)</f>
        <v>0</v>
      </c>
      <c r="F34" s="160">
        <f t="shared" si="0"/>
        <v>-1</v>
      </c>
      <c r="G34" s="90">
        <f>AVERAGE(G4:G33)</f>
        <v>0</v>
      </c>
      <c r="H34" s="90">
        <f>AVERAGE(H4:H33)</f>
        <v>0</v>
      </c>
      <c r="I34" s="89">
        <f>SUM(I4:I33)</f>
        <v>268.2</v>
      </c>
      <c r="J34" s="89">
        <f>SUM(J4:J33)</f>
        <v>0</v>
      </c>
      <c r="K34" s="160">
        <f t="shared" si="3"/>
        <v>-1</v>
      </c>
      <c r="L34" s="161" t="e">
        <f t="shared" si="4"/>
        <v>#DIV/0!</v>
      </c>
      <c r="M34" s="90" t="e">
        <f>AVERAGE(M4:M33)</f>
        <v>#DIV/0!</v>
      </c>
      <c r="N34" s="90" t="e">
        <f>AVERAGE(N4:N33)</f>
        <v>#DIV/0!</v>
      </c>
      <c r="O34" s="89">
        <f>SUM(O4:O33)</f>
        <v>0</v>
      </c>
      <c r="P34" s="89">
        <f>SUM(P4:P33)</f>
        <v>0</v>
      </c>
      <c r="Q34" s="19"/>
    </row>
    <row r="35" spans="1:17">
      <c r="A35" s="13">
        <v>46143</v>
      </c>
      <c r="B35" s="127">
        <v>10981</v>
      </c>
      <c r="C35" s="127">
        <v>10298</v>
      </c>
      <c r="D35" s="33"/>
      <c r="E35" s="33"/>
      <c r="F35" s="21">
        <f t="shared" si="0"/>
        <v>0</v>
      </c>
      <c r="G35" s="2">
        <f t="shared" ref="G35:G65" si="7">D35/($D$2*24)</f>
        <v>0</v>
      </c>
      <c r="H35" s="2">
        <f t="shared" ref="H35:H65" si="8">D35/($H$2*24)</f>
        <v>0</v>
      </c>
      <c r="I35" s="28">
        <v>8.85</v>
      </c>
      <c r="J35" s="33"/>
      <c r="K35" s="21">
        <f t="shared" si="3"/>
        <v>0</v>
      </c>
      <c r="L35" s="22" t="e">
        <f t="shared" si="4"/>
        <v>#DIV/0!</v>
      </c>
      <c r="M35" s="103"/>
      <c r="N35" s="103"/>
      <c r="O35" s="33"/>
      <c r="P35" s="6"/>
      <c r="Q35" s="6"/>
    </row>
    <row r="36" spans="1:17">
      <c r="A36" s="13">
        <f t="shared" ref="A36:A65" si="9">A35+1</f>
        <v>46144</v>
      </c>
      <c r="B36" s="127">
        <v>10981</v>
      </c>
      <c r="C36" s="127">
        <v>10298</v>
      </c>
      <c r="D36" s="34"/>
      <c r="E36" s="34"/>
      <c r="F36" s="21">
        <f t="shared" ref="F36:F66" si="10">(IF(ISBLANK(E36),0,E36-C36))/C36</f>
        <v>0</v>
      </c>
      <c r="G36" s="2">
        <f t="shared" si="7"/>
        <v>0</v>
      </c>
      <c r="H36" s="2">
        <f t="shared" si="8"/>
        <v>0</v>
      </c>
      <c r="I36" s="28">
        <v>8.85</v>
      </c>
      <c r="J36" s="34"/>
      <c r="K36" s="21">
        <f t="shared" ref="K36:K66" si="11">(IF(ISBLANK(J36),0,J36-I36))/I36</f>
        <v>0</v>
      </c>
      <c r="L36" s="22" t="e">
        <f t="shared" ref="L36:L66" si="12">D36/($D$2*J36)</f>
        <v>#DIV/0!</v>
      </c>
      <c r="M36" s="103"/>
      <c r="N36" s="103"/>
      <c r="O36" s="34"/>
      <c r="P36" s="6"/>
      <c r="Q36" s="6"/>
    </row>
    <row r="37" spans="1:17">
      <c r="A37" s="13">
        <f t="shared" si="9"/>
        <v>46145</v>
      </c>
      <c r="B37" s="127">
        <v>10981</v>
      </c>
      <c r="C37" s="127">
        <v>10298</v>
      </c>
      <c r="D37" s="34"/>
      <c r="E37" s="34"/>
      <c r="F37" s="21">
        <f t="shared" si="10"/>
        <v>0</v>
      </c>
      <c r="G37" s="2">
        <f t="shared" si="7"/>
        <v>0</v>
      </c>
      <c r="H37" s="2">
        <f t="shared" si="8"/>
        <v>0</v>
      </c>
      <c r="I37" s="28">
        <v>8.85</v>
      </c>
      <c r="J37" s="34"/>
      <c r="K37" s="21">
        <f t="shared" si="11"/>
        <v>0</v>
      </c>
      <c r="L37" s="22" t="e">
        <f t="shared" si="12"/>
        <v>#DIV/0!</v>
      </c>
      <c r="M37" s="103"/>
      <c r="N37" s="104"/>
      <c r="O37" s="34"/>
      <c r="P37" s="6"/>
      <c r="Q37" s="6"/>
    </row>
    <row r="38" spans="1:17">
      <c r="A38" s="13">
        <f t="shared" si="9"/>
        <v>46146</v>
      </c>
      <c r="B38" s="127"/>
      <c r="C38" s="127"/>
      <c r="D38" s="34"/>
      <c r="E38" s="34"/>
      <c r="F38" s="21" t="e">
        <f t="shared" si="10"/>
        <v>#DIV/0!</v>
      </c>
      <c r="G38" s="2">
        <f t="shared" si="7"/>
        <v>0</v>
      </c>
      <c r="H38" s="2">
        <f t="shared" si="8"/>
        <v>0</v>
      </c>
      <c r="I38" s="29"/>
      <c r="J38" s="34"/>
      <c r="K38" s="21" t="e">
        <f t="shared" si="11"/>
        <v>#DIV/0!</v>
      </c>
      <c r="L38" s="22" t="e">
        <f t="shared" si="12"/>
        <v>#DIV/0!</v>
      </c>
      <c r="M38" s="103"/>
      <c r="N38" s="103"/>
      <c r="O38" s="34"/>
      <c r="P38" s="6"/>
      <c r="Q38" s="14"/>
    </row>
    <row r="39" spans="1:17">
      <c r="A39" s="13">
        <f t="shared" si="9"/>
        <v>46147</v>
      </c>
      <c r="B39" s="127"/>
      <c r="C39" s="127"/>
      <c r="D39" s="34"/>
      <c r="E39" s="34"/>
      <c r="F39" s="21" t="e">
        <f t="shared" si="10"/>
        <v>#DIV/0!</v>
      </c>
      <c r="G39" s="2">
        <f t="shared" si="7"/>
        <v>0</v>
      </c>
      <c r="H39" s="2">
        <f t="shared" si="8"/>
        <v>0</v>
      </c>
      <c r="I39" s="29"/>
      <c r="J39" s="34"/>
      <c r="K39" s="21" t="e">
        <f t="shared" si="11"/>
        <v>#DIV/0!</v>
      </c>
      <c r="L39" s="22" t="e">
        <f t="shared" si="12"/>
        <v>#DIV/0!</v>
      </c>
      <c r="M39" s="103"/>
      <c r="N39" s="103"/>
      <c r="O39" s="34"/>
      <c r="P39" s="6"/>
      <c r="Q39" s="14"/>
    </row>
    <row r="40" spans="1:17">
      <c r="A40" s="13">
        <f t="shared" si="9"/>
        <v>46148</v>
      </c>
      <c r="B40" s="127"/>
      <c r="C40" s="127"/>
      <c r="D40" s="34"/>
      <c r="E40" s="34"/>
      <c r="F40" s="21" t="e">
        <f t="shared" si="10"/>
        <v>#DIV/0!</v>
      </c>
      <c r="G40" s="2">
        <f t="shared" si="7"/>
        <v>0</v>
      </c>
      <c r="H40" s="2">
        <f t="shared" si="8"/>
        <v>0</v>
      </c>
      <c r="I40" s="29"/>
      <c r="J40" s="34"/>
      <c r="K40" s="21" t="e">
        <f t="shared" si="11"/>
        <v>#DIV/0!</v>
      </c>
      <c r="L40" s="22" t="e">
        <f t="shared" si="12"/>
        <v>#DIV/0!</v>
      </c>
      <c r="M40" s="103"/>
      <c r="N40" s="103"/>
      <c r="O40" s="34"/>
      <c r="P40" s="6"/>
      <c r="Q40" s="14"/>
    </row>
    <row r="41" spans="1:17">
      <c r="A41" s="13">
        <f t="shared" si="9"/>
        <v>46149</v>
      </c>
      <c r="B41" s="127"/>
      <c r="C41" s="127"/>
      <c r="D41" s="34"/>
      <c r="E41" s="34"/>
      <c r="F41" s="21" t="e">
        <f t="shared" si="10"/>
        <v>#DIV/0!</v>
      </c>
      <c r="G41" s="2">
        <f t="shared" si="7"/>
        <v>0</v>
      </c>
      <c r="H41" s="2">
        <f t="shared" si="8"/>
        <v>0</v>
      </c>
      <c r="I41" s="29"/>
      <c r="J41" s="34"/>
      <c r="K41" s="21" t="e">
        <f t="shared" si="11"/>
        <v>#DIV/0!</v>
      </c>
      <c r="L41" s="22" t="e">
        <f t="shared" si="12"/>
        <v>#DIV/0!</v>
      </c>
      <c r="M41" s="103"/>
      <c r="N41" s="103"/>
      <c r="O41" s="34"/>
      <c r="P41" s="6"/>
      <c r="Q41" s="198"/>
    </row>
    <row r="42" spans="1:17">
      <c r="A42" s="13">
        <f t="shared" si="9"/>
        <v>46150</v>
      </c>
      <c r="B42" s="127"/>
      <c r="C42" s="127"/>
      <c r="D42" s="34"/>
      <c r="E42" s="34"/>
      <c r="F42" s="21" t="e">
        <f t="shared" si="10"/>
        <v>#DIV/0!</v>
      </c>
      <c r="G42" s="2">
        <f t="shared" si="7"/>
        <v>0</v>
      </c>
      <c r="H42" s="2">
        <f t="shared" si="8"/>
        <v>0</v>
      </c>
      <c r="I42" s="29"/>
      <c r="J42" s="34"/>
      <c r="K42" s="21" t="e">
        <f t="shared" si="11"/>
        <v>#DIV/0!</v>
      </c>
      <c r="L42" s="22" t="e">
        <f t="shared" si="12"/>
        <v>#DIV/0!</v>
      </c>
      <c r="M42" s="103"/>
      <c r="N42" s="103"/>
      <c r="O42" s="34"/>
      <c r="P42" s="6"/>
      <c r="Q42" s="14"/>
    </row>
    <row r="43" spans="1:17">
      <c r="A43" s="13">
        <f t="shared" si="9"/>
        <v>46151</v>
      </c>
      <c r="B43" s="127"/>
      <c r="C43" s="127"/>
      <c r="D43" s="34"/>
      <c r="E43" s="34"/>
      <c r="F43" s="21" t="e">
        <f t="shared" si="10"/>
        <v>#DIV/0!</v>
      </c>
      <c r="G43" s="2">
        <f t="shared" si="7"/>
        <v>0</v>
      </c>
      <c r="H43" s="2">
        <f t="shared" si="8"/>
        <v>0</v>
      </c>
      <c r="I43" s="29"/>
      <c r="J43" s="34"/>
      <c r="K43" s="21" t="e">
        <f t="shared" si="11"/>
        <v>#DIV/0!</v>
      </c>
      <c r="L43" s="22" t="e">
        <f t="shared" si="12"/>
        <v>#DIV/0!</v>
      </c>
      <c r="M43" s="103"/>
      <c r="N43" s="103"/>
      <c r="O43" s="34"/>
      <c r="P43" s="6"/>
      <c r="Q43" s="6"/>
    </row>
    <row r="44" spans="1:17">
      <c r="A44" s="13">
        <f t="shared" si="9"/>
        <v>46152</v>
      </c>
      <c r="B44" s="127"/>
      <c r="C44" s="127"/>
      <c r="D44" s="34"/>
      <c r="E44" s="34"/>
      <c r="F44" s="21" t="e">
        <f t="shared" si="10"/>
        <v>#DIV/0!</v>
      </c>
      <c r="G44" s="2">
        <f t="shared" si="7"/>
        <v>0</v>
      </c>
      <c r="H44" s="2">
        <f t="shared" si="8"/>
        <v>0</v>
      </c>
      <c r="I44" s="29"/>
      <c r="J44" s="34"/>
      <c r="K44" s="21" t="e">
        <f t="shared" si="11"/>
        <v>#DIV/0!</v>
      </c>
      <c r="L44" s="22" t="e">
        <f t="shared" si="12"/>
        <v>#DIV/0!</v>
      </c>
      <c r="M44" s="103"/>
      <c r="N44" s="103"/>
      <c r="O44" s="34"/>
      <c r="P44" s="6"/>
      <c r="Q44" s="16"/>
    </row>
    <row r="45" spans="1:17">
      <c r="A45" s="13">
        <f t="shared" si="9"/>
        <v>46153</v>
      </c>
      <c r="B45" s="127"/>
      <c r="C45" s="127"/>
      <c r="D45" s="34"/>
      <c r="E45" s="34"/>
      <c r="F45" s="21" t="e">
        <f t="shared" si="10"/>
        <v>#DIV/0!</v>
      </c>
      <c r="G45" s="2">
        <f t="shared" si="7"/>
        <v>0</v>
      </c>
      <c r="H45" s="2">
        <f t="shared" si="8"/>
        <v>0</v>
      </c>
      <c r="I45" s="29"/>
      <c r="J45" s="34"/>
      <c r="K45" s="21" t="e">
        <f t="shared" si="11"/>
        <v>#DIV/0!</v>
      </c>
      <c r="L45" s="22" t="e">
        <f t="shared" si="12"/>
        <v>#DIV/0!</v>
      </c>
      <c r="M45" s="103"/>
      <c r="N45" s="103"/>
      <c r="O45" s="34"/>
      <c r="P45" s="6"/>
      <c r="Q45" s="6"/>
    </row>
    <row r="46" spans="1:17">
      <c r="A46" s="13">
        <f t="shared" si="9"/>
        <v>46154</v>
      </c>
      <c r="B46" s="127"/>
      <c r="C46" s="127"/>
      <c r="D46" s="34"/>
      <c r="E46" s="34"/>
      <c r="F46" s="21" t="e">
        <f t="shared" si="10"/>
        <v>#DIV/0!</v>
      </c>
      <c r="G46" s="2">
        <f t="shared" si="7"/>
        <v>0</v>
      </c>
      <c r="H46" s="2">
        <f t="shared" si="8"/>
        <v>0</v>
      </c>
      <c r="I46" s="29"/>
      <c r="J46" s="34"/>
      <c r="K46" s="21" t="e">
        <f t="shared" si="11"/>
        <v>#DIV/0!</v>
      </c>
      <c r="L46" s="22" t="e">
        <f t="shared" si="12"/>
        <v>#DIV/0!</v>
      </c>
      <c r="M46" s="104"/>
      <c r="N46" s="103"/>
      <c r="O46" s="34"/>
      <c r="P46" s="6"/>
      <c r="Q46" s="6"/>
    </row>
    <row r="47" spans="1:17">
      <c r="A47" s="13">
        <f t="shared" si="9"/>
        <v>46155</v>
      </c>
      <c r="B47" s="127"/>
      <c r="C47" s="127"/>
      <c r="D47" s="34"/>
      <c r="E47" s="34"/>
      <c r="F47" s="21" t="e">
        <f t="shared" si="10"/>
        <v>#DIV/0!</v>
      </c>
      <c r="G47" s="2">
        <f t="shared" si="7"/>
        <v>0</v>
      </c>
      <c r="H47" s="2">
        <f t="shared" si="8"/>
        <v>0</v>
      </c>
      <c r="I47" s="29"/>
      <c r="J47" s="34"/>
      <c r="K47" s="21" t="e">
        <f t="shared" si="11"/>
        <v>#DIV/0!</v>
      </c>
      <c r="L47" s="22" t="e">
        <f t="shared" si="12"/>
        <v>#DIV/0!</v>
      </c>
      <c r="M47" s="104"/>
      <c r="N47" s="103"/>
      <c r="O47" s="34"/>
      <c r="P47" s="6"/>
      <c r="Q47" s="31"/>
    </row>
    <row r="48" spans="1:17">
      <c r="A48" s="13">
        <f t="shared" si="9"/>
        <v>46156</v>
      </c>
      <c r="B48" s="127"/>
      <c r="C48" s="127"/>
      <c r="D48" s="34"/>
      <c r="E48" s="34"/>
      <c r="F48" s="21" t="e">
        <f t="shared" si="10"/>
        <v>#DIV/0!</v>
      </c>
      <c r="G48" s="2">
        <f t="shared" si="7"/>
        <v>0</v>
      </c>
      <c r="H48" s="2">
        <f t="shared" si="8"/>
        <v>0</v>
      </c>
      <c r="I48" s="29"/>
      <c r="J48" s="34"/>
      <c r="K48" s="21" t="e">
        <f t="shared" si="11"/>
        <v>#DIV/0!</v>
      </c>
      <c r="L48" s="22" t="e">
        <f t="shared" si="12"/>
        <v>#DIV/0!</v>
      </c>
      <c r="M48" s="104"/>
      <c r="N48" s="103"/>
      <c r="O48" s="34"/>
      <c r="P48" s="6"/>
      <c r="Q48" s="32"/>
    </row>
    <row r="49" spans="1:17">
      <c r="A49" s="13">
        <f t="shared" si="9"/>
        <v>46157</v>
      </c>
      <c r="B49" s="127"/>
      <c r="C49" s="127"/>
      <c r="D49" s="34"/>
      <c r="E49" s="34"/>
      <c r="F49" s="21" t="e">
        <f t="shared" si="10"/>
        <v>#DIV/0!</v>
      </c>
      <c r="G49" s="2">
        <f t="shared" si="7"/>
        <v>0</v>
      </c>
      <c r="H49" s="2">
        <f t="shared" si="8"/>
        <v>0</v>
      </c>
      <c r="I49" s="29"/>
      <c r="J49" s="34"/>
      <c r="K49" s="21" t="e">
        <f t="shared" si="11"/>
        <v>#DIV/0!</v>
      </c>
      <c r="L49" s="22" t="e">
        <f t="shared" si="12"/>
        <v>#DIV/0!</v>
      </c>
      <c r="M49" s="104"/>
      <c r="N49" s="103"/>
      <c r="O49" s="34"/>
      <c r="P49" s="6"/>
      <c r="Q49" s="32"/>
    </row>
    <row r="50" spans="1:17">
      <c r="A50" s="13">
        <f t="shared" si="9"/>
        <v>46158</v>
      </c>
      <c r="B50" s="127"/>
      <c r="C50" s="127"/>
      <c r="D50" s="34"/>
      <c r="E50" s="34"/>
      <c r="F50" s="21" t="e">
        <f t="shared" si="10"/>
        <v>#DIV/0!</v>
      </c>
      <c r="G50" s="2">
        <f t="shared" si="7"/>
        <v>0</v>
      </c>
      <c r="H50" s="2">
        <f t="shared" si="8"/>
        <v>0</v>
      </c>
      <c r="I50" s="29"/>
      <c r="J50" s="34"/>
      <c r="K50" s="21" t="e">
        <f t="shared" si="11"/>
        <v>#DIV/0!</v>
      </c>
      <c r="L50" s="22" t="e">
        <f t="shared" si="12"/>
        <v>#DIV/0!</v>
      </c>
      <c r="M50" s="104"/>
      <c r="N50" s="103"/>
      <c r="O50" s="34"/>
      <c r="P50" s="6"/>
      <c r="Q50" s="32"/>
    </row>
    <row r="51" spans="1:17">
      <c r="A51" s="13">
        <f t="shared" si="9"/>
        <v>46159</v>
      </c>
      <c r="B51" s="127"/>
      <c r="C51" s="127"/>
      <c r="D51" s="34"/>
      <c r="E51" s="34"/>
      <c r="F51" s="21" t="e">
        <f t="shared" si="10"/>
        <v>#DIV/0!</v>
      </c>
      <c r="G51" s="2">
        <f t="shared" si="7"/>
        <v>0</v>
      </c>
      <c r="H51" s="2">
        <f t="shared" si="8"/>
        <v>0</v>
      </c>
      <c r="I51" s="29"/>
      <c r="J51" s="34"/>
      <c r="K51" s="21" t="e">
        <f t="shared" si="11"/>
        <v>#DIV/0!</v>
      </c>
      <c r="L51" s="22" t="e">
        <f t="shared" si="12"/>
        <v>#DIV/0!</v>
      </c>
      <c r="M51" s="103"/>
      <c r="N51" s="103"/>
      <c r="O51" s="34"/>
      <c r="P51" s="6"/>
      <c r="Q51" s="6"/>
    </row>
    <row r="52" spans="1:17">
      <c r="A52" s="13">
        <f t="shared" si="9"/>
        <v>46160</v>
      </c>
      <c r="B52" s="127"/>
      <c r="C52" s="127"/>
      <c r="D52" s="34"/>
      <c r="E52" s="34"/>
      <c r="F52" s="21" t="e">
        <f t="shared" si="10"/>
        <v>#DIV/0!</v>
      </c>
      <c r="G52" s="2">
        <f t="shared" si="7"/>
        <v>0</v>
      </c>
      <c r="H52" s="2">
        <f t="shared" si="8"/>
        <v>0</v>
      </c>
      <c r="I52" s="29"/>
      <c r="J52" s="34"/>
      <c r="K52" s="21" t="e">
        <f t="shared" si="11"/>
        <v>#DIV/0!</v>
      </c>
      <c r="L52" s="22" t="e">
        <f t="shared" si="12"/>
        <v>#DIV/0!</v>
      </c>
      <c r="M52" s="103"/>
      <c r="N52" s="103"/>
      <c r="O52" s="34"/>
      <c r="P52" s="6"/>
      <c r="Q52" s="14"/>
    </row>
    <row r="53" spans="1:17">
      <c r="A53" s="13">
        <f t="shared" si="9"/>
        <v>46161</v>
      </c>
      <c r="B53" s="127"/>
      <c r="C53" s="127"/>
      <c r="D53" s="34"/>
      <c r="E53" s="34"/>
      <c r="F53" s="21" t="e">
        <f t="shared" si="10"/>
        <v>#DIV/0!</v>
      </c>
      <c r="G53" s="2">
        <f t="shared" si="7"/>
        <v>0</v>
      </c>
      <c r="H53" s="2">
        <f t="shared" si="8"/>
        <v>0</v>
      </c>
      <c r="I53" s="29"/>
      <c r="J53" s="34"/>
      <c r="K53" s="21" t="e">
        <f t="shared" si="11"/>
        <v>#DIV/0!</v>
      </c>
      <c r="L53" s="22" t="e">
        <f t="shared" si="12"/>
        <v>#DIV/0!</v>
      </c>
      <c r="M53" s="103"/>
      <c r="N53" s="103"/>
      <c r="O53" s="34"/>
      <c r="P53" s="6"/>
      <c r="Q53" s="14"/>
    </row>
    <row r="54" spans="1:17">
      <c r="A54" s="13">
        <f t="shared" si="9"/>
        <v>46162</v>
      </c>
      <c r="B54" s="127"/>
      <c r="C54" s="127"/>
      <c r="D54" s="34"/>
      <c r="E54" s="34"/>
      <c r="F54" s="21" t="e">
        <f t="shared" si="10"/>
        <v>#DIV/0!</v>
      </c>
      <c r="G54" s="2">
        <f t="shared" si="7"/>
        <v>0</v>
      </c>
      <c r="H54" s="2">
        <f t="shared" si="8"/>
        <v>0</v>
      </c>
      <c r="I54" s="29"/>
      <c r="J54" s="34"/>
      <c r="K54" s="21" t="e">
        <f t="shared" si="11"/>
        <v>#DIV/0!</v>
      </c>
      <c r="L54" s="22" t="e">
        <f t="shared" si="12"/>
        <v>#DIV/0!</v>
      </c>
      <c r="M54" s="103"/>
      <c r="N54" s="103"/>
      <c r="O54" s="34"/>
      <c r="P54" s="6"/>
      <c r="Q54" s="14"/>
    </row>
    <row r="55" spans="1:17">
      <c r="A55" s="13">
        <f t="shared" si="9"/>
        <v>46163</v>
      </c>
      <c r="B55" s="127"/>
      <c r="C55" s="127"/>
      <c r="D55" s="34"/>
      <c r="E55" s="34"/>
      <c r="F55" s="21" t="e">
        <f t="shared" si="10"/>
        <v>#DIV/0!</v>
      </c>
      <c r="G55" s="2">
        <f t="shared" si="7"/>
        <v>0</v>
      </c>
      <c r="H55" s="2">
        <f t="shared" si="8"/>
        <v>0</v>
      </c>
      <c r="I55" s="29"/>
      <c r="J55" s="34"/>
      <c r="K55" s="21" t="e">
        <f t="shared" si="11"/>
        <v>#DIV/0!</v>
      </c>
      <c r="L55" s="22" t="e">
        <f t="shared" si="12"/>
        <v>#DIV/0!</v>
      </c>
      <c r="M55" s="103"/>
      <c r="N55" s="103"/>
      <c r="O55" s="34"/>
      <c r="P55" s="6"/>
      <c r="Q55" s="6"/>
    </row>
    <row r="56" spans="1:17">
      <c r="A56" s="13">
        <f t="shared" si="9"/>
        <v>46164</v>
      </c>
      <c r="B56" s="127"/>
      <c r="C56" s="127"/>
      <c r="D56" s="34"/>
      <c r="E56" s="34"/>
      <c r="F56" s="21" t="e">
        <f t="shared" si="10"/>
        <v>#DIV/0!</v>
      </c>
      <c r="G56" s="2">
        <f t="shared" si="7"/>
        <v>0</v>
      </c>
      <c r="H56" s="2">
        <f t="shared" si="8"/>
        <v>0</v>
      </c>
      <c r="I56" s="29"/>
      <c r="J56" s="34"/>
      <c r="K56" s="21" t="e">
        <f t="shared" si="11"/>
        <v>#DIV/0!</v>
      </c>
      <c r="L56" s="22" t="e">
        <f t="shared" si="12"/>
        <v>#DIV/0!</v>
      </c>
      <c r="M56" s="103"/>
      <c r="N56" s="103"/>
      <c r="O56" s="34"/>
      <c r="P56" s="6"/>
      <c r="Q56" s="6"/>
    </row>
    <row r="57" spans="1:17">
      <c r="A57" s="13">
        <f t="shared" si="9"/>
        <v>46165</v>
      </c>
      <c r="B57" s="127"/>
      <c r="C57" s="127"/>
      <c r="D57" s="14"/>
      <c r="E57" s="14"/>
      <c r="F57" s="21" t="e">
        <f t="shared" si="10"/>
        <v>#DIV/0!</v>
      </c>
      <c r="G57" s="2">
        <f t="shared" si="7"/>
        <v>0</v>
      </c>
      <c r="H57" s="2">
        <f t="shared" si="8"/>
        <v>0</v>
      </c>
      <c r="I57" s="29"/>
      <c r="J57" s="14"/>
      <c r="K57" s="21" t="e">
        <f t="shared" si="11"/>
        <v>#DIV/0!</v>
      </c>
      <c r="L57" s="22" t="e">
        <f t="shared" si="12"/>
        <v>#DIV/0!</v>
      </c>
      <c r="M57" s="103"/>
      <c r="N57" s="103"/>
      <c r="O57" s="34"/>
      <c r="P57" s="6"/>
      <c r="Q57" s="6"/>
    </row>
    <row r="58" spans="1:17">
      <c r="A58" s="13">
        <f t="shared" si="9"/>
        <v>46166</v>
      </c>
      <c r="B58" s="127"/>
      <c r="C58" s="127"/>
      <c r="D58" s="14"/>
      <c r="E58" s="14"/>
      <c r="F58" s="21" t="e">
        <f t="shared" si="10"/>
        <v>#DIV/0!</v>
      </c>
      <c r="G58" s="2">
        <f t="shared" si="7"/>
        <v>0</v>
      </c>
      <c r="H58" s="2">
        <f t="shared" si="8"/>
        <v>0</v>
      </c>
      <c r="I58" s="29"/>
      <c r="J58" s="14"/>
      <c r="K58" s="21" t="e">
        <f t="shared" si="11"/>
        <v>#DIV/0!</v>
      </c>
      <c r="L58" s="22" t="e">
        <f t="shared" si="12"/>
        <v>#DIV/0!</v>
      </c>
      <c r="M58" s="103"/>
      <c r="N58" s="103"/>
      <c r="O58" s="34"/>
      <c r="P58" s="6"/>
      <c r="Q58" s="288"/>
    </row>
    <row r="59" spans="1:17">
      <c r="A59" s="13">
        <f t="shared" si="9"/>
        <v>46167</v>
      </c>
      <c r="B59" s="1"/>
      <c r="C59" s="1"/>
      <c r="D59" s="14"/>
      <c r="E59" s="14"/>
      <c r="F59" s="21" t="e">
        <f t="shared" si="10"/>
        <v>#DIV/0!</v>
      </c>
      <c r="G59" s="2">
        <f t="shared" si="7"/>
        <v>0</v>
      </c>
      <c r="H59" s="2">
        <f t="shared" si="8"/>
        <v>0</v>
      </c>
      <c r="I59" s="29"/>
      <c r="J59" s="14"/>
      <c r="K59" s="21" t="e">
        <f t="shared" si="11"/>
        <v>#DIV/0!</v>
      </c>
      <c r="L59" s="22" t="e">
        <f t="shared" si="12"/>
        <v>#DIV/0!</v>
      </c>
      <c r="M59" s="103"/>
      <c r="N59" s="103"/>
      <c r="O59" s="34"/>
      <c r="P59" s="155"/>
      <c r="Q59" s="6"/>
    </row>
    <row r="60" spans="1:17">
      <c r="A60" s="13">
        <f t="shared" si="9"/>
        <v>46168</v>
      </c>
      <c r="B60" s="1"/>
      <c r="C60" s="1"/>
      <c r="D60" s="14"/>
      <c r="E60" s="14"/>
      <c r="F60" s="21" t="e">
        <f t="shared" si="10"/>
        <v>#DIV/0!</v>
      </c>
      <c r="G60" s="2">
        <f t="shared" si="7"/>
        <v>0</v>
      </c>
      <c r="H60" s="2">
        <f t="shared" si="8"/>
        <v>0</v>
      </c>
      <c r="I60" s="29"/>
      <c r="J60" s="14"/>
      <c r="K60" s="21" t="e">
        <f t="shared" si="11"/>
        <v>#DIV/0!</v>
      </c>
      <c r="L60" s="22" t="e">
        <f t="shared" si="12"/>
        <v>#DIV/0!</v>
      </c>
      <c r="M60" s="103"/>
      <c r="N60" s="103"/>
      <c r="O60" s="34"/>
      <c r="P60" s="6"/>
      <c r="Q60" s="123"/>
    </row>
    <row r="61" spans="1:17">
      <c r="A61" s="13">
        <f t="shared" si="9"/>
        <v>46169</v>
      </c>
      <c r="B61" s="1"/>
      <c r="C61" s="1"/>
      <c r="D61" s="14"/>
      <c r="E61" s="14"/>
      <c r="F61" s="21" t="e">
        <f t="shared" si="10"/>
        <v>#DIV/0!</v>
      </c>
      <c r="G61" s="2">
        <f t="shared" si="7"/>
        <v>0</v>
      </c>
      <c r="H61" s="2">
        <f t="shared" si="8"/>
        <v>0</v>
      </c>
      <c r="I61" s="29"/>
      <c r="J61" s="14"/>
      <c r="K61" s="21" t="e">
        <f t="shared" si="11"/>
        <v>#DIV/0!</v>
      </c>
      <c r="L61" s="22" t="e">
        <f t="shared" si="12"/>
        <v>#DIV/0!</v>
      </c>
      <c r="M61" s="103"/>
      <c r="N61" s="103"/>
      <c r="O61" s="34"/>
      <c r="P61" s="6"/>
      <c r="Q61" s="6"/>
    </row>
    <row r="62" spans="1:17">
      <c r="A62" s="13">
        <f t="shared" si="9"/>
        <v>46170</v>
      </c>
      <c r="B62" s="1"/>
      <c r="C62" s="1"/>
      <c r="D62" s="14"/>
      <c r="E62" s="14"/>
      <c r="F62" s="21" t="e">
        <f t="shared" si="10"/>
        <v>#DIV/0!</v>
      </c>
      <c r="G62" s="2">
        <f t="shared" si="7"/>
        <v>0</v>
      </c>
      <c r="H62" s="2">
        <f t="shared" si="8"/>
        <v>0</v>
      </c>
      <c r="I62" s="29"/>
      <c r="J62" s="14"/>
      <c r="K62" s="21" t="e">
        <f t="shared" si="11"/>
        <v>#DIV/0!</v>
      </c>
      <c r="L62" s="22" t="e">
        <f t="shared" si="12"/>
        <v>#DIV/0!</v>
      </c>
      <c r="M62" s="103"/>
      <c r="N62" s="103"/>
      <c r="O62" s="34"/>
      <c r="P62" s="6"/>
      <c r="Q62" s="6"/>
    </row>
    <row r="63" spans="1:17">
      <c r="A63" s="13">
        <f t="shared" si="9"/>
        <v>46171</v>
      </c>
      <c r="B63" s="1"/>
      <c r="C63" s="1"/>
      <c r="D63" s="14"/>
      <c r="E63" s="14"/>
      <c r="F63" s="21" t="e">
        <f t="shared" si="10"/>
        <v>#DIV/0!</v>
      </c>
      <c r="G63" s="2">
        <f t="shared" si="7"/>
        <v>0</v>
      </c>
      <c r="H63" s="2">
        <f t="shared" si="8"/>
        <v>0</v>
      </c>
      <c r="I63" s="29"/>
      <c r="J63" s="14"/>
      <c r="K63" s="21" t="e">
        <f t="shared" si="11"/>
        <v>#DIV/0!</v>
      </c>
      <c r="L63" s="22" t="e">
        <f t="shared" si="12"/>
        <v>#DIV/0!</v>
      </c>
      <c r="M63" s="103"/>
      <c r="N63" s="103"/>
      <c r="O63" s="34"/>
      <c r="P63" s="6"/>
      <c r="Q63" s="6"/>
    </row>
    <row r="64" spans="1:17">
      <c r="A64" s="13">
        <f t="shared" si="9"/>
        <v>46172</v>
      </c>
      <c r="B64" s="1"/>
      <c r="C64" s="1"/>
      <c r="D64" s="14"/>
      <c r="E64" s="14"/>
      <c r="F64" s="21" t="e">
        <f t="shared" si="10"/>
        <v>#DIV/0!</v>
      </c>
      <c r="G64" s="2">
        <f t="shared" si="7"/>
        <v>0</v>
      </c>
      <c r="H64" s="2">
        <f t="shared" si="8"/>
        <v>0</v>
      </c>
      <c r="I64" s="29"/>
      <c r="J64" s="14"/>
      <c r="K64" s="21" t="e">
        <f t="shared" si="11"/>
        <v>#DIV/0!</v>
      </c>
      <c r="L64" s="22" t="e">
        <f t="shared" si="12"/>
        <v>#DIV/0!</v>
      </c>
      <c r="M64" s="103"/>
      <c r="N64" s="103"/>
      <c r="O64" s="34"/>
      <c r="P64" s="6"/>
      <c r="Q64" s="6"/>
    </row>
    <row r="65" spans="1:17">
      <c r="A65" s="13">
        <f t="shared" si="9"/>
        <v>46173</v>
      </c>
      <c r="B65" s="1"/>
      <c r="C65" s="1"/>
      <c r="D65" s="14"/>
      <c r="E65" s="14"/>
      <c r="F65" s="21" t="e">
        <f t="shared" si="10"/>
        <v>#DIV/0!</v>
      </c>
      <c r="G65" s="2">
        <f t="shared" si="7"/>
        <v>0</v>
      </c>
      <c r="H65" s="2">
        <f t="shared" si="8"/>
        <v>0</v>
      </c>
      <c r="I65" s="29"/>
      <c r="J65" s="14"/>
      <c r="K65" s="21" t="e">
        <f t="shared" si="11"/>
        <v>#DIV/0!</v>
      </c>
      <c r="L65" s="22" t="e">
        <f t="shared" si="12"/>
        <v>#DIV/0!</v>
      </c>
      <c r="M65" s="103"/>
      <c r="N65" s="103"/>
      <c r="O65" s="34"/>
      <c r="P65" s="6"/>
      <c r="Q65" s="6"/>
    </row>
    <row r="66" spans="1:17">
      <c r="A66" s="349">
        <v>46143</v>
      </c>
      <c r="B66" s="89">
        <f>SUM(B35:B65)</f>
        <v>32943</v>
      </c>
      <c r="C66" s="89">
        <f>SUM(C35:C65)</f>
        <v>30894</v>
      </c>
      <c r="D66" s="89">
        <f>SUM(D35:D65)</f>
        <v>0</v>
      </c>
      <c r="E66" s="89">
        <f>SUM(E35:E65)</f>
        <v>0</v>
      </c>
      <c r="F66" s="160">
        <f t="shared" si="10"/>
        <v>-1</v>
      </c>
      <c r="G66" s="90">
        <f>AVERAGE(G35:G65)</f>
        <v>0</v>
      </c>
      <c r="H66" s="90">
        <f>AVERAGE(H35:H65)</f>
        <v>0</v>
      </c>
      <c r="I66" s="89">
        <f>SUM(I35:I65)</f>
        <v>26.549999999999997</v>
      </c>
      <c r="J66" s="89">
        <f>SUM(J35:J65)</f>
        <v>0</v>
      </c>
      <c r="K66" s="160">
        <f t="shared" si="11"/>
        <v>-1</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50D9-5AAD-4F18-B276-E027F16C168E}">
  <dimension ref="A1:Q66"/>
  <sheetViews>
    <sheetView topLeftCell="A25" workbookViewId="0">
      <selection activeCell="I35" sqref="I35:I37"/>
    </sheetView>
  </sheetViews>
  <sheetFormatPr defaultRowHeight="14.5"/>
  <cols>
    <col min="1" max="1" width="11.26953125" bestFit="1" customWidth="1"/>
    <col min="2" max="6" width="10.54296875" customWidth="1"/>
    <col min="7" max="7" width="6.81640625" bestFit="1" customWidth="1"/>
    <col min="8" max="12" width="8.7265625" customWidth="1"/>
    <col min="13" max="16" width="10.26953125" customWidth="1"/>
    <col min="17" max="17" width="43.1796875" customWidth="1"/>
    <col min="18" max="18" width="10" customWidth="1"/>
  </cols>
  <sheetData>
    <row r="1" spans="1:17" ht="18.75" customHeight="1">
      <c r="A1" s="405" t="s">
        <v>410</v>
      </c>
      <c r="B1" s="406"/>
      <c r="C1" s="406"/>
      <c r="D1" s="406"/>
      <c r="E1" s="406"/>
      <c r="F1" s="406"/>
      <c r="G1" s="406"/>
      <c r="H1" s="406"/>
      <c r="I1" s="406"/>
      <c r="J1" s="406"/>
      <c r="K1" s="406"/>
      <c r="L1" s="406"/>
      <c r="M1" s="406"/>
      <c r="N1" s="406"/>
      <c r="O1" s="406"/>
      <c r="P1" s="406"/>
      <c r="Q1" s="406"/>
    </row>
    <row r="2" spans="1:17" ht="18.75" customHeight="1">
      <c r="A2" s="7">
        <v>46113</v>
      </c>
      <c r="B2" s="407" t="s">
        <v>172</v>
      </c>
      <c r="C2" s="408"/>
      <c r="D2" s="8">
        <v>1700</v>
      </c>
      <c r="E2" s="407" t="s">
        <v>173</v>
      </c>
      <c r="F2" s="407"/>
      <c r="G2" s="408"/>
      <c r="H2" s="8">
        <v>1320</v>
      </c>
      <c r="I2" s="409" t="s">
        <v>174</v>
      </c>
      <c r="J2" s="410"/>
      <c r="K2" s="9">
        <v>45846</v>
      </c>
      <c r="L2" s="10" t="s">
        <v>175</v>
      </c>
      <c r="M2" s="10" t="s">
        <v>175</v>
      </c>
      <c r="N2" s="10" t="s">
        <v>175</v>
      </c>
      <c r="O2" s="10" t="s">
        <v>175</v>
      </c>
      <c r="P2" s="10" t="s">
        <v>175</v>
      </c>
      <c r="Q2" s="11" t="s">
        <v>175</v>
      </c>
    </row>
    <row r="3" spans="1:17" ht="62.25" customHeight="1">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12167</v>
      </c>
      <c r="C4" s="1">
        <v>11438</v>
      </c>
      <c r="D4" s="31"/>
      <c r="E4" s="49"/>
      <c r="F4" s="21">
        <f t="shared" ref="F4:F35" si="0">(IF(ISBLANK(E4),0,E4-C4))/C4</f>
        <v>0</v>
      </c>
      <c r="G4" s="2">
        <f t="shared" ref="G4:G33" si="1">D4/($D$2*24)</f>
        <v>0</v>
      </c>
      <c r="H4" s="2">
        <f t="shared" ref="H4:H21" si="2">D4/($H$2*24)</f>
        <v>0</v>
      </c>
      <c r="I4" s="26">
        <v>8.94</v>
      </c>
      <c r="J4" s="49"/>
      <c r="K4" s="21">
        <f t="shared" ref="K4:K35" si="3">(IF(ISBLANK(J4),0,J4-I4))/I4</f>
        <v>0</v>
      </c>
      <c r="L4" s="22" t="e">
        <f t="shared" ref="L4:L35" si="4">D4/($D$2*J4)</f>
        <v>#DIV/0!</v>
      </c>
      <c r="M4" s="61"/>
      <c r="N4" s="62"/>
      <c r="O4" s="49"/>
      <c r="P4" s="49"/>
      <c r="Q4" s="49"/>
    </row>
    <row r="5" spans="1:17">
      <c r="A5" s="13">
        <f t="shared" ref="A5:A33" si="5">A4+1</f>
        <v>46114</v>
      </c>
      <c r="B5" s="1">
        <v>12167</v>
      </c>
      <c r="C5" s="1">
        <v>11438</v>
      </c>
      <c r="D5" s="32"/>
      <c r="E5" s="50"/>
      <c r="F5" s="21">
        <f t="shared" si="0"/>
        <v>0</v>
      </c>
      <c r="G5" s="2">
        <f t="shared" si="1"/>
        <v>0</v>
      </c>
      <c r="H5" s="2">
        <f t="shared" si="2"/>
        <v>0</v>
      </c>
      <c r="I5" s="26">
        <v>8.94</v>
      </c>
      <c r="J5" s="50"/>
      <c r="K5" s="21">
        <f t="shared" si="3"/>
        <v>0</v>
      </c>
      <c r="L5" s="22" t="e">
        <f t="shared" si="4"/>
        <v>#DIV/0!</v>
      </c>
      <c r="M5" s="61"/>
      <c r="N5" s="64"/>
      <c r="O5" s="50"/>
      <c r="P5" s="50"/>
      <c r="Q5" s="50"/>
    </row>
    <row r="6" spans="1:17">
      <c r="A6" s="13">
        <f t="shared" si="5"/>
        <v>46115</v>
      </c>
      <c r="B6" s="1">
        <v>12167</v>
      </c>
      <c r="C6" s="1">
        <v>11438</v>
      </c>
      <c r="D6" s="32"/>
      <c r="E6" s="50"/>
      <c r="F6" s="21">
        <f t="shared" si="0"/>
        <v>0</v>
      </c>
      <c r="G6" s="2">
        <f t="shared" si="1"/>
        <v>0</v>
      </c>
      <c r="H6" s="2">
        <f t="shared" si="2"/>
        <v>0</v>
      </c>
      <c r="I6" s="26">
        <v>8.94</v>
      </c>
      <c r="J6" s="50"/>
      <c r="K6" s="21">
        <f t="shared" si="3"/>
        <v>0</v>
      </c>
      <c r="L6" s="22" t="e">
        <f t="shared" si="4"/>
        <v>#DIV/0!</v>
      </c>
      <c r="M6" s="61"/>
      <c r="N6" s="64"/>
      <c r="O6" s="50"/>
      <c r="P6" s="50"/>
      <c r="Q6" s="50"/>
    </row>
    <row r="7" spans="1:17">
      <c r="A7" s="13">
        <f t="shared" si="5"/>
        <v>46116</v>
      </c>
      <c r="B7" s="1">
        <v>12167</v>
      </c>
      <c r="C7" s="1">
        <v>11438</v>
      </c>
      <c r="D7" s="32"/>
      <c r="E7" s="50"/>
      <c r="F7" s="21">
        <f t="shared" si="0"/>
        <v>0</v>
      </c>
      <c r="G7" s="2">
        <f t="shared" si="1"/>
        <v>0</v>
      </c>
      <c r="H7" s="2">
        <f t="shared" si="2"/>
        <v>0</v>
      </c>
      <c r="I7" s="26">
        <v>8.94</v>
      </c>
      <c r="J7" s="50"/>
      <c r="K7" s="21">
        <f t="shared" si="3"/>
        <v>0</v>
      </c>
      <c r="L7" s="22" t="e">
        <f t="shared" si="4"/>
        <v>#DIV/0!</v>
      </c>
      <c r="M7" s="61"/>
      <c r="N7" s="64"/>
      <c r="O7" s="50"/>
      <c r="P7" s="50"/>
      <c r="Q7" s="50"/>
    </row>
    <row r="8" spans="1:17">
      <c r="A8" s="13">
        <f t="shared" si="5"/>
        <v>46117</v>
      </c>
      <c r="B8" s="1">
        <v>12167</v>
      </c>
      <c r="C8" s="1">
        <v>11438</v>
      </c>
      <c r="D8" s="32"/>
      <c r="E8" s="50"/>
      <c r="F8" s="21">
        <f t="shared" si="0"/>
        <v>0</v>
      </c>
      <c r="G8" s="2">
        <f t="shared" si="1"/>
        <v>0</v>
      </c>
      <c r="H8" s="2">
        <f t="shared" si="2"/>
        <v>0</v>
      </c>
      <c r="I8" s="26">
        <v>8.94</v>
      </c>
      <c r="J8" s="50"/>
      <c r="K8" s="21">
        <f t="shared" si="3"/>
        <v>0</v>
      </c>
      <c r="L8" s="22" t="e">
        <f t="shared" si="4"/>
        <v>#DIV/0!</v>
      </c>
      <c r="M8" s="61"/>
      <c r="N8" s="64"/>
      <c r="O8" s="50"/>
      <c r="P8" s="50"/>
      <c r="Q8" s="50"/>
    </row>
    <row r="9" spans="1:17">
      <c r="A9" s="13">
        <f t="shared" si="5"/>
        <v>46118</v>
      </c>
      <c r="B9" s="1">
        <v>12167</v>
      </c>
      <c r="C9" s="1">
        <v>11438</v>
      </c>
      <c r="D9" s="32"/>
      <c r="E9" s="50"/>
      <c r="F9" s="21">
        <f t="shared" si="0"/>
        <v>0</v>
      </c>
      <c r="G9" s="2">
        <f t="shared" si="1"/>
        <v>0</v>
      </c>
      <c r="H9" s="2">
        <f t="shared" si="2"/>
        <v>0</v>
      </c>
      <c r="I9" s="26">
        <v>8.94</v>
      </c>
      <c r="J9" s="50"/>
      <c r="K9" s="21">
        <f t="shared" si="3"/>
        <v>0</v>
      </c>
      <c r="L9" s="22" t="e">
        <f t="shared" si="4"/>
        <v>#DIV/0!</v>
      </c>
      <c r="M9" s="61"/>
      <c r="N9" s="64"/>
      <c r="O9" s="50"/>
      <c r="P9" s="50"/>
      <c r="Q9" s="50"/>
    </row>
    <row r="10" spans="1:17">
      <c r="A10" s="13">
        <f t="shared" si="5"/>
        <v>46119</v>
      </c>
      <c r="B10" s="1">
        <v>12167</v>
      </c>
      <c r="C10" s="1">
        <v>11438</v>
      </c>
      <c r="D10" s="32"/>
      <c r="E10" s="50"/>
      <c r="F10" s="21">
        <f t="shared" si="0"/>
        <v>0</v>
      </c>
      <c r="G10" s="2">
        <f t="shared" si="1"/>
        <v>0</v>
      </c>
      <c r="H10" s="2">
        <f t="shared" si="2"/>
        <v>0</v>
      </c>
      <c r="I10" s="26">
        <v>8.94</v>
      </c>
      <c r="J10" s="50"/>
      <c r="K10" s="21">
        <f t="shared" si="3"/>
        <v>0</v>
      </c>
      <c r="L10" s="22" t="e">
        <f t="shared" si="4"/>
        <v>#DIV/0!</v>
      </c>
      <c r="M10" s="61"/>
      <c r="N10" s="64"/>
      <c r="O10" s="50"/>
      <c r="P10" s="50"/>
      <c r="Q10" s="50"/>
    </row>
    <row r="11" spans="1:17">
      <c r="A11" s="13">
        <f t="shared" si="5"/>
        <v>46120</v>
      </c>
      <c r="B11" s="1">
        <v>12167</v>
      </c>
      <c r="C11" s="1">
        <v>11438</v>
      </c>
      <c r="D11" s="32"/>
      <c r="E11" s="50"/>
      <c r="F11" s="21">
        <f t="shared" si="0"/>
        <v>0</v>
      </c>
      <c r="G11" s="2">
        <f t="shared" si="1"/>
        <v>0</v>
      </c>
      <c r="H11" s="2">
        <f t="shared" si="2"/>
        <v>0</v>
      </c>
      <c r="I11" s="26">
        <v>8.94</v>
      </c>
      <c r="J11" s="50"/>
      <c r="K11" s="21">
        <f t="shared" si="3"/>
        <v>0</v>
      </c>
      <c r="L11" s="22" t="e">
        <f t="shared" si="4"/>
        <v>#DIV/0!</v>
      </c>
      <c r="M11" s="61"/>
      <c r="N11" s="64"/>
      <c r="O11" s="50"/>
      <c r="P11" s="50"/>
      <c r="Q11" s="50"/>
    </row>
    <row r="12" spans="1:17">
      <c r="A12" s="13">
        <f t="shared" si="5"/>
        <v>46121</v>
      </c>
      <c r="B12" s="1">
        <v>12167</v>
      </c>
      <c r="C12" s="1">
        <v>11438</v>
      </c>
      <c r="D12" s="32"/>
      <c r="E12" s="50"/>
      <c r="F12" s="21">
        <f t="shared" si="0"/>
        <v>0</v>
      </c>
      <c r="G12" s="2">
        <f t="shared" si="1"/>
        <v>0</v>
      </c>
      <c r="H12" s="2">
        <f t="shared" si="2"/>
        <v>0</v>
      </c>
      <c r="I12" s="26">
        <v>8.94</v>
      </c>
      <c r="J12" s="50"/>
      <c r="K12" s="21">
        <f t="shared" si="3"/>
        <v>0</v>
      </c>
      <c r="L12" s="22" t="e">
        <f t="shared" si="4"/>
        <v>#DIV/0!</v>
      </c>
      <c r="M12" s="61"/>
      <c r="N12" s="64"/>
      <c r="O12" s="50"/>
      <c r="P12" s="50"/>
      <c r="Q12" s="50"/>
    </row>
    <row r="13" spans="1:17">
      <c r="A13" s="13">
        <f t="shared" si="5"/>
        <v>46122</v>
      </c>
      <c r="B13" s="1">
        <v>12167</v>
      </c>
      <c r="C13" s="1">
        <v>11438</v>
      </c>
      <c r="D13" s="32"/>
      <c r="E13" s="50"/>
      <c r="F13" s="21">
        <f t="shared" si="0"/>
        <v>0</v>
      </c>
      <c r="G13" s="2">
        <f t="shared" si="1"/>
        <v>0</v>
      </c>
      <c r="H13" s="2">
        <f t="shared" si="2"/>
        <v>0</v>
      </c>
      <c r="I13" s="26">
        <v>8.94</v>
      </c>
      <c r="J13" s="50"/>
      <c r="K13" s="21">
        <f t="shared" si="3"/>
        <v>0</v>
      </c>
      <c r="L13" s="22" t="e">
        <f t="shared" si="4"/>
        <v>#DIV/0!</v>
      </c>
      <c r="M13" s="61"/>
      <c r="N13" s="64"/>
      <c r="O13" s="50"/>
      <c r="P13" s="50"/>
      <c r="Q13" s="50"/>
    </row>
    <row r="14" spans="1:17">
      <c r="A14" s="13">
        <f t="shared" si="5"/>
        <v>46123</v>
      </c>
      <c r="B14" s="1">
        <v>12167</v>
      </c>
      <c r="C14" s="1">
        <v>11438</v>
      </c>
      <c r="D14" s="32"/>
      <c r="E14" s="50"/>
      <c r="F14" s="21">
        <f t="shared" si="0"/>
        <v>0</v>
      </c>
      <c r="G14" s="2">
        <f t="shared" si="1"/>
        <v>0</v>
      </c>
      <c r="H14" s="2">
        <f t="shared" si="2"/>
        <v>0</v>
      </c>
      <c r="I14" s="26">
        <v>8.94</v>
      </c>
      <c r="J14" s="50"/>
      <c r="K14" s="21">
        <f t="shared" si="3"/>
        <v>0</v>
      </c>
      <c r="L14" s="22" t="e">
        <f t="shared" si="4"/>
        <v>#DIV/0!</v>
      </c>
      <c r="M14" s="61"/>
      <c r="N14" s="64"/>
      <c r="O14" s="50"/>
      <c r="P14" s="50"/>
      <c r="Q14" s="50"/>
    </row>
    <row r="15" spans="1:17">
      <c r="A15" s="13">
        <f t="shared" si="5"/>
        <v>46124</v>
      </c>
      <c r="B15" s="1">
        <v>12167</v>
      </c>
      <c r="C15" s="1">
        <v>11438</v>
      </c>
      <c r="D15" s="32"/>
      <c r="E15" s="50"/>
      <c r="F15" s="21">
        <f t="shared" si="0"/>
        <v>0</v>
      </c>
      <c r="G15" s="2">
        <f t="shared" si="1"/>
        <v>0</v>
      </c>
      <c r="H15" s="2">
        <f t="shared" si="2"/>
        <v>0</v>
      </c>
      <c r="I15" s="26">
        <v>8.94</v>
      </c>
      <c r="J15" s="50"/>
      <c r="K15" s="21">
        <f t="shared" si="3"/>
        <v>0</v>
      </c>
      <c r="L15" s="22" t="e">
        <f t="shared" si="4"/>
        <v>#DIV/0!</v>
      </c>
      <c r="M15" s="61"/>
      <c r="N15" s="64"/>
      <c r="O15" s="50"/>
      <c r="P15" s="50"/>
      <c r="Q15" s="50"/>
    </row>
    <row r="16" spans="1:17">
      <c r="A16" s="13">
        <f t="shared" si="5"/>
        <v>46125</v>
      </c>
      <c r="B16" s="1">
        <v>12167</v>
      </c>
      <c r="C16" s="1">
        <v>11438</v>
      </c>
      <c r="D16" s="32"/>
      <c r="E16" s="50"/>
      <c r="F16" s="21">
        <f t="shared" si="0"/>
        <v>0</v>
      </c>
      <c r="G16" s="2">
        <f t="shared" si="1"/>
        <v>0</v>
      </c>
      <c r="H16" s="2">
        <f t="shared" si="2"/>
        <v>0</v>
      </c>
      <c r="I16" s="26">
        <v>8.94</v>
      </c>
      <c r="J16" s="50"/>
      <c r="K16" s="21">
        <f t="shared" si="3"/>
        <v>0</v>
      </c>
      <c r="L16" s="22" t="e">
        <f t="shared" si="4"/>
        <v>#DIV/0!</v>
      </c>
      <c r="M16" s="61"/>
      <c r="N16" s="64"/>
      <c r="O16" s="50"/>
      <c r="P16" s="50"/>
      <c r="Q16" s="50"/>
    </row>
    <row r="17" spans="1:17">
      <c r="A17" s="13">
        <f t="shared" si="5"/>
        <v>46126</v>
      </c>
      <c r="B17" s="1">
        <v>12167</v>
      </c>
      <c r="C17" s="1">
        <v>11438</v>
      </c>
      <c r="D17" s="32"/>
      <c r="E17" s="50"/>
      <c r="F17" s="21">
        <f t="shared" si="0"/>
        <v>0</v>
      </c>
      <c r="G17" s="2">
        <f t="shared" si="1"/>
        <v>0</v>
      </c>
      <c r="H17" s="2">
        <f t="shared" si="2"/>
        <v>0</v>
      </c>
      <c r="I17" s="26">
        <v>8.94</v>
      </c>
      <c r="J17" s="50"/>
      <c r="K17" s="21">
        <f t="shared" si="3"/>
        <v>0</v>
      </c>
      <c r="L17" s="22" t="e">
        <f t="shared" si="4"/>
        <v>#DIV/0!</v>
      </c>
      <c r="M17" s="61"/>
      <c r="N17" s="64"/>
      <c r="O17" s="50"/>
      <c r="P17" s="50"/>
      <c r="Q17" s="50"/>
    </row>
    <row r="18" spans="1:17">
      <c r="A18" s="13">
        <f t="shared" si="5"/>
        <v>46127</v>
      </c>
      <c r="B18" s="1">
        <v>12167</v>
      </c>
      <c r="C18" s="1">
        <v>11438</v>
      </c>
      <c r="D18" s="32"/>
      <c r="E18" s="50"/>
      <c r="F18" s="21">
        <f t="shared" si="0"/>
        <v>0</v>
      </c>
      <c r="G18" s="2">
        <f t="shared" si="1"/>
        <v>0</v>
      </c>
      <c r="H18" s="2">
        <f t="shared" si="2"/>
        <v>0</v>
      </c>
      <c r="I18" s="26">
        <v>8.94</v>
      </c>
      <c r="J18" s="50"/>
      <c r="K18" s="21">
        <f t="shared" si="3"/>
        <v>0</v>
      </c>
      <c r="L18" s="22" t="e">
        <f t="shared" si="4"/>
        <v>#DIV/0!</v>
      </c>
      <c r="M18" s="61"/>
      <c r="N18" s="64"/>
      <c r="O18" s="50"/>
      <c r="P18" s="50"/>
      <c r="Q18" s="50"/>
    </row>
    <row r="19" spans="1:17">
      <c r="A19" s="13">
        <f t="shared" si="5"/>
        <v>46128</v>
      </c>
      <c r="B19" s="1">
        <v>12167</v>
      </c>
      <c r="C19" s="1">
        <v>11438</v>
      </c>
      <c r="D19" s="32"/>
      <c r="E19" s="50"/>
      <c r="F19" s="21">
        <f t="shared" si="0"/>
        <v>0</v>
      </c>
      <c r="G19" s="2">
        <f t="shared" si="1"/>
        <v>0</v>
      </c>
      <c r="H19" s="2">
        <f t="shared" si="2"/>
        <v>0</v>
      </c>
      <c r="I19" s="26">
        <v>8.94</v>
      </c>
      <c r="J19" s="50"/>
      <c r="K19" s="21">
        <f t="shared" si="3"/>
        <v>0</v>
      </c>
      <c r="L19" s="22" t="e">
        <f t="shared" si="4"/>
        <v>#DIV/0!</v>
      </c>
      <c r="M19" s="61"/>
      <c r="N19" s="64"/>
      <c r="O19" s="50"/>
      <c r="P19" s="50"/>
      <c r="Q19" s="50"/>
    </row>
    <row r="20" spans="1:17">
      <c r="A20" s="13">
        <f t="shared" si="5"/>
        <v>46129</v>
      </c>
      <c r="B20" s="1">
        <v>12167</v>
      </c>
      <c r="C20" s="1">
        <v>11438</v>
      </c>
      <c r="D20" s="32"/>
      <c r="E20" s="50"/>
      <c r="F20" s="21">
        <f t="shared" si="0"/>
        <v>0</v>
      </c>
      <c r="G20" s="2">
        <f t="shared" si="1"/>
        <v>0</v>
      </c>
      <c r="H20" s="2">
        <f t="shared" si="2"/>
        <v>0</v>
      </c>
      <c r="I20" s="26">
        <v>8.94</v>
      </c>
      <c r="J20" s="50"/>
      <c r="K20" s="21">
        <f t="shared" si="3"/>
        <v>0</v>
      </c>
      <c r="L20" s="22" t="e">
        <f t="shared" si="4"/>
        <v>#DIV/0!</v>
      </c>
      <c r="M20" s="61"/>
      <c r="N20" s="64"/>
      <c r="O20" s="50"/>
      <c r="P20" s="50"/>
      <c r="Q20" s="50"/>
    </row>
    <row r="21" spans="1:17">
      <c r="A21" s="13">
        <f t="shared" si="5"/>
        <v>46130</v>
      </c>
      <c r="B21" s="1">
        <v>12167</v>
      </c>
      <c r="C21" s="1">
        <v>11438</v>
      </c>
      <c r="D21" s="32"/>
      <c r="E21" s="50"/>
      <c r="F21" s="21">
        <f t="shared" si="0"/>
        <v>0</v>
      </c>
      <c r="G21" s="2">
        <f t="shared" si="1"/>
        <v>0</v>
      </c>
      <c r="H21" s="2">
        <f t="shared" si="2"/>
        <v>0</v>
      </c>
      <c r="I21" s="26">
        <v>8.94</v>
      </c>
      <c r="J21" s="50"/>
      <c r="K21" s="21">
        <f t="shared" si="3"/>
        <v>0</v>
      </c>
      <c r="L21" s="22" t="e">
        <f t="shared" si="4"/>
        <v>#DIV/0!</v>
      </c>
      <c r="M21" s="61"/>
      <c r="N21" s="64"/>
      <c r="O21" s="50"/>
      <c r="P21" s="50"/>
      <c r="Q21" s="50"/>
    </row>
    <row r="22" spans="1:17">
      <c r="A22" s="13">
        <f t="shared" si="5"/>
        <v>46131</v>
      </c>
      <c r="B22" s="1">
        <v>12167</v>
      </c>
      <c r="C22" s="1">
        <v>11438</v>
      </c>
      <c r="D22" s="32"/>
      <c r="E22" s="50"/>
      <c r="F22" s="21">
        <f t="shared" si="0"/>
        <v>0</v>
      </c>
      <c r="G22" s="2">
        <f t="shared" si="1"/>
        <v>0</v>
      </c>
      <c r="H22" s="2">
        <f t="shared" ref="H22:H33" si="6">E22/($D$2*24)</f>
        <v>0</v>
      </c>
      <c r="I22" s="26">
        <v>8.94</v>
      </c>
      <c r="J22" s="50"/>
      <c r="K22" s="21">
        <f t="shared" si="3"/>
        <v>0</v>
      </c>
      <c r="L22" s="22" t="e">
        <f t="shared" si="4"/>
        <v>#DIV/0!</v>
      </c>
      <c r="M22" s="61"/>
      <c r="N22" s="66"/>
      <c r="O22" s="50"/>
      <c r="P22" s="50"/>
      <c r="Q22" s="50"/>
    </row>
    <row r="23" spans="1:17">
      <c r="A23" s="13">
        <f t="shared" si="5"/>
        <v>46132</v>
      </c>
      <c r="B23" s="1">
        <v>12167</v>
      </c>
      <c r="C23" s="1">
        <v>11438</v>
      </c>
      <c r="D23" s="32"/>
      <c r="E23" s="50"/>
      <c r="F23" s="21">
        <f t="shared" si="0"/>
        <v>0</v>
      </c>
      <c r="G23" s="2">
        <f t="shared" si="1"/>
        <v>0</v>
      </c>
      <c r="H23" s="2">
        <f t="shared" si="6"/>
        <v>0</v>
      </c>
      <c r="I23" s="26">
        <v>8.94</v>
      </c>
      <c r="J23" s="50"/>
      <c r="K23" s="21">
        <f t="shared" si="3"/>
        <v>0</v>
      </c>
      <c r="L23" s="22" t="e">
        <f t="shared" si="4"/>
        <v>#DIV/0!</v>
      </c>
      <c r="M23" s="61"/>
      <c r="N23" s="64"/>
      <c r="O23" s="50"/>
      <c r="P23" s="50"/>
      <c r="Q23" s="50"/>
    </row>
    <row r="24" spans="1:17">
      <c r="A24" s="13">
        <f t="shared" si="5"/>
        <v>46133</v>
      </c>
      <c r="B24" s="1">
        <v>12167</v>
      </c>
      <c r="C24" s="1">
        <v>11438</v>
      </c>
      <c r="D24" s="32"/>
      <c r="E24" s="50"/>
      <c r="F24" s="21">
        <f t="shared" si="0"/>
        <v>0</v>
      </c>
      <c r="G24" s="2">
        <f t="shared" si="1"/>
        <v>0</v>
      </c>
      <c r="H24" s="2">
        <f t="shared" si="6"/>
        <v>0</v>
      </c>
      <c r="I24" s="26">
        <v>8.94</v>
      </c>
      <c r="J24" s="50"/>
      <c r="K24" s="21">
        <f t="shared" si="3"/>
        <v>0</v>
      </c>
      <c r="L24" s="22" t="e">
        <f t="shared" si="4"/>
        <v>#DIV/0!</v>
      </c>
      <c r="M24" s="61"/>
      <c r="N24" s="64"/>
      <c r="O24" s="50"/>
      <c r="P24" s="50"/>
      <c r="Q24" s="50"/>
    </row>
    <row r="25" spans="1:17">
      <c r="A25" s="13">
        <f t="shared" si="5"/>
        <v>46134</v>
      </c>
      <c r="B25" s="1">
        <v>12167</v>
      </c>
      <c r="C25" s="1">
        <v>11438</v>
      </c>
      <c r="D25" s="32"/>
      <c r="E25" s="50"/>
      <c r="F25" s="21">
        <f t="shared" si="0"/>
        <v>0</v>
      </c>
      <c r="G25" s="2">
        <f t="shared" si="1"/>
        <v>0</v>
      </c>
      <c r="H25" s="2">
        <f t="shared" si="6"/>
        <v>0</v>
      </c>
      <c r="I25" s="26">
        <v>8.94</v>
      </c>
      <c r="J25" s="50"/>
      <c r="K25" s="21">
        <f t="shared" si="3"/>
        <v>0</v>
      </c>
      <c r="L25" s="22" t="e">
        <f t="shared" si="4"/>
        <v>#DIV/0!</v>
      </c>
      <c r="M25" s="61"/>
      <c r="N25" s="64"/>
      <c r="O25" s="50"/>
      <c r="P25" s="50"/>
      <c r="Q25" s="50"/>
    </row>
    <row r="26" spans="1:17">
      <c r="A26" s="13">
        <f t="shared" si="5"/>
        <v>46135</v>
      </c>
      <c r="B26" s="1">
        <v>12167</v>
      </c>
      <c r="C26" s="1">
        <v>11438</v>
      </c>
      <c r="D26" s="32"/>
      <c r="E26" s="50"/>
      <c r="F26" s="21">
        <f t="shared" si="0"/>
        <v>0</v>
      </c>
      <c r="G26" s="2">
        <f t="shared" si="1"/>
        <v>0</v>
      </c>
      <c r="H26" s="2">
        <f t="shared" si="6"/>
        <v>0</v>
      </c>
      <c r="I26" s="26">
        <v>8.94</v>
      </c>
      <c r="J26" s="50"/>
      <c r="K26" s="21">
        <f t="shared" si="3"/>
        <v>0</v>
      </c>
      <c r="L26" s="22" t="e">
        <f t="shared" si="4"/>
        <v>#DIV/0!</v>
      </c>
      <c r="M26" s="61"/>
      <c r="N26" s="64"/>
      <c r="O26" s="50"/>
      <c r="P26" s="50"/>
      <c r="Q26" s="50"/>
    </row>
    <row r="27" spans="1:17">
      <c r="A27" s="13">
        <f t="shared" si="5"/>
        <v>46136</v>
      </c>
      <c r="B27" s="1">
        <v>12167</v>
      </c>
      <c r="C27" s="1">
        <v>11438</v>
      </c>
      <c r="D27" s="32"/>
      <c r="E27" s="50"/>
      <c r="F27" s="21">
        <f t="shared" si="0"/>
        <v>0</v>
      </c>
      <c r="G27" s="2">
        <f t="shared" si="1"/>
        <v>0</v>
      </c>
      <c r="H27" s="2">
        <f t="shared" si="6"/>
        <v>0</v>
      </c>
      <c r="I27" s="26">
        <v>8.94</v>
      </c>
      <c r="J27" s="50"/>
      <c r="K27" s="21">
        <f t="shared" si="3"/>
        <v>0</v>
      </c>
      <c r="L27" s="22" t="e">
        <f t="shared" si="4"/>
        <v>#DIV/0!</v>
      </c>
      <c r="M27" s="61"/>
      <c r="N27" s="64"/>
      <c r="O27" s="50"/>
      <c r="P27" s="50"/>
      <c r="Q27" s="50"/>
    </row>
    <row r="28" spans="1:17">
      <c r="A28" s="13">
        <f t="shared" si="5"/>
        <v>46137</v>
      </c>
      <c r="B28" s="1">
        <v>12167</v>
      </c>
      <c r="C28" s="1">
        <v>11438</v>
      </c>
      <c r="D28" s="6"/>
      <c r="E28" s="6"/>
      <c r="F28" s="21">
        <f t="shared" si="0"/>
        <v>0</v>
      </c>
      <c r="G28" s="2">
        <f t="shared" si="1"/>
        <v>0</v>
      </c>
      <c r="H28" s="2">
        <f t="shared" si="6"/>
        <v>0</v>
      </c>
      <c r="I28" s="26">
        <v>8.94</v>
      </c>
      <c r="J28" s="6"/>
      <c r="K28" s="21">
        <f t="shared" si="3"/>
        <v>0</v>
      </c>
      <c r="L28" s="22" t="e">
        <f t="shared" si="4"/>
        <v>#DIV/0!</v>
      </c>
      <c r="M28" s="61"/>
      <c r="N28" s="64"/>
      <c r="O28" s="6"/>
      <c r="P28" s="6"/>
      <c r="Q28" s="6"/>
    </row>
    <row r="29" spans="1:17">
      <c r="A29" s="13">
        <f t="shared" si="5"/>
        <v>46138</v>
      </c>
      <c r="B29" s="1">
        <v>12167</v>
      </c>
      <c r="C29" s="1">
        <v>11438</v>
      </c>
      <c r="D29" s="6"/>
      <c r="E29" s="6"/>
      <c r="F29" s="21">
        <f t="shared" si="0"/>
        <v>0</v>
      </c>
      <c r="G29" s="2">
        <f t="shared" si="1"/>
        <v>0</v>
      </c>
      <c r="H29" s="2">
        <f t="shared" si="6"/>
        <v>0</v>
      </c>
      <c r="I29" s="26">
        <v>8.94</v>
      </c>
      <c r="J29" s="6"/>
      <c r="K29" s="21">
        <f t="shared" si="3"/>
        <v>0</v>
      </c>
      <c r="L29" s="22" t="e">
        <f t="shared" si="4"/>
        <v>#DIV/0!</v>
      </c>
      <c r="M29" s="61"/>
      <c r="N29" s="64"/>
      <c r="O29" s="6"/>
      <c r="P29" s="6"/>
      <c r="Q29" s="6"/>
    </row>
    <row r="30" spans="1:17">
      <c r="A30" s="13">
        <f t="shared" si="5"/>
        <v>46139</v>
      </c>
      <c r="B30" s="1">
        <v>12167</v>
      </c>
      <c r="C30" s="1">
        <v>11438</v>
      </c>
      <c r="D30" s="6"/>
      <c r="E30" s="6"/>
      <c r="F30" s="21">
        <f t="shared" si="0"/>
        <v>0</v>
      </c>
      <c r="G30" s="2">
        <f t="shared" si="1"/>
        <v>0</v>
      </c>
      <c r="H30" s="2">
        <f t="shared" si="6"/>
        <v>0</v>
      </c>
      <c r="I30" s="26">
        <v>8.94</v>
      </c>
      <c r="J30" s="6"/>
      <c r="K30" s="21">
        <f t="shared" si="3"/>
        <v>0</v>
      </c>
      <c r="L30" s="22" t="e">
        <f t="shared" si="4"/>
        <v>#DIV/0!</v>
      </c>
      <c r="M30" s="61"/>
      <c r="N30" s="64"/>
      <c r="O30" s="6"/>
      <c r="P30" s="6"/>
      <c r="Q30" s="6"/>
    </row>
    <row r="31" spans="1:17">
      <c r="A31" s="13">
        <f t="shared" si="5"/>
        <v>46140</v>
      </c>
      <c r="B31" s="1">
        <v>12167</v>
      </c>
      <c r="C31" s="1">
        <v>11438</v>
      </c>
      <c r="D31" s="6"/>
      <c r="E31" s="6"/>
      <c r="F31" s="21">
        <f t="shared" si="0"/>
        <v>0</v>
      </c>
      <c r="G31" s="2">
        <f t="shared" si="1"/>
        <v>0</v>
      </c>
      <c r="H31" s="2">
        <f t="shared" si="6"/>
        <v>0</v>
      </c>
      <c r="I31" s="26">
        <v>8.94</v>
      </c>
      <c r="J31" s="6"/>
      <c r="K31" s="21">
        <f t="shared" si="3"/>
        <v>0</v>
      </c>
      <c r="L31" s="22" t="e">
        <f t="shared" si="4"/>
        <v>#DIV/0!</v>
      </c>
      <c r="M31" s="61"/>
      <c r="N31" s="64"/>
      <c r="O31" s="6"/>
      <c r="P31" s="6"/>
      <c r="Q31" s="6"/>
    </row>
    <row r="32" spans="1:17">
      <c r="A32" s="13">
        <f t="shared" si="5"/>
        <v>46141</v>
      </c>
      <c r="B32" s="1">
        <v>12167</v>
      </c>
      <c r="C32" s="1">
        <v>11438</v>
      </c>
      <c r="D32" s="6"/>
      <c r="E32" s="6"/>
      <c r="F32" s="21">
        <f t="shared" si="0"/>
        <v>0</v>
      </c>
      <c r="G32" s="2">
        <f t="shared" si="1"/>
        <v>0</v>
      </c>
      <c r="H32" s="2">
        <f t="shared" si="6"/>
        <v>0</v>
      </c>
      <c r="I32" s="26">
        <v>8.94</v>
      </c>
      <c r="J32" s="6"/>
      <c r="K32" s="21">
        <f t="shared" si="3"/>
        <v>0</v>
      </c>
      <c r="L32" s="22" t="e">
        <f t="shared" si="4"/>
        <v>#DIV/0!</v>
      </c>
      <c r="M32" s="61"/>
      <c r="N32" s="64"/>
      <c r="O32" s="6"/>
      <c r="P32" s="6"/>
      <c r="Q32" s="6"/>
    </row>
    <row r="33" spans="1:17">
      <c r="A33" s="13">
        <f t="shared" si="5"/>
        <v>46142</v>
      </c>
      <c r="B33" s="1">
        <v>12167</v>
      </c>
      <c r="C33" s="1">
        <v>11438</v>
      </c>
      <c r="D33" s="6"/>
      <c r="E33" s="6"/>
      <c r="F33" s="21">
        <f t="shared" si="0"/>
        <v>0</v>
      </c>
      <c r="G33" s="2">
        <f t="shared" si="1"/>
        <v>0</v>
      </c>
      <c r="H33" s="2">
        <f t="shared" si="6"/>
        <v>0</v>
      </c>
      <c r="I33" s="26">
        <v>8.94</v>
      </c>
      <c r="J33" s="6"/>
      <c r="K33" s="21">
        <f t="shared" si="3"/>
        <v>0</v>
      </c>
      <c r="L33" s="22" t="e">
        <f t="shared" si="4"/>
        <v>#DIV/0!</v>
      </c>
      <c r="M33" s="6"/>
      <c r="N33" s="6"/>
      <c r="O33" s="6"/>
      <c r="P33" s="6"/>
      <c r="Q33" s="6"/>
    </row>
    <row r="34" spans="1:17">
      <c r="A34" s="349">
        <v>46113</v>
      </c>
      <c r="B34" s="89">
        <f>SUM(B4:B33)</f>
        <v>365010</v>
      </c>
      <c r="C34" s="89">
        <f>SUM(C4:C33)</f>
        <v>343140</v>
      </c>
      <c r="D34" s="89">
        <f>SUM(D4:D33)</f>
        <v>0</v>
      </c>
      <c r="E34" s="89">
        <f>SUM(E4:E33)</f>
        <v>0</v>
      </c>
      <c r="F34" s="160">
        <f t="shared" si="0"/>
        <v>-1</v>
      </c>
      <c r="G34" s="90">
        <f>AVERAGE(G4:G33)</f>
        <v>0</v>
      </c>
      <c r="H34" s="90">
        <f>AVERAGE(H4:H33)</f>
        <v>0</v>
      </c>
      <c r="I34" s="89">
        <f>SUM(I4:I33)</f>
        <v>268.2</v>
      </c>
      <c r="J34" s="89">
        <f>SUM(J4:J33)</f>
        <v>0</v>
      </c>
      <c r="K34" s="160">
        <f t="shared" si="3"/>
        <v>-1</v>
      </c>
      <c r="L34" s="161" t="e">
        <f t="shared" si="4"/>
        <v>#DIV/0!</v>
      </c>
      <c r="M34" s="90" t="e">
        <f>AVERAGE(M4:M33)</f>
        <v>#DIV/0!</v>
      </c>
      <c r="N34" s="90" t="e">
        <f>AVERAGE(N4:N33)</f>
        <v>#DIV/0!</v>
      </c>
      <c r="O34" s="89">
        <f>SUM(O4:O33)</f>
        <v>0</v>
      </c>
      <c r="P34" s="89">
        <f>SUM(P4:P33)</f>
        <v>0</v>
      </c>
      <c r="Q34" s="19"/>
    </row>
    <row r="35" spans="1:17">
      <c r="A35" s="13">
        <v>46143</v>
      </c>
      <c r="B35" s="127">
        <v>11626</v>
      </c>
      <c r="C35" s="127">
        <v>10930</v>
      </c>
      <c r="D35" s="33"/>
      <c r="E35" s="33"/>
      <c r="F35" s="21">
        <f t="shared" si="0"/>
        <v>0</v>
      </c>
      <c r="G35" s="2">
        <f t="shared" ref="G35:G65" si="7">D35/($D$2*24)</f>
        <v>0</v>
      </c>
      <c r="H35" s="2">
        <f t="shared" ref="H35:H65" si="8">D35/($H$2*24)</f>
        <v>0</v>
      </c>
      <c r="I35" s="28">
        <v>8.85</v>
      </c>
      <c r="J35" s="33"/>
      <c r="K35" s="21">
        <f t="shared" si="3"/>
        <v>0</v>
      </c>
      <c r="L35" s="22" t="e">
        <f t="shared" si="4"/>
        <v>#DIV/0!</v>
      </c>
      <c r="M35" s="103"/>
      <c r="N35" s="103"/>
      <c r="O35" s="33"/>
      <c r="P35" s="6"/>
      <c r="Q35" s="6"/>
    </row>
    <row r="36" spans="1:17">
      <c r="A36" s="13">
        <f t="shared" ref="A36:A65" si="9">A35+1</f>
        <v>46144</v>
      </c>
      <c r="B36" s="127">
        <v>11626</v>
      </c>
      <c r="C36" s="127">
        <v>10930</v>
      </c>
      <c r="D36" s="34"/>
      <c r="E36" s="34"/>
      <c r="F36" s="21">
        <f t="shared" ref="F36:F66" si="10">(IF(ISBLANK(E36),0,E36-C36))/C36</f>
        <v>0</v>
      </c>
      <c r="G36" s="2">
        <f t="shared" si="7"/>
        <v>0</v>
      </c>
      <c r="H36" s="2">
        <f t="shared" si="8"/>
        <v>0</v>
      </c>
      <c r="I36" s="28">
        <v>8.85</v>
      </c>
      <c r="J36" s="34"/>
      <c r="K36" s="21">
        <f t="shared" ref="K36:K66" si="11">(IF(ISBLANK(J36),0,J36-I36))/I36</f>
        <v>0</v>
      </c>
      <c r="L36" s="22" t="e">
        <f t="shared" ref="L36:L66" si="12">D36/($D$2*J36)</f>
        <v>#DIV/0!</v>
      </c>
      <c r="M36" s="103"/>
      <c r="N36" s="103"/>
      <c r="O36" s="34"/>
      <c r="P36" s="6"/>
      <c r="Q36" s="6"/>
    </row>
    <row r="37" spans="1:17">
      <c r="A37" s="13">
        <f t="shared" si="9"/>
        <v>46145</v>
      </c>
      <c r="B37" s="127">
        <v>11626</v>
      </c>
      <c r="C37" s="127">
        <v>10930</v>
      </c>
      <c r="D37" s="34"/>
      <c r="E37" s="34"/>
      <c r="F37" s="21">
        <f t="shared" si="10"/>
        <v>0</v>
      </c>
      <c r="G37" s="2">
        <f t="shared" si="7"/>
        <v>0</v>
      </c>
      <c r="H37" s="2">
        <f t="shared" si="8"/>
        <v>0</v>
      </c>
      <c r="I37" s="28">
        <v>8.85</v>
      </c>
      <c r="J37" s="34"/>
      <c r="K37" s="21">
        <f t="shared" si="11"/>
        <v>0</v>
      </c>
      <c r="L37" s="22" t="e">
        <f t="shared" si="12"/>
        <v>#DIV/0!</v>
      </c>
      <c r="M37" s="103"/>
      <c r="N37" s="104"/>
      <c r="O37" s="34"/>
      <c r="P37" s="6"/>
      <c r="Q37" s="6"/>
    </row>
    <row r="38" spans="1:17">
      <c r="A38" s="13">
        <f t="shared" si="9"/>
        <v>46146</v>
      </c>
      <c r="B38" s="127"/>
      <c r="C38" s="127"/>
      <c r="D38" s="34"/>
      <c r="E38" s="34"/>
      <c r="F38" s="21" t="e">
        <f t="shared" si="10"/>
        <v>#DIV/0!</v>
      </c>
      <c r="G38" s="2">
        <f t="shared" si="7"/>
        <v>0</v>
      </c>
      <c r="H38" s="2">
        <f t="shared" si="8"/>
        <v>0</v>
      </c>
      <c r="I38" s="29"/>
      <c r="J38" s="34"/>
      <c r="K38" s="21" t="e">
        <f t="shared" si="11"/>
        <v>#DIV/0!</v>
      </c>
      <c r="L38" s="22" t="e">
        <f t="shared" si="12"/>
        <v>#DIV/0!</v>
      </c>
      <c r="M38" s="103"/>
      <c r="N38" s="103"/>
      <c r="O38" s="34"/>
      <c r="P38" s="6"/>
      <c r="Q38" s="14"/>
    </row>
    <row r="39" spans="1:17">
      <c r="A39" s="13">
        <f t="shared" si="9"/>
        <v>46147</v>
      </c>
      <c r="B39" s="127"/>
      <c r="C39" s="127"/>
      <c r="D39" s="34"/>
      <c r="E39" s="34"/>
      <c r="F39" s="21" t="e">
        <f t="shared" si="10"/>
        <v>#DIV/0!</v>
      </c>
      <c r="G39" s="2">
        <f t="shared" si="7"/>
        <v>0</v>
      </c>
      <c r="H39" s="2">
        <f t="shared" si="8"/>
        <v>0</v>
      </c>
      <c r="I39" s="29"/>
      <c r="J39" s="34"/>
      <c r="K39" s="21" t="e">
        <f t="shared" si="11"/>
        <v>#DIV/0!</v>
      </c>
      <c r="L39" s="22" t="e">
        <f t="shared" si="12"/>
        <v>#DIV/0!</v>
      </c>
      <c r="M39" s="103"/>
      <c r="N39" s="103"/>
      <c r="O39" s="34"/>
      <c r="P39" s="6"/>
      <c r="Q39" s="14"/>
    </row>
    <row r="40" spans="1:17">
      <c r="A40" s="13">
        <f t="shared" si="9"/>
        <v>46148</v>
      </c>
      <c r="B40" s="127"/>
      <c r="C40" s="127"/>
      <c r="D40" s="34"/>
      <c r="E40" s="34"/>
      <c r="F40" s="21" t="e">
        <f t="shared" si="10"/>
        <v>#DIV/0!</v>
      </c>
      <c r="G40" s="2">
        <f t="shared" si="7"/>
        <v>0</v>
      </c>
      <c r="H40" s="2">
        <f t="shared" si="8"/>
        <v>0</v>
      </c>
      <c r="I40" s="29"/>
      <c r="J40" s="34"/>
      <c r="K40" s="21" t="e">
        <f t="shared" si="11"/>
        <v>#DIV/0!</v>
      </c>
      <c r="L40" s="22" t="e">
        <f t="shared" si="12"/>
        <v>#DIV/0!</v>
      </c>
      <c r="M40" s="103"/>
      <c r="N40" s="103"/>
      <c r="O40" s="34"/>
      <c r="P40" s="6"/>
      <c r="Q40" s="14"/>
    </row>
    <row r="41" spans="1:17">
      <c r="A41" s="13">
        <f t="shared" si="9"/>
        <v>46149</v>
      </c>
      <c r="B41" s="127"/>
      <c r="C41" s="127"/>
      <c r="D41" s="34"/>
      <c r="E41" s="34"/>
      <c r="F41" s="21" t="e">
        <f t="shared" si="10"/>
        <v>#DIV/0!</v>
      </c>
      <c r="G41" s="2">
        <f t="shared" si="7"/>
        <v>0</v>
      </c>
      <c r="H41" s="2">
        <f t="shared" si="8"/>
        <v>0</v>
      </c>
      <c r="I41" s="29"/>
      <c r="J41" s="34"/>
      <c r="K41" s="21" t="e">
        <f t="shared" si="11"/>
        <v>#DIV/0!</v>
      </c>
      <c r="L41" s="22" t="e">
        <f t="shared" si="12"/>
        <v>#DIV/0!</v>
      </c>
      <c r="M41" s="103"/>
      <c r="N41" s="103"/>
      <c r="O41" s="34"/>
      <c r="P41" s="6"/>
      <c r="Q41" s="198"/>
    </row>
    <row r="42" spans="1:17">
      <c r="A42" s="13">
        <f t="shared" si="9"/>
        <v>46150</v>
      </c>
      <c r="B42" s="127"/>
      <c r="C42" s="127"/>
      <c r="D42" s="34"/>
      <c r="E42" s="34"/>
      <c r="F42" s="21" t="e">
        <f t="shared" si="10"/>
        <v>#DIV/0!</v>
      </c>
      <c r="G42" s="2">
        <f t="shared" si="7"/>
        <v>0</v>
      </c>
      <c r="H42" s="2">
        <f t="shared" si="8"/>
        <v>0</v>
      </c>
      <c r="I42" s="29"/>
      <c r="J42" s="34"/>
      <c r="K42" s="21" t="e">
        <f t="shared" si="11"/>
        <v>#DIV/0!</v>
      </c>
      <c r="L42" s="22" t="e">
        <f t="shared" si="12"/>
        <v>#DIV/0!</v>
      </c>
      <c r="M42" s="103"/>
      <c r="N42" s="103"/>
      <c r="O42" s="34"/>
      <c r="P42" s="6"/>
      <c r="Q42" s="14"/>
    </row>
    <row r="43" spans="1:17">
      <c r="A43" s="13">
        <f t="shared" si="9"/>
        <v>46151</v>
      </c>
      <c r="B43" s="127"/>
      <c r="C43" s="127"/>
      <c r="D43" s="34"/>
      <c r="E43" s="34"/>
      <c r="F43" s="21" t="e">
        <f t="shared" si="10"/>
        <v>#DIV/0!</v>
      </c>
      <c r="G43" s="2">
        <f t="shared" si="7"/>
        <v>0</v>
      </c>
      <c r="H43" s="2">
        <f t="shared" si="8"/>
        <v>0</v>
      </c>
      <c r="I43" s="29"/>
      <c r="J43" s="34"/>
      <c r="K43" s="21" t="e">
        <f t="shared" si="11"/>
        <v>#DIV/0!</v>
      </c>
      <c r="L43" s="22" t="e">
        <f t="shared" si="12"/>
        <v>#DIV/0!</v>
      </c>
      <c r="M43" s="103"/>
      <c r="N43" s="103"/>
      <c r="O43" s="34"/>
      <c r="P43" s="6"/>
      <c r="Q43" s="6"/>
    </row>
    <row r="44" spans="1:17">
      <c r="A44" s="13">
        <f t="shared" si="9"/>
        <v>46152</v>
      </c>
      <c r="B44" s="127"/>
      <c r="C44" s="127"/>
      <c r="D44" s="34"/>
      <c r="E44" s="34"/>
      <c r="F44" s="21" t="e">
        <f t="shared" si="10"/>
        <v>#DIV/0!</v>
      </c>
      <c r="G44" s="2">
        <f t="shared" si="7"/>
        <v>0</v>
      </c>
      <c r="H44" s="2">
        <f t="shared" si="8"/>
        <v>0</v>
      </c>
      <c r="I44" s="29"/>
      <c r="J44" s="34"/>
      <c r="K44" s="21" t="e">
        <f t="shared" si="11"/>
        <v>#DIV/0!</v>
      </c>
      <c r="L44" s="22" t="e">
        <f t="shared" si="12"/>
        <v>#DIV/0!</v>
      </c>
      <c r="M44" s="103"/>
      <c r="N44" s="103"/>
      <c r="O44" s="34"/>
      <c r="P44" s="6"/>
      <c r="Q44" s="16"/>
    </row>
    <row r="45" spans="1:17">
      <c r="A45" s="13">
        <f t="shared" si="9"/>
        <v>46153</v>
      </c>
      <c r="B45" s="127"/>
      <c r="C45" s="127"/>
      <c r="D45" s="34"/>
      <c r="E45" s="34"/>
      <c r="F45" s="21" t="e">
        <f t="shared" si="10"/>
        <v>#DIV/0!</v>
      </c>
      <c r="G45" s="2">
        <f t="shared" si="7"/>
        <v>0</v>
      </c>
      <c r="H45" s="2">
        <f t="shared" si="8"/>
        <v>0</v>
      </c>
      <c r="I45" s="29"/>
      <c r="J45" s="34"/>
      <c r="K45" s="21" t="e">
        <f t="shared" si="11"/>
        <v>#DIV/0!</v>
      </c>
      <c r="L45" s="22" t="e">
        <f t="shared" si="12"/>
        <v>#DIV/0!</v>
      </c>
      <c r="M45" s="103"/>
      <c r="N45" s="103"/>
      <c r="O45" s="34"/>
      <c r="P45" s="6"/>
      <c r="Q45" s="6"/>
    </row>
    <row r="46" spans="1:17">
      <c r="A46" s="13">
        <f t="shared" si="9"/>
        <v>46154</v>
      </c>
      <c r="B46" s="127"/>
      <c r="C46" s="127"/>
      <c r="D46" s="34"/>
      <c r="E46" s="34"/>
      <c r="F46" s="21" t="e">
        <f t="shared" si="10"/>
        <v>#DIV/0!</v>
      </c>
      <c r="G46" s="2">
        <f t="shared" si="7"/>
        <v>0</v>
      </c>
      <c r="H46" s="2">
        <f t="shared" si="8"/>
        <v>0</v>
      </c>
      <c r="I46" s="29"/>
      <c r="J46" s="34"/>
      <c r="K46" s="21" t="e">
        <f t="shared" si="11"/>
        <v>#DIV/0!</v>
      </c>
      <c r="L46" s="22" t="e">
        <f t="shared" si="12"/>
        <v>#DIV/0!</v>
      </c>
      <c r="M46" s="104"/>
      <c r="N46" s="103"/>
      <c r="O46" s="34"/>
      <c r="P46" s="6"/>
      <c r="Q46" s="6"/>
    </row>
    <row r="47" spans="1:17">
      <c r="A47" s="13">
        <f t="shared" si="9"/>
        <v>46155</v>
      </c>
      <c r="B47" s="127"/>
      <c r="C47" s="127"/>
      <c r="D47" s="34"/>
      <c r="E47" s="34"/>
      <c r="F47" s="21" t="e">
        <f t="shared" si="10"/>
        <v>#DIV/0!</v>
      </c>
      <c r="G47" s="2">
        <f t="shared" si="7"/>
        <v>0</v>
      </c>
      <c r="H47" s="2">
        <f t="shared" si="8"/>
        <v>0</v>
      </c>
      <c r="I47" s="29"/>
      <c r="J47" s="34"/>
      <c r="K47" s="21" t="e">
        <f t="shared" si="11"/>
        <v>#DIV/0!</v>
      </c>
      <c r="L47" s="22" t="e">
        <f t="shared" si="12"/>
        <v>#DIV/0!</v>
      </c>
      <c r="M47" s="104"/>
      <c r="N47" s="103"/>
      <c r="O47" s="34"/>
      <c r="P47" s="6"/>
      <c r="Q47" s="31"/>
    </row>
    <row r="48" spans="1:17">
      <c r="A48" s="13">
        <f t="shared" si="9"/>
        <v>46156</v>
      </c>
      <c r="B48" s="127"/>
      <c r="C48" s="127"/>
      <c r="D48" s="34"/>
      <c r="E48" s="34"/>
      <c r="F48" s="21" t="e">
        <f t="shared" si="10"/>
        <v>#DIV/0!</v>
      </c>
      <c r="G48" s="2">
        <f t="shared" si="7"/>
        <v>0</v>
      </c>
      <c r="H48" s="2">
        <f t="shared" si="8"/>
        <v>0</v>
      </c>
      <c r="I48" s="29"/>
      <c r="J48" s="34"/>
      <c r="K48" s="21" t="e">
        <f t="shared" si="11"/>
        <v>#DIV/0!</v>
      </c>
      <c r="L48" s="22" t="e">
        <f t="shared" si="12"/>
        <v>#DIV/0!</v>
      </c>
      <c r="M48" s="104"/>
      <c r="N48" s="103"/>
      <c r="O48" s="34"/>
      <c r="P48" s="6"/>
      <c r="Q48" s="32"/>
    </row>
    <row r="49" spans="1:17">
      <c r="A49" s="13">
        <f t="shared" si="9"/>
        <v>46157</v>
      </c>
      <c r="B49" s="127"/>
      <c r="C49" s="127"/>
      <c r="D49" s="34"/>
      <c r="E49" s="34"/>
      <c r="F49" s="21" t="e">
        <f t="shared" si="10"/>
        <v>#DIV/0!</v>
      </c>
      <c r="G49" s="2">
        <f t="shared" si="7"/>
        <v>0</v>
      </c>
      <c r="H49" s="2">
        <f t="shared" si="8"/>
        <v>0</v>
      </c>
      <c r="I49" s="29"/>
      <c r="J49" s="34"/>
      <c r="K49" s="21" t="e">
        <f t="shared" si="11"/>
        <v>#DIV/0!</v>
      </c>
      <c r="L49" s="22" t="e">
        <f t="shared" si="12"/>
        <v>#DIV/0!</v>
      </c>
      <c r="M49" s="104"/>
      <c r="N49" s="103"/>
      <c r="O49" s="34"/>
      <c r="P49" s="6"/>
      <c r="Q49" s="32"/>
    </row>
    <row r="50" spans="1:17">
      <c r="A50" s="13">
        <f t="shared" si="9"/>
        <v>46158</v>
      </c>
      <c r="B50" s="127"/>
      <c r="C50" s="127"/>
      <c r="D50" s="34"/>
      <c r="E50" s="34"/>
      <c r="F50" s="21" t="e">
        <f t="shared" si="10"/>
        <v>#DIV/0!</v>
      </c>
      <c r="G50" s="2">
        <f t="shared" si="7"/>
        <v>0</v>
      </c>
      <c r="H50" s="2">
        <f t="shared" si="8"/>
        <v>0</v>
      </c>
      <c r="I50" s="29"/>
      <c r="J50" s="34"/>
      <c r="K50" s="21" t="e">
        <f t="shared" si="11"/>
        <v>#DIV/0!</v>
      </c>
      <c r="L50" s="22" t="e">
        <f t="shared" si="12"/>
        <v>#DIV/0!</v>
      </c>
      <c r="M50" s="104"/>
      <c r="N50" s="103"/>
      <c r="O50" s="34"/>
      <c r="P50" s="6"/>
      <c r="Q50" s="32"/>
    </row>
    <row r="51" spans="1:17">
      <c r="A51" s="13">
        <f t="shared" si="9"/>
        <v>46159</v>
      </c>
      <c r="B51" s="127"/>
      <c r="C51" s="127"/>
      <c r="D51" s="34"/>
      <c r="E51" s="34"/>
      <c r="F51" s="21" t="e">
        <f t="shared" si="10"/>
        <v>#DIV/0!</v>
      </c>
      <c r="G51" s="2">
        <f t="shared" si="7"/>
        <v>0</v>
      </c>
      <c r="H51" s="2">
        <f t="shared" si="8"/>
        <v>0</v>
      </c>
      <c r="I51" s="29"/>
      <c r="J51" s="34"/>
      <c r="K51" s="21" t="e">
        <f t="shared" si="11"/>
        <v>#DIV/0!</v>
      </c>
      <c r="L51" s="22" t="e">
        <f t="shared" si="12"/>
        <v>#DIV/0!</v>
      </c>
      <c r="M51" s="103"/>
      <c r="N51" s="103"/>
      <c r="O51" s="34"/>
      <c r="P51" s="6"/>
      <c r="Q51" s="6"/>
    </row>
    <row r="52" spans="1:17">
      <c r="A52" s="13">
        <f t="shared" si="9"/>
        <v>46160</v>
      </c>
      <c r="B52" s="127"/>
      <c r="C52" s="127"/>
      <c r="D52" s="34"/>
      <c r="E52" s="34"/>
      <c r="F52" s="21" t="e">
        <f t="shared" si="10"/>
        <v>#DIV/0!</v>
      </c>
      <c r="G52" s="2">
        <f t="shared" si="7"/>
        <v>0</v>
      </c>
      <c r="H52" s="2">
        <f t="shared" si="8"/>
        <v>0</v>
      </c>
      <c r="I52" s="29"/>
      <c r="J52" s="34"/>
      <c r="K52" s="21" t="e">
        <f t="shared" si="11"/>
        <v>#DIV/0!</v>
      </c>
      <c r="L52" s="22" t="e">
        <f t="shared" si="12"/>
        <v>#DIV/0!</v>
      </c>
      <c r="M52" s="103"/>
      <c r="N52" s="103"/>
      <c r="O52" s="34"/>
      <c r="P52" s="6"/>
      <c r="Q52" s="14"/>
    </row>
    <row r="53" spans="1:17">
      <c r="A53" s="13">
        <f t="shared" si="9"/>
        <v>46161</v>
      </c>
      <c r="B53" s="127"/>
      <c r="C53" s="127"/>
      <c r="D53" s="34"/>
      <c r="E53" s="34"/>
      <c r="F53" s="21" t="e">
        <f t="shared" si="10"/>
        <v>#DIV/0!</v>
      </c>
      <c r="G53" s="2">
        <f t="shared" si="7"/>
        <v>0</v>
      </c>
      <c r="H53" s="2">
        <f t="shared" si="8"/>
        <v>0</v>
      </c>
      <c r="I53" s="29"/>
      <c r="J53" s="34"/>
      <c r="K53" s="21" t="e">
        <f t="shared" si="11"/>
        <v>#DIV/0!</v>
      </c>
      <c r="L53" s="22" t="e">
        <f t="shared" si="12"/>
        <v>#DIV/0!</v>
      </c>
      <c r="M53" s="103"/>
      <c r="N53" s="103"/>
      <c r="O53" s="34"/>
      <c r="P53" s="6"/>
      <c r="Q53" s="14"/>
    </row>
    <row r="54" spans="1:17">
      <c r="A54" s="13">
        <f t="shared" si="9"/>
        <v>46162</v>
      </c>
      <c r="B54" s="127"/>
      <c r="C54" s="127"/>
      <c r="D54" s="34"/>
      <c r="E54" s="34"/>
      <c r="F54" s="21" t="e">
        <f t="shared" si="10"/>
        <v>#DIV/0!</v>
      </c>
      <c r="G54" s="2">
        <f t="shared" si="7"/>
        <v>0</v>
      </c>
      <c r="H54" s="2">
        <f t="shared" si="8"/>
        <v>0</v>
      </c>
      <c r="I54" s="29"/>
      <c r="J54" s="34"/>
      <c r="K54" s="21" t="e">
        <f t="shared" si="11"/>
        <v>#DIV/0!</v>
      </c>
      <c r="L54" s="22" t="e">
        <f t="shared" si="12"/>
        <v>#DIV/0!</v>
      </c>
      <c r="M54" s="103"/>
      <c r="N54" s="103"/>
      <c r="O54" s="34"/>
      <c r="P54" s="6"/>
      <c r="Q54" s="14"/>
    </row>
    <row r="55" spans="1:17">
      <c r="A55" s="13">
        <f t="shared" si="9"/>
        <v>46163</v>
      </c>
      <c r="B55" s="127"/>
      <c r="C55" s="127"/>
      <c r="D55" s="34"/>
      <c r="E55" s="34"/>
      <c r="F55" s="21" t="e">
        <f t="shared" si="10"/>
        <v>#DIV/0!</v>
      </c>
      <c r="G55" s="2">
        <f t="shared" si="7"/>
        <v>0</v>
      </c>
      <c r="H55" s="2">
        <f t="shared" si="8"/>
        <v>0</v>
      </c>
      <c r="I55" s="29"/>
      <c r="J55" s="34"/>
      <c r="K55" s="21" t="e">
        <f t="shared" si="11"/>
        <v>#DIV/0!</v>
      </c>
      <c r="L55" s="22" t="e">
        <f t="shared" si="12"/>
        <v>#DIV/0!</v>
      </c>
      <c r="M55" s="103"/>
      <c r="N55" s="103"/>
      <c r="O55" s="34"/>
      <c r="P55" s="6"/>
      <c r="Q55" s="6"/>
    </row>
    <row r="56" spans="1:17">
      <c r="A56" s="13">
        <f t="shared" si="9"/>
        <v>46164</v>
      </c>
      <c r="B56" s="127"/>
      <c r="C56" s="127"/>
      <c r="D56" s="34"/>
      <c r="E56" s="34"/>
      <c r="F56" s="21" t="e">
        <f t="shared" si="10"/>
        <v>#DIV/0!</v>
      </c>
      <c r="G56" s="2">
        <f t="shared" si="7"/>
        <v>0</v>
      </c>
      <c r="H56" s="2">
        <f t="shared" si="8"/>
        <v>0</v>
      </c>
      <c r="I56" s="29"/>
      <c r="J56" s="34"/>
      <c r="K56" s="21" t="e">
        <f t="shared" si="11"/>
        <v>#DIV/0!</v>
      </c>
      <c r="L56" s="22" t="e">
        <f t="shared" si="12"/>
        <v>#DIV/0!</v>
      </c>
      <c r="M56" s="103"/>
      <c r="N56" s="103"/>
      <c r="O56" s="34"/>
      <c r="P56" s="6"/>
      <c r="Q56" s="6"/>
    </row>
    <row r="57" spans="1:17">
      <c r="A57" s="13">
        <f t="shared" si="9"/>
        <v>46165</v>
      </c>
      <c r="B57" s="127"/>
      <c r="C57" s="127"/>
      <c r="D57" s="14"/>
      <c r="E57" s="14"/>
      <c r="F57" s="21" t="e">
        <f t="shared" si="10"/>
        <v>#DIV/0!</v>
      </c>
      <c r="G57" s="2">
        <f t="shared" si="7"/>
        <v>0</v>
      </c>
      <c r="H57" s="2">
        <f t="shared" si="8"/>
        <v>0</v>
      </c>
      <c r="I57" s="29"/>
      <c r="J57" s="14"/>
      <c r="K57" s="21" t="e">
        <f t="shared" si="11"/>
        <v>#DIV/0!</v>
      </c>
      <c r="L57" s="22" t="e">
        <f t="shared" si="12"/>
        <v>#DIV/0!</v>
      </c>
      <c r="M57" s="103"/>
      <c r="N57" s="103"/>
      <c r="O57" s="34"/>
      <c r="P57" s="6"/>
      <c r="Q57" s="6"/>
    </row>
    <row r="58" spans="1:17">
      <c r="A58" s="13">
        <f t="shared" si="9"/>
        <v>46166</v>
      </c>
      <c r="B58" s="127"/>
      <c r="C58" s="127"/>
      <c r="D58" s="14"/>
      <c r="E58" s="14"/>
      <c r="F58" s="21" t="e">
        <f t="shared" si="10"/>
        <v>#DIV/0!</v>
      </c>
      <c r="G58" s="2">
        <f t="shared" si="7"/>
        <v>0</v>
      </c>
      <c r="H58" s="2">
        <f t="shared" si="8"/>
        <v>0</v>
      </c>
      <c r="I58" s="29"/>
      <c r="J58" s="14"/>
      <c r="K58" s="21" t="e">
        <f t="shared" si="11"/>
        <v>#DIV/0!</v>
      </c>
      <c r="L58" s="22" t="e">
        <f t="shared" si="12"/>
        <v>#DIV/0!</v>
      </c>
      <c r="M58" s="103"/>
      <c r="N58" s="103"/>
      <c r="O58" s="34"/>
      <c r="P58" s="6"/>
      <c r="Q58" s="288"/>
    </row>
    <row r="59" spans="1:17">
      <c r="A59" s="13">
        <f t="shared" si="9"/>
        <v>46167</v>
      </c>
      <c r="B59" s="1"/>
      <c r="C59" s="1"/>
      <c r="D59" s="14"/>
      <c r="E59" s="14"/>
      <c r="F59" s="21" t="e">
        <f t="shared" si="10"/>
        <v>#DIV/0!</v>
      </c>
      <c r="G59" s="2">
        <f t="shared" si="7"/>
        <v>0</v>
      </c>
      <c r="H59" s="2">
        <f t="shared" si="8"/>
        <v>0</v>
      </c>
      <c r="I59" s="29"/>
      <c r="J59" s="14"/>
      <c r="K59" s="21" t="e">
        <f t="shared" si="11"/>
        <v>#DIV/0!</v>
      </c>
      <c r="L59" s="22" t="e">
        <f t="shared" si="12"/>
        <v>#DIV/0!</v>
      </c>
      <c r="M59" s="103"/>
      <c r="N59" s="103"/>
      <c r="O59" s="34"/>
      <c r="P59" s="155"/>
      <c r="Q59" s="6"/>
    </row>
    <row r="60" spans="1:17">
      <c r="A60" s="13">
        <f t="shared" si="9"/>
        <v>46168</v>
      </c>
      <c r="B60" s="1"/>
      <c r="C60" s="1"/>
      <c r="D60" s="14"/>
      <c r="E60" s="14"/>
      <c r="F60" s="21" t="e">
        <f t="shared" si="10"/>
        <v>#DIV/0!</v>
      </c>
      <c r="G60" s="2">
        <f t="shared" si="7"/>
        <v>0</v>
      </c>
      <c r="H60" s="2">
        <f t="shared" si="8"/>
        <v>0</v>
      </c>
      <c r="I60" s="29"/>
      <c r="J60" s="14"/>
      <c r="K60" s="21" t="e">
        <f t="shared" si="11"/>
        <v>#DIV/0!</v>
      </c>
      <c r="L60" s="22" t="e">
        <f t="shared" si="12"/>
        <v>#DIV/0!</v>
      </c>
      <c r="M60" s="103"/>
      <c r="N60" s="103"/>
      <c r="O60" s="34"/>
      <c r="P60" s="6"/>
      <c r="Q60" s="123"/>
    </row>
    <row r="61" spans="1:17">
      <c r="A61" s="13">
        <f t="shared" si="9"/>
        <v>46169</v>
      </c>
      <c r="B61" s="1"/>
      <c r="C61" s="1"/>
      <c r="D61" s="14"/>
      <c r="E61" s="14"/>
      <c r="F61" s="21" t="e">
        <f t="shared" si="10"/>
        <v>#DIV/0!</v>
      </c>
      <c r="G61" s="2">
        <f t="shared" si="7"/>
        <v>0</v>
      </c>
      <c r="H61" s="2">
        <f t="shared" si="8"/>
        <v>0</v>
      </c>
      <c r="I61" s="29"/>
      <c r="J61" s="14"/>
      <c r="K61" s="21" t="e">
        <f t="shared" si="11"/>
        <v>#DIV/0!</v>
      </c>
      <c r="L61" s="22" t="e">
        <f t="shared" si="12"/>
        <v>#DIV/0!</v>
      </c>
      <c r="M61" s="103"/>
      <c r="N61" s="103"/>
      <c r="O61" s="34"/>
      <c r="P61" s="6"/>
      <c r="Q61" s="6"/>
    </row>
    <row r="62" spans="1:17">
      <c r="A62" s="13">
        <f t="shared" si="9"/>
        <v>46170</v>
      </c>
      <c r="B62" s="1"/>
      <c r="C62" s="1"/>
      <c r="D62" s="14"/>
      <c r="E62" s="14"/>
      <c r="F62" s="21" t="e">
        <f t="shared" si="10"/>
        <v>#DIV/0!</v>
      </c>
      <c r="G62" s="2">
        <f t="shared" si="7"/>
        <v>0</v>
      </c>
      <c r="H62" s="2">
        <f t="shared" si="8"/>
        <v>0</v>
      </c>
      <c r="I62" s="29"/>
      <c r="J62" s="14"/>
      <c r="K62" s="21" t="e">
        <f t="shared" si="11"/>
        <v>#DIV/0!</v>
      </c>
      <c r="L62" s="22" t="e">
        <f t="shared" si="12"/>
        <v>#DIV/0!</v>
      </c>
      <c r="M62" s="103"/>
      <c r="N62" s="103"/>
      <c r="O62" s="34"/>
      <c r="P62" s="6"/>
      <c r="Q62" s="6"/>
    </row>
    <row r="63" spans="1:17">
      <c r="A63" s="13">
        <f t="shared" si="9"/>
        <v>46171</v>
      </c>
      <c r="B63" s="1"/>
      <c r="C63" s="1"/>
      <c r="D63" s="14"/>
      <c r="E63" s="14"/>
      <c r="F63" s="21" t="e">
        <f t="shared" si="10"/>
        <v>#DIV/0!</v>
      </c>
      <c r="G63" s="2">
        <f t="shared" si="7"/>
        <v>0</v>
      </c>
      <c r="H63" s="2">
        <f t="shared" si="8"/>
        <v>0</v>
      </c>
      <c r="I63" s="29"/>
      <c r="J63" s="14"/>
      <c r="K63" s="21" t="e">
        <f t="shared" si="11"/>
        <v>#DIV/0!</v>
      </c>
      <c r="L63" s="22" t="e">
        <f t="shared" si="12"/>
        <v>#DIV/0!</v>
      </c>
      <c r="M63" s="103"/>
      <c r="N63" s="103"/>
      <c r="O63" s="34"/>
      <c r="P63" s="6"/>
      <c r="Q63" s="6"/>
    </row>
    <row r="64" spans="1:17">
      <c r="A64" s="13">
        <f t="shared" si="9"/>
        <v>46172</v>
      </c>
      <c r="B64" s="1"/>
      <c r="C64" s="1"/>
      <c r="D64" s="14"/>
      <c r="E64" s="14"/>
      <c r="F64" s="21" t="e">
        <f t="shared" si="10"/>
        <v>#DIV/0!</v>
      </c>
      <c r="G64" s="2">
        <f t="shared" si="7"/>
        <v>0</v>
      </c>
      <c r="H64" s="2">
        <f t="shared" si="8"/>
        <v>0</v>
      </c>
      <c r="I64" s="29"/>
      <c r="J64" s="14"/>
      <c r="K64" s="21" t="e">
        <f t="shared" si="11"/>
        <v>#DIV/0!</v>
      </c>
      <c r="L64" s="22" t="e">
        <f t="shared" si="12"/>
        <v>#DIV/0!</v>
      </c>
      <c r="M64" s="103"/>
      <c r="N64" s="103"/>
      <c r="O64" s="34"/>
      <c r="P64" s="6"/>
      <c r="Q64" s="6"/>
    </row>
    <row r="65" spans="1:17">
      <c r="A65" s="13">
        <f t="shared" si="9"/>
        <v>46173</v>
      </c>
      <c r="B65" s="1"/>
      <c r="C65" s="1"/>
      <c r="D65" s="14"/>
      <c r="E65" s="14"/>
      <c r="F65" s="21" t="e">
        <f t="shared" si="10"/>
        <v>#DIV/0!</v>
      </c>
      <c r="G65" s="2">
        <f t="shared" si="7"/>
        <v>0</v>
      </c>
      <c r="H65" s="2">
        <f t="shared" si="8"/>
        <v>0</v>
      </c>
      <c r="I65" s="29"/>
      <c r="J65" s="14"/>
      <c r="K65" s="21" t="e">
        <f t="shared" si="11"/>
        <v>#DIV/0!</v>
      </c>
      <c r="L65" s="22" t="e">
        <f t="shared" si="12"/>
        <v>#DIV/0!</v>
      </c>
      <c r="M65" s="103"/>
      <c r="N65" s="103"/>
      <c r="O65" s="34"/>
      <c r="P65" s="6"/>
      <c r="Q65" s="6"/>
    </row>
    <row r="66" spans="1:17">
      <c r="A66" s="349">
        <v>46143</v>
      </c>
      <c r="B66" s="89">
        <f>SUM(B35:B65)</f>
        <v>34878</v>
      </c>
      <c r="C66" s="89">
        <f>SUM(C35:C65)</f>
        <v>32790</v>
      </c>
      <c r="D66" s="89">
        <f>SUM(D35:D65)</f>
        <v>0</v>
      </c>
      <c r="E66" s="89">
        <f>SUM(E35:E65)</f>
        <v>0</v>
      </c>
      <c r="F66" s="160">
        <f t="shared" si="10"/>
        <v>-1</v>
      </c>
      <c r="G66" s="90">
        <f>AVERAGE(G35:G65)</f>
        <v>0</v>
      </c>
      <c r="H66" s="90">
        <f>AVERAGE(H35:H65)</f>
        <v>0</v>
      </c>
      <c r="I66" s="89">
        <f>SUM(I35:I65)</f>
        <v>26.549999999999997</v>
      </c>
      <c r="J66" s="89">
        <f>SUM(J35:J65)</f>
        <v>0</v>
      </c>
      <c r="K66" s="160">
        <f t="shared" si="11"/>
        <v>-1</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2044-8C9C-4286-8100-2233146E1842}">
  <dimension ref="A1:Q66"/>
  <sheetViews>
    <sheetView topLeftCell="D26" workbookViewId="0">
      <selection activeCell="B35" sqref="B35"/>
    </sheetView>
  </sheetViews>
  <sheetFormatPr defaultColWidth="12.81640625" defaultRowHeight="14.5"/>
  <sheetData>
    <row r="1" spans="1:17" ht="18.5">
      <c r="A1" s="413" t="s">
        <v>411</v>
      </c>
      <c r="B1" s="414"/>
      <c r="C1" s="414"/>
      <c r="D1" s="414"/>
      <c r="E1" s="414"/>
      <c r="F1" s="414"/>
      <c r="G1" s="414"/>
      <c r="H1" s="414"/>
      <c r="I1" s="414"/>
      <c r="J1" s="414"/>
      <c r="K1" s="414"/>
      <c r="L1" s="414"/>
      <c r="M1" s="414"/>
      <c r="N1" s="414"/>
      <c r="O1" s="414"/>
      <c r="P1" s="414"/>
      <c r="Q1" s="414"/>
    </row>
    <row r="2" spans="1:17" ht="18.5">
      <c r="A2" s="69">
        <v>46138</v>
      </c>
      <c r="B2" s="415" t="s">
        <v>172</v>
      </c>
      <c r="C2" s="416"/>
      <c r="D2" s="70">
        <v>18090</v>
      </c>
      <c r="E2" s="415" t="s">
        <v>173</v>
      </c>
      <c r="F2" s="415"/>
      <c r="G2" s="416"/>
      <c r="H2" s="70">
        <v>14000</v>
      </c>
      <c r="I2" s="415" t="s">
        <v>174</v>
      </c>
      <c r="J2" s="416"/>
      <c r="K2" s="71">
        <v>45574</v>
      </c>
      <c r="L2" s="72" t="s">
        <v>175</v>
      </c>
      <c r="M2" s="72" t="s">
        <v>175</v>
      </c>
      <c r="N2" s="72" t="s">
        <v>175</v>
      </c>
      <c r="O2" s="72" t="s">
        <v>175</v>
      </c>
      <c r="P2" s="72" t="s">
        <v>175</v>
      </c>
      <c r="Q2" s="73" t="s">
        <v>175</v>
      </c>
    </row>
    <row r="3" spans="1:17" ht="52.5">
      <c r="A3" s="74" t="s">
        <v>189</v>
      </c>
      <c r="B3" s="75" t="s">
        <v>3</v>
      </c>
      <c r="C3" s="75" t="s">
        <v>4</v>
      </c>
      <c r="D3" s="75" t="s">
        <v>5</v>
      </c>
      <c r="E3" s="75" t="s">
        <v>6</v>
      </c>
      <c r="F3" s="75" t="s">
        <v>7</v>
      </c>
      <c r="G3" s="75" t="s">
        <v>8</v>
      </c>
      <c r="H3" s="75" t="s">
        <v>9</v>
      </c>
      <c r="I3" s="75" t="s">
        <v>10</v>
      </c>
      <c r="J3" s="75" t="s">
        <v>11</v>
      </c>
      <c r="K3" s="75" t="s">
        <v>12</v>
      </c>
      <c r="L3" s="75" t="s">
        <v>13</v>
      </c>
      <c r="M3" s="75" t="s">
        <v>14</v>
      </c>
      <c r="N3" s="75" t="s">
        <v>15</v>
      </c>
      <c r="O3" s="75" t="s">
        <v>16</v>
      </c>
      <c r="P3" s="75" t="s">
        <v>17</v>
      </c>
      <c r="Q3" s="184" t="s">
        <v>156</v>
      </c>
    </row>
    <row r="4" spans="1:17">
      <c r="A4" s="76">
        <v>46113</v>
      </c>
      <c r="B4" s="36">
        <v>92356</v>
      </c>
      <c r="C4" s="36">
        <v>88158</v>
      </c>
      <c r="D4" s="37">
        <v>87812</v>
      </c>
      <c r="E4" s="37">
        <v>85200</v>
      </c>
      <c r="F4" s="78">
        <f>(D4-C4)/C4</f>
        <v>-3.9247714331087369E-3</v>
      </c>
      <c r="G4" s="38">
        <f>D4/($D$2*24)</f>
        <v>0.20225723235673485</v>
      </c>
      <c r="H4" s="38">
        <f>D4/($H$2*24)</f>
        <v>0.26134523809523807</v>
      </c>
      <c r="I4" s="36">
        <v>6.73</v>
      </c>
      <c r="J4" s="37">
        <v>6.31</v>
      </c>
      <c r="K4" s="78">
        <f>(J4-I4)/I4</f>
        <v>-6.2407132243685111E-2</v>
      </c>
      <c r="L4" s="40">
        <f>D4/($D$2*J4)</f>
        <v>0.76928265872609136</v>
      </c>
      <c r="M4" s="41">
        <v>1</v>
      </c>
      <c r="N4" s="41">
        <v>0.96040000000000003</v>
      </c>
      <c r="O4" s="37">
        <v>7601</v>
      </c>
      <c r="P4" s="37" t="s">
        <v>175</v>
      </c>
      <c r="Q4" s="37" t="s">
        <v>412</v>
      </c>
    </row>
    <row r="5" spans="1:17">
      <c r="A5" s="79">
        <v>46114</v>
      </c>
      <c r="B5" s="43">
        <v>92356</v>
      </c>
      <c r="C5" s="43">
        <v>88158</v>
      </c>
      <c r="D5" s="44">
        <v>86779</v>
      </c>
      <c r="E5" s="44">
        <v>84300</v>
      </c>
      <c r="F5" s="78">
        <f t="shared" ref="F5:F33" si="0">(D5-C5)/C5</f>
        <v>-1.5642369382245513E-2</v>
      </c>
      <c r="G5" s="38">
        <f t="shared" ref="G5:G33" si="1">D5/($D$2*24)</f>
        <v>0.19987792518887046</v>
      </c>
      <c r="H5" s="38">
        <f t="shared" ref="H5:H33" si="2">D5/($H$2*24)</f>
        <v>0.25827083333333334</v>
      </c>
      <c r="I5" s="43">
        <v>6.73</v>
      </c>
      <c r="J5" s="44">
        <v>6.22</v>
      </c>
      <c r="K5" s="78">
        <f t="shared" ref="K5:K33" si="3">(J5-I5)/I5</f>
        <v>-7.5780089153046154E-2</v>
      </c>
      <c r="L5" s="40">
        <f t="shared" ref="L5:L33" si="4">D5/($D$2*J5)</f>
        <v>0.77123315185416264</v>
      </c>
      <c r="M5" s="48">
        <v>1</v>
      </c>
      <c r="N5" s="48">
        <v>0.96379999999999999</v>
      </c>
      <c r="O5" s="44">
        <v>6826</v>
      </c>
      <c r="P5" s="44" t="s">
        <v>175</v>
      </c>
      <c r="Q5" s="44" t="s">
        <v>412</v>
      </c>
    </row>
    <row r="6" spans="1:17">
      <c r="A6" s="79">
        <v>46115</v>
      </c>
      <c r="B6" s="43">
        <v>92356</v>
      </c>
      <c r="C6" s="43">
        <v>88158</v>
      </c>
      <c r="D6" s="44">
        <v>58912</v>
      </c>
      <c r="E6" s="44">
        <v>57150</v>
      </c>
      <c r="F6" s="78">
        <f t="shared" si="0"/>
        <v>-0.33174527552802924</v>
      </c>
      <c r="G6" s="38">
        <f t="shared" si="1"/>
        <v>0.13569191081628892</v>
      </c>
      <c r="H6" s="38">
        <f t="shared" si="2"/>
        <v>0.17533333333333334</v>
      </c>
      <c r="I6" s="43">
        <v>6.73</v>
      </c>
      <c r="J6" s="44">
        <v>3.84</v>
      </c>
      <c r="K6" s="78">
        <f t="shared" si="3"/>
        <v>-0.42942050520059444</v>
      </c>
      <c r="L6" s="40">
        <f t="shared" si="4"/>
        <v>0.84807444260180587</v>
      </c>
      <c r="M6" s="48">
        <v>1</v>
      </c>
      <c r="N6" s="48">
        <v>1</v>
      </c>
      <c r="O6" s="44" t="s">
        <v>175</v>
      </c>
      <c r="P6" s="44" t="s">
        <v>175</v>
      </c>
      <c r="Q6" s="44" t="s">
        <v>175</v>
      </c>
    </row>
    <row r="7" spans="1:17">
      <c r="A7" s="79">
        <v>46116</v>
      </c>
      <c r="B7" s="43">
        <v>92356</v>
      </c>
      <c r="C7" s="43">
        <v>88158</v>
      </c>
      <c r="D7" s="44">
        <v>96546</v>
      </c>
      <c r="E7" s="44">
        <v>93750</v>
      </c>
      <c r="F7" s="78">
        <f t="shared" si="0"/>
        <v>9.514734907779214E-2</v>
      </c>
      <c r="G7" s="38">
        <f t="shared" si="1"/>
        <v>0.22237423991155333</v>
      </c>
      <c r="H7" s="38">
        <f t="shared" si="2"/>
        <v>0.28733928571428574</v>
      </c>
      <c r="I7" s="43">
        <v>6.73</v>
      </c>
      <c r="J7" s="44">
        <v>6.71</v>
      </c>
      <c r="K7" s="78">
        <f t="shared" si="3"/>
        <v>-2.9717682020803061E-3</v>
      </c>
      <c r="L7" s="40">
        <f t="shared" si="4"/>
        <v>0.79537731115905819</v>
      </c>
      <c r="M7" s="48">
        <v>1</v>
      </c>
      <c r="N7" s="48">
        <v>1</v>
      </c>
      <c r="O7" s="44" t="s">
        <v>175</v>
      </c>
      <c r="P7" s="44" t="s">
        <v>175</v>
      </c>
      <c r="Q7" s="44" t="s">
        <v>175</v>
      </c>
    </row>
    <row r="8" spans="1:17">
      <c r="A8" s="79">
        <v>46117</v>
      </c>
      <c r="B8" s="43">
        <v>92356</v>
      </c>
      <c r="C8" s="43">
        <v>88158</v>
      </c>
      <c r="D8" s="44">
        <v>88048</v>
      </c>
      <c r="E8" s="44">
        <v>85500</v>
      </c>
      <c r="F8" s="78">
        <f t="shared" si="0"/>
        <v>-1.2477597041675175E-3</v>
      </c>
      <c r="G8" s="38">
        <f t="shared" si="1"/>
        <v>0.20280081076100975</v>
      </c>
      <c r="H8" s="38">
        <f t="shared" si="2"/>
        <v>0.26204761904761903</v>
      </c>
      <c r="I8" s="43">
        <v>6.73</v>
      </c>
      <c r="J8" s="44">
        <v>6.55</v>
      </c>
      <c r="K8" s="78">
        <f t="shared" si="3"/>
        <v>-2.6745913818722229E-2</v>
      </c>
      <c r="L8" s="40">
        <f t="shared" si="4"/>
        <v>0.74308694019301291</v>
      </c>
      <c r="M8" s="48">
        <v>1</v>
      </c>
      <c r="N8" s="48">
        <v>0.91210000000000002</v>
      </c>
      <c r="O8" s="44">
        <v>13604</v>
      </c>
      <c r="P8" s="44" t="s">
        <v>175</v>
      </c>
      <c r="Q8" s="44" t="s">
        <v>412</v>
      </c>
    </row>
    <row r="9" spans="1:17">
      <c r="A9" s="79">
        <v>46118</v>
      </c>
      <c r="B9" s="43">
        <v>92356</v>
      </c>
      <c r="C9" s="43">
        <v>88158</v>
      </c>
      <c r="D9" s="44">
        <v>95931</v>
      </c>
      <c r="E9" s="44">
        <v>93300</v>
      </c>
      <c r="F9" s="78">
        <f t="shared" si="0"/>
        <v>8.8171238004491934E-2</v>
      </c>
      <c r="G9" s="38">
        <f t="shared" si="1"/>
        <v>0.22095771144278606</v>
      </c>
      <c r="H9" s="38">
        <f t="shared" si="2"/>
        <v>0.28550892857142857</v>
      </c>
      <c r="I9" s="43">
        <v>6.73</v>
      </c>
      <c r="J9" s="44">
        <v>6.93</v>
      </c>
      <c r="K9" s="78">
        <f t="shared" si="3"/>
        <v>2.9717682020802268E-2</v>
      </c>
      <c r="L9" s="40">
        <f t="shared" si="4"/>
        <v>0.76522151149016826</v>
      </c>
      <c r="M9" s="48">
        <v>1</v>
      </c>
      <c r="N9" s="48">
        <v>0.89739999999999998</v>
      </c>
      <c r="O9" s="44">
        <v>14185</v>
      </c>
      <c r="P9" s="44" t="s">
        <v>175</v>
      </c>
      <c r="Q9" s="44" t="s">
        <v>412</v>
      </c>
    </row>
    <row r="10" spans="1:17">
      <c r="A10" s="79">
        <v>46119</v>
      </c>
      <c r="B10" s="43">
        <v>92356</v>
      </c>
      <c r="C10" s="43">
        <v>88158</v>
      </c>
      <c r="D10" s="44">
        <v>77972</v>
      </c>
      <c r="E10" s="44">
        <v>75900</v>
      </c>
      <c r="F10" s="78">
        <f t="shared" si="0"/>
        <v>-0.11554254860591211</v>
      </c>
      <c r="G10" s="38">
        <f t="shared" si="1"/>
        <v>0.17959277685645844</v>
      </c>
      <c r="H10" s="38">
        <f t="shared" si="2"/>
        <v>0.2320595238095238</v>
      </c>
      <c r="I10" s="43">
        <v>6.73</v>
      </c>
      <c r="J10" s="44">
        <v>5.88</v>
      </c>
      <c r="K10" s="78">
        <f t="shared" si="3"/>
        <v>-0.12630014858841018</v>
      </c>
      <c r="L10" s="40">
        <f t="shared" si="4"/>
        <v>0.733031742271259</v>
      </c>
      <c r="M10" s="48">
        <v>1</v>
      </c>
      <c r="N10" s="48">
        <v>0.77029999999999998</v>
      </c>
      <c r="O10" s="44">
        <v>27223</v>
      </c>
      <c r="P10" s="44" t="s">
        <v>175</v>
      </c>
      <c r="Q10" s="44" t="s">
        <v>412</v>
      </c>
    </row>
    <row r="11" spans="1:17">
      <c r="A11" s="79">
        <v>46120</v>
      </c>
      <c r="B11" s="43">
        <v>92356</v>
      </c>
      <c r="C11" s="43">
        <v>88158</v>
      </c>
      <c r="D11" s="44">
        <v>84222</v>
      </c>
      <c r="E11" s="44">
        <v>81900</v>
      </c>
      <c r="F11" s="78">
        <f t="shared" si="0"/>
        <v>-4.4647110869121348E-2</v>
      </c>
      <c r="G11" s="38">
        <f t="shared" si="1"/>
        <v>0.19398839137645107</v>
      </c>
      <c r="H11" s="38">
        <f t="shared" si="2"/>
        <v>0.25066071428571429</v>
      </c>
      <c r="I11" s="43">
        <v>6.73</v>
      </c>
      <c r="J11" s="44">
        <v>6.73</v>
      </c>
      <c r="K11" s="78">
        <f t="shared" si="3"/>
        <v>0</v>
      </c>
      <c r="L11" s="40">
        <f t="shared" si="4"/>
        <v>0.69178623967828012</v>
      </c>
      <c r="M11" s="48">
        <v>1</v>
      </c>
      <c r="N11" s="48">
        <v>0.75290000000000001</v>
      </c>
      <c r="O11" s="44">
        <v>35875</v>
      </c>
      <c r="P11" s="44" t="s">
        <v>175</v>
      </c>
      <c r="Q11" s="44" t="s">
        <v>412</v>
      </c>
    </row>
    <row r="12" spans="1:17">
      <c r="A12" s="79">
        <v>46121</v>
      </c>
      <c r="B12" s="43">
        <v>92356</v>
      </c>
      <c r="C12" s="43">
        <v>88158</v>
      </c>
      <c r="D12" s="44">
        <v>88441</v>
      </c>
      <c r="E12" s="44">
        <v>85800</v>
      </c>
      <c r="F12" s="78">
        <f t="shared" si="0"/>
        <v>3.2101454207218859E-3</v>
      </c>
      <c r="G12" s="38">
        <f t="shared" si="1"/>
        <v>0.2037060070020269</v>
      </c>
      <c r="H12" s="38">
        <f t="shared" si="2"/>
        <v>0.26321726190476191</v>
      </c>
      <c r="I12" s="43">
        <v>6.73</v>
      </c>
      <c r="J12" s="44">
        <v>6.73</v>
      </c>
      <c r="K12" s="78">
        <f t="shared" si="3"/>
        <v>0</v>
      </c>
      <c r="L12" s="40">
        <f t="shared" si="4"/>
        <v>0.72644044101762928</v>
      </c>
      <c r="M12" s="48">
        <v>1</v>
      </c>
      <c r="N12" s="48">
        <v>0.94289999999999996</v>
      </c>
      <c r="O12" s="44">
        <v>10867</v>
      </c>
      <c r="P12" s="44" t="s">
        <v>175</v>
      </c>
      <c r="Q12" s="44" t="s">
        <v>412</v>
      </c>
    </row>
    <row r="13" spans="1:17">
      <c r="A13" s="79">
        <v>46122</v>
      </c>
      <c r="B13" s="43">
        <v>92356</v>
      </c>
      <c r="C13" s="43">
        <v>88158</v>
      </c>
      <c r="D13" s="44">
        <v>96059</v>
      </c>
      <c r="E13" s="44">
        <v>93450</v>
      </c>
      <c r="F13" s="78">
        <f t="shared" si="0"/>
        <v>8.9623176569341406E-2</v>
      </c>
      <c r="G13" s="38">
        <f t="shared" si="1"/>
        <v>0.22125253362815553</v>
      </c>
      <c r="H13" s="38">
        <f t="shared" si="2"/>
        <v>0.28588988095238094</v>
      </c>
      <c r="I13" s="43">
        <v>6.73</v>
      </c>
      <c r="J13" s="44">
        <v>6.88</v>
      </c>
      <c r="K13" s="78">
        <f t="shared" si="3"/>
        <v>2.2288261515601704E-2</v>
      </c>
      <c r="L13" s="40">
        <f t="shared" si="4"/>
        <v>0.77181116381914716</v>
      </c>
      <c r="M13" s="48">
        <v>1</v>
      </c>
      <c r="N13" s="48">
        <v>0.96140000000000003</v>
      </c>
      <c r="O13" s="44">
        <v>7697</v>
      </c>
      <c r="P13" s="44" t="s">
        <v>175</v>
      </c>
      <c r="Q13" s="44" t="s">
        <v>412</v>
      </c>
    </row>
    <row r="14" spans="1:17">
      <c r="A14" s="79">
        <v>46123</v>
      </c>
      <c r="B14" s="43">
        <v>92356</v>
      </c>
      <c r="C14" s="43">
        <v>88158</v>
      </c>
      <c r="D14" s="44">
        <v>92963</v>
      </c>
      <c r="E14" s="44">
        <v>90300</v>
      </c>
      <c r="F14" s="78">
        <f t="shared" si="0"/>
        <v>5.4504412532044737E-2</v>
      </c>
      <c r="G14" s="38">
        <f t="shared" si="1"/>
        <v>0.21412152201953197</v>
      </c>
      <c r="H14" s="38">
        <f t="shared" si="2"/>
        <v>0.27667559523809526</v>
      </c>
      <c r="I14" s="43">
        <v>6.73</v>
      </c>
      <c r="J14" s="44">
        <v>6.53</v>
      </c>
      <c r="K14" s="78">
        <f t="shared" si="3"/>
        <v>-2.97176820208024E-2</v>
      </c>
      <c r="L14" s="40">
        <f t="shared" si="4"/>
        <v>0.78697037189414498</v>
      </c>
      <c r="M14" s="48">
        <v>1</v>
      </c>
      <c r="N14" s="48">
        <v>1</v>
      </c>
      <c r="O14" s="44" t="s">
        <v>175</v>
      </c>
      <c r="P14" s="44" t="s">
        <v>175</v>
      </c>
      <c r="Q14" s="44" t="s">
        <v>175</v>
      </c>
    </row>
    <row r="15" spans="1:17">
      <c r="A15" s="79">
        <v>46124</v>
      </c>
      <c r="B15" s="43">
        <v>92356</v>
      </c>
      <c r="C15" s="43">
        <v>88158</v>
      </c>
      <c r="D15" s="44">
        <v>94244</v>
      </c>
      <c r="E15" s="44">
        <v>91650</v>
      </c>
      <c r="F15" s="78">
        <f t="shared" si="0"/>
        <v>6.9035141450577375E-2</v>
      </c>
      <c r="G15" s="38">
        <f t="shared" si="1"/>
        <v>0.21707204717154965</v>
      </c>
      <c r="H15" s="38">
        <f t="shared" si="2"/>
        <v>0.28048809523809526</v>
      </c>
      <c r="I15" s="43">
        <v>6.73</v>
      </c>
      <c r="J15" s="44">
        <v>6.62</v>
      </c>
      <c r="K15" s="78">
        <f t="shared" si="3"/>
        <v>-1.6344725111441354E-2</v>
      </c>
      <c r="L15" s="40">
        <f t="shared" si="4"/>
        <v>0.78696814684549721</v>
      </c>
      <c r="M15" s="48">
        <v>1</v>
      </c>
      <c r="N15" s="48">
        <v>1</v>
      </c>
      <c r="O15" s="44" t="s">
        <v>175</v>
      </c>
      <c r="P15" s="44" t="s">
        <v>175</v>
      </c>
      <c r="Q15" s="44" t="s">
        <v>175</v>
      </c>
    </row>
    <row r="16" spans="1:17">
      <c r="A16" s="79">
        <v>46125</v>
      </c>
      <c r="B16" s="43">
        <v>92356</v>
      </c>
      <c r="C16" s="43">
        <v>88158</v>
      </c>
      <c r="D16" s="44">
        <v>93780</v>
      </c>
      <c r="E16" s="44">
        <v>90900</v>
      </c>
      <c r="F16" s="78">
        <f t="shared" si="0"/>
        <v>6.3771864152998028E-2</v>
      </c>
      <c r="G16" s="38">
        <f t="shared" si="1"/>
        <v>0.21600331674958539</v>
      </c>
      <c r="H16" s="38">
        <f t="shared" si="2"/>
        <v>0.27910714285714283</v>
      </c>
      <c r="I16" s="43">
        <v>6.73</v>
      </c>
      <c r="J16" s="44">
        <v>6.67</v>
      </c>
      <c r="K16" s="78">
        <f t="shared" si="3"/>
        <v>-8.9153046062407874E-3</v>
      </c>
      <c r="L16" s="40">
        <f t="shared" si="4"/>
        <v>0.7772233286341903</v>
      </c>
      <c r="M16" s="48">
        <v>1</v>
      </c>
      <c r="N16" s="48">
        <v>1</v>
      </c>
      <c r="O16" s="44" t="s">
        <v>175</v>
      </c>
      <c r="P16" s="44" t="s">
        <v>175</v>
      </c>
      <c r="Q16" s="44" t="s">
        <v>175</v>
      </c>
    </row>
    <row r="17" spans="1:17">
      <c r="A17" s="79">
        <v>46126</v>
      </c>
      <c r="B17" s="43">
        <v>92356</v>
      </c>
      <c r="C17" s="43">
        <v>88158</v>
      </c>
      <c r="D17" s="44">
        <v>98509</v>
      </c>
      <c r="E17" s="44">
        <v>95850</v>
      </c>
      <c r="F17" s="78">
        <f t="shared" si="0"/>
        <v>0.11741418816216338</v>
      </c>
      <c r="G17" s="38">
        <f t="shared" si="1"/>
        <v>0.22689561451999263</v>
      </c>
      <c r="H17" s="38">
        <f t="shared" si="2"/>
        <v>0.29318154761904763</v>
      </c>
      <c r="I17" s="43">
        <v>6.73</v>
      </c>
      <c r="J17" s="44">
        <v>6.73</v>
      </c>
      <c r="K17" s="78">
        <f t="shared" si="3"/>
        <v>0</v>
      </c>
      <c r="L17" s="40">
        <f t="shared" si="4"/>
        <v>0.80913740690636293</v>
      </c>
      <c r="M17" s="48">
        <v>1</v>
      </c>
      <c r="N17" s="48">
        <v>0.95930000000000004</v>
      </c>
      <c r="O17" s="44">
        <v>8213</v>
      </c>
      <c r="P17" s="44" t="s">
        <v>175</v>
      </c>
      <c r="Q17" s="44" t="s">
        <v>412</v>
      </c>
    </row>
    <row r="18" spans="1:17">
      <c r="A18" s="79">
        <v>46127</v>
      </c>
      <c r="B18" s="43">
        <v>92356</v>
      </c>
      <c r="C18" s="43">
        <v>88158</v>
      </c>
      <c r="D18" s="44">
        <v>98338</v>
      </c>
      <c r="E18" s="44">
        <v>95400</v>
      </c>
      <c r="F18" s="78">
        <f t="shared" si="0"/>
        <v>0.1154744889856848</v>
      </c>
      <c r="G18" s="38">
        <f t="shared" si="1"/>
        <v>0.22650175050672564</v>
      </c>
      <c r="H18" s="38">
        <f t="shared" si="2"/>
        <v>0.29267261904761904</v>
      </c>
      <c r="I18" s="43">
        <v>6.73</v>
      </c>
      <c r="J18" s="44">
        <v>6.73</v>
      </c>
      <c r="K18" s="78">
        <f t="shared" si="3"/>
        <v>0</v>
      </c>
      <c r="L18" s="40">
        <f t="shared" si="4"/>
        <v>0.80773283984567823</v>
      </c>
      <c r="M18" s="48">
        <v>1</v>
      </c>
      <c r="N18" s="48">
        <v>0.96040000000000003</v>
      </c>
      <c r="O18" s="44">
        <v>7858</v>
      </c>
      <c r="P18" s="44" t="s">
        <v>175</v>
      </c>
      <c r="Q18" s="44" t="s">
        <v>412</v>
      </c>
    </row>
    <row r="19" spans="1:17">
      <c r="A19" s="79">
        <v>46128</v>
      </c>
      <c r="B19" s="43">
        <v>92356</v>
      </c>
      <c r="C19" s="43">
        <v>88158</v>
      </c>
      <c r="D19" s="44">
        <v>97311</v>
      </c>
      <c r="E19" s="44">
        <v>94650</v>
      </c>
      <c r="F19" s="78">
        <f t="shared" si="0"/>
        <v>0.10382495065677534</v>
      </c>
      <c r="G19" s="38">
        <f t="shared" si="1"/>
        <v>0.22413626312880044</v>
      </c>
      <c r="H19" s="38">
        <f t="shared" si="2"/>
        <v>0.28961607142857143</v>
      </c>
      <c r="I19" s="43">
        <v>6.55</v>
      </c>
      <c r="J19" s="44">
        <v>6.73</v>
      </c>
      <c r="K19" s="78">
        <f t="shared" si="3"/>
        <v>2.7480916030534444E-2</v>
      </c>
      <c r="L19" s="40">
        <f t="shared" si="4"/>
        <v>0.79929722363910993</v>
      </c>
      <c r="M19" s="48">
        <v>1</v>
      </c>
      <c r="N19" s="48">
        <v>0.97270000000000001</v>
      </c>
      <c r="O19" s="44">
        <v>4947</v>
      </c>
      <c r="P19" s="44" t="s">
        <v>175</v>
      </c>
      <c r="Q19" s="44" t="s">
        <v>412</v>
      </c>
    </row>
    <row r="20" spans="1:17">
      <c r="A20" s="79">
        <v>46129</v>
      </c>
      <c r="B20" s="43">
        <v>92356</v>
      </c>
      <c r="C20" s="43">
        <v>88158</v>
      </c>
      <c r="D20" s="44">
        <v>96397</v>
      </c>
      <c r="E20" s="44">
        <v>93300</v>
      </c>
      <c r="F20" s="78">
        <f t="shared" si="0"/>
        <v>9.345720184214705E-2</v>
      </c>
      <c r="G20" s="38">
        <f t="shared" si="1"/>
        <v>0.22203104846139671</v>
      </c>
      <c r="H20" s="38">
        <f t="shared" si="2"/>
        <v>0.28689583333333335</v>
      </c>
      <c r="I20" s="43">
        <v>6.55</v>
      </c>
      <c r="J20" s="44">
        <v>6.35</v>
      </c>
      <c r="K20" s="78">
        <f t="shared" si="3"/>
        <v>-3.0534351145038195E-2</v>
      </c>
      <c r="L20" s="40">
        <f t="shared" si="4"/>
        <v>0.8391724666257514</v>
      </c>
      <c r="M20" s="48">
        <v>1</v>
      </c>
      <c r="N20" s="48">
        <v>0.94630000000000003</v>
      </c>
      <c r="O20" s="44">
        <v>10061</v>
      </c>
      <c r="P20" s="44" t="s">
        <v>175</v>
      </c>
      <c r="Q20" s="44" t="s">
        <v>412</v>
      </c>
    </row>
    <row r="21" spans="1:17">
      <c r="A21" s="79">
        <v>46130</v>
      </c>
      <c r="B21" s="43">
        <v>92356</v>
      </c>
      <c r="C21" s="43">
        <v>88158</v>
      </c>
      <c r="D21" s="44">
        <v>95194</v>
      </c>
      <c r="E21" s="44">
        <v>92400</v>
      </c>
      <c r="F21" s="78">
        <f t="shared" si="0"/>
        <v>7.9811247986569564E-2</v>
      </c>
      <c r="G21" s="38">
        <f t="shared" si="1"/>
        <v>0.21926018057858854</v>
      </c>
      <c r="H21" s="38">
        <f t="shared" si="2"/>
        <v>0.2833154761904762</v>
      </c>
      <c r="I21" s="43">
        <v>6.55</v>
      </c>
      <c r="J21" s="44">
        <v>6.6</v>
      </c>
      <c r="K21" s="78">
        <f t="shared" si="3"/>
        <v>7.6335877862595148E-3</v>
      </c>
      <c r="L21" s="40">
        <f t="shared" si="4"/>
        <v>0.79730974755850381</v>
      </c>
      <c r="M21" s="48">
        <v>1</v>
      </c>
      <c r="N21" s="48">
        <v>0.96619999999999995</v>
      </c>
      <c r="O21" s="44">
        <v>6084</v>
      </c>
      <c r="P21" s="44" t="s">
        <v>175</v>
      </c>
      <c r="Q21" s="44" t="s">
        <v>412</v>
      </c>
    </row>
    <row r="22" spans="1:17">
      <c r="A22" s="79">
        <v>46131</v>
      </c>
      <c r="B22" s="43">
        <v>92356</v>
      </c>
      <c r="C22" s="43">
        <v>88158</v>
      </c>
      <c r="D22" s="44">
        <v>94289</v>
      </c>
      <c r="E22" s="44">
        <v>91350</v>
      </c>
      <c r="F22" s="78">
        <f t="shared" si="0"/>
        <v>6.9545588602282271E-2</v>
      </c>
      <c r="G22" s="38">
        <f t="shared" si="1"/>
        <v>0.21717569559609359</v>
      </c>
      <c r="H22" s="38">
        <f t="shared" si="2"/>
        <v>0.28062202380952384</v>
      </c>
      <c r="I22" s="43">
        <v>6.55</v>
      </c>
      <c r="J22" s="44">
        <v>6.54</v>
      </c>
      <c r="K22" s="78">
        <f t="shared" si="3"/>
        <v>-1.5267175572518759E-3</v>
      </c>
      <c r="L22" s="40">
        <f t="shared" si="4"/>
        <v>0.79697502971043521</v>
      </c>
      <c r="M22" s="48">
        <v>1</v>
      </c>
      <c r="N22" s="48">
        <v>0.90880000000000005</v>
      </c>
      <c r="O22" s="44">
        <v>16464</v>
      </c>
      <c r="P22" s="44" t="s">
        <v>175</v>
      </c>
      <c r="Q22" s="44" t="s">
        <v>412</v>
      </c>
    </row>
    <row r="23" spans="1:17">
      <c r="A23" s="79">
        <v>46132</v>
      </c>
      <c r="B23" s="43">
        <v>92356</v>
      </c>
      <c r="C23" s="43">
        <v>88158</v>
      </c>
      <c r="D23" s="44">
        <v>94946</v>
      </c>
      <c r="E23" s="44">
        <v>91950</v>
      </c>
      <c r="F23" s="78">
        <f t="shared" si="0"/>
        <v>7.6998117017173712E-2</v>
      </c>
      <c r="G23" s="38">
        <f t="shared" si="1"/>
        <v>0.21868896259443524</v>
      </c>
      <c r="H23" s="38">
        <f t="shared" si="2"/>
        <v>0.28257738095238094</v>
      </c>
      <c r="I23" s="43">
        <v>6.55</v>
      </c>
      <c r="J23" s="44">
        <v>6.76</v>
      </c>
      <c r="K23" s="78">
        <f t="shared" si="3"/>
        <v>3.2061068702290071E-2</v>
      </c>
      <c r="L23" s="40">
        <f t="shared" si="4"/>
        <v>0.77641051808675232</v>
      </c>
      <c r="M23" s="48">
        <v>1</v>
      </c>
      <c r="N23" s="48">
        <v>0.95369999999999999</v>
      </c>
      <c r="O23" s="44">
        <v>9593</v>
      </c>
      <c r="P23" s="44" t="s">
        <v>175</v>
      </c>
      <c r="Q23" s="44" t="s">
        <v>412</v>
      </c>
    </row>
    <row r="24" spans="1:17">
      <c r="A24" s="79">
        <v>46133</v>
      </c>
      <c r="B24" s="43">
        <v>92356</v>
      </c>
      <c r="C24" s="43">
        <v>88158</v>
      </c>
      <c r="D24" s="44">
        <v>94523</v>
      </c>
      <c r="E24" s="44">
        <v>91800</v>
      </c>
      <c r="F24" s="78">
        <f t="shared" si="0"/>
        <v>7.2199913791147707E-2</v>
      </c>
      <c r="G24" s="38">
        <f t="shared" si="1"/>
        <v>0.21771466740372214</v>
      </c>
      <c r="H24" s="38">
        <f t="shared" si="2"/>
        <v>0.28131845238095238</v>
      </c>
      <c r="I24" s="43">
        <v>6.55</v>
      </c>
      <c r="J24" s="44">
        <v>6.62</v>
      </c>
      <c r="K24" s="78">
        <f t="shared" si="3"/>
        <v>1.0687022900763402E-2</v>
      </c>
      <c r="L24" s="40">
        <f t="shared" si="4"/>
        <v>0.78929788786847899</v>
      </c>
      <c r="M24" s="48">
        <v>1</v>
      </c>
      <c r="N24" s="48">
        <v>0.94679999999999997</v>
      </c>
      <c r="O24" s="44">
        <v>11055</v>
      </c>
      <c r="P24" s="44" t="s">
        <v>175</v>
      </c>
      <c r="Q24" s="44" t="s">
        <v>412</v>
      </c>
    </row>
    <row r="25" spans="1:17">
      <c r="A25" s="79">
        <v>46134</v>
      </c>
      <c r="B25" s="43">
        <v>92356</v>
      </c>
      <c r="C25" s="43">
        <v>88158</v>
      </c>
      <c r="D25" s="44">
        <v>95574</v>
      </c>
      <c r="E25" s="44">
        <v>98250</v>
      </c>
      <c r="F25" s="78">
        <f t="shared" si="0"/>
        <v>8.4121690600966442E-2</v>
      </c>
      <c r="G25" s="38">
        <f t="shared" si="1"/>
        <v>0.22013543394140409</v>
      </c>
      <c r="H25" s="38">
        <f t="shared" si="2"/>
        <v>0.28444642857142854</v>
      </c>
      <c r="I25" s="43">
        <v>6.55</v>
      </c>
      <c r="J25" s="44">
        <v>6.92</v>
      </c>
      <c r="K25" s="78">
        <f t="shared" si="3"/>
        <v>5.648854961832063E-2</v>
      </c>
      <c r="L25" s="40">
        <f t="shared" si="4"/>
        <v>0.76347549343839571</v>
      </c>
      <c r="M25" s="48">
        <v>1</v>
      </c>
      <c r="N25" s="48">
        <v>0.93410000000000004</v>
      </c>
      <c r="O25" s="44">
        <v>12897</v>
      </c>
      <c r="P25" s="44" t="s">
        <v>175</v>
      </c>
      <c r="Q25" s="44" t="s">
        <v>412</v>
      </c>
    </row>
    <row r="26" spans="1:17">
      <c r="A26" s="79">
        <v>46135</v>
      </c>
      <c r="B26" s="43">
        <v>92356</v>
      </c>
      <c r="C26" s="43">
        <v>88158</v>
      </c>
      <c r="D26" s="44">
        <v>98328</v>
      </c>
      <c r="E26" s="44">
        <v>95700</v>
      </c>
      <c r="F26" s="78">
        <f t="shared" si="0"/>
        <v>0.11536105628530592</v>
      </c>
      <c r="G26" s="38">
        <f t="shared" si="1"/>
        <v>0.22647871752349363</v>
      </c>
      <c r="H26" s="38">
        <f t="shared" si="2"/>
        <v>0.29264285714285715</v>
      </c>
      <c r="I26" s="43">
        <v>6.55</v>
      </c>
      <c r="J26" s="44">
        <v>7.26</v>
      </c>
      <c r="K26" s="78">
        <f t="shared" si="3"/>
        <v>0.10839694656488549</v>
      </c>
      <c r="L26" s="40">
        <f t="shared" si="4"/>
        <v>0.7486899752842765</v>
      </c>
      <c r="M26" s="48">
        <v>1</v>
      </c>
      <c r="N26" s="48">
        <v>0.96609999999999996</v>
      </c>
      <c r="O26" s="44">
        <v>7031</v>
      </c>
      <c r="P26" s="44" t="s">
        <v>175</v>
      </c>
      <c r="Q26" s="44" t="s">
        <v>412</v>
      </c>
    </row>
    <row r="27" spans="1:17">
      <c r="A27" s="79">
        <v>46136</v>
      </c>
      <c r="B27" s="43">
        <v>92356</v>
      </c>
      <c r="C27" s="43">
        <v>88158</v>
      </c>
      <c r="D27" s="44">
        <v>100809</v>
      </c>
      <c r="E27" s="44">
        <v>97650</v>
      </c>
      <c r="F27" s="78">
        <f t="shared" si="0"/>
        <v>0.14350370924930239</v>
      </c>
      <c r="G27" s="38">
        <f t="shared" si="1"/>
        <v>0.23219320066334992</v>
      </c>
      <c r="H27" s="38">
        <f t="shared" si="2"/>
        <v>0.3000267857142857</v>
      </c>
      <c r="I27" s="43">
        <v>6.55</v>
      </c>
      <c r="J27" s="44">
        <v>7.08</v>
      </c>
      <c r="K27" s="78">
        <f t="shared" si="3"/>
        <v>8.0916030534351188E-2</v>
      </c>
      <c r="L27" s="40">
        <f t="shared" si="4"/>
        <v>0.78709559546898278</v>
      </c>
      <c r="M27" s="48">
        <v>1</v>
      </c>
      <c r="N27" s="48">
        <v>0.98260000000000003</v>
      </c>
      <c r="O27" s="44">
        <v>3581</v>
      </c>
      <c r="P27" s="44" t="s">
        <v>175</v>
      </c>
      <c r="Q27" s="44" t="s">
        <v>412</v>
      </c>
    </row>
    <row r="28" spans="1:17">
      <c r="A28" s="79">
        <v>46137</v>
      </c>
      <c r="B28" s="43">
        <v>92356</v>
      </c>
      <c r="C28" s="43">
        <v>88158</v>
      </c>
      <c r="D28" s="44">
        <v>94589</v>
      </c>
      <c r="E28" s="44">
        <v>91800</v>
      </c>
      <c r="F28" s="78">
        <f t="shared" si="0"/>
        <v>7.294856961364822E-2</v>
      </c>
      <c r="G28" s="38">
        <f t="shared" si="1"/>
        <v>0.21786668509305326</v>
      </c>
      <c r="H28" s="38">
        <f t="shared" si="2"/>
        <v>0.28151488095238097</v>
      </c>
      <c r="I28" s="43">
        <v>6.55</v>
      </c>
      <c r="J28" s="44">
        <v>6.91</v>
      </c>
      <c r="K28" s="78">
        <f t="shared" si="3"/>
        <v>5.4961832061068749E-2</v>
      </c>
      <c r="L28" s="40">
        <f t="shared" si="4"/>
        <v>0.75670049815242801</v>
      </c>
      <c r="M28" s="48">
        <v>1</v>
      </c>
      <c r="N28" s="48">
        <v>1</v>
      </c>
      <c r="O28" s="44"/>
      <c r="P28" s="44"/>
      <c r="Q28" s="44"/>
    </row>
    <row r="29" spans="1:17">
      <c r="A29" s="79">
        <v>46138</v>
      </c>
      <c r="B29" s="43">
        <v>92356</v>
      </c>
      <c r="C29" s="43">
        <v>88158</v>
      </c>
      <c r="D29" s="44">
        <v>94536</v>
      </c>
      <c r="E29" s="44">
        <v>91650</v>
      </c>
      <c r="F29" s="78">
        <f t="shared" si="0"/>
        <v>7.2347376301640232E-2</v>
      </c>
      <c r="G29" s="38">
        <f t="shared" si="1"/>
        <v>0.21774461028192371</v>
      </c>
      <c r="H29" s="38">
        <f t="shared" si="2"/>
        <v>0.28135714285714286</v>
      </c>
      <c r="I29" s="43">
        <v>6.55</v>
      </c>
      <c r="J29" s="44">
        <v>6.95</v>
      </c>
      <c r="K29" s="78">
        <f t="shared" si="3"/>
        <v>6.1068702290076389E-2</v>
      </c>
      <c r="L29" s="40">
        <f t="shared" si="4"/>
        <v>0.75192383406707475</v>
      </c>
      <c r="M29" s="48">
        <v>1</v>
      </c>
      <c r="N29" s="48">
        <v>0.93710000000000004</v>
      </c>
      <c r="O29" s="44">
        <v>11714</v>
      </c>
      <c r="P29" s="44"/>
      <c r="Q29" s="44" t="s">
        <v>412</v>
      </c>
    </row>
    <row r="30" spans="1:17">
      <c r="A30" s="79">
        <v>46139</v>
      </c>
      <c r="B30" s="43">
        <v>92356</v>
      </c>
      <c r="C30" s="43">
        <v>88158</v>
      </c>
      <c r="D30" s="44">
        <v>92904</v>
      </c>
      <c r="E30" s="44">
        <v>90300</v>
      </c>
      <c r="F30" s="78">
        <f t="shared" si="0"/>
        <v>5.3835159599809432E-2</v>
      </c>
      <c r="G30" s="38">
        <f t="shared" si="1"/>
        <v>0.21398562741846325</v>
      </c>
      <c r="H30" s="38">
        <f t="shared" si="2"/>
        <v>0.27650000000000002</v>
      </c>
      <c r="I30" s="43">
        <v>6.55</v>
      </c>
      <c r="J30" s="44">
        <v>6.68</v>
      </c>
      <c r="K30" s="78">
        <f t="shared" si="3"/>
        <v>1.9847328244274792E-2</v>
      </c>
      <c r="L30" s="40">
        <f t="shared" si="4"/>
        <v>0.76881063743160449</v>
      </c>
      <c r="M30" s="48">
        <v>1</v>
      </c>
      <c r="N30" s="48">
        <v>0.95120000000000005</v>
      </c>
      <c r="O30" s="44">
        <v>9572</v>
      </c>
      <c r="P30" s="44"/>
      <c r="Q30" s="44" t="s">
        <v>412</v>
      </c>
    </row>
    <row r="31" spans="1:17">
      <c r="A31" s="79">
        <v>46140</v>
      </c>
      <c r="B31" s="43">
        <v>92356</v>
      </c>
      <c r="C31" s="43">
        <v>88158</v>
      </c>
      <c r="D31" s="44">
        <v>95366</v>
      </c>
      <c r="E31" s="44">
        <v>92700</v>
      </c>
      <c r="F31" s="78">
        <f t="shared" si="0"/>
        <v>8.1762290433086054E-2</v>
      </c>
      <c r="G31" s="38">
        <f t="shared" si="1"/>
        <v>0.21965634789017874</v>
      </c>
      <c r="H31" s="38">
        <f t="shared" si="2"/>
        <v>0.28382738095238097</v>
      </c>
      <c r="I31" s="43">
        <v>6.55</v>
      </c>
      <c r="J31" s="44">
        <v>6.84</v>
      </c>
      <c r="K31" s="78">
        <f t="shared" si="3"/>
        <v>4.4274809160305351E-2</v>
      </c>
      <c r="L31" s="40">
        <f t="shared" si="4"/>
        <v>0.77072402768483772</v>
      </c>
      <c r="M31" s="48">
        <v>1</v>
      </c>
      <c r="N31" s="48">
        <v>0.93799999999999994</v>
      </c>
      <c r="O31" s="44">
        <v>11887</v>
      </c>
      <c r="P31" s="44"/>
      <c r="Q31" s="44" t="s">
        <v>412</v>
      </c>
    </row>
    <row r="32" spans="1:17">
      <c r="A32" s="79">
        <v>46141</v>
      </c>
      <c r="B32" s="43">
        <v>92356</v>
      </c>
      <c r="C32" s="43">
        <v>88158</v>
      </c>
      <c r="D32" s="44">
        <v>94391</v>
      </c>
      <c r="E32" s="44">
        <v>91500</v>
      </c>
      <c r="F32" s="78">
        <f t="shared" si="0"/>
        <v>7.0702602146146695E-2</v>
      </c>
      <c r="G32" s="38">
        <f t="shared" si="1"/>
        <v>0.21741063202505989</v>
      </c>
      <c r="H32" s="38">
        <f t="shared" si="2"/>
        <v>0.28092559523809524</v>
      </c>
      <c r="I32" s="43">
        <v>6.55</v>
      </c>
      <c r="J32" s="44">
        <v>6.85</v>
      </c>
      <c r="K32" s="78">
        <f t="shared" si="3"/>
        <v>4.5801526717557224E-2</v>
      </c>
      <c r="L32" s="40">
        <f t="shared" si="4"/>
        <v>0.76173068154765511</v>
      </c>
      <c r="M32" s="48">
        <v>1</v>
      </c>
      <c r="N32" s="48">
        <v>0.93569999999999998</v>
      </c>
      <c r="O32" s="44">
        <v>12693</v>
      </c>
      <c r="P32" s="44"/>
      <c r="Q32" s="44" t="s">
        <v>412</v>
      </c>
    </row>
    <row r="33" spans="1:17">
      <c r="A33" s="79">
        <v>46142</v>
      </c>
      <c r="B33" s="43">
        <v>92356</v>
      </c>
      <c r="C33" s="43">
        <v>88158</v>
      </c>
      <c r="D33" s="44">
        <v>88531</v>
      </c>
      <c r="E33" s="44">
        <v>85650</v>
      </c>
      <c r="F33" s="78">
        <f t="shared" si="0"/>
        <v>4.2310397241316728E-3</v>
      </c>
      <c r="G33" s="38">
        <f t="shared" si="1"/>
        <v>0.20391330385111481</v>
      </c>
      <c r="H33" s="38">
        <f t="shared" si="2"/>
        <v>0.26348511904761907</v>
      </c>
      <c r="I33" s="43">
        <v>6.55</v>
      </c>
      <c r="J33" s="44">
        <v>6.34</v>
      </c>
      <c r="K33" s="78">
        <f t="shared" si="3"/>
        <v>-3.2061068702290071E-2</v>
      </c>
      <c r="L33" s="40">
        <f t="shared" si="4"/>
        <v>0.77191156031967756</v>
      </c>
      <c r="M33" s="48">
        <v>1</v>
      </c>
      <c r="N33" s="48">
        <v>0.93500000000000005</v>
      </c>
      <c r="O33" s="44">
        <v>11616</v>
      </c>
      <c r="P33" s="44"/>
      <c r="Q33" s="44" t="s">
        <v>412</v>
      </c>
    </row>
    <row r="34" spans="1:17">
      <c r="A34" s="349">
        <v>46113</v>
      </c>
      <c r="B34" s="80">
        <f>SUM(B4:B33)</f>
        <v>2770680</v>
      </c>
      <c r="C34" s="80">
        <f>SUM(C4:C33)</f>
        <v>2644740</v>
      </c>
      <c r="D34" s="80">
        <f>SUM(B34:C34)</f>
        <v>5415420</v>
      </c>
      <c r="E34" s="80">
        <f>SUM(E4:E33)</f>
        <v>2691000</v>
      </c>
      <c r="F34" s="81">
        <f>AVERAGE(F4:F33)</f>
        <v>4.5941756089445472E-2</v>
      </c>
      <c r="G34" s="81">
        <f>AVERAGE(G4:G33)</f>
        <v>0.21238283889195991</v>
      </c>
      <c r="H34" s="81">
        <f>AVERAGE(H4:H33)</f>
        <v>0.27442896825396823</v>
      </c>
      <c r="I34" s="80">
        <f>SUM(I4:I33)</f>
        <v>199.20000000000016</v>
      </c>
      <c r="J34" s="80">
        <f>SUM(J4:J33)</f>
        <v>197.49</v>
      </c>
      <c r="K34" s="81">
        <f>AVERAGE(K4:K33)</f>
        <v>-8.0367047400837291E-3</v>
      </c>
      <c r="L34" s="81">
        <f>AVERAGE(L4:L33)</f>
        <v>0.7754300957940149</v>
      </c>
      <c r="M34" s="81">
        <f>AVERAGE(M4:M33)</f>
        <v>1</v>
      </c>
      <c r="N34" s="81">
        <f>AVERAGE(N4:N33)</f>
        <v>0.94517333333333342</v>
      </c>
      <c r="O34" s="80">
        <f>SUM(O4:O33)</f>
        <v>279144</v>
      </c>
      <c r="P34" s="80">
        <f>SUM(P4:P33)</f>
        <v>0</v>
      </c>
      <c r="Q34" s="80" t="s">
        <v>175</v>
      </c>
    </row>
    <row r="35" spans="1:17">
      <c r="A35" s="13">
        <v>46143</v>
      </c>
      <c r="B35" s="127"/>
      <c r="C35" s="127"/>
      <c r="D35" s="33"/>
      <c r="E35" s="33"/>
      <c r="F35" s="20" t="e">
        <f>(IF(ISBLANK(E35),0,E35-C35))/C35</f>
        <v>#DIV/0!</v>
      </c>
      <c r="G35" s="2">
        <f t="shared" ref="G35:G57" si="5">D35/($D$2*24)</f>
        <v>0</v>
      </c>
      <c r="H35" s="2">
        <f t="shared" ref="H35:H61" si="6">D35/($H$2*24)</f>
        <v>0</v>
      </c>
      <c r="I35" s="28"/>
      <c r="J35" s="33"/>
      <c r="K35" s="20" t="e">
        <f>(IF(ISBLANK(J35),0,J35-I35))/I35</f>
        <v>#DIV/0!</v>
      </c>
      <c r="L35" s="4" t="e">
        <f t="shared" ref="L35:L66" si="7">D35/($D$2*J35)</f>
        <v>#DIV/0!</v>
      </c>
      <c r="M35" s="103"/>
      <c r="N35" s="103"/>
      <c r="O35" s="33"/>
      <c r="P35" s="6"/>
      <c r="Q35" s="6"/>
    </row>
    <row r="36" spans="1:17">
      <c r="A36" s="13">
        <f>A35+1</f>
        <v>46144</v>
      </c>
      <c r="B36" s="127"/>
      <c r="C36" s="127"/>
      <c r="D36" s="34"/>
      <c r="E36" s="34"/>
      <c r="F36" s="20" t="e">
        <f t="shared" ref="F36:F54" si="8">(IF(ISBLANK(E36),0,E36-C36))/C36</f>
        <v>#DIV/0!</v>
      </c>
      <c r="G36" s="2">
        <f t="shared" si="5"/>
        <v>0</v>
      </c>
      <c r="H36" s="2">
        <f t="shared" si="6"/>
        <v>0</v>
      </c>
      <c r="I36" s="29"/>
      <c r="J36" s="34"/>
      <c r="K36" s="20" t="e">
        <f t="shared" ref="K36:K54" si="9">(IF(ISBLANK(J36),0,J36-I36))/I36</f>
        <v>#DIV/0!</v>
      </c>
      <c r="L36" s="4" t="e">
        <f t="shared" si="7"/>
        <v>#DIV/0!</v>
      </c>
      <c r="M36" s="103"/>
      <c r="N36" s="103"/>
      <c r="O36" s="34"/>
      <c r="P36" s="6"/>
      <c r="Q36" s="6"/>
    </row>
    <row r="37" spans="1:17">
      <c r="A37" s="13">
        <f t="shared" ref="A37:A65" si="10">A36+1</f>
        <v>46145</v>
      </c>
      <c r="B37" s="127"/>
      <c r="C37" s="127"/>
      <c r="D37" s="34"/>
      <c r="E37" s="34"/>
      <c r="F37" s="20" t="e">
        <f t="shared" si="8"/>
        <v>#DIV/0!</v>
      </c>
      <c r="G37" s="2">
        <f t="shared" si="5"/>
        <v>0</v>
      </c>
      <c r="H37" s="2">
        <f t="shared" si="6"/>
        <v>0</v>
      </c>
      <c r="I37" s="29"/>
      <c r="J37" s="34"/>
      <c r="K37" s="20" t="e">
        <f t="shared" si="9"/>
        <v>#DIV/0!</v>
      </c>
      <c r="L37" s="4" t="e">
        <f t="shared" si="7"/>
        <v>#DIV/0!</v>
      </c>
      <c r="M37" s="103"/>
      <c r="N37" s="104"/>
      <c r="O37" s="34"/>
      <c r="P37" s="6"/>
      <c r="Q37" s="6"/>
    </row>
    <row r="38" spans="1:17">
      <c r="A38" s="13">
        <f t="shared" si="10"/>
        <v>46146</v>
      </c>
      <c r="B38" s="127"/>
      <c r="C38" s="127"/>
      <c r="D38" s="34"/>
      <c r="E38" s="34"/>
      <c r="F38" s="20" t="e">
        <f t="shared" si="8"/>
        <v>#DIV/0!</v>
      </c>
      <c r="G38" s="2">
        <f t="shared" si="5"/>
        <v>0</v>
      </c>
      <c r="H38" s="2">
        <f t="shared" si="6"/>
        <v>0</v>
      </c>
      <c r="I38" s="29"/>
      <c r="J38" s="34"/>
      <c r="K38" s="20" t="e">
        <f t="shared" si="9"/>
        <v>#DIV/0!</v>
      </c>
      <c r="L38" s="4" t="e">
        <f t="shared" si="7"/>
        <v>#DIV/0!</v>
      </c>
      <c r="M38" s="103"/>
      <c r="N38" s="103"/>
      <c r="O38" s="34"/>
      <c r="P38" s="6"/>
      <c r="Q38" s="14"/>
    </row>
    <row r="39" spans="1:17">
      <c r="A39" s="13">
        <f t="shared" si="10"/>
        <v>46147</v>
      </c>
      <c r="B39" s="127"/>
      <c r="C39" s="127"/>
      <c r="D39" s="34"/>
      <c r="E39" s="34"/>
      <c r="F39" s="20" t="e">
        <f t="shared" si="8"/>
        <v>#DIV/0!</v>
      </c>
      <c r="G39" s="2">
        <f t="shared" si="5"/>
        <v>0</v>
      </c>
      <c r="H39" s="2">
        <f t="shared" si="6"/>
        <v>0</v>
      </c>
      <c r="I39" s="29"/>
      <c r="J39" s="34"/>
      <c r="K39" s="20" t="e">
        <f t="shared" si="9"/>
        <v>#DIV/0!</v>
      </c>
      <c r="L39" s="4" t="e">
        <f t="shared" si="7"/>
        <v>#DIV/0!</v>
      </c>
      <c r="M39" s="103"/>
      <c r="N39" s="103"/>
      <c r="O39" s="34"/>
      <c r="P39" s="6"/>
      <c r="Q39" s="14"/>
    </row>
    <row r="40" spans="1:17">
      <c r="A40" s="13">
        <f t="shared" si="10"/>
        <v>46148</v>
      </c>
      <c r="B40" s="127"/>
      <c r="C40" s="127"/>
      <c r="D40" s="34"/>
      <c r="E40" s="34"/>
      <c r="F40" s="20" t="e">
        <f t="shared" si="8"/>
        <v>#DIV/0!</v>
      </c>
      <c r="G40" s="2">
        <f t="shared" si="5"/>
        <v>0</v>
      </c>
      <c r="H40" s="2">
        <f t="shared" si="6"/>
        <v>0</v>
      </c>
      <c r="I40" s="29"/>
      <c r="J40" s="34"/>
      <c r="K40" s="20" t="e">
        <f t="shared" si="9"/>
        <v>#DIV/0!</v>
      </c>
      <c r="L40" s="4" t="e">
        <f t="shared" si="7"/>
        <v>#DIV/0!</v>
      </c>
      <c r="M40" s="103"/>
      <c r="N40" s="103"/>
      <c r="O40" s="34"/>
      <c r="P40" s="6"/>
      <c r="Q40" s="14"/>
    </row>
    <row r="41" spans="1:17">
      <c r="A41" s="13">
        <f t="shared" si="10"/>
        <v>46149</v>
      </c>
      <c r="B41" s="127"/>
      <c r="C41" s="127"/>
      <c r="D41" s="34"/>
      <c r="E41" s="34"/>
      <c r="F41" s="20" t="e">
        <f t="shared" si="8"/>
        <v>#DIV/0!</v>
      </c>
      <c r="G41" s="2">
        <f t="shared" si="5"/>
        <v>0</v>
      </c>
      <c r="H41" s="2">
        <f t="shared" si="6"/>
        <v>0</v>
      </c>
      <c r="I41" s="29"/>
      <c r="J41" s="34"/>
      <c r="K41" s="20" t="e">
        <f t="shared" si="9"/>
        <v>#DIV/0!</v>
      </c>
      <c r="L41" s="4" t="e">
        <f t="shared" si="7"/>
        <v>#DIV/0!</v>
      </c>
      <c r="M41" s="103"/>
      <c r="N41" s="103"/>
      <c r="O41" s="34"/>
      <c r="P41" s="6"/>
      <c r="Q41" s="202"/>
    </row>
    <row r="42" spans="1:17">
      <c r="A42" s="13">
        <f t="shared" si="10"/>
        <v>46150</v>
      </c>
      <c r="B42" s="127"/>
      <c r="C42" s="127"/>
      <c r="D42" s="34"/>
      <c r="E42" s="34"/>
      <c r="F42" s="20" t="e">
        <f t="shared" si="8"/>
        <v>#DIV/0!</v>
      </c>
      <c r="G42" s="2">
        <f t="shared" si="5"/>
        <v>0</v>
      </c>
      <c r="H42" s="2">
        <f t="shared" si="6"/>
        <v>0</v>
      </c>
      <c r="I42" s="29"/>
      <c r="J42" s="34"/>
      <c r="K42" s="20" t="e">
        <f t="shared" si="9"/>
        <v>#DIV/0!</v>
      </c>
      <c r="L42" s="4" t="e">
        <f t="shared" si="7"/>
        <v>#DIV/0!</v>
      </c>
      <c r="M42" s="103"/>
      <c r="N42" s="103"/>
      <c r="O42" s="34"/>
      <c r="P42" s="6"/>
      <c r="Q42" s="14"/>
    </row>
    <row r="43" spans="1:17">
      <c r="A43" s="13">
        <f t="shared" si="10"/>
        <v>46151</v>
      </c>
      <c r="B43" s="127"/>
      <c r="C43" s="127"/>
      <c r="D43" s="34"/>
      <c r="E43" s="34"/>
      <c r="F43" s="20" t="e">
        <f t="shared" si="8"/>
        <v>#DIV/0!</v>
      </c>
      <c r="G43" s="2">
        <f t="shared" si="5"/>
        <v>0</v>
      </c>
      <c r="H43" s="2">
        <f t="shared" si="6"/>
        <v>0</v>
      </c>
      <c r="I43" s="29"/>
      <c r="J43" s="34"/>
      <c r="K43" s="20" t="e">
        <f t="shared" si="9"/>
        <v>#DIV/0!</v>
      </c>
      <c r="L43" s="4" t="e">
        <f t="shared" si="7"/>
        <v>#DIV/0!</v>
      </c>
      <c r="M43" s="103"/>
      <c r="N43" s="103"/>
      <c r="O43" s="34"/>
      <c r="P43" s="6"/>
      <c r="Q43" s="6"/>
    </row>
    <row r="44" spans="1:17">
      <c r="A44" s="13">
        <f t="shared" si="10"/>
        <v>46152</v>
      </c>
      <c r="B44" s="127"/>
      <c r="C44" s="127"/>
      <c r="D44" s="34"/>
      <c r="E44" s="34"/>
      <c r="F44" s="20" t="e">
        <f t="shared" si="8"/>
        <v>#DIV/0!</v>
      </c>
      <c r="G44" s="2">
        <f t="shared" si="5"/>
        <v>0</v>
      </c>
      <c r="H44" s="2">
        <f t="shared" si="6"/>
        <v>0</v>
      </c>
      <c r="I44" s="29"/>
      <c r="J44" s="34"/>
      <c r="K44" s="20" t="e">
        <f t="shared" si="9"/>
        <v>#DIV/0!</v>
      </c>
      <c r="L44" s="4" t="e">
        <f t="shared" si="7"/>
        <v>#DIV/0!</v>
      </c>
      <c r="M44" s="103"/>
      <c r="N44" s="103"/>
      <c r="O44" s="34"/>
      <c r="P44" s="6"/>
      <c r="Q44" s="16"/>
    </row>
    <row r="45" spans="1:17">
      <c r="A45" s="13">
        <f t="shared" si="10"/>
        <v>46153</v>
      </c>
      <c r="B45" s="127"/>
      <c r="C45" s="127"/>
      <c r="D45" s="34"/>
      <c r="E45" s="34"/>
      <c r="F45" s="20" t="e">
        <f t="shared" si="8"/>
        <v>#DIV/0!</v>
      </c>
      <c r="G45" s="2">
        <f t="shared" si="5"/>
        <v>0</v>
      </c>
      <c r="H45" s="2">
        <f t="shared" si="6"/>
        <v>0</v>
      </c>
      <c r="I45" s="29"/>
      <c r="J45" s="34"/>
      <c r="K45" s="20" t="e">
        <f t="shared" si="9"/>
        <v>#DIV/0!</v>
      </c>
      <c r="L45" s="4" t="e">
        <f t="shared" si="7"/>
        <v>#DIV/0!</v>
      </c>
      <c r="M45" s="103"/>
      <c r="N45" s="103"/>
      <c r="O45" s="34"/>
      <c r="P45" s="6"/>
      <c r="Q45" s="6"/>
    </row>
    <row r="46" spans="1:17">
      <c r="A46" s="13">
        <f t="shared" si="10"/>
        <v>46154</v>
      </c>
      <c r="B46" s="127"/>
      <c r="C46" s="127"/>
      <c r="D46" s="34"/>
      <c r="E46" s="34"/>
      <c r="F46" s="20" t="e">
        <f t="shared" si="8"/>
        <v>#DIV/0!</v>
      </c>
      <c r="G46" s="2">
        <f t="shared" si="5"/>
        <v>0</v>
      </c>
      <c r="H46" s="2">
        <f t="shared" si="6"/>
        <v>0</v>
      </c>
      <c r="I46" s="29"/>
      <c r="J46" s="34"/>
      <c r="K46" s="20" t="e">
        <f t="shared" si="9"/>
        <v>#DIV/0!</v>
      </c>
      <c r="L46" s="4" t="e">
        <f t="shared" si="7"/>
        <v>#DIV/0!</v>
      </c>
      <c r="M46" s="104"/>
      <c r="N46" s="103"/>
      <c r="O46" s="34"/>
      <c r="P46" s="6"/>
      <c r="Q46" s="6"/>
    </row>
    <row r="47" spans="1:17">
      <c r="A47" s="13">
        <f t="shared" si="10"/>
        <v>46155</v>
      </c>
      <c r="B47" s="127"/>
      <c r="C47" s="127"/>
      <c r="D47" s="34"/>
      <c r="E47" s="34"/>
      <c r="F47" s="20" t="e">
        <f t="shared" si="8"/>
        <v>#DIV/0!</v>
      </c>
      <c r="G47" s="2">
        <f t="shared" si="5"/>
        <v>0</v>
      </c>
      <c r="H47" s="2">
        <f t="shared" si="6"/>
        <v>0</v>
      </c>
      <c r="I47" s="29"/>
      <c r="J47" s="34"/>
      <c r="K47" s="20" t="e">
        <f t="shared" si="9"/>
        <v>#DIV/0!</v>
      </c>
      <c r="L47" s="4" t="e">
        <f t="shared" si="7"/>
        <v>#DIV/0!</v>
      </c>
      <c r="M47" s="104"/>
      <c r="N47" s="103"/>
      <c r="O47" s="34"/>
      <c r="P47" s="6"/>
      <c r="Q47" s="31"/>
    </row>
    <row r="48" spans="1:17">
      <c r="A48" s="13">
        <f t="shared" si="10"/>
        <v>46156</v>
      </c>
      <c r="B48" s="127"/>
      <c r="C48" s="127"/>
      <c r="D48" s="34"/>
      <c r="E48" s="34"/>
      <c r="F48" s="20" t="e">
        <f t="shared" si="8"/>
        <v>#DIV/0!</v>
      </c>
      <c r="G48" s="2">
        <f t="shared" si="5"/>
        <v>0</v>
      </c>
      <c r="H48" s="2">
        <f t="shared" si="6"/>
        <v>0</v>
      </c>
      <c r="I48" s="29"/>
      <c r="J48" s="34"/>
      <c r="K48" s="20" t="e">
        <f t="shared" si="9"/>
        <v>#DIV/0!</v>
      </c>
      <c r="L48" s="4" t="e">
        <f t="shared" si="7"/>
        <v>#DIV/0!</v>
      </c>
      <c r="M48" s="104"/>
      <c r="N48" s="103"/>
      <c r="O48" s="34"/>
      <c r="P48" s="6"/>
      <c r="Q48" s="32"/>
    </row>
    <row r="49" spans="1:17">
      <c r="A49" s="13">
        <f t="shared" si="10"/>
        <v>46157</v>
      </c>
      <c r="B49" s="127"/>
      <c r="C49" s="127"/>
      <c r="D49" s="34"/>
      <c r="E49" s="34"/>
      <c r="F49" s="20" t="e">
        <f t="shared" si="8"/>
        <v>#DIV/0!</v>
      </c>
      <c r="G49" s="2">
        <f t="shared" si="5"/>
        <v>0</v>
      </c>
      <c r="H49" s="2">
        <f t="shared" si="6"/>
        <v>0</v>
      </c>
      <c r="I49" s="29"/>
      <c r="J49" s="34"/>
      <c r="K49" s="20" t="e">
        <f t="shared" si="9"/>
        <v>#DIV/0!</v>
      </c>
      <c r="L49" s="4" t="e">
        <f t="shared" si="7"/>
        <v>#DIV/0!</v>
      </c>
      <c r="M49" s="104"/>
      <c r="N49" s="103"/>
      <c r="O49" s="34"/>
      <c r="P49" s="6"/>
      <c r="Q49" s="32"/>
    </row>
    <row r="50" spans="1:17">
      <c r="A50" s="13">
        <f t="shared" si="10"/>
        <v>46158</v>
      </c>
      <c r="B50" s="127"/>
      <c r="C50" s="127"/>
      <c r="D50" s="34"/>
      <c r="E50" s="34"/>
      <c r="F50" s="20" t="e">
        <f t="shared" si="8"/>
        <v>#DIV/0!</v>
      </c>
      <c r="G50" s="2">
        <f t="shared" si="5"/>
        <v>0</v>
      </c>
      <c r="H50" s="2">
        <f t="shared" si="6"/>
        <v>0</v>
      </c>
      <c r="I50" s="29"/>
      <c r="J50" s="34"/>
      <c r="K50" s="20" t="e">
        <f t="shared" si="9"/>
        <v>#DIV/0!</v>
      </c>
      <c r="L50" s="4" t="e">
        <f t="shared" si="7"/>
        <v>#DIV/0!</v>
      </c>
      <c r="M50" s="104"/>
      <c r="N50" s="103"/>
      <c r="O50" s="34"/>
      <c r="P50" s="6"/>
      <c r="Q50" s="32"/>
    </row>
    <row r="51" spans="1:17">
      <c r="A51" s="13">
        <f t="shared" si="10"/>
        <v>46159</v>
      </c>
      <c r="B51" s="127"/>
      <c r="C51" s="127"/>
      <c r="D51" s="34"/>
      <c r="E51" s="34"/>
      <c r="F51" s="20" t="e">
        <f t="shared" si="8"/>
        <v>#DIV/0!</v>
      </c>
      <c r="G51" s="2">
        <f t="shared" si="5"/>
        <v>0</v>
      </c>
      <c r="H51" s="2">
        <f t="shared" si="6"/>
        <v>0</v>
      </c>
      <c r="I51" s="29"/>
      <c r="J51" s="34"/>
      <c r="K51" s="20" t="e">
        <f t="shared" si="9"/>
        <v>#DIV/0!</v>
      </c>
      <c r="L51" s="4" t="e">
        <f t="shared" si="7"/>
        <v>#DIV/0!</v>
      </c>
      <c r="M51" s="103"/>
      <c r="N51" s="103"/>
      <c r="O51" s="34"/>
      <c r="P51" s="6"/>
      <c r="Q51" s="6"/>
    </row>
    <row r="52" spans="1:17">
      <c r="A52" s="13">
        <f t="shared" si="10"/>
        <v>46160</v>
      </c>
      <c r="B52" s="127"/>
      <c r="C52" s="127"/>
      <c r="D52" s="34"/>
      <c r="E52" s="34"/>
      <c r="F52" s="20" t="e">
        <f t="shared" si="8"/>
        <v>#DIV/0!</v>
      </c>
      <c r="G52" s="2">
        <f t="shared" si="5"/>
        <v>0</v>
      </c>
      <c r="H52" s="2">
        <f t="shared" si="6"/>
        <v>0</v>
      </c>
      <c r="I52" s="29"/>
      <c r="J52" s="34"/>
      <c r="K52" s="20" t="e">
        <f t="shared" si="9"/>
        <v>#DIV/0!</v>
      </c>
      <c r="L52" s="4" t="e">
        <f t="shared" si="7"/>
        <v>#DIV/0!</v>
      </c>
      <c r="M52" s="103"/>
      <c r="N52" s="103"/>
      <c r="O52" s="34"/>
      <c r="P52" s="6"/>
      <c r="Q52" s="14"/>
    </row>
    <row r="53" spans="1:17">
      <c r="A53" s="13">
        <f t="shared" si="10"/>
        <v>46161</v>
      </c>
      <c r="B53" s="127"/>
      <c r="C53" s="127"/>
      <c r="D53" s="34"/>
      <c r="E53" s="34"/>
      <c r="F53" s="20" t="e">
        <f t="shared" si="8"/>
        <v>#DIV/0!</v>
      </c>
      <c r="G53" s="2">
        <f t="shared" si="5"/>
        <v>0</v>
      </c>
      <c r="H53" s="2">
        <f t="shared" si="6"/>
        <v>0</v>
      </c>
      <c r="I53" s="29"/>
      <c r="J53" s="34"/>
      <c r="K53" s="20" t="e">
        <f t="shared" si="9"/>
        <v>#DIV/0!</v>
      </c>
      <c r="L53" s="4" t="e">
        <f t="shared" si="7"/>
        <v>#DIV/0!</v>
      </c>
      <c r="M53" s="103"/>
      <c r="N53" s="103"/>
      <c r="O53" s="34"/>
      <c r="P53" s="6"/>
      <c r="Q53" s="14"/>
    </row>
    <row r="54" spans="1:17">
      <c r="A54" s="13">
        <f t="shared" si="10"/>
        <v>46162</v>
      </c>
      <c r="B54" s="127"/>
      <c r="C54" s="127"/>
      <c r="D54" s="34"/>
      <c r="E54" s="34"/>
      <c r="F54" s="20" t="e">
        <f t="shared" si="8"/>
        <v>#DIV/0!</v>
      </c>
      <c r="G54" s="2">
        <f t="shared" si="5"/>
        <v>0</v>
      </c>
      <c r="H54" s="2">
        <f t="shared" si="6"/>
        <v>0</v>
      </c>
      <c r="I54" s="29"/>
      <c r="J54" s="34"/>
      <c r="K54" s="20" t="e">
        <f t="shared" si="9"/>
        <v>#DIV/0!</v>
      </c>
      <c r="L54" s="4" t="e">
        <f t="shared" si="7"/>
        <v>#DIV/0!</v>
      </c>
      <c r="M54" s="103"/>
      <c r="N54" s="103"/>
      <c r="O54" s="34"/>
      <c r="P54" s="6"/>
      <c r="Q54" s="14"/>
    </row>
    <row r="55" spans="1:17">
      <c r="A55" s="13">
        <f t="shared" si="10"/>
        <v>46163</v>
      </c>
      <c r="B55" s="127"/>
      <c r="C55" s="127"/>
      <c r="D55" s="34"/>
      <c r="E55" s="34"/>
      <c r="F55" s="20" t="e">
        <f>(IF(ISBLANK(E55),0,E55-C55))/C55</f>
        <v>#DIV/0!</v>
      </c>
      <c r="G55" s="2">
        <f t="shared" si="5"/>
        <v>0</v>
      </c>
      <c r="H55" s="2">
        <f t="shared" si="6"/>
        <v>0</v>
      </c>
      <c r="I55" s="29"/>
      <c r="J55" s="34"/>
      <c r="K55" s="20" t="e">
        <f>(IF(ISBLANK(J55),0,J55-I55))/I55</f>
        <v>#DIV/0!</v>
      </c>
      <c r="L55" s="4" t="e">
        <f t="shared" si="7"/>
        <v>#DIV/0!</v>
      </c>
      <c r="M55" s="103"/>
      <c r="N55" s="103"/>
      <c r="O55" s="34"/>
      <c r="P55" s="6"/>
      <c r="Q55" s="6"/>
    </row>
    <row r="56" spans="1:17">
      <c r="A56" s="13">
        <f t="shared" si="10"/>
        <v>46164</v>
      </c>
      <c r="B56" s="127"/>
      <c r="C56" s="127"/>
      <c r="D56" s="34"/>
      <c r="E56" s="34"/>
      <c r="F56" s="20" t="e">
        <f t="shared" ref="F56:F65" si="11">(IF(ISBLANK(E56),0,E56-C56))/C56</f>
        <v>#DIV/0!</v>
      </c>
      <c r="G56" s="2">
        <f t="shared" si="5"/>
        <v>0</v>
      </c>
      <c r="H56" s="2">
        <f t="shared" si="6"/>
        <v>0</v>
      </c>
      <c r="I56" s="29"/>
      <c r="J56" s="34"/>
      <c r="K56" s="20" t="e">
        <f t="shared" ref="K56:K65" si="12">(IF(ISBLANK(J56),0,J56-I56))/I56</f>
        <v>#DIV/0!</v>
      </c>
      <c r="L56" s="4" t="e">
        <f t="shared" si="7"/>
        <v>#DIV/0!</v>
      </c>
      <c r="M56" s="103"/>
      <c r="N56" s="103"/>
      <c r="O56" s="34"/>
      <c r="P56" s="6"/>
      <c r="Q56" s="6"/>
    </row>
    <row r="57" spans="1:17">
      <c r="A57" s="13">
        <f t="shared" si="10"/>
        <v>46165</v>
      </c>
      <c r="B57" s="127"/>
      <c r="C57" s="127"/>
      <c r="D57" s="14"/>
      <c r="E57" s="14"/>
      <c r="F57" s="20" t="e">
        <f t="shared" si="11"/>
        <v>#DIV/0!</v>
      </c>
      <c r="G57" s="2">
        <f t="shared" si="5"/>
        <v>0</v>
      </c>
      <c r="H57" s="2">
        <f t="shared" si="6"/>
        <v>0</v>
      </c>
      <c r="I57" s="29"/>
      <c r="J57" s="14"/>
      <c r="K57" s="20" t="e">
        <f t="shared" si="12"/>
        <v>#DIV/0!</v>
      </c>
      <c r="L57" s="4" t="e">
        <f t="shared" si="7"/>
        <v>#DIV/0!</v>
      </c>
      <c r="M57" s="103"/>
      <c r="N57" s="103"/>
      <c r="O57" s="34"/>
      <c r="P57" s="6"/>
      <c r="Q57" s="6"/>
    </row>
    <row r="58" spans="1:17">
      <c r="A58" s="13">
        <f t="shared" si="10"/>
        <v>46166</v>
      </c>
      <c r="B58" s="127"/>
      <c r="C58" s="127"/>
      <c r="D58" s="14"/>
      <c r="E58" s="14"/>
      <c r="F58" s="20" t="e">
        <f t="shared" si="11"/>
        <v>#DIV/0!</v>
      </c>
      <c r="G58" s="2">
        <f t="shared" ref="G58:G65" si="13">D58/($D$2*24)</f>
        <v>0</v>
      </c>
      <c r="H58" s="2">
        <f t="shared" si="6"/>
        <v>0</v>
      </c>
      <c r="I58" s="29"/>
      <c r="J58" s="14"/>
      <c r="K58" s="20" t="e">
        <f t="shared" si="12"/>
        <v>#DIV/0!</v>
      </c>
      <c r="L58" s="4" t="e">
        <f t="shared" si="7"/>
        <v>#DIV/0!</v>
      </c>
      <c r="M58" s="103"/>
      <c r="N58" s="103"/>
      <c r="O58" s="34"/>
      <c r="P58" s="6"/>
      <c r="Q58" s="288"/>
    </row>
    <row r="59" spans="1:17">
      <c r="A59" s="13">
        <f t="shared" si="10"/>
        <v>46167</v>
      </c>
      <c r="B59" s="1"/>
      <c r="C59" s="1"/>
      <c r="D59" s="14"/>
      <c r="E59" s="14"/>
      <c r="F59" s="20" t="e">
        <f t="shared" si="11"/>
        <v>#DIV/0!</v>
      </c>
      <c r="G59" s="2">
        <f t="shared" si="13"/>
        <v>0</v>
      </c>
      <c r="H59" s="2">
        <f t="shared" si="6"/>
        <v>0</v>
      </c>
      <c r="I59" s="29"/>
      <c r="J59" s="14"/>
      <c r="K59" s="20" t="e">
        <f t="shared" si="12"/>
        <v>#DIV/0!</v>
      </c>
      <c r="L59" s="4" t="e">
        <f t="shared" si="7"/>
        <v>#DIV/0!</v>
      </c>
      <c r="M59" s="103"/>
      <c r="N59" s="103"/>
      <c r="O59" s="34"/>
      <c r="P59" s="155"/>
      <c r="Q59" s="6"/>
    </row>
    <row r="60" spans="1:17">
      <c r="A60" s="13">
        <f t="shared" si="10"/>
        <v>46168</v>
      </c>
      <c r="B60" s="1"/>
      <c r="C60" s="1"/>
      <c r="D60" s="14"/>
      <c r="E60" s="14"/>
      <c r="F60" s="20" t="e">
        <f t="shared" si="11"/>
        <v>#DIV/0!</v>
      </c>
      <c r="G60" s="2">
        <f t="shared" si="13"/>
        <v>0</v>
      </c>
      <c r="H60" s="2">
        <f t="shared" si="6"/>
        <v>0</v>
      </c>
      <c r="I60" s="29"/>
      <c r="J60" s="14"/>
      <c r="K60" s="20" t="e">
        <f t="shared" si="12"/>
        <v>#DIV/0!</v>
      </c>
      <c r="L60" s="4" t="e">
        <f t="shared" si="7"/>
        <v>#DIV/0!</v>
      </c>
      <c r="M60" s="103"/>
      <c r="N60" s="103"/>
      <c r="O60" s="34"/>
      <c r="P60" s="6"/>
      <c r="Q60" s="123"/>
    </row>
    <row r="61" spans="1:17">
      <c r="A61" s="13">
        <f t="shared" si="10"/>
        <v>46169</v>
      </c>
      <c r="B61" s="1"/>
      <c r="C61" s="1"/>
      <c r="D61" s="14"/>
      <c r="E61" s="14"/>
      <c r="F61" s="20" t="e">
        <f t="shared" si="11"/>
        <v>#DIV/0!</v>
      </c>
      <c r="G61" s="2">
        <f t="shared" si="13"/>
        <v>0</v>
      </c>
      <c r="H61" s="2">
        <f t="shared" si="6"/>
        <v>0</v>
      </c>
      <c r="I61" s="29"/>
      <c r="J61" s="14"/>
      <c r="K61" s="20" t="e">
        <f t="shared" si="12"/>
        <v>#DIV/0!</v>
      </c>
      <c r="L61" s="4" t="e">
        <f t="shared" si="7"/>
        <v>#DIV/0!</v>
      </c>
      <c r="M61" s="103"/>
      <c r="N61" s="103"/>
      <c r="O61" s="34"/>
      <c r="P61" s="6"/>
      <c r="Q61" s="6"/>
    </row>
    <row r="62" spans="1:17">
      <c r="A62" s="13">
        <f t="shared" si="10"/>
        <v>46170</v>
      </c>
      <c r="B62" s="1"/>
      <c r="C62" s="1"/>
      <c r="D62" s="14"/>
      <c r="E62" s="14"/>
      <c r="F62" s="20" t="e">
        <f t="shared" si="11"/>
        <v>#DIV/0!</v>
      </c>
      <c r="G62" s="2">
        <f t="shared" si="13"/>
        <v>0</v>
      </c>
      <c r="H62" s="2">
        <f t="shared" ref="H62:H65" si="14">D62/($H$2*24)</f>
        <v>0</v>
      </c>
      <c r="I62" s="29"/>
      <c r="J62" s="14"/>
      <c r="K62" s="20" t="e">
        <f t="shared" si="12"/>
        <v>#DIV/0!</v>
      </c>
      <c r="L62" s="4" t="e">
        <f t="shared" si="7"/>
        <v>#DIV/0!</v>
      </c>
      <c r="M62" s="103"/>
      <c r="N62" s="103"/>
      <c r="O62" s="34"/>
      <c r="P62" s="6"/>
      <c r="Q62" s="6"/>
    </row>
    <row r="63" spans="1:17">
      <c r="A63" s="13">
        <f t="shared" si="10"/>
        <v>46171</v>
      </c>
      <c r="B63" s="1"/>
      <c r="C63" s="1"/>
      <c r="D63" s="14"/>
      <c r="E63" s="14"/>
      <c r="F63" s="20" t="e">
        <f t="shared" si="11"/>
        <v>#DIV/0!</v>
      </c>
      <c r="G63" s="2">
        <f t="shared" si="13"/>
        <v>0</v>
      </c>
      <c r="H63" s="2">
        <f t="shared" si="14"/>
        <v>0</v>
      </c>
      <c r="I63" s="29"/>
      <c r="J63" s="14"/>
      <c r="K63" s="20" t="e">
        <f t="shared" si="12"/>
        <v>#DIV/0!</v>
      </c>
      <c r="L63" s="4" t="e">
        <f t="shared" si="7"/>
        <v>#DIV/0!</v>
      </c>
      <c r="M63" s="103"/>
      <c r="N63" s="103"/>
      <c r="O63" s="34"/>
      <c r="P63" s="6"/>
      <c r="Q63" s="6"/>
    </row>
    <row r="64" spans="1:17">
      <c r="A64" s="13">
        <f t="shared" si="10"/>
        <v>46172</v>
      </c>
      <c r="B64" s="1"/>
      <c r="C64" s="1"/>
      <c r="D64" s="14"/>
      <c r="E64" s="14"/>
      <c r="F64" s="20" t="e">
        <f t="shared" si="11"/>
        <v>#DIV/0!</v>
      </c>
      <c r="G64" s="2">
        <f t="shared" si="13"/>
        <v>0</v>
      </c>
      <c r="H64" s="2">
        <f t="shared" si="14"/>
        <v>0</v>
      </c>
      <c r="I64" s="29"/>
      <c r="J64" s="14"/>
      <c r="K64" s="20" t="e">
        <f t="shared" si="12"/>
        <v>#DIV/0!</v>
      </c>
      <c r="L64" s="4" t="e">
        <f t="shared" si="7"/>
        <v>#DIV/0!</v>
      </c>
      <c r="M64" s="103"/>
      <c r="N64" s="103"/>
      <c r="O64" s="34"/>
      <c r="P64" s="6"/>
      <c r="Q64" s="6"/>
    </row>
    <row r="65" spans="1:17">
      <c r="A65" s="13">
        <f t="shared" si="10"/>
        <v>46173</v>
      </c>
      <c r="B65" s="1"/>
      <c r="C65" s="1"/>
      <c r="D65" s="14"/>
      <c r="E65" s="14"/>
      <c r="F65" s="20" t="e">
        <f t="shared" si="11"/>
        <v>#DIV/0!</v>
      </c>
      <c r="G65" s="2">
        <f t="shared" si="13"/>
        <v>0</v>
      </c>
      <c r="H65" s="2">
        <f t="shared" si="14"/>
        <v>0</v>
      </c>
      <c r="I65" s="29"/>
      <c r="J65" s="14"/>
      <c r="K65" s="20" t="e">
        <f t="shared" si="12"/>
        <v>#DIV/0!</v>
      </c>
      <c r="L65" s="4" t="e">
        <f t="shared" si="7"/>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7"/>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85493-DF42-4E7B-9D12-1D1496E6AF81}">
  <dimension ref="A1:Q66"/>
  <sheetViews>
    <sheetView topLeftCell="A23" workbookViewId="0">
      <selection activeCell="A11" sqref="A11"/>
    </sheetView>
  </sheetViews>
  <sheetFormatPr defaultColWidth="13.54296875" defaultRowHeight="14.5"/>
  <sheetData>
    <row r="1" spans="1:17" ht="18.5">
      <c r="A1" s="417" t="s">
        <v>413</v>
      </c>
      <c r="B1" s="418"/>
      <c r="C1" s="418"/>
      <c r="D1" s="418"/>
      <c r="E1" s="418"/>
      <c r="F1" s="418"/>
      <c r="G1" s="418"/>
      <c r="H1" s="418"/>
      <c r="I1" s="418"/>
      <c r="J1" s="418"/>
      <c r="K1" s="418"/>
      <c r="L1" s="418"/>
      <c r="M1" s="418"/>
      <c r="N1" s="418"/>
      <c r="O1" s="418"/>
      <c r="P1" s="418"/>
      <c r="Q1" s="418"/>
    </row>
    <row r="2" spans="1:17" ht="18.5">
      <c r="A2" s="69">
        <v>46138</v>
      </c>
      <c r="B2" s="415" t="s">
        <v>172</v>
      </c>
      <c r="C2" s="416"/>
      <c r="D2" s="70">
        <v>21500</v>
      </c>
      <c r="E2" s="415" t="s">
        <v>173</v>
      </c>
      <c r="F2" s="415"/>
      <c r="G2" s="416"/>
      <c r="H2" s="70">
        <v>15400</v>
      </c>
      <c r="I2" s="415" t="s">
        <v>174</v>
      </c>
      <c r="J2" s="416"/>
      <c r="K2" s="71">
        <v>45985</v>
      </c>
      <c r="L2" s="72" t="s">
        <v>175</v>
      </c>
      <c r="M2" s="72" t="s">
        <v>175</v>
      </c>
      <c r="N2" s="72" t="s">
        <v>175</v>
      </c>
      <c r="O2" s="72" t="s">
        <v>175</v>
      </c>
      <c r="P2" s="72" t="s">
        <v>175</v>
      </c>
      <c r="Q2" s="73" t="s">
        <v>175</v>
      </c>
    </row>
    <row r="3" spans="1:17" ht="39.5">
      <c r="A3" s="74" t="s">
        <v>189</v>
      </c>
      <c r="B3" s="75" t="s">
        <v>3</v>
      </c>
      <c r="C3" s="75" t="s">
        <v>4</v>
      </c>
      <c r="D3" s="75" t="s">
        <v>5</v>
      </c>
      <c r="E3" s="75" t="s">
        <v>6</v>
      </c>
      <c r="F3" s="75" t="s">
        <v>7</v>
      </c>
      <c r="G3" s="75" t="s">
        <v>8</v>
      </c>
      <c r="H3" s="75" t="s">
        <v>9</v>
      </c>
      <c r="I3" s="75" t="s">
        <v>10</v>
      </c>
      <c r="J3" s="75" t="s">
        <v>11</v>
      </c>
      <c r="K3" s="75" t="s">
        <v>12</v>
      </c>
      <c r="L3" s="75" t="s">
        <v>13</v>
      </c>
      <c r="M3" s="75" t="s">
        <v>14</v>
      </c>
      <c r="N3" s="75" t="s">
        <v>15</v>
      </c>
      <c r="O3" s="75" t="s">
        <v>16</v>
      </c>
      <c r="P3" s="75" t="s">
        <v>17</v>
      </c>
      <c r="Q3" s="184" t="s">
        <v>156</v>
      </c>
    </row>
    <row r="4" spans="1:17">
      <c r="A4" s="76">
        <v>46113</v>
      </c>
      <c r="B4" s="39">
        <v>110867</v>
      </c>
      <c r="C4" s="39">
        <v>104261</v>
      </c>
      <c r="D4" s="49">
        <v>84630</v>
      </c>
      <c r="E4" s="49">
        <v>84630</v>
      </c>
      <c r="F4" s="110">
        <f t="shared" ref="F4:F35" si="0">(IF(ISBLANK(E4),0,E4-C4))/C4</f>
        <v>-0.18828708721381918</v>
      </c>
      <c r="G4" s="40">
        <v>0.16400000000000001</v>
      </c>
      <c r="H4" s="40">
        <v>0.22900000000000001</v>
      </c>
      <c r="I4" s="39">
        <v>6.62</v>
      </c>
      <c r="J4" s="49">
        <v>5.0199999999999996</v>
      </c>
      <c r="K4" s="111">
        <f t="shared" ref="K4:K33" si="1">(IF(ISBLANK(J4),0,J4-H4))/H4</f>
        <v>20.921397379912662</v>
      </c>
      <c r="L4" s="40">
        <v>0.78400000000000003</v>
      </c>
      <c r="M4" s="62">
        <v>1</v>
      </c>
      <c r="N4" s="62">
        <v>1</v>
      </c>
      <c r="O4" s="49">
        <v>0</v>
      </c>
      <c r="P4" s="49">
        <v>0</v>
      </c>
      <c r="Q4" s="49" t="s">
        <v>414</v>
      </c>
    </row>
    <row r="5" spans="1:17">
      <c r="A5" s="79">
        <v>46114</v>
      </c>
      <c r="B5" s="46">
        <v>110867</v>
      </c>
      <c r="C5" s="46">
        <v>104261</v>
      </c>
      <c r="D5" s="50">
        <v>91560</v>
      </c>
      <c r="E5" s="50">
        <v>91560</v>
      </c>
      <c r="F5" s="110">
        <f t="shared" si="0"/>
        <v>-0.12181928045961578</v>
      </c>
      <c r="G5" s="47">
        <v>0.1774</v>
      </c>
      <c r="H5" s="47">
        <v>0.2477</v>
      </c>
      <c r="I5" s="46">
        <v>6.62</v>
      </c>
      <c r="J5" s="50">
        <v>5.35</v>
      </c>
      <c r="K5" s="111">
        <f t="shared" si="1"/>
        <v>20.598708114654823</v>
      </c>
      <c r="L5" s="47">
        <v>0.79600000000000004</v>
      </c>
      <c r="M5" s="64">
        <v>1</v>
      </c>
      <c r="N5" s="64">
        <v>1</v>
      </c>
      <c r="O5" s="50">
        <v>0</v>
      </c>
      <c r="P5" s="50">
        <v>0</v>
      </c>
      <c r="Q5" s="50" t="s">
        <v>415</v>
      </c>
    </row>
    <row r="6" spans="1:17">
      <c r="A6" s="79">
        <v>46115</v>
      </c>
      <c r="B6" s="46">
        <v>110867</v>
      </c>
      <c r="C6" s="46">
        <v>104261</v>
      </c>
      <c r="D6" s="50">
        <v>121203</v>
      </c>
      <c r="E6" s="50">
        <v>120540</v>
      </c>
      <c r="F6" s="110">
        <f t="shared" si="0"/>
        <v>0.15613700233068933</v>
      </c>
      <c r="G6" s="47">
        <v>0.2349</v>
      </c>
      <c r="H6" s="47">
        <v>0.32790000000000002</v>
      </c>
      <c r="I6" s="46">
        <v>6.62</v>
      </c>
      <c r="J6" s="50">
        <v>7.04</v>
      </c>
      <c r="K6" s="111">
        <f t="shared" si="1"/>
        <v>20.469960353766393</v>
      </c>
      <c r="L6" s="47">
        <v>0.80100000000000005</v>
      </c>
      <c r="M6" s="64">
        <v>1</v>
      </c>
      <c r="N6" s="64">
        <v>1</v>
      </c>
      <c r="O6" s="50">
        <v>0</v>
      </c>
      <c r="P6" s="50">
        <v>0</v>
      </c>
      <c r="Q6" s="50" t="s">
        <v>175</v>
      </c>
    </row>
    <row r="7" spans="1:17">
      <c r="A7" s="79">
        <v>46116</v>
      </c>
      <c r="B7" s="46">
        <v>110867</v>
      </c>
      <c r="C7" s="46">
        <v>104261</v>
      </c>
      <c r="D7" s="50">
        <v>117542</v>
      </c>
      <c r="E7" s="50">
        <v>117600</v>
      </c>
      <c r="F7" s="110">
        <f t="shared" si="0"/>
        <v>0.12793853885920911</v>
      </c>
      <c r="G7" s="47">
        <v>0.2278</v>
      </c>
      <c r="H7" s="47">
        <v>0.318</v>
      </c>
      <c r="I7" s="46">
        <v>6.62</v>
      </c>
      <c r="J7" s="50">
        <v>6.63</v>
      </c>
      <c r="K7" s="111">
        <f t="shared" si="1"/>
        <v>19.849056603773587</v>
      </c>
      <c r="L7" s="47">
        <v>0.82499999999999996</v>
      </c>
      <c r="M7" s="64">
        <v>1</v>
      </c>
      <c r="N7" s="64">
        <v>1</v>
      </c>
      <c r="O7" s="50">
        <v>0</v>
      </c>
      <c r="P7" s="50">
        <v>0</v>
      </c>
      <c r="Q7" s="50" t="s">
        <v>175</v>
      </c>
    </row>
    <row r="8" spans="1:17">
      <c r="A8" s="79">
        <v>46117</v>
      </c>
      <c r="B8" s="46">
        <v>110867</v>
      </c>
      <c r="C8" s="46">
        <v>104261</v>
      </c>
      <c r="D8" s="50">
        <v>124485</v>
      </c>
      <c r="E8" s="50">
        <v>124110</v>
      </c>
      <c r="F8" s="110">
        <f t="shared" si="0"/>
        <v>0.19037799368891531</v>
      </c>
      <c r="G8" s="47">
        <v>0.24129999999999999</v>
      </c>
      <c r="H8" s="47">
        <v>0.33679999999999999</v>
      </c>
      <c r="I8" s="46">
        <v>6.62</v>
      </c>
      <c r="J8" s="50">
        <v>7.27</v>
      </c>
      <c r="K8" s="111">
        <f t="shared" si="1"/>
        <v>20.585510688836102</v>
      </c>
      <c r="L8" s="47">
        <v>0.79600000000000004</v>
      </c>
      <c r="M8" s="64">
        <v>1</v>
      </c>
      <c r="N8" s="64">
        <v>1</v>
      </c>
      <c r="O8" s="50">
        <v>0</v>
      </c>
      <c r="P8" s="50">
        <v>0</v>
      </c>
      <c r="Q8" s="50" t="s">
        <v>175</v>
      </c>
    </row>
    <row r="9" spans="1:17">
      <c r="A9" s="79">
        <v>46118</v>
      </c>
      <c r="B9" s="46">
        <v>110867</v>
      </c>
      <c r="C9" s="46">
        <v>104261</v>
      </c>
      <c r="D9" s="50">
        <v>130817</v>
      </c>
      <c r="E9" s="50">
        <v>130200</v>
      </c>
      <c r="F9" s="110">
        <f t="shared" si="0"/>
        <v>0.24878909659412435</v>
      </c>
      <c r="G9" s="47">
        <v>0.2535</v>
      </c>
      <c r="H9" s="47">
        <v>0.35389999999999999</v>
      </c>
      <c r="I9" s="46">
        <v>6.62</v>
      </c>
      <c r="J9" s="50">
        <v>7.76</v>
      </c>
      <c r="K9" s="111">
        <f t="shared" si="1"/>
        <v>20.927098050296692</v>
      </c>
      <c r="L9" s="47">
        <v>0.78400000000000003</v>
      </c>
      <c r="M9" s="64">
        <v>1</v>
      </c>
      <c r="N9" s="64">
        <v>1</v>
      </c>
      <c r="O9" s="50">
        <v>0</v>
      </c>
      <c r="P9" s="50">
        <v>0</v>
      </c>
      <c r="Q9" s="50" t="s">
        <v>175</v>
      </c>
    </row>
    <row r="10" spans="1:17">
      <c r="A10" s="79">
        <v>46119</v>
      </c>
      <c r="B10" s="46">
        <v>110867</v>
      </c>
      <c r="C10" s="46">
        <v>104261</v>
      </c>
      <c r="D10" s="50">
        <v>127791</v>
      </c>
      <c r="E10" s="50">
        <v>127470</v>
      </c>
      <c r="F10" s="110">
        <f t="shared" si="0"/>
        <v>0.22260480908489272</v>
      </c>
      <c r="G10" s="47">
        <v>0.2477</v>
      </c>
      <c r="H10" s="47">
        <v>0.3458</v>
      </c>
      <c r="I10" s="46">
        <v>6.62</v>
      </c>
      <c r="J10" s="50">
        <v>7.53</v>
      </c>
      <c r="K10" s="111">
        <f t="shared" si="1"/>
        <v>20.775592828224408</v>
      </c>
      <c r="L10" s="47">
        <v>0.78900000000000003</v>
      </c>
      <c r="M10" s="64">
        <v>1</v>
      </c>
      <c r="N10" s="64">
        <v>1</v>
      </c>
      <c r="O10" s="50">
        <v>0</v>
      </c>
      <c r="P10" s="50">
        <v>0</v>
      </c>
      <c r="Q10" s="50" t="s">
        <v>175</v>
      </c>
    </row>
    <row r="11" spans="1:17">
      <c r="A11" s="79">
        <v>46120</v>
      </c>
      <c r="B11" s="46">
        <v>110867</v>
      </c>
      <c r="C11" s="46">
        <v>104261</v>
      </c>
      <c r="D11" s="50">
        <v>124752</v>
      </c>
      <c r="E11" s="50">
        <v>124320</v>
      </c>
      <c r="F11" s="110">
        <f t="shared" si="0"/>
        <v>0.1923921696511639</v>
      </c>
      <c r="G11" s="47">
        <v>0.24179999999999999</v>
      </c>
      <c r="H11" s="47">
        <v>0.33750000000000002</v>
      </c>
      <c r="I11" s="46">
        <v>6.62</v>
      </c>
      <c r="J11" s="50">
        <v>7.25</v>
      </c>
      <c r="K11" s="111">
        <f t="shared" si="1"/>
        <v>20.481481481481477</v>
      </c>
      <c r="L11" s="47">
        <v>0.8</v>
      </c>
      <c r="M11" s="64">
        <v>1</v>
      </c>
      <c r="N11" s="64">
        <v>1</v>
      </c>
      <c r="O11" s="50">
        <v>0</v>
      </c>
      <c r="P11" s="50">
        <v>0</v>
      </c>
      <c r="Q11" s="50" t="s">
        <v>175</v>
      </c>
    </row>
    <row r="12" spans="1:17">
      <c r="A12" s="79">
        <v>46121</v>
      </c>
      <c r="B12" s="46">
        <v>110867</v>
      </c>
      <c r="C12" s="46">
        <v>104261</v>
      </c>
      <c r="D12" s="50">
        <v>124664</v>
      </c>
      <c r="E12" s="50">
        <v>124530</v>
      </c>
      <c r="F12" s="110">
        <f t="shared" si="0"/>
        <v>0.1944063456134125</v>
      </c>
      <c r="G12" s="47">
        <v>0.24160000000000001</v>
      </c>
      <c r="H12" s="47">
        <v>0.33729999999999999</v>
      </c>
      <c r="I12" s="46">
        <v>6.62</v>
      </c>
      <c r="J12" s="50">
        <v>7.24</v>
      </c>
      <c r="K12" s="111">
        <f t="shared" si="1"/>
        <v>20.464571597983991</v>
      </c>
      <c r="L12" s="47">
        <v>0.80100000000000005</v>
      </c>
      <c r="M12" s="64">
        <v>1</v>
      </c>
      <c r="N12" s="64">
        <v>1</v>
      </c>
      <c r="O12" s="50">
        <v>0</v>
      </c>
      <c r="P12" s="50">
        <v>0</v>
      </c>
      <c r="Q12" s="50" t="s">
        <v>175</v>
      </c>
    </row>
    <row r="13" spans="1:17">
      <c r="A13" s="79">
        <v>46122</v>
      </c>
      <c r="B13" s="46">
        <v>110867</v>
      </c>
      <c r="C13" s="46">
        <v>104261</v>
      </c>
      <c r="D13" s="50">
        <v>123927</v>
      </c>
      <c r="E13" s="50">
        <v>123690</v>
      </c>
      <c r="F13" s="110">
        <f t="shared" si="0"/>
        <v>0.18634964176441815</v>
      </c>
      <c r="G13" s="47">
        <v>0.2402</v>
      </c>
      <c r="H13" s="47">
        <v>0.33529999999999999</v>
      </c>
      <c r="I13" s="46">
        <v>6.62</v>
      </c>
      <c r="J13" s="50">
        <v>7.26</v>
      </c>
      <c r="K13" s="111">
        <f t="shared" si="1"/>
        <v>20.652251714882194</v>
      </c>
      <c r="L13" s="47">
        <v>0.79400000000000004</v>
      </c>
      <c r="M13" s="64">
        <v>1</v>
      </c>
      <c r="N13" s="64">
        <v>1</v>
      </c>
      <c r="O13" s="50">
        <v>0</v>
      </c>
      <c r="P13" s="50">
        <v>0</v>
      </c>
      <c r="Q13" s="50" t="s">
        <v>175</v>
      </c>
    </row>
    <row r="14" spans="1:17">
      <c r="A14" s="79">
        <v>46123</v>
      </c>
      <c r="B14" s="46">
        <v>110867</v>
      </c>
      <c r="C14" s="46">
        <v>104261</v>
      </c>
      <c r="D14" s="50">
        <v>122027</v>
      </c>
      <c r="E14" s="50">
        <v>122220</v>
      </c>
      <c r="F14" s="110">
        <f t="shared" si="0"/>
        <v>0.17225041002867802</v>
      </c>
      <c r="G14" s="47">
        <v>0.23649999999999999</v>
      </c>
      <c r="H14" s="47">
        <v>0.33019999999999999</v>
      </c>
      <c r="I14" s="46">
        <v>6.62</v>
      </c>
      <c r="J14" s="50">
        <v>7.16</v>
      </c>
      <c r="K14" s="111">
        <f t="shared" si="1"/>
        <v>20.683827983040583</v>
      </c>
      <c r="L14" s="47">
        <v>0.79300000000000004</v>
      </c>
      <c r="M14" s="64">
        <v>1</v>
      </c>
      <c r="N14" s="64">
        <v>1</v>
      </c>
      <c r="O14" s="50">
        <v>0</v>
      </c>
      <c r="P14" s="50">
        <v>0</v>
      </c>
      <c r="Q14" s="50" t="s">
        <v>175</v>
      </c>
    </row>
    <row r="15" spans="1:17">
      <c r="A15" s="79">
        <v>46124</v>
      </c>
      <c r="B15" s="46">
        <v>110867</v>
      </c>
      <c r="C15" s="46">
        <v>104261</v>
      </c>
      <c r="D15" s="50">
        <v>120526</v>
      </c>
      <c r="E15" s="50">
        <v>120960</v>
      </c>
      <c r="F15" s="110">
        <f t="shared" si="0"/>
        <v>0.16016535425518649</v>
      </c>
      <c r="G15" s="47">
        <v>0.2336</v>
      </c>
      <c r="H15" s="47">
        <v>0.3261</v>
      </c>
      <c r="I15" s="46">
        <v>6.62</v>
      </c>
      <c r="J15" s="50">
        <v>7.1</v>
      </c>
      <c r="K15" s="111">
        <f t="shared" si="1"/>
        <v>20.772462434835937</v>
      </c>
      <c r="L15" s="47">
        <v>0.79</v>
      </c>
      <c r="M15" s="64">
        <v>1</v>
      </c>
      <c r="N15" s="64">
        <v>1</v>
      </c>
      <c r="O15" s="50">
        <v>0</v>
      </c>
      <c r="P15" s="50">
        <v>0</v>
      </c>
      <c r="Q15" s="50" t="s">
        <v>175</v>
      </c>
    </row>
    <row r="16" spans="1:17">
      <c r="A16" s="79">
        <v>46125</v>
      </c>
      <c r="B16" s="46">
        <v>110867</v>
      </c>
      <c r="C16" s="46">
        <v>104261</v>
      </c>
      <c r="D16" s="50">
        <v>117331</v>
      </c>
      <c r="E16" s="50">
        <v>117390</v>
      </c>
      <c r="F16" s="110">
        <f t="shared" si="0"/>
        <v>0.12592436289696052</v>
      </c>
      <c r="G16" s="47">
        <v>0.22739999999999999</v>
      </c>
      <c r="H16" s="47">
        <v>0.3175</v>
      </c>
      <c r="I16" s="46">
        <v>6.62</v>
      </c>
      <c r="J16" s="50">
        <v>6.86</v>
      </c>
      <c r="K16" s="111">
        <f t="shared" si="1"/>
        <v>20.606299212598426</v>
      </c>
      <c r="L16" s="47">
        <v>0.79600000000000004</v>
      </c>
      <c r="M16" s="64">
        <v>1</v>
      </c>
      <c r="N16" s="64">
        <v>1</v>
      </c>
      <c r="O16" s="50">
        <v>0</v>
      </c>
      <c r="P16" s="50">
        <v>0</v>
      </c>
      <c r="Q16" s="50" t="s">
        <v>175</v>
      </c>
    </row>
    <row r="17" spans="1:17">
      <c r="A17" s="79">
        <v>46126</v>
      </c>
      <c r="B17" s="46">
        <v>110867</v>
      </c>
      <c r="C17" s="46">
        <v>104261</v>
      </c>
      <c r="D17" s="50">
        <v>122559</v>
      </c>
      <c r="E17" s="50">
        <v>122640</v>
      </c>
      <c r="F17" s="110">
        <f t="shared" si="0"/>
        <v>0.17627876195317521</v>
      </c>
      <c r="G17" s="47">
        <v>0.23749999999999999</v>
      </c>
      <c r="H17" s="47">
        <v>0.33160000000000001</v>
      </c>
      <c r="I17" s="46">
        <v>6.62</v>
      </c>
      <c r="J17" s="50">
        <v>7.25</v>
      </c>
      <c r="K17" s="111">
        <f t="shared" si="1"/>
        <v>20.863691194209892</v>
      </c>
      <c r="L17" s="47">
        <v>0.78600000000000003</v>
      </c>
      <c r="M17" s="64">
        <v>1</v>
      </c>
      <c r="N17" s="64">
        <v>1</v>
      </c>
      <c r="O17" s="50">
        <v>0</v>
      </c>
      <c r="P17" s="50">
        <v>0</v>
      </c>
      <c r="Q17" s="50" t="s">
        <v>175</v>
      </c>
    </row>
    <row r="18" spans="1:17" ht="130.5">
      <c r="A18" s="79">
        <v>46127</v>
      </c>
      <c r="B18" s="46">
        <v>110867</v>
      </c>
      <c r="C18" s="46">
        <v>104261</v>
      </c>
      <c r="D18" s="50">
        <v>113318.90029999999</v>
      </c>
      <c r="E18" s="50">
        <v>113820</v>
      </c>
      <c r="F18" s="110">
        <f t="shared" si="0"/>
        <v>9.1683371538734529E-2</v>
      </c>
      <c r="G18" s="47">
        <v>0.21959999999999999</v>
      </c>
      <c r="H18" s="47">
        <v>0.30659999999999998</v>
      </c>
      <c r="I18" s="46">
        <v>6.62</v>
      </c>
      <c r="J18" s="50">
        <v>7.37</v>
      </c>
      <c r="K18" s="111">
        <f t="shared" si="1"/>
        <v>23.037834311806915</v>
      </c>
      <c r="L18" s="47">
        <v>0.71499999999999997</v>
      </c>
      <c r="M18" s="64">
        <v>0.96</v>
      </c>
      <c r="N18" s="64">
        <v>0.99</v>
      </c>
      <c r="O18" s="50">
        <v>2516</v>
      </c>
      <c r="P18" s="50">
        <v>4218</v>
      </c>
      <c r="Q18" s="83" t="s">
        <v>416</v>
      </c>
    </row>
    <row r="19" spans="1:17">
      <c r="A19" s="79">
        <v>46128</v>
      </c>
      <c r="B19" s="46">
        <v>110867</v>
      </c>
      <c r="C19" s="46">
        <v>104261</v>
      </c>
      <c r="D19" s="50">
        <v>121879.1</v>
      </c>
      <c r="E19" s="50">
        <v>122220</v>
      </c>
      <c r="F19" s="110">
        <f t="shared" si="0"/>
        <v>0.17225041002867802</v>
      </c>
      <c r="G19" s="47">
        <v>0.23619999999999999</v>
      </c>
      <c r="H19" s="47">
        <v>0.32979999999999998</v>
      </c>
      <c r="I19" s="46">
        <v>6.62</v>
      </c>
      <c r="J19" s="50">
        <v>7.44</v>
      </c>
      <c r="K19" s="111">
        <f t="shared" si="1"/>
        <v>21.559126743480903</v>
      </c>
      <c r="L19" s="47">
        <v>0.76200000000000001</v>
      </c>
      <c r="M19" s="64">
        <v>1</v>
      </c>
      <c r="N19" s="64">
        <v>1</v>
      </c>
      <c r="O19" s="50">
        <v>0</v>
      </c>
      <c r="P19" s="50">
        <v>0</v>
      </c>
      <c r="Q19" s="50" t="s">
        <v>175</v>
      </c>
    </row>
    <row r="20" spans="1:17">
      <c r="A20" s="79">
        <v>46129</v>
      </c>
      <c r="B20" s="46">
        <v>110867</v>
      </c>
      <c r="C20" s="46">
        <v>104261</v>
      </c>
      <c r="D20" s="50">
        <v>104729.5</v>
      </c>
      <c r="E20" s="50">
        <v>104580</v>
      </c>
      <c r="F20" s="110">
        <f t="shared" si="0"/>
        <v>3.0596291997966639E-3</v>
      </c>
      <c r="G20" s="47">
        <v>0.20300000000000001</v>
      </c>
      <c r="H20" s="47">
        <v>0.28339999999999999</v>
      </c>
      <c r="I20" s="46">
        <v>6.62</v>
      </c>
      <c r="J20" s="50">
        <v>5.92</v>
      </c>
      <c r="K20" s="111">
        <f t="shared" si="1"/>
        <v>19.889202540578687</v>
      </c>
      <c r="L20" s="47">
        <v>0.82299999999999995</v>
      </c>
      <c r="M20" s="64">
        <v>1</v>
      </c>
      <c r="N20" s="64">
        <v>1</v>
      </c>
      <c r="O20" s="50">
        <v>0</v>
      </c>
      <c r="P20" s="50">
        <v>0</v>
      </c>
      <c r="Q20" s="50" t="s">
        <v>175</v>
      </c>
    </row>
    <row r="21" spans="1:17" ht="65.5">
      <c r="A21" s="79">
        <v>46130</v>
      </c>
      <c r="B21" s="46">
        <v>110867</v>
      </c>
      <c r="C21" s="46">
        <v>104261</v>
      </c>
      <c r="D21" s="50">
        <v>93669.399539999999</v>
      </c>
      <c r="E21" s="50">
        <v>93870</v>
      </c>
      <c r="F21" s="110">
        <f t="shared" si="0"/>
        <v>-9.9663344874881307E-2</v>
      </c>
      <c r="G21" s="47">
        <v>0.18149999999999999</v>
      </c>
      <c r="H21" s="47">
        <v>0.25340000000000001</v>
      </c>
      <c r="I21" s="46">
        <v>6.62</v>
      </c>
      <c r="J21" s="50">
        <v>5.81</v>
      </c>
      <c r="K21" s="111">
        <f t="shared" si="1"/>
        <v>21.928176795580107</v>
      </c>
      <c r="L21" s="47">
        <v>0.75</v>
      </c>
      <c r="M21" s="64">
        <v>1</v>
      </c>
      <c r="N21" s="64">
        <v>0.93</v>
      </c>
      <c r="O21" s="50">
        <v>5031</v>
      </c>
      <c r="P21" s="50">
        <v>0</v>
      </c>
      <c r="Q21" s="83" t="s">
        <v>417</v>
      </c>
    </row>
    <row r="22" spans="1:17">
      <c r="A22" s="79">
        <v>46131</v>
      </c>
      <c r="B22" s="46">
        <v>110867</v>
      </c>
      <c r="C22" s="46">
        <v>104261</v>
      </c>
      <c r="D22" s="50">
        <v>93402.600219999993</v>
      </c>
      <c r="E22" s="50">
        <v>93870</v>
      </c>
      <c r="F22" s="110">
        <f t="shared" si="0"/>
        <v>-9.9663344874881307E-2</v>
      </c>
      <c r="G22" s="47">
        <v>0.18099999999999999</v>
      </c>
      <c r="H22" s="47">
        <v>0.25269999999999998</v>
      </c>
      <c r="I22" s="46">
        <v>6.62</v>
      </c>
      <c r="J22" s="50">
        <v>5.71</v>
      </c>
      <c r="K22" s="111">
        <f t="shared" si="1"/>
        <v>21.595963593193513</v>
      </c>
      <c r="L22" s="47">
        <v>0.76100000000000001</v>
      </c>
      <c r="M22" s="64">
        <v>1</v>
      </c>
      <c r="N22" s="64">
        <v>0.96</v>
      </c>
      <c r="O22" s="50">
        <v>6513</v>
      </c>
      <c r="P22" s="50">
        <v>0</v>
      </c>
      <c r="Q22" s="50" t="s">
        <v>418</v>
      </c>
    </row>
    <row r="23" spans="1:17">
      <c r="A23" s="79">
        <v>46132</v>
      </c>
      <c r="B23" s="46">
        <v>110867</v>
      </c>
      <c r="C23" s="46">
        <v>104261</v>
      </c>
      <c r="D23" s="50">
        <v>120439.49950000001</v>
      </c>
      <c r="E23" s="50">
        <v>120330</v>
      </c>
      <c r="F23" s="110">
        <f t="shared" si="0"/>
        <v>0.15412282636844074</v>
      </c>
      <c r="G23" s="47">
        <v>0.2334</v>
      </c>
      <c r="H23" s="47">
        <v>0.32590000000000002</v>
      </c>
      <c r="I23" s="46">
        <v>6.62</v>
      </c>
      <c r="J23" s="50">
        <v>6.88</v>
      </c>
      <c r="K23" s="111">
        <f t="shared" si="1"/>
        <v>20.110770174900274</v>
      </c>
      <c r="L23" s="47">
        <v>0.81399999999999995</v>
      </c>
      <c r="M23" s="64">
        <v>1</v>
      </c>
      <c r="N23" s="64">
        <v>1</v>
      </c>
      <c r="O23" s="50">
        <v>0</v>
      </c>
      <c r="P23" s="50">
        <v>0</v>
      </c>
      <c r="Q23" s="50" t="s">
        <v>175</v>
      </c>
    </row>
    <row r="24" spans="1:17">
      <c r="A24" s="79">
        <v>46133</v>
      </c>
      <c r="B24" s="46">
        <v>110867</v>
      </c>
      <c r="C24" s="46">
        <v>104261</v>
      </c>
      <c r="D24" s="50">
        <v>109262</v>
      </c>
      <c r="E24" s="50">
        <v>108990</v>
      </c>
      <c r="F24" s="110">
        <f t="shared" si="0"/>
        <v>4.5357324407017008E-2</v>
      </c>
      <c r="G24" s="47">
        <v>0.2117</v>
      </c>
      <c r="H24" s="47">
        <v>0.29559999999999997</v>
      </c>
      <c r="I24" s="46">
        <v>6.62</v>
      </c>
      <c r="J24" s="50">
        <v>6.15</v>
      </c>
      <c r="K24" s="111">
        <f t="shared" si="1"/>
        <v>19.805142083897159</v>
      </c>
      <c r="L24" s="47">
        <v>0.82599999999999996</v>
      </c>
      <c r="M24" s="64">
        <v>1</v>
      </c>
      <c r="N24" s="64">
        <v>1</v>
      </c>
      <c r="O24" s="50">
        <v>0</v>
      </c>
      <c r="P24" s="50">
        <v>0</v>
      </c>
      <c r="Q24" s="50" t="s">
        <v>175</v>
      </c>
    </row>
    <row r="25" spans="1:17">
      <c r="A25" s="79">
        <v>46134</v>
      </c>
      <c r="B25" s="46"/>
      <c r="C25" s="46"/>
      <c r="D25" s="50" t="s">
        <v>175</v>
      </c>
      <c r="E25" s="50" t="s">
        <v>175</v>
      </c>
      <c r="F25" s="110" t="e">
        <f t="shared" si="0"/>
        <v>#VALUE!</v>
      </c>
      <c r="G25" s="47">
        <v>0</v>
      </c>
      <c r="H25" s="47">
        <v>0</v>
      </c>
      <c r="I25" s="46">
        <v>6.62</v>
      </c>
      <c r="J25" s="50" t="s">
        <v>175</v>
      </c>
      <c r="K25" s="111" t="e">
        <f t="shared" si="1"/>
        <v>#VALUE!</v>
      </c>
      <c r="L25" s="46" t="e">
        <v>#DIV/0!</v>
      </c>
      <c r="M25" s="50" t="s">
        <v>175</v>
      </c>
      <c r="N25" s="50" t="s">
        <v>175</v>
      </c>
      <c r="O25" s="50" t="s">
        <v>175</v>
      </c>
      <c r="P25" s="50" t="s">
        <v>175</v>
      </c>
      <c r="Q25" s="50" t="s">
        <v>175</v>
      </c>
    </row>
    <row r="26" spans="1:17">
      <c r="A26" s="79">
        <v>46135</v>
      </c>
      <c r="B26" s="46"/>
      <c r="C26" s="46"/>
      <c r="D26" s="50" t="s">
        <v>175</v>
      </c>
      <c r="E26" s="50" t="s">
        <v>175</v>
      </c>
      <c r="F26" s="110" t="e">
        <f t="shared" si="0"/>
        <v>#VALUE!</v>
      </c>
      <c r="G26" s="47">
        <v>0</v>
      </c>
      <c r="H26" s="47">
        <v>0</v>
      </c>
      <c r="I26" s="46">
        <v>6.62</v>
      </c>
      <c r="J26" s="50" t="s">
        <v>175</v>
      </c>
      <c r="K26" s="111" t="e">
        <f t="shared" si="1"/>
        <v>#VALUE!</v>
      </c>
      <c r="L26" s="46" t="e">
        <v>#DIV/0!</v>
      </c>
      <c r="M26" s="50" t="s">
        <v>175</v>
      </c>
      <c r="N26" s="50" t="s">
        <v>175</v>
      </c>
      <c r="O26" s="50" t="s">
        <v>175</v>
      </c>
      <c r="P26" s="50" t="s">
        <v>175</v>
      </c>
      <c r="Q26" s="50" t="s">
        <v>175</v>
      </c>
    </row>
    <row r="27" spans="1:17">
      <c r="A27" s="79">
        <v>46136</v>
      </c>
      <c r="B27" s="46"/>
      <c r="C27" s="46"/>
      <c r="D27" s="50" t="s">
        <v>175</v>
      </c>
      <c r="E27" s="50" t="s">
        <v>175</v>
      </c>
      <c r="F27" s="110" t="e">
        <f t="shared" si="0"/>
        <v>#VALUE!</v>
      </c>
      <c r="G27" s="47">
        <v>0</v>
      </c>
      <c r="H27" s="47">
        <v>0</v>
      </c>
      <c r="I27" s="46">
        <v>6.62</v>
      </c>
      <c r="J27" s="50" t="s">
        <v>175</v>
      </c>
      <c r="K27" s="111" t="e">
        <f t="shared" si="1"/>
        <v>#VALUE!</v>
      </c>
      <c r="L27" s="46" t="e">
        <v>#DIV/0!</v>
      </c>
      <c r="M27" s="50" t="s">
        <v>175</v>
      </c>
      <c r="N27" s="50" t="s">
        <v>175</v>
      </c>
      <c r="O27" s="50" t="s">
        <v>175</v>
      </c>
      <c r="P27" s="50" t="s">
        <v>175</v>
      </c>
      <c r="Q27" s="50" t="s">
        <v>175</v>
      </c>
    </row>
    <row r="28" spans="1:17">
      <c r="A28" s="79">
        <v>46137</v>
      </c>
      <c r="B28" s="46"/>
      <c r="C28" s="46"/>
      <c r="D28" s="50" t="s">
        <v>175</v>
      </c>
      <c r="E28" s="50" t="s">
        <v>175</v>
      </c>
      <c r="F28" s="110" t="e">
        <f t="shared" si="0"/>
        <v>#VALUE!</v>
      </c>
      <c r="G28" s="47">
        <v>0</v>
      </c>
      <c r="H28" s="47">
        <v>0</v>
      </c>
      <c r="I28" s="46">
        <v>6.62</v>
      </c>
      <c r="J28" s="50" t="s">
        <v>175</v>
      </c>
      <c r="K28" s="111" t="e">
        <f t="shared" si="1"/>
        <v>#VALUE!</v>
      </c>
      <c r="L28" s="46" t="e">
        <v>#DIV/0!</v>
      </c>
      <c r="M28" s="50" t="s">
        <v>175</v>
      </c>
      <c r="N28" s="50" t="s">
        <v>175</v>
      </c>
      <c r="O28" s="50" t="s">
        <v>175</v>
      </c>
      <c r="P28" s="50" t="s">
        <v>175</v>
      </c>
      <c r="Q28" s="50" t="s">
        <v>175</v>
      </c>
    </row>
    <row r="29" spans="1:17">
      <c r="A29" s="79">
        <v>46138</v>
      </c>
      <c r="B29" s="46"/>
      <c r="C29" s="46"/>
      <c r="D29" s="50" t="s">
        <v>175</v>
      </c>
      <c r="E29" s="50" t="s">
        <v>175</v>
      </c>
      <c r="F29" s="110" t="e">
        <f t="shared" si="0"/>
        <v>#VALUE!</v>
      </c>
      <c r="G29" s="47">
        <v>0</v>
      </c>
      <c r="H29" s="47">
        <v>0</v>
      </c>
      <c r="I29" s="46">
        <v>6.62</v>
      </c>
      <c r="J29" s="50" t="s">
        <v>175</v>
      </c>
      <c r="K29" s="111" t="e">
        <f t="shared" si="1"/>
        <v>#VALUE!</v>
      </c>
      <c r="L29" s="46" t="e">
        <v>#DIV/0!</v>
      </c>
      <c r="M29" s="50" t="s">
        <v>175</v>
      </c>
      <c r="N29" s="50" t="s">
        <v>175</v>
      </c>
      <c r="O29" s="50" t="s">
        <v>175</v>
      </c>
      <c r="P29" s="50" t="s">
        <v>175</v>
      </c>
      <c r="Q29" s="50" t="s">
        <v>175</v>
      </c>
    </row>
    <row r="30" spans="1:17">
      <c r="A30" s="79">
        <v>46139</v>
      </c>
      <c r="B30" s="46"/>
      <c r="C30" s="46"/>
      <c r="D30" s="50" t="s">
        <v>175</v>
      </c>
      <c r="E30" s="50" t="s">
        <v>175</v>
      </c>
      <c r="F30" s="110" t="e">
        <f t="shared" si="0"/>
        <v>#VALUE!</v>
      </c>
      <c r="G30" s="47">
        <v>0</v>
      </c>
      <c r="H30" s="47">
        <v>0</v>
      </c>
      <c r="I30" s="46">
        <v>6.62</v>
      </c>
      <c r="J30" s="50" t="s">
        <v>175</v>
      </c>
      <c r="K30" s="111" t="e">
        <f t="shared" si="1"/>
        <v>#VALUE!</v>
      </c>
      <c r="L30" s="46" t="e">
        <v>#DIV/0!</v>
      </c>
      <c r="M30" s="50" t="s">
        <v>175</v>
      </c>
      <c r="N30" s="50" t="s">
        <v>175</v>
      </c>
      <c r="O30" s="50" t="s">
        <v>175</v>
      </c>
      <c r="P30" s="50" t="s">
        <v>175</v>
      </c>
      <c r="Q30" s="50" t="s">
        <v>175</v>
      </c>
    </row>
    <row r="31" spans="1:17">
      <c r="A31" s="79">
        <v>46140</v>
      </c>
      <c r="B31" s="46"/>
      <c r="C31" s="46"/>
      <c r="D31" s="50" t="s">
        <v>175</v>
      </c>
      <c r="E31" s="50" t="s">
        <v>175</v>
      </c>
      <c r="F31" s="110" t="e">
        <f t="shared" si="0"/>
        <v>#VALUE!</v>
      </c>
      <c r="G31" s="47">
        <v>0</v>
      </c>
      <c r="H31" s="47">
        <v>0</v>
      </c>
      <c r="I31" s="46">
        <v>6.62</v>
      </c>
      <c r="J31" s="50" t="s">
        <v>175</v>
      </c>
      <c r="K31" s="111" t="e">
        <f t="shared" si="1"/>
        <v>#VALUE!</v>
      </c>
      <c r="L31" s="46" t="e">
        <v>#DIV/0!</v>
      </c>
      <c r="M31" s="50" t="s">
        <v>175</v>
      </c>
      <c r="N31" s="50" t="s">
        <v>175</v>
      </c>
      <c r="O31" s="50" t="s">
        <v>175</v>
      </c>
      <c r="P31" s="50" t="s">
        <v>175</v>
      </c>
      <c r="Q31" s="50" t="s">
        <v>175</v>
      </c>
    </row>
    <row r="32" spans="1:17">
      <c r="A32" s="79">
        <v>46141</v>
      </c>
      <c r="B32" s="46"/>
      <c r="C32" s="46"/>
      <c r="D32" s="50" t="s">
        <v>175</v>
      </c>
      <c r="E32" s="50" t="s">
        <v>175</v>
      </c>
      <c r="F32" s="110" t="e">
        <f t="shared" si="0"/>
        <v>#VALUE!</v>
      </c>
      <c r="G32" s="47">
        <v>0</v>
      </c>
      <c r="H32" s="47">
        <v>0</v>
      </c>
      <c r="I32" s="46">
        <v>6.62</v>
      </c>
      <c r="J32" s="50" t="s">
        <v>175</v>
      </c>
      <c r="K32" s="111" t="e">
        <f t="shared" si="1"/>
        <v>#VALUE!</v>
      </c>
      <c r="L32" s="46" t="e">
        <v>#DIV/0!</v>
      </c>
      <c r="M32" s="50" t="s">
        <v>175</v>
      </c>
      <c r="N32" s="50" t="s">
        <v>175</v>
      </c>
      <c r="O32" s="50" t="s">
        <v>175</v>
      </c>
      <c r="P32" s="50" t="s">
        <v>175</v>
      </c>
      <c r="Q32" s="50" t="s">
        <v>175</v>
      </c>
    </row>
    <row r="33" spans="1:17">
      <c r="A33" s="79">
        <v>46142</v>
      </c>
      <c r="B33" s="46"/>
      <c r="C33" s="46"/>
      <c r="D33" s="50" t="s">
        <v>175</v>
      </c>
      <c r="E33" s="50" t="s">
        <v>175</v>
      </c>
      <c r="F33" s="110" t="e">
        <f t="shared" si="0"/>
        <v>#VALUE!</v>
      </c>
      <c r="G33" s="47">
        <v>0</v>
      </c>
      <c r="H33" s="47">
        <v>0</v>
      </c>
      <c r="I33" s="46">
        <v>6.62</v>
      </c>
      <c r="J33" s="50" t="s">
        <v>175</v>
      </c>
      <c r="K33" s="111" t="e">
        <f t="shared" si="1"/>
        <v>#VALUE!</v>
      </c>
      <c r="L33" s="46" t="e">
        <v>#DIV/0!</v>
      </c>
      <c r="M33" s="50" t="s">
        <v>175</v>
      </c>
      <c r="N33" s="50" t="s">
        <v>175</v>
      </c>
      <c r="O33" s="50" t="s">
        <v>175</v>
      </c>
      <c r="P33" s="50" t="s">
        <v>175</v>
      </c>
      <c r="Q33" s="50" t="s">
        <v>175</v>
      </c>
    </row>
    <row r="34" spans="1:17">
      <c r="A34" s="349">
        <v>46113</v>
      </c>
      <c r="B34" s="89">
        <f>SUM(B4:B33)</f>
        <v>2328207</v>
      </c>
      <c r="C34" s="89">
        <f>SUM(C4:C33)</f>
        <v>2189481</v>
      </c>
      <c r="D34" s="89">
        <f>SUM(D4:D33)</f>
        <v>2410514.9995599999</v>
      </c>
      <c r="E34" s="89">
        <f>SUM(E4:E33)</f>
        <v>2409540</v>
      </c>
      <c r="F34" s="92">
        <f t="shared" si="0"/>
        <v>0.10050738051620453</v>
      </c>
      <c r="G34" s="90">
        <f>AVERAGE(G4:G33)</f>
        <v>0.15572</v>
      </c>
      <c r="H34" s="90">
        <f>AVERAGE(H4:H33)</f>
        <v>0.21740000000000001</v>
      </c>
      <c r="I34" s="89">
        <f>SUM(I4:I33)</f>
        <v>198.60000000000008</v>
      </c>
      <c r="J34" s="89">
        <f>SUM(J4:J33)</f>
        <v>142</v>
      </c>
      <c r="K34" s="92">
        <f t="shared" ref="K34" si="2">(IF(ISBLANK(J34),0,J34-I34))/I34</f>
        <v>-0.28499496475327318</v>
      </c>
      <c r="L34" s="93">
        <f t="shared" ref="L34:L66" si="3">D34/($D$2*J34)</f>
        <v>0.78955617411071077</v>
      </c>
      <c r="M34" s="90">
        <f>AVERAGE(M4:M33)</f>
        <v>0.99809523809523815</v>
      </c>
      <c r="N34" s="90">
        <f>AVERAGE(N4:N33)</f>
        <v>0.99428571428571444</v>
      </c>
      <c r="O34" s="89">
        <f>SUM(O4:O33)</f>
        <v>14060</v>
      </c>
      <c r="P34" s="89">
        <f>SUM(P4:P33)</f>
        <v>4218</v>
      </c>
      <c r="Q34" s="84" t="s">
        <v>175</v>
      </c>
    </row>
    <row r="35" spans="1:17">
      <c r="A35" s="13">
        <v>46143</v>
      </c>
      <c r="B35" s="127"/>
      <c r="C35" s="127"/>
      <c r="D35" s="33"/>
      <c r="E35" s="33"/>
      <c r="F35" s="20" t="e">
        <f t="shared" si="0"/>
        <v>#DIV/0!</v>
      </c>
      <c r="G35" s="2">
        <f t="shared" ref="G35:G57" si="4">D35/($D$2*24)</f>
        <v>0</v>
      </c>
      <c r="H35" s="2">
        <f t="shared" ref="H35:H61" si="5">D35/($H$2*24)</f>
        <v>0</v>
      </c>
      <c r="I35" s="28"/>
      <c r="J35" s="33"/>
      <c r="K35" s="20" t="e">
        <f>(IF(ISBLANK(J35),0,J35-I35))/I35</f>
        <v>#DIV/0!</v>
      </c>
      <c r="L35" s="4" t="e">
        <f t="shared" si="3"/>
        <v>#DIV/0!</v>
      </c>
      <c r="M35" s="103"/>
      <c r="N35" s="103"/>
      <c r="O35" s="33"/>
      <c r="P35" s="6"/>
      <c r="Q35" s="6"/>
    </row>
    <row r="36" spans="1:17">
      <c r="A36" s="13">
        <f>A35+1</f>
        <v>46144</v>
      </c>
      <c r="B36" s="127"/>
      <c r="C36" s="127"/>
      <c r="D36" s="34"/>
      <c r="E36" s="34"/>
      <c r="F36" s="20" t="e">
        <f t="shared" ref="F36:F54" si="6">(IF(ISBLANK(E36),0,E36-C36))/C36</f>
        <v>#DIV/0!</v>
      </c>
      <c r="G36" s="2">
        <f t="shared" si="4"/>
        <v>0</v>
      </c>
      <c r="H36" s="2">
        <f t="shared" si="5"/>
        <v>0</v>
      </c>
      <c r="I36" s="29"/>
      <c r="J36" s="34"/>
      <c r="K36" s="20" t="e">
        <f t="shared" ref="K36:K54" si="7">(IF(ISBLANK(J36),0,J36-I36))/I36</f>
        <v>#DIV/0!</v>
      </c>
      <c r="L36" s="4" t="e">
        <f t="shared" si="3"/>
        <v>#DIV/0!</v>
      </c>
      <c r="M36" s="103"/>
      <c r="N36" s="103"/>
      <c r="O36" s="34"/>
      <c r="P36" s="6"/>
      <c r="Q36" s="6"/>
    </row>
    <row r="37" spans="1:17">
      <c r="A37" s="13">
        <f t="shared" ref="A37:A65" si="8">A36+1</f>
        <v>46145</v>
      </c>
      <c r="B37" s="127"/>
      <c r="C37" s="127"/>
      <c r="D37" s="34"/>
      <c r="E37" s="34"/>
      <c r="F37" s="20" t="e">
        <f t="shared" si="6"/>
        <v>#DIV/0!</v>
      </c>
      <c r="G37" s="2">
        <f t="shared" si="4"/>
        <v>0</v>
      </c>
      <c r="H37" s="2">
        <f t="shared" si="5"/>
        <v>0</v>
      </c>
      <c r="I37" s="29"/>
      <c r="J37" s="34"/>
      <c r="K37" s="20" t="e">
        <f t="shared" si="7"/>
        <v>#DIV/0!</v>
      </c>
      <c r="L37" s="4" t="e">
        <f t="shared" si="3"/>
        <v>#DIV/0!</v>
      </c>
      <c r="M37" s="103"/>
      <c r="N37" s="104"/>
      <c r="O37" s="34"/>
      <c r="P37" s="6"/>
      <c r="Q37" s="6"/>
    </row>
    <row r="38" spans="1:17">
      <c r="A38" s="13">
        <f t="shared" si="8"/>
        <v>46146</v>
      </c>
      <c r="B38" s="127"/>
      <c r="C38" s="127"/>
      <c r="D38" s="34"/>
      <c r="E38" s="34"/>
      <c r="F38" s="20" t="e">
        <f t="shared" si="6"/>
        <v>#DIV/0!</v>
      </c>
      <c r="G38" s="2">
        <f t="shared" si="4"/>
        <v>0</v>
      </c>
      <c r="H38" s="2">
        <f t="shared" si="5"/>
        <v>0</v>
      </c>
      <c r="I38" s="29"/>
      <c r="J38" s="34"/>
      <c r="K38" s="20" t="e">
        <f t="shared" si="7"/>
        <v>#DIV/0!</v>
      </c>
      <c r="L38" s="4" t="e">
        <f t="shared" si="3"/>
        <v>#DIV/0!</v>
      </c>
      <c r="M38" s="103"/>
      <c r="N38" s="103"/>
      <c r="O38" s="34"/>
      <c r="P38" s="6"/>
      <c r="Q38" s="14"/>
    </row>
    <row r="39" spans="1:17">
      <c r="A39" s="13">
        <f t="shared" si="8"/>
        <v>46147</v>
      </c>
      <c r="B39" s="127"/>
      <c r="C39" s="127"/>
      <c r="D39" s="34"/>
      <c r="E39" s="34"/>
      <c r="F39" s="20" t="e">
        <f t="shared" si="6"/>
        <v>#DIV/0!</v>
      </c>
      <c r="G39" s="2">
        <f t="shared" si="4"/>
        <v>0</v>
      </c>
      <c r="H39" s="2">
        <f t="shared" si="5"/>
        <v>0</v>
      </c>
      <c r="I39" s="29"/>
      <c r="J39" s="34"/>
      <c r="K39" s="20" t="e">
        <f t="shared" si="7"/>
        <v>#DIV/0!</v>
      </c>
      <c r="L39" s="4" t="e">
        <f t="shared" si="3"/>
        <v>#DIV/0!</v>
      </c>
      <c r="M39" s="103"/>
      <c r="N39" s="103"/>
      <c r="O39" s="34"/>
      <c r="P39" s="6"/>
      <c r="Q39" s="14"/>
    </row>
    <row r="40" spans="1:17">
      <c r="A40" s="13">
        <f t="shared" si="8"/>
        <v>46148</v>
      </c>
      <c r="B40" s="127"/>
      <c r="C40" s="127"/>
      <c r="D40" s="34"/>
      <c r="E40" s="34"/>
      <c r="F40" s="20" t="e">
        <f t="shared" si="6"/>
        <v>#DIV/0!</v>
      </c>
      <c r="G40" s="2">
        <f t="shared" si="4"/>
        <v>0</v>
      </c>
      <c r="H40" s="2">
        <f t="shared" si="5"/>
        <v>0</v>
      </c>
      <c r="I40" s="29"/>
      <c r="J40" s="34"/>
      <c r="K40" s="20" t="e">
        <f t="shared" si="7"/>
        <v>#DIV/0!</v>
      </c>
      <c r="L40" s="4" t="e">
        <f t="shared" si="3"/>
        <v>#DIV/0!</v>
      </c>
      <c r="M40" s="103"/>
      <c r="N40" s="103"/>
      <c r="O40" s="34"/>
      <c r="P40" s="6"/>
      <c r="Q40" s="14"/>
    </row>
    <row r="41" spans="1:17">
      <c r="A41" s="13">
        <f t="shared" si="8"/>
        <v>46149</v>
      </c>
      <c r="B41" s="127"/>
      <c r="C41" s="127"/>
      <c r="D41" s="34"/>
      <c r="E41" s="34"/>
      <c r="F41" s="20" t="e">
        <f t="shared" si="6"/>
        <v>#DIV/0!</v>
      </c>
      <c r="G41" s="2">
        <f t="shared" si="4"/>
        <v>0</v>
      </c>
      <c r="H41" s="2">
        <f t="shared" si="5"/>
        <v>0</v>
      </c>
      <c r="I41" s="29"/>
      <c r="J41" s="34"/>
      <c r="K41" s="20" t="e">
        <f t="shared" si="7"/>
        <v>#DIV/0!</v>
      </c>
      <c r="L41" s="4" t="e">
        <f t="shared" si="3"/>
        <v>#DIV/0!</v>
      </c>
      <c r="M41" s="103"/>
      <c r="N41" s="103"/>
      <c r="O41" s="34"/>
      <c r="P41" s="6"/>
      <c r="Q41" s="202"/>
    </row>
    <row r="42" spans="1:17">
      <c r="A42" s="13">
        <f t="shared" si="8"/>
        <v>46150</v>
      </c>
      <c r="B42" s="127"/>
      <c r="C42" s="127"/>
      <c r="D42" s="34"/>
      <c r="E42" s="34"/>
      <c r="F42" s="20" t="e">
        <f t="shared" si="6"/>
        <v>#DIV/0!</v>
      </c>
      <c r="G42" s="2">
        <f t="shared" si="4"/>
        <v>0</v>
      </c>
      <c r="H42" s="2">
        <f t="shared" si="5"/>
        <v>0</v>
      </c>
      <c r="I42" s="29"/>
      <c r="J42" s="34"/>
      <c r="K42" s="20" t="e">
        <f t="shared" si="7"/>
        <v>#DIV/0!</v>
      </c>
      <c r="L42" s="4" t="e">
        <f t="shared" si="3"/>
        <v>#DIV/0!</v>
      </c>
      <c r="M42" s="103"/>
      <c r="N42" s="103"/>
      <c r="O42" s="34"/>
      <c r="P42" s="6"/>
      <c r="Q42" s="14"/>
    </row>
    <row r="43" spans="1:17">
      <c r="A43" s="13">
        <f t="shared" si="8"/>
        <v>46151</v>
      </c>
      <c r="B43" s="127"/>
      <c r="C43" s="127"/>
      <c r="D43" s="34"/>
      <c r="E43" s="34"/>
      <c r="F43" s="20" t="e">
        <f t="shared" si="6"/>
        <v>#DIV/0!</v>
      </c>
      <c r="G43" s="2">
        <f t="shared" si="4"/>
        <v>0</v>
      </c>
      <c r="H43" s="2">
        <f t="shared" si="5"/>
        <v>0</v>
      </c>
      <c r="I43" s="29"/>
      <c r="J43" s="34"/>
      <c r="K43" s="20" t="e">
        <f t="shared" si="7"/>
        <v>#DIV/0!</v>
      </c>
      <c r="L43" s="4" t="e">
        <f t="shared" si="3"/>
        <v>#DIV/0!</v>
      </c>
      <c r="M43" s="103"/>
      <c r="N43" s="103"/>
      <c r="O43" s="34"/>
      <c r="P43" s="6"/>
      <c r="Q43" s="6"/>
    </row>
    <row r="44" spans="1:17">
      <c r="A44" s="13">
        <f t="shared" si="8"/>
        <v>46152</v>
      </c>
      <c r="B44" s="127"/>
      <c r="C44" s="127"/>
      <c r="D44" s="34"/>
      <c r="E44" s="34"/>
      <c r="F44" s="20" t="e">
        <f t="shared" si="6"/>
        <v>#DIV/0!</v>
      </c>
      <c r="G44" s="2">
        <f t="shared" si="4"/>
        <v>0</v>
      </c>
      <c r="H44" s="2">
        <f t="shared" si="5"/>
        <v>0</v>
      </c>
      <c r="I44" s="29"/>
      <c r="J44" s="34"/>
      <c r="K44" s="20" t="e">
        <f t="shared" si="7"/>
        <v>#DIV/0!</v>
      </c>
      <c r="L44" s="4" t="e">
        <f t="shared" si="3"/>
        <v>#DIV/0!</v>
      </c>
      <c r="M44" s="103"/>
      <c r="N44" s="103"/>
      <c r="O44" s="34"/>
      <c r="P44" s="6"/>
      <c r="Q44" s="16"/>
    </row>
    <row r="45" spans="1:17">
      <c r="A45" s="13">
        <f t="shared" si="8"/>
        <v>46153</v>
      </c>
      <c r="B45" s="127"/>
      <c r="C45" s="127"/>
      <c r="D45" s="34"/>
      <c r="E45" s="34"/>
      <c r="F45" s="20" t="e">
        <f t="shared" si="6"/>
        <v>#DIV/0!</v>
      </c>
      <c r="G45" s="2">
        <f t="shared" si="4"/>
        <v>0</v>
      </c>
      <c r="H45" s="2">
        <f t="shared" si="5"/>
        <v>0</v>
      </c>
      <c r="I45" s="29"/>
      <c r="J45" s="34"/>
      <c r="K45" s="20" t="e">
        <f t="shared" si="7"/>
        <v>#DIV/0!</v>
      </c>
      <c r="L45" s="4" t="e">
        <f t="shared" si="3"/>
        <v>#DIV/0!</v>
      </c>
      <c r="M45" s="103"/>
      <c r="N45" s="103"/>
      <c r="O45" s="34"/>
      <c r="P45" s="6"/>
      <c r="Q45" s="6"/>
    </row>
    <row r="46" spans="1:17">
      <c r="A46" s="13">
        <f t="shared" si="8"/>
        <v>46154</v>
      </c>
      <c r="B46" s="127"/>
      <c r="C46" s="127"/>
      <c r="D46" s="34"/>
      <c r="E46" s="34"/>
      <c r="F46" s="20" t="e">
        <f t="shared" si="6"/>
        <v>#DIV/0!</v>
      </c>
      <c r="G46" s="2">
        <f t="shared" si="4"/>
        <v>0</v>
      </c>
      <c r="H46" s="2">
        <f t="shared" si="5"/>
        <v>0</v>
      </c>
      <c r="I46" s="29"/>
      <c r="J46" s="34"/>
      <c r="K46" s="20" t="e">
        <f t="shared" si="7"/>
        <v>#DIV/0!</v>
      </c>
      <c r="L46" s="4" t="e">
        <f t="shared" si="3"/>
        <v>#DIV/0!</v>
      </c>
      <c r="M46" s="104"/>
      <c r="N46" s="103"/>
      <c r="O46" s="34"/>
      <c r="P46" s="6"/>
      <c r="Q46" s="6"/>
    </row>
    <row r="47" spans="1:17">
      <c r="A47" s="13">
        <f t="shared" si="8"/>
        <v>46155</v>
      </c>
      <c r="B47" s="127"/>
      <c r="C47" s="127"/>
      <c r="D47" s="34"/>
      <c r="E47" s="34"/>
      <c r="F47" s="20" t="e">
        <f t="shared" si="6"/>
        <v>#DIV/0!</v>
      </c>
      <c r="G47" s="2">
        <f t="shared" si="4"/>
        <v>0</v>
      </c>
      <c r="H47" s="2">
        <f t="shared" si="5"/>
        <v>0</v>
      </c>
      <c r="I47" s="29"/>
      <c r="J47" s="34"/>
      <c r="K47" s="20" t="e">
        <f t="shared" si="7"/>
        <v>#DIV/0!</v>
      </c>
      <c r="L47" s="4" t="e">
        <f t="shared" si="3"/>
        <v>#DIV/0!</v>
      </c>
      <c r="M47" s="104"/>
      <c r="N47" s="103"/>
      <c r="O47" s="34"/>
      <c r="P47" s="6"/>
      <c r="Q47" s="31"/>
    </row>
    <row r="48" spans="1:17">
      <c r="A48" s="13">
        <f t="shared" si="8"/>
        <v>46156</v>
      </c>
      <c r="B48" s="127"/>
      <c r="C48" s="127"/>
      <c r="D48" s="34"/>
      <c r="E48" s="34"/>
      <c r="F48" s="20" t="e">
        <f t="shared" si="6"/>
        <v>#DIV/0!</v>
      </c>
      <c r="G48" s="2">
        <f t="shared" si="4"/>
        <v>0</v>
      </c>
      <c r="H48" s="2">
        <f t="shared" si="5"/>
        <v>0</v>
      </c>
      <c r="I48" s="29"/>
      <c r="J48" s="34"/>
      <c r="K48" s="20" t="e">
        <f t="shared" si="7"/>
        <v>#DIV/0!</v>
      </c>
      <c r="L48" s="4" t="e">
        <f t="shared" si="3"/>
        <v>#DIV/0!</v>
      </c>
      <c r="M48" s="104"/>
      <c r="N48" s="103"/>
      <c r="O48" s="34"/>
      <c r="P48" s="6"/>
      <c r="Q48" s="32"/>
    </row>
    <row r="49" spans="1:17">
      <c r="A49" s="13">
        <f t="shared" si="8"/>
        <v>46157</v>
      </c>
      <c r="B49" s="127"/>
      <c r="C49" s="127"/>
      <c r="D49" s="34"/>
      <c r="E49" s="34"/>
      <c r="F49" s="20" t="e">
        <f t="shared" si="6"/>
        <v>#DIV/0!</v>
      </c>
      <c r="G49" s="2">
        <f t="shared" si="4"/>
        <v>0</v>
      </c>
      <c r="H49" s="2">
        <f t="shared" si="5"/>
        <v>0</v>
      </c>
      <c r="I49" s="29"/>
      <c r="J49" s="34"/>
      <c r="K49" s="20" t="e">
        <f t="shared" si="7"/>
        <v>#DIV/0!</v>
      </c>
      <c r="L49" s="4" t="e">
        <f t="shared" si="3"/>
        <v>#DIV/0!</v>
      </c>
      <c r="M49" s="104"/>
      <c r="N49" s="103"/>
      <c r="O49" s="34"/>
      <c r="P49" s="6"/>
      <c r="Q49" s="32"/>
    </row>
    <row r="50" spans="1:17">
      <c r="A50" s="13">
        <f t="shared" si="8"/>
        <v>46158</v>
      </c>
      <c r="B50" s="127"/>
      <c r="C50" s="127"/>
      <c r="D50" s="34"/>
      <c r="E50" s="34"/>
      <c r="F50" s="20" t="e">
        <f t="shared" si="6"/>
        <v>#DIV/0!</v>
      </c>
      <c r="G50" s="2">
        <f t="shared" si="4"/>
        <v>0</v>
      </c>
      <c r="H50" s="2">
        <f t="shared" si="5"/>
        <v>0</v>
      </c>
      <c r="I50" s="29"/>
      <c r="J50" s="34"/>
      <c r="K50" s="20" t="e">
        <f t="shared" si="7"/>
        <v>#DIV/0!</v>
      </c>
      <c r="L50" s="4" t="e">
        <f t="shared" si="3"/>
        <v>#DIV/0!</v>
      </c>
      <c r="M50" s="104"/>
      <c r="N50" s="103"/>
      <c r="O50" s="34"/>
      <c r="P50" s="6"/>
      <c r="Q50" s="32"/>
    </row>
    <row r="51" spans="1:17">
      <c r="A51" s="13">
        <f t="shared" si="8"/>
        <v>46159</v>
      </c>
      <c r="B51" s="127"/>
      <c r="C51" s="127"/>
      <c r="D51" s="34"/>
      <c r="E51" s="34"/>
      <c r="F51" s="20" t="e">
        <f t="shared" si="6"/>
        <v>#DIV/0!</v>
      </c>
      <c r="G51" s="2">
        <f t="shared" si="4"/>
        <v>0</v>
      </c>
      <c r="H51" s="2">
        <f t="shared" si="5"/>
        <v>0</v>
      </c>
      <c r="I51" s="29"/>
      <c r="J51" s="34"/>
      <c r="K51" s="20" t="e">
        <f t="shared" si="7"/>
        <v>#DIV/0!</v>
      </c>
      <c r="L51" s="4" t="e">
        <f t="shared" si="3"/>
        <v>#DIV/0!</v>
      </c>
      <c r="M51" s="103"/>
      <c r="N51" s="103"/>
      <c r="O51" s="34"/>
      <c r="P51" s="6"/>
      <c r="Q51" s="6"/>
    </row>
    <row r="52" spans="1:17">
      <c r="A52" s="13">
        <f t="shared" si="8"/>
        <v>46160</v>
      </c>
      <c r="B52" s="127"/>
      <c r="C52" s="127"/>
      <c r="D52" s="34"/>
      <c r="E52" s="34"/>
      <c r="F52" s="20" t="e">
        <f t="shared" si="6"/>
        <v>#DIV/0!</v>
      </c>
      <c r="G52" s="2">
        <f t="shared" si="4"/>
        <v>0</v>
      </c>
      <c r="H52" s="2">
        <f t="shared" si="5"/>
        <v>0</v>
      </c>
      <c r="I52" s="29"/>
      <c r="J52" s="34"/>
      <c r="K52" s="20" t="e">
        <f t="shared" si="7"/>
        <v>#DIV/0!</v>
      </c>
      <c r="L52" s="4" t="e">
        <f t="shared" si="3"/>
        <v>#DIV/0!</v>
      </c>
      <c r="M52" s="103"/>
      <c r="N52" s="103"/>
      <c r="O52" s="34"/>
      <c r="P52" s="6"/>
      <c r="Q52" s="14"/>
    </row>
    <row r="53" spans="1:17">
      <c r="A53" s="13">
        <f t="shared" si="8"/>
        <v>46161</v>
      </c>
      <c r="B53" s="127"/>
      <c r="C53" s="127"/>
      <c r="D53" s="34"/>
      <c r="E53" s="34"/>
      <c r="F53" s="20" t="e">
        <f t="shared" si="6"/>
        <v>#DIV/0!</v>
      </c>
      <c r="G53" s="2">
        <f t="shared" si="4"/>
        <v>0</v>
      </c>
      <c r="H53" s="2">
        <f t="shared" si="5"/>
        <v>0</v>
      </c>
      <c r="I53" s="29"/>
      <c r="J53" s="34"/>
      <c r="K53" s="20" t="e">
        <f t="shared" si="7"/>
        <v>#DIV/0!</v>
      </c>
      <c r="L53" s="4" t="e">
        <f t="shared" si="3"/>
        <v>#DIV/0!</v>
      </c>
      <c r="M53" s="103"/>
      <c r="N53" s="103"/>
      <c r="O53" s="34"/>
      <c r="P53" s="6"/>
      <c r="Q53" s="14"/>
    </row>
    <row r="54" spans="1:17">
      <c r="A54" s="13">
        <f t="shared" si="8"/>
        <v>46162</v>
      </c>
      <c r="B54" s="127"/>
      <c r="C54" s="127"/>
      <c r="D54" s="34"/>
      <c r="E54" s="34"/>
      <c r="F54" s="20" t="e">
        <f t="shared" si="6"/>
        <v>#DIV/0!</v>
      </c>
      <c r="G54" s="2">
        <f t="shared" si="4"/>
        <v>0</v>
      </c>
      <c r="H54" s="2">
        <f t="shared" si="5"/>
        <v>0</v>
      </c>
      <c r="I54" s="29"/>
      <c r="J54" s="34"/>
      <c r="K54" s="20" t="e">
        <f t="shared" si="7"/>
        <v>#DIV/0!</v>
      </c>
      <c r="L54" s="4" t="e">
        <f t="shared" si="3"/>
        <v>#DIV/0!</v>
      </c>
      <c r="M54" s="103"/>
      <c r="N54" s="103"/>
      <c r="O54" s="34"/>
      <c r="P54" s="6"/>
      <c r="Q54" s="14"/>
    </row>
    <row r="55" spans="1:17">
      <c r="A55" s="13">
        <f t="shared" si="8"/>
        <v>46163</v>
      </c>
      <c r="B55" s="127"/>
      <c r="C55" s="127"/>
      <c r="D55" s="34"/>
      <c r="E55" s="34"/>
      <c r="F55" s="20" t="e">
        <f>(IF(ISBLANK(E55),0,E55-C55))/C55</f>
        <v>#DIV/0!</v>
      </c>
      <c r="G55" s="2">
        <f t="shared" si="4"/>
        <v>0</v>
      </c>
      <c r="H55" s="2">
        <f t="shared" si="5"/>
        <v>0</v>
      </c>
      <c r="I55" s="29"/>
      <c r="J55" s="34"/>
      <c r="K55" s="20" t="e">
        <f>(IF(ISBLANK(J55),0,J55-I55))/I55</f>
        <v>#DIV/0!</v>
      </c>
      <c r="L55" s="4" t="e">
        <f t="shared" si="3"/>
        <v>#DIV/0!</v>
      </c>
      <c r="M55" s="103"/>
      <c r="N55" s="103"/>
      <c r="O55" s="34"/>
      <c r="P55" s="6"/>
      <c r="Q55" s="6"/>
    </row>
    <row r="56" spans="1:17">
      <c r="A56" s="13">
        <f t="shared" si="8"/>
        <v>46164</v>
      </c>
      <c r="B56" s="127"/>
      <c r="C56" s="127"/>
      <c r="D56" s="34"/>
      <c r="E56" s="34"/>
      <c r="F56" s="20" t="e">
        <f t="shared" ref="F56:F65" si="9">(IF(ISBLANK(E56),0,E56-C56))/C56</f>
        <v>#DIV/0!</v>
      </c>
      <c r="G56" s="2">
        <f t="shared" si="4"/>
        <v>0</v>
      </c>
      <c r="H56" s="2">
        <f t="shared" si="5"/>
        <v>0</v>
      </c>
      <c r="I56" s="29"/>
      <c r="J56" s="34"/>
      <c r="K56" s="20" t="e">
        <f t="shared" ref="K56:K65" si="10">(IF(ISBLANK(J56),0,J56-I56))/I56</f>
        <v>#DIV/0!</v>
      </c>
      <c r="L56" s="4" t="e">
        <f t="shared" si="3"/>
        <v>#DIV/0!</v>
      </c>
      <c r="M56" s="103"/>
      <c r="N56" s="103"/>
      <c r="O56" s="34"/>
      <c r="P56" s="6"/>
      <c r="Q56" s="6"/>
    </row>
    <row r="57" spans="1:17">
      <c r="A57" s="13">
        <f t="shared" si="8"/>
        <v>46165</v>
      </c>
      <c r="B57" s="127"/>
      <c r="C57" s="127"/>
      <c r="D57" s="14"/>
      <c r="E57" s="14"/>
      <c r="F57" s="20" t="e">
        <f t="shared" si="9"/>
        <v>#DIV/0!</v>
      </c>
      <c r="G57" s="2">
        <f t="shared" si="4"/>
        <v>0</v>
      </c>
      <c r="H57" s="2">
        <f t="shared" si="5"/>
        <v>0</v>
      </c>
      <c r="I57" s="29"/>
      <c r="J57" s="14"/>
      <c r="K57" s="20" t="e">
        <f t="shared" si="10"/>
        <v>#DIV/0!</v>
      </c>
      <c r="L57" s="4" t="e">
        <f t="shared" si="3"/>
        <v>#DIV/0!</v>
      </c>
      <c r="M57" s="103"/>
      <c r="N57" s="103"/>
      <c r="O57" s="34"/>
      <c r="P57" s="6"/>
      <c r="Q57" s="6"/>
    </row>
    <row r="58" spans="1:17">
      <c r="A58" s="13">
        <f t="shared" si="8"/>
        <v>46166</v>
      </c>
      <c r="B58" s="127"/>
      <c r="C58" s="127"/>
      <c r="D58" s="14"/>
      <c r="E58" s="14"/>
      <c r="F58" s="20" t="e">
        <f t="shared" si="9"/>
        <v>#DIV/0!</v>
      </c>
      <c r="G58" s="2">
        <f t="shared" ref="G58:G65" si="11">D58/($D$2*24)</f>
        <v>0</v>
      </c>
      <c r="H58" s="2">
        <f t="shared" si="5"/>
        <v>0</v>
      </c>
      <c r="I58" s="29"/>
      <c r="J58" s="14"/>
      <c r="K58" s="20" t="e">
        <f t="shared" si="10"/>
        <v>#DIV/0!</v>
      </c>
      <c r="L58" s="4" t="e">
        <f t="shared" si="3"/>
        <v>#DIV/0!</v>
      </c>
      <c r="M58" s="103"/>
      <c r="N58" s="103"/>
      <c r="O58" s="34"/>
      <c r="P58" s="6"/>
      <c r="Q58" s="288"/>
    </row>
    <row r="59" spans="1:17">
      <c r="A59" s="13">
        <f t="shared" si="8"/>
        <v>46167</v>
      </c>
      <c r="B59" s="1"/>
      <c r="C59" s="1"/>
      <c r="D59" s="14"/>
      <c r="E59" s="14"/>
      <c r="F59" s="20" t="e">
        <f t="shared" si="9"/>
        <v>#DIV/0!</v>
      </c>
      <c r="G59" s="2">
        <f t="shared" si="11"/>
        <v>0</v>
      </c>
      <c r="H59" s="2">
        <f t="shared" si="5"/>
        <v>0</v>
      </c>
      <c r="I59" s="29"/>
      <c r="J59" s="14"/>
      <c r="K59" s="20" t="e">
        <f t="shared" si="10"/>
        <v>#DIV/0!</v>
      </c>
      <c r="L59" s="4" t="e">
        <f t="shared" si="3"/>
        <v>#DIV/0!</v>
      </c>
      <c r="M59" s="103"/>
      <c r="N59" s="103"/>
      <c r="O59" s="34"/>
      <c r="P59" s="155"/>
      <c r="Q59" s="6"/>
    </row>
    <row r="60" spans="1:17">
      <c r="A60" s="13">
        <f t="shared" si="8"/>
        <v>46168</v>
      </c>
      <c r="B60" s="1"/>
      <c r="C60" s="1"/>
      <c r="D60" s="14"/>
      <c r="E60" s="14"/>
      <c r="F60" s="20" t="e">
        <f t="shared" si="9"/>
        <v>#DIV/0!</v>
      </c>
      <c r="G60" s="2">
        <f t="shared" si="11"/>
        <v>0</v>
      </c>
      <c r="H60" s="2">
        <f t="shared" si="5"/>
        <v>0</v>
      </c>
      <c r="I60" s="29"/>
      <c r="J60" s="14"/>
      <c r="K60" s="20" t="e">
        <f t="shared" si="10"/>
        <v>#DIV/0!</v>
      </c>
      <c r="L60" s="4" t="e">
        <f t="shared" si="3"/>
        <v>#DIV/0!</v>
      </c>
      <c r="M60" s="103"/>
      <c r="N60" s="103"/>
      <c r="O60" s="34"/>
      <c r="P60" s="6"/>
      <c r="Q60" s="123"/>
    </row>
    <row r="61" spans="1:17">
      <c r="A61" s="13">
        <f t="shared" si="8"/>
        <v>46169</v>
      </c>
      <c r="B61" s="1"/>
      <c r="C61" s="1"/>
      <c r="D61" s="14"/>
      <c r="E61" s="14"/>
      <c r="F61" s="20" t="e">
        <f t="shared" si="9"/>
        <v>#DIV/0!</v>
      </c>
      <c r="G61" s="2">
        <f t="shared" si="11"/>
        <v>0</v>
      </c>
      <c r="H61" s="2">
        <f t="shared" si="5"/>
        <v>0</v>
      </c>
      <c r="I61" s="29"/>
      <c r="J61" s="14"/>
      <c r="K61" s="20" t="e">
        <f t="shared" si="10"/>
        <v>#DIV/0!</v>
      </c>
      <c r="L61" s="4" t="e">
        <f t="shared" si="3"/>
        <v>#DIV/0!</v>
      </c>
      <c r="M61" s="103"/>
      <c r="N61" s="103"/>
      <c r="O61" s="34"/>
      <c r="P61" s="6"/>
      <c r="Q61" s="6"/>
    </row>
    <row r="62" spans="1:17">
      <c r="A62" s="13">
        <f t="shared" si="8"/>
        <v>46170</v>
      </c>
      <c r="B62" s="1"/>
      <c r="C62" s="1"/>
      <c r="D62" s="14"/>
      <c r="E62" s="14"/>
      <c r="F62" s="20" t="e">
        <f t="shared" si="9"/>
        <v>#DIV/0!</v>
      </c>
      <c r="G62" s="2">
        <f t="shared" si="11"/>
        <v>0</v>
      </c>
      <c r="H62" s="2">
        <f t="shared" ref="H62:H65" si="12">D62/($H$2*24)</f>
        <v>0</v>
      </c>
      <c r="I62" s="29"/>
      <c r="J62" s="14"/>
      <c r="K62" s="20" t="e">
        <f t="shared" si="10"/>
        <v>#DIV/0!</v>
      </c>
      <c r="L62" s="4" t="e">
        <f t="shared" si="3"/>
        <v>#DIV/0!</v>
      </c>
      <c r="M62" s="103"/>
      <c r="N62" s="103"/>
      <c r="O62" s="34"/>
      <c r="P62" s="6"/>
      <c r="Q62" s="6"/>
    </row>
    <row r="63" spans="1:17">
      <c r="A63" s="13">
        <f t="shared" si="8"/>
        <v>46171</v>
      </c>
      <c r="B63" s="1"/>
      <c r="C63" s="1"/>
      <c r="D63" s="14"/>
      <c r="E63" s="14"/>
      <c r="F63" s="20" t="e">
        <f t="shared" si="9"/>
        <v>#DIV/0!</v>
      </c>
      <c r="G63" s="2">
        <f t="shared" si="11"/>
        <v>0</v>
      </c>
      <c r="H63" s="2">
        <f t="shared" si="12"/>
        <v>0</v>
      </c>
      <c r="I63" s="29"/>
      <c r="J63" s="14"/>
      <c r="K63" s="20" t="e">
        <f t="shared" si="10"/>
        <v>#DIV/0!</v>
      </c>
      <c r="L63" s="4" t="e">
        <f t="shared" si="3"/>
        <v>#DIV/0!</v>
      </c>
      <c r="M63" s="103"/>
      <c r="N63" s="103"/>
      <c r="O63" s="34"/>
      <c r="P63" s="6"/>
      <c r="Q63" s="6"/>
    </row>
    <row r="64" spans="1:17">
      <c r="A64" s="13">
        <f t="shared" si="8"/>
        <v>46172</v>
      </c>
      <c r="B64" s="1"/>
      <c r="C64" s="1"/>
      <c r="D64" s="14"/>
      <c r="E64" s="14"/>
      <c r="F64" s="20" t="e">
        <f t="shared" si="9"/>
        <v>#DIV/0!</v>
      </c>
      <c r="G64" s="2">
        <f t="shared" si="11"/>
        <v>0</v>
      </c>
      <c r="H64" s="2">
        <f t="shared" si="12"/>
        <v>0</v>
      </c>
      <c r="I64" s="29"/>
      <c r="J64" s="14"/>
      <c r="K64" s="20" t="e">
        <f t="shared" si="10"/>
        <v>#DIV/0!</v>
      </c>
      <c r="L64" s="4" t="e">
        <f t="shared" si="3"/>
        <v>#DIV/0!</v>
      </c>
      <c r="M64" s="103"/>
      <c r="N64" s="103"/>
      <c r="O64" s="34"/>
      <c r="P64" s="6"/>
      <c r="Q64" s="6"/>
    </row>
    <row r="65" spans="1:17">
      <c r="A65" s="13">
        <f t="shared" si="8"/>
        <v>46173</v>
      </c>
      <c r="B65" s="1"/>
      <c r="C65" s="1"/>
      <c r="D65" s="14"/>
      <c r="E65" s="14"/>
      <c r="F65" s="20" t="e">
        <f t="shared" si="9"/>
        <v>#DIV/0!</v>
      </c>
      <c r="G65" s="2">
        <f t="shared" si="11"/>
        <v>0</v>
      </c>
      <c r="H65" s="2">
        <f t="shared" si="12"/>
        <v>0</v>
      </c>
      <c r="I65" s="29"/>
      <c r="J65" s="14"/>
      <c r="K65" s="20" t="e">
        <f t="shared" si="10"/>
        <v>#DIV/0!</v>
      </c>
      <c r="L65" s="4" t="e">
        <f t="shared" si="3"/>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3"/>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F164-86CF-461A-AEE7-B18ADF63DDD9}">
  <dimension ref="A1:Q66"/>
  <sheetViews>
    <sheetView topLeftCell="A31" workbookViewId="0">
      <selection activeCell="A34" sqref="A34"/>
    </sheetView>
  </sheetViews>
  <sheetFormatPr defaultColWidth="13.54296875" defaultRowHeight="14.5"/>
  <sheetData>
    <row r="1" spans="1:17" ht="18.5">
      <c r="A1" s="417" t="s">
        <v>419</v>
      </c>
      <c r="B1" s="418"/>
      <c r="C1" s="418"/>
      <c r="D1" s="418"/>
      <c r="E1" s="418"/>
      <c r="F1" s="418"/>
      <c r="G1" s="418"/>
      <c r="H1" s="418"/>
      <c r="I1" s="418"/>
      <c r="J1" s="418"/>
      <c r="K1" s="418"/>
      <c r="L1" s="418"/>
      <c r="M1" s="418"/>
      <c r="N1" s="418"/>
      <c r="O1" s="418"/>
      <c r="P1" s="418"/>
      <c r="Q1" s="418"/>
    </row>
    <row r="2" spans="1:17" ht="18.5">
      <c r="A2" s="69">
        <v>46138</v>
      </c>
      <c r="B2" s="415" t="s">
        <v>172</v>
      </c>
      <c r="C2" s="416"/>
      <c r="D2" s="70">
        <v>3329.2</v>
      </c>
      <c r="E2" s="415" t="s">
        <v>173</v>
      </c>
      <c r="F2" s="415"/>
      <c r="G2" s="416"/>
      <c r="H2" s="70">
        <v>2420</v>
      </c>
      <c r="I2" s="415" t="s">
        <v>174</v>
      </c>
      <c r="J2" s="416"/>
      <c r="K2" s="71">
        <v>45735</v>
      </c>
      <c r="L2" s="72" t="s">
        <v>175</v>
      </c>
      <c r="M2" s="72" t="s">
        <v>175</v>
      </c>
      <c r="N2" s="72" t="s">
        <v>175</v>
      </c>
      <c r="O2" s="72" t="s">
        <v>175</v>
      </c>
      <c r="P2" s="72" t="s">
        <v>175</v>
      </c>
      <c r="Q2" s="73" t="s">
        <v>175</v>
      </c>
    </row>
    <row r="3" spans="1:17" ht="39.5">
      <c r="A3" s="74" t="s">
        <v>189</v>
      </c>
      <c r="B3" s="75" t="s">
        <v>3</v>
      </c>
      <c r="C3" s="75" t="s">
        <v>4</v>
      </c>
      <c r="D3" s="75" t="s">
        <v>5</v>
      </c>
      <c r="E3" s="75" t="s">
        <v>6</v>
      </c>
      <c r="F3" s="75" t="s">
        <v>7</v>
      </c>
      <c r="G3" s="75" t="s">
        <v>8</v>
      </c>
      <c r="H3" s="75" t="s">
        <v>9</v>
      </c>
      <c r="I3" s="75" t="s">
        <v>10</v>
      </c>
      <c r="J3" s="75" t="s">
        <v>11</v>
      </c>
      <c r="K3" s="75" t="s">
        <v>12</v>
      </c>
      <c r="L3" s="75" t="s">
        <v>13</v>
      </c>
      <c r="M3" s="75" t="s">
        <v>14</v>
      </c>
      <c r="N3" s="75" t="s">
        <v>15</v>
      </c>
      <c r="O3" s="75" t="s">
        <v>16</v>
      </c>
      <c r="P3" s="75" t="s">
        <v>17</v>
      </c>
      <c r="Q3" s="184" t="s">
        <v>156</v>
      </c>
    </row>
    <row r="4" spans="1:17">
      <c r="A4" s="76">
        <v>46113</v>
      </c>
      <c r="B4" s="36">
        <v>19604</v>
      </c>
      <c r="C4" s="36">
        <v>17216</v>
      </c>
      <c r="D4" s="37">
        <v>16855</v>
      </c>
      <c r="E4" s="37">
        <v>16590</v>
      </c>
      <c r="F4" s="77">
        <v>-360.76</v>
      </c>
      <c r="G4" s="38">
        <v>0.2109</v>
      </c>
      <c r="H4" s="38">
        <v>0.29020000000000001</v>
      </c>
      <c r="I4" s="36">
        <v>7.49</v>
      </c>
      <c r="J4" s="37">
        <v>6.5774999999999997</v>
      </c>
      <c r="K4" s="77">
        <v>-0.91120000000000001</v>
      </c>
      <c r="L4" s="40">
        <v>0.77</v>
      </c>
      <c r="M4" s="41">
        <v>1</v>
      </c>
      <c r="N4" s="41">
        <v>0.9496</v>
      </c>
      <c r="O4" s="37">
        <v>1411</v>
      </c>
      <c r="P4" s="37">
        <v>0</v>
      </c>
      <c r="Q4" s="37" t="s">
        <v>420</v>
      </c>
    </row>
    <row r="5" spans="1:17">
      <c r="A5" s="79">
        <v>46114</v>
      </c>
      <c r="B5" s="43">
        <v>19604</v>
      </c>
      <c r="C5" s="43">
        <v>17216</v>
      </c>
      <c r="D5" s="44">
        <v>16537</v>
      </c>
      <c r="E5" s="44">
        <v>16290</v>
      </c>
      <c r="F5" s="77">
        <v>-678.76</v>
      </c>
      <c r="G5" s="45">
        <v>0.20699999999999999</v>
      </c>
      <c r="H5" s="45">
        <v>0.28470000000000001</v>
      </c>
      <c r="I5" s="43">
        <v>7.49</v>
      </c>
      <c r="J5" s="44">
        <v>6.4012500000000001</v>
      </c>
      <c r="K5" s="77">
        <v>-1.08745</v>
      </c>
      <c r="L5" s="47">
        <v>0.77600000000000002</v>
      </c>
      <c r="M5" s="48">
        <v>1</v>
      </c>
      <c r="N5" s="48">
        <v>0.95469999999999999</v>
      </c>
      <c r="O5" s="44">
        <v>1201</v>
      </c>
      <c r="P5" s="44">
        <v>0</v>
      </c>
      <c r="Q5" s="44" t="s">
        <v>420</v>
      </c>
    </row>
    <row r="6" spans="1:17">
      <c r="A6" s="79">
        <v>46115</v>
      </c>
      <c r="B6" s="43">
        <v>19604</v>
      </c>
      <c r="C6" s="43">
        <v>17216</v>
      </c>
      <c r="D6" s="44">
        <v>13266</v>
      </c>
      <c r="E6" s="44">
        <v>13050</v>
      </c>
      <c r="F6" s="77">
        <v>-3949.76</v>
      </c>
      <c r="G6" s="45">
        <v>0.16600000000000001</v>
      </c>
      <c r="H6" s="45">
        <v>0.22839999999999999</v>
      </c>
      <c r="I6" s="43">
        <v>7.49</v>
      </c>
      <c r="J6" s="44">
        <v>4.8082500000000001</v>
      </c>
      <c r="K6" s="77">
        <v>-2.68045</v>
      </c>
      <c r="L6" s="47">
        <v>0.82899999999999996</v>
      </c>
      <c r="M6" s="48">
        <v>0.9032</v>
      </c>
      <c r="N6" s="48">
        <v>1</v>
      </c>
      <c r="O6" s="44">
        <v>0</v>
      </c>
      <c r="P6" s="44">
        <v>295</v>
      </c>
      <c r="Q6" s="44" t="s">
        <v>421</v>
      </c>
    </row>
    <row r="7" spans="1:17">
      <c r="A7" s="79">
        <v>46116</v>
      </c>
      <c r="B7" s="43">
        <v>19604</v>
      </c>
      <c r="C7" s="43">
        <v>17216</v>
      </c>
      <c r="D7" s="44">
        <v>19254</v>
      </c>
      <c r="E7" s="44">
        <v>18960</v>
      </c>
      <c r="F7" s="77">
        <v>2038.24</v>
      </c>
      <c r="G7" s="45">
        <v>0.24099999999999999</v>
      </c>
      <c r="H7" s="45">
        <v>0.33150000000000002</v>
      </c>
      <c r="I7" s="43">
        <v>7.49</v>
      </c>
      <c r="J7" s="44">
        <v>7.6937499999999996</v>
      </c>
      <c r="K7" s="77">
        <v>0.20505000000000001</v>
      </c>
      <c r="L7" s="47">
        <v>0.752</v>
      </c>
      <c r="M7" s="48">
        <v>1</v>
      </c>
      <c r="N7" s="48">
        <v>0.95240000000000002</v>
      </c>
      <c r="O7" s="44">
        <v>1619</v>
      </c>
      <c r="P7" s="44">
        <v>0</v>
      </c>
      <c r="Q7" s="44" t="s">
        <v>422</v>
      </c>
    </row>
    <row r="8" spans="1:17">
      <c r="A8" s="79">
        <v>46117</v>
      </c>
      <c r="B8" s="43">
        <v>19604</v>
      </c>
      <c r="C8" s="43">
        <v>17216</v>
      </c>
      <c r="D8" s="44">
        <v>16091</v>
      </c>
      <c r="E8" s="44">
        <v>15840</v>
      </c>
      <c r="F8" s="77">
        <v>-1124.76</v>
      </c>
      <c r="G8" s="45">
        <v>0.2014</v>
      </c>
      <c r="H8" s="45">
        <v>0.27700000000000002</v>
      </c>
      <c r="I8" s="43">
        <v>7.49</v>
      </c>
      <c r="J8" s="44">
        <v>7.1105</v>
      </c>
      <c r="K8" s="77">
        <v>-0.37819999999999998</v>
      </c>
      <c r="L8" s="47">
        <v>0.68</v>
      </c>
      <c r="M8" s="48">
        <v>1</v>
      </c>
      <c r="N8" s="48">
        <v>0.89580000000000004</v>
      </c>
      <c r="O8" s="44">
        <v>2670</v>
      </c>
      <c r="P8" s="44">
        <v>0</v>
      </c>
      <c r="Q8" s="44" t="s">
        <v>423</v>
      </c>
    </row>
    <row r="9" spans="1:17">
      <c r="A9" s="79">
        <v>46118</v>
      </c>
      <c r="B9" s="43">
        <v>19604</v>
      </c>
      <c r="C9" s="43">
        <v>17216</v>
      </c>
      <c r="D9" s="44">
        <v>17652</v>
      </c>
      <c r="E9" s="44">
        <v>17370</v>
      </c>
      <c r="F9" s="77">
        <v>436.24</v>
      </c>
      <c r="G9" s="45">
        <v>0.22090000000000001</v>
      </c>
      <c r="H9" s="45">
        <v>0.3039</v>
      </c>
      <c r="I9" s="43">
        <v>7.49</v>
      </c>
      <c r="J9" s="44">
        <v>7.3512500000000003</v>
      </c>
      <c r="K9" s="77">
        <v>-0.13744999999999999</v>
      </c>
      <c r="L9" s="47">
        <v>0.72099999999999997</v>
      </c>
      <c r="M9" s="48">
        <v>1</v>
      </c>
      <c r="N9" s="48">
        <v>0.88390000000000002</v>
      </c>
      <c r="O9" s="44">
        <v>2694</v>
      </c>
      <c r="P9" s="44">
        <v>0</v>
      </c>
      <c r="Q9" s="44" t="s">
        <v>424</v>
      </c>
    </row>
    <row r="10" spans="1:17">
      <c r="A10" s="79">
        <v>46119</v>
      </c>
      <c r="B10" s="43">
        <v>19604</v>
      </c>
      <c r="C10" s="43">
        <v>17216</v>
      </c>
      <c r="D10" s="44">
        <v>10610</v>
      </c>
      <c r="E10" s="44">
        <v>10440</v>
      </c>
      <c r="F10" s="77">
        <v>-6605.76</v>
      </c>
      <c r="G10" s="45">
        <v>0.1328</v>
      </c>
      <c r="H10" s="45">
        <v>0.1827</v>
      </c>
      <c r="I10" s="43">
        <v>7.49</v>
      </c>
      <c r="J10" s="44">
        <v>5.4095000000000004</v>
      </c>
      <c r="K10" s="77">
        <v>-2.0792000000000002</v>
      </c>
      <c r="L10" s="47">
        <v>0.58899999999999997</v>
      </c>
      <c r="M10" s="48">
        <v>1</v>
      </c>
      <c r="N10" s="48">
        <v>0.80359999999999998</v>
      </c>
      <c r="O10" s="44">
        <v>3385</v>
      </c>
      <c r="P10" s="44">
        <v>0</v>
      </c>
      <c r="Q10" s="44" t="s">
        <v>425</v>
      </c>
    </row>
    <row r="11" spans="1:17">
      <c r="A11" s="79">
        <v>46120</v>
      </c>
      <c r="B11" s="43">
        <v>19604</v>
      </c>
      <c r="C11" s="43">
        <v>17216</v>
      </c>
      <c r="D11" s="44">
        <v>14055</v>
      </c>
      <c r="E11" s="44">
        <v>13860</v>
      </c>
      <c r="F11" s="77">
        <v>-3160.76</v>
      </c>
      <c r="G11" s="45">
        <v>0.1759</v>
      </c>
      <c r="H11" s="45">
        <v>0.24199999999999999</v>
      </c>
      <c r="I11" s="43">
        <v>7.49</v>
      </c>
      <c r="J11" s="44">
        <v>6.3445</v>
      </c>
      <c r="K11" s="77">
        <v>-1.1442000000000001</v>
      </c>
      <c r="L11" s="47">
        <v>0.66500000000000004</v>
      </c>
      <c r="M11" s="48">
        <v>1</v>
      </c>
      <c r="N11" s="48">
        <v>0.76519999999999999</v>
      </c>
      <c r="O11" s="44">
        <v>5136</v>
      </c>
      <c r="P11" s="44">
        <v>0</v>
      </c>
      <c r="Q11" s="44" t="s">
        <v>425</v>
      </c>
    </row>
    <row r="12" spans="1:17">
      <c r="A12" s="79">
        <v>46121</v>
      </c>
      <c r="B12" s="43">
        <v>19604</v>
      </c>
      <c r="C12" s="43">
        <v>17216</v>
      </c>
      <c r="D12" s="44">
        <v>18357</v>
      </c>
      <c r="E12" s="44">
        <v>18090</v>
      </c>
      <c r="F12" s="77">
        <v>1141.24</v>
      </c>
      <c r="G12" s="45">
        <v>0.22969999999999999</v>
      </c>
      <c r="H12" s="45">
        <v>0.31609999999999999</v>
      </c>
      <c r="I12" s="43">
        <v>7.49</v>
      </c>
      <c r="J12" s="44">
        <v>6.8964999999999996</v>
      </c>
      <c r="K12" s="77">
        <v>-0.59219999999999995</v>
      </c>
      <c r="L12" s="47">
        <v>0.8</v>
      </c>
      <c r="M12" s="48">
        <v>1</v>
      </c>
      <c r="N12" s="48">
        <v>0.96179999999999999</v>
      </c>
      <c r="O12" s="44">
        <v>1068</v>
      </c>
      <c r="P12" s="44">
        <v>0</v>
      </c>
      <c r="Q12" s="44" t="s">
        <v>420</v>
      </c>
    </row>
    <row r="13" spans="1:17">
      <c r="A13" s="79">
        <v>46122</v>
      </c>
      <c r="B13" s="43">
        <v>19604</v>
      </c>
      <c r="C13" s="43">
        <v>17216</v>
      </c>
      <c r="D13" s="44">
        <v>15831</v>
      </c>
      <c r="E13" s="44">
        <v>15570</v>
      </c>
      <c r="F13" s="77">
        <v>-1384.76</v>
      </c>
      <c r="G13" s="45">
        <v>0.1981</v>
      </c>
      <c r="H13" s="45">
        <v>0.27260000000000001</v>
      </c>
      <c r="I13" s="43">
        <v>7.49</v>
      </c>
      <c r="J13" s="44">
        <v>7.4852499999999997</v>
      </c>
      <c r="K13" s="77">
        <v>-3.4499999999999999E-3</v>
      </c>
      <c r="L13" s="47">
        <v>0.63500000000000001</v>
      </c>
      <c r="M13" s="48">
        <v>0.89890000000000003</v>
      </c>
      <c r="N13" s="48">
        <v>0.96809999999999996</v>
      </c>
      <c r="O13" s="44">
        <v>1005</v>
      </c>
      <c r="P13" s="44">
        <v>3152</v>
      </c>
      <c r="Q13" s="44" t="s">
        <v>426</v>
      </c>
    </row>
    <row r="14" spans="1:17">
      <c r="A14" s="79">
        <v>46123</v>
      </c>
      <c r="B14" s="43">
        <v>19604</v>
      </c>
      <c r="C14" s="43">
        <v>17216</v>
      </c>
      <c r="D14" s="44">
        <v>19690</v>
      </c>
      <c r="E14" s="44">
        <v>19380</v>
      </c>
      <c r="F14" s="77">
        <v>2474.2399999999998</v>
      </c>
      <c r="G14" s="45">
        <v>0.24640000000000001</v>
      </c>
      <c r="H14" s="45">
        <v>0.33900000000000002</v>
      </c>
      <c r="I14" s="43">
        <v>7.49</v>
      </c>
      <c r="J14" s="44">
        <v>7.1820000000000004</v>
      </c>
      <c r="K14" s="77">
        <v>-0.30669999999999997</v>
      </c>
      <c r="L14" s="47">
        <v>0.82299999999999995</v>
      </c>
      <c r="M14" s="48">
        <v>1</v>
      </c>
      <c r="N14" s="48">
        <v>1</v>
      </c>
      <c r="O14" s="44">
        <v>0</v>
      </c>
      <c r="P14" s="44">
        <v>0</v>
      </c>
      <c r="Q14" s="44" t="s">
        <v>175</v>
      </c>
    </row>
    <row r="15" spans="1:17">
      <c r="A15" s="79">
        <v>46124</v>
      </c>
      <c r="B15" s="43">
        <v>19604</v>
      </c>
      <c r="C15" s="43">
        <v>17216</v>
      </c>
      <c r="D15" s="44">
        <v>18581</v>
      </c>
      <c r="E15" s="44">
        <v>18270</v>
      </c>
      <c r="F15" s="77">
        <v>1365.24</v>
      </c>
      <c r="G15" s="45">
        <v>0.2326</v>
      </c>
      <c r="H15" s="45">
        <v>0.31990000000000002</v>
      </c>
      <c r="I15" s="43">
        <v>7.49</v>
      </c>
      <c r="J15" s="44">
        <v>7.4029999999999996</v>
      </c>
      <c r="K15" s="77">
        <v>-8.5699999999999998E-2</v>
      </c>
      <c r="L15" s="47">
        <v>0.754</v>
      </c>
      <c r="M15" s="48">
        <v>1</v>
      </c>
      <c r="N15" s="48">
        <v>0.95330000000000004</v>
      </c>
      <c r="O15" s="44">
        <v>1388</v>
      </c>
      <c r="P15" s="44">
        <v>0</v>
      </c>
      <c r="Q15" s="44" t="s">
        <v>422</v>
      </c>
    </row>
    <row r="16" spans="1:17">
      <c r="A16" s="79">
        <v>46125</v>
      </c>
      <c r="B16" s="43">
        <v>19604</v>
      </c>
      <c r="C16" s="43">
        <v>17216</v>
      </c>
      <c r="D16" s="44">
        <v>19912</v>
      </c>
      <c r="E16" s="44">
        <v>19620</v>
      </c>
      <c r="F16" s="77">
        <v>2696.24</v>
      </c>
      <c r="G16" s="45">
        <v>0.2492</v>
      </c>
      <c r="H16" s="45">
        <v>0.34279999999999999</v>
      </c>
      <c r="I16" s="43">
        <v>7.49</v>
      </c>
      <c r="J16" s="44">
        <v>7.3390000000000004</v>
      </c>
      <c r="K16" s="77">
        <v>-0.1497</v>
      </c>
      <c r="L16" s="47">
        <v>0.81499999999999995</v>
      </c>
      <c r="M16" s="48">
        <v>1</v>
      </c>
      <c r="N16" s="48">
        <v>1</v>
      </c>
      <c r="O16" s="44">
        <v>0</v>
      </c>
      <c r="P16" s="44">
        <v>0</v>
      </c>
      <c r="Q16" s="44" t="s">
        <v>175</v>
      </c>
    </row>
    <row r="17" spans="1:17">
      <c r="A17" s="79">
        <v>46126</v>
      </c>
      <c r="B17" s="43">
        <v>19604</v>
      </c>
      <c r="C17" s="43">
        <v>17216</v>
      </c>
      <c r="D17" s="44">
        <v>19202</v>
      </c>
      <c r="E17" s="44">
        <v>18900</v>
      </c>
      <c r="F17" s="77">
        <v>1986.24</v>
      </c>
      <c r="G17" s="45">
        <v>0.24030000000000001</v>
      </c>
      <c r="H17" s="45">
        <v>0.3306</v>
      </c>
      <c r="I17" s="43">
        <v>7.49</v>
      </c>
      <c r="J17" s="44">
        <v>7.4977499999999999</v>
      </c>
      <c r="K17" s="77">
        <v>9.0500000000000008E-3</v>
      </c>
      <c r="L17" s="47">
        <v>0.76900000000000002</v>
      </c>
      <c r="M17" s="48">
        <v>1</v>
      </c>
      <c r="N17" s="48">
        <v>0.96099999999999997</v>
      </c>
      <c r="O17" s="44">
        <v>1204</v>
      </c>
      <c r="P17" s="44">
        <v>0</v>
      </c>
      <c r="Q17" s="44" t="s">
        <v>427</v>
      </c>
    </row>
    <row r="18" spans="1:17">
      <c r="A18" s="79">
        <v>46127</v>
      </c>
      <c r="B18" s="43">
        <v>19604</v>
      </c>
      <c r="C18" s="43">
        <v>17216</v>
      </c>
      <c r="D18" s="44">
        <v>17939</v>
      </c>
      <c r="E18" s="44">
        <v>17670</v>
      </c>
      <c r="F18" s="77">
        <v>723.24</v>
      </c>
      <c r="G18" s="45">
        <v>0.22450000000000001</v>
      </c>
      <c r="H18" s="45">
        <v>0.30890000000000001</v>
      </c>
      <c r="I18" s="43">
        <v>7.49</v>
      </c>
      <c r="J18" s="44">
        <v>7.016</v>
      </c>
      <c r="K18" s="77">
        <v>-0.47270000000000001</v>
      </c>
      <c r="L18" s="47">
        <v>0.76800000000000002</v>
      </c>
      <c r="M18" s="48">
        <v>1</v>
      </c>
      <c r="N18" s="48">
        <v>0.9496</v>
      </c>
      <c r="O18" s="44">
        <v>1499</v>
      </c>
      <c r="P18" s="44">
        <v>0</v>
      </c>
      <c r="Q18" s="44" t="s">
        <v>427</v>
      </c>
    </row>
    <row r="19" spans="1:17">
      <c r="A19" s="79">
        <v>46128</v>
      </c>
      <c r="B19" s="43">
        <v>19604</v>
      </c>
      <c r="C19" s="43">
        <v>17216</v>
      </c>
      <c r="D19" s="44">
        <v>18161</v>
      </c>
      <c r="E19" s="44">
        <v>17910</v>
      </c>
      <c r="F19" s="77">
        <v>945.24</v>
      </c>
      <c r="G19" s="45">
        <v>0.2273</v>
      </c>
      <c r="H19" s="45">
        <v>0.31269999999999998</v>
      </c>
      <c r="I19" s="43">
        <v>7.49</v>
      </c>
      <c r="J19" s="44">
        <v>7.3259999999999996</v>
      </c>
      <c r="K19" s="77">
        <v>-0.16270000000000001</v>
      </c>
      <c r="L19" s="47">
        <v>0.745</v>
      </c>
      <c r="M19" s="48">
        <v>1</v>
      </c>
      <c r="N19" s="48">
        <v>0.95409999999999995</v>
      </c>
      <c r="O19" s="44">
        <v>1381</v>
      </c>
      <c r="P19" s="44">
        <v>0</v>
      </c>
      <c r="Q19" s="44" t="s">
        <v>427</v>
      </c>
    </row>
    <row r="20" spans="1:17">
      <c r="A20" s="79">
        <v>46129</v>
      </c>
      <c r="B20" s="43">
        <v>19604</v>
      </c>
      <c r="C20" s="43">
        <v>17216</v>
      </c>
      <c r="D20" s="44">
        <v>17789</v>
      </c>
      <c r="E20" s="44">
        <v>17490</v>
      </c>
      <c r="F20" s="77">
        <v>573.24</v>
      </c>
      <c r="G20" s="45">
        <v>0.22259999999999999</v>
      </c>
      <c r="H20" s="45">
        <v>0.30630000000000002</v>
      </c>
      <c r="I20" s="43">
        <v>7.49</v>
      </c>
      <c r="J20" s="44">
        <v>7.4482499999999998</v>
      </c>
      <c r="K20" s="77">
        <v>-4.045E-2</v>
      </c>
      <c r="L20" s="47">
        <v>0.71699999999999997</v>
      </c>
      <c r="M20" s="48">
        <v>1</v>
      </c>
      <c r="N20" s="48">
        <v>0.93220000000000003</v>
      </c>
      <c r="O20" s="44">
        <v>2195</v>
      </c>
      <c r="P20" s="44">
        <v>0</v>
      </c>
      <c r="Q20" s="44" t="s">
        <v>427</v>
      </c>
    </row>
    <row r="21" spans="1:17">
      <c r="A21" s="79">
        <v>46130</v>
      </c>
      <c r="B21" s="43">
        <v>19604</v>
      </c>
      <c r="C21" s="43">
        <v>17216</v>
      </c>
      <c r="D21" s="44">
        <v>20802</v>
      </c>
      <c r="E21" s="44">
        <v>20490</v>
      </c>
      <c r="F21" s="77">
        <v>3586.24</v>
      </c>
      <c r="G21" s="45">
        <v>0.26029999999999998</v>
      </c>
      <c r="H21" s="45">
        <v>0.35820000000000002</v>
      </c>
      <c r="I21" s="43">
        <v>7.49</v>
      </c>
      <c r="J21" s="44">
        <v>7.69475</v>
      </c>
      <c r="K21" s="77">
        <v>0.20605000000000001</v>
      </c>
      <c r="L21" s="47">
        <v>0.81200000000000006</v>
      </c>
      <c r="M21" s="48">
        <v>1</v>
      </c>
      <c r="N21" s="48">
        <v>1</v>
      </c>
      <c r="O21" s="44">
        <v>0</v>
      </c>
      <c r="P21" s="44">
        <v>0</v>
      </c>
      <c r="Q21" s="44" t="s">
        <v>175</v>
      </c>
    </row>
    <row r="22" spans="1:17">
      <c r="A22" s="79">
        <v>46131</v>
      </c>
      <c r="B22" s="43">
        <v>19604</v>
      </c>
      <c r="C22" s="43">
        <v>17216</v>
      </c>
      <c r="D22" s="44">
        <v>18160</v>
      </c>
      <c r="E22" s="44">
        <v>17820</v>
      </c>
      <c r="F22" s="77">
        <v>944.24</v>
      </c>
      <c r="G22" s="45">
        <v>0.2273</v>
      </c>
      <c r="H22" s="45">
        <v>0.31269999999999998</v>
      </c>
      <c r="I22" s="43">
        <v>7.49</v>
      </c>
      <c r="J22" s="44">
        <v>7.4580000000000002</v>
      </c>
      <c r="K22" s="77">
        <v>-3.0700000000000002E-2</v>
      </c>
      <c r="L22" s="47">
        <v>0.73099999999999998</v>
      </c>
      <c r="M22" s="48">
        <v>1</v>
      </c>
      <c r="N22" s="48">
        <v>0.96199999999999997</v>
      </c>
      <c r="O22" s="44">
        <v>1236</v>
      </c>
      <c r="P22" s="44">
        <v>0</v>
      </c>
      <c r="Q22" s="44" t="s">
        <v>428</v>
      </c>
    </row>
    <row r="23" spans="1:17">
      <c r="A23" s="79">
        <v>46132</v>
      </c>
      <c r="B23" s="43">
        <v>19604</v>
      </c>
      <c r="C23" s="43">
        <v>17216</v>
      </c>
      <c r="D23" s="44">
        <v>18121</v>
      </c>
      <c r="E23" s="44">
        <v>17910</v>
      </c>
      <c r="F23" s="77">
        <v>905.24</v>
      </c>
      <c r="G23" s="45">
        <v>0.2268</v>
      </c>
      <c r="H23" s="45">
        <v>0.312</v>
      </c>
      <c r="I23" s="43">
        <v>7.49</v>
      </c>
      <c r="J23" s="44">
        <v>7.4262499999999996</v>
      </c>
      <c r="K23" s="77">
        <v>-6.2449999999999999E-2</v>
      </c>
      <c r="L23" s="47">
        <v>0.73299999999999998</v>
      </c>
      <c r="M23" s="48">
        <v>1</v>
      </c>
      <c r="N23" s="48">
        <v>0.94850000000000001</v>
      </c>
      <c r="O23" s="44">
        <v>1608</v>
      </c>
      <c r="P23" s="44">
        <v>0</v>
      </c>
      <c r="Q23" s="44" t="s">
        <v>427</v>
      </c>
    </row>
    <row r="24" spans="1:17">
      <c r="A24" s="79">
        <v>46133</v>
      </c>
      <c r="B24" s="43">
        <v>19604</v>
      </c>
      <c r="C24" s="43">
        <v>17216</v>
      </c>
      <c r="D24" s="44">
        <v>19415</v>
      </c>
      <c r="E24" s="44">
        <v>19050</v>
      </c>
      <c r="F24" s="77">
        <v>2199.2399999999998</v>
      </c>
      <c r="G24" s="45">
        <v>0.24299999999999999</v>
      </c>
      <c r="H24" s="45">
        <v>0.33429999999999999</v>
      </c>
      <c r="I24" s="43">
        <v>7.49</v>
      </c>
      <c r="J24" s="44">
        <v>7.5787500000000003</v>
      </c>
      <c r="K24" s="77">
        <v>9.0050000000000005E-2</v>
      </c>
      <c r="L24" s="47">
        <v>0.76900000000000002</v>
      </c>
      <c r="M24" s="48">
        <v>1</v>
      </c>
      <c r="N24" s="48">
        <v>0.95779999999999998</v>
      </c>
      <c r="O24" s="44">
        <v>1353</v>
      </c>
      <c r="P24" s="44">
        <v>0</v>
      </c>
      <c r="Q24" s="44" t="s">
        <v>429</v>
      </c>
    </row>
    <row r="25" spans="1:17">
      <c r="A25" s="79">
        <v>46134</v>
      </c>
      <c r="B25" s="43">
        <v>19604</v>
      </c>
      <c r="C25" s="43">
        <v>17216</v>
      </c>
      <c r="D25" s="44">
        <v>19346</v>
      </c>
      <c r="E25" s="44">
        <v>19080</v>
      </c>
      <c r="F25" s="77">
        <v>2130.2399999999998</v>
      </c>
      <c r="G25" s="45">
        <v>0.24210000000000001</v>
      </c>
      <c r="H25" s="45">
        <v>0.33310000000000001</v>
      </c>
      <c r="I25" s="43">
        <v>7.49</v>
      </c>
      <c r="J25" s="44">
        <v>7.6230000000000002</v>
      </c>
      <c r="K25" s="77">
        <v>0.1343</v>
      </c>
      <c r="L25" s="47">
        <v>0.76200000000000001</v>
      </c>
      <c r="M25" s="48">
        <v>1</v>
      </c>
      <c r="N25" s="48">
        <v>0.9506</v>
      </c>
      <c r="O25" s="44">
        <v>1600</v>
      </c>
      <c r="P25" s="44">
        <v>0</v>
      </c>
      <c r="Q25" s="44" t="s">
        <v>429</v>
      </c>
    </row>
    <row r="26" spans="1:17">
      <c r="A26" s="79">
        <v>46135</v>
      </c>
      <c r="B26" s="43">
        <v>19604</v>
      </c>
      <c r="C26" s="43">
        <v>17216</v>
      </c>
      <c r="D26" s="44">
        <v>19727</v>
      </c>
      <c r="E26" s="44">
        <v>19410</v>
      </c>
      <c r="F26" s="77">
        <v>2511.2399999999998</v>
      </c>
      <c r="G26" s="45">
        <v>0.24690000000000001</v>
      </c>
      <c r="H26" s="45">
        <v>0.3397</v>
      </c>
      <c r="I26" s="43">
        <v>7.49</v>
      </c>
      <c r="J26" s="44">
        <v>7.5322500000000003</v>
      </c>
      <c r="K26" s="77">
        <v>4.3549999999999998E-2</v>
      </c>
      <c r="L26" s="47">
        <v>0.78700000000000003</v>
      </c>
      <c r="M26" s="48">
        <v>1</v>
      </c>
      <c r="N26" s="48">
        <v>0.98080000000000001</v>
      </c>
      <c r="O26" s="44">
        <v>681</v>
      </c>
      <c r="P26" s="44">
        <v>0</v>
      </c>
      <c r="Q26" s="44" t="s">
        <v>430</v>
      </c>
    </row>
    <row r="27" spans="1:17">
      <c r="A27" s="79">
        <v>46136</v>
      </c>
      <c r="B27" s="43"/>
      <c r="C27" s="43"/>
      <c r="D27" s="44" t="s">
        <v>175</v>
      </c>
      <c r="E27" s="44" t="s">
        <v>175</v>
      </c>
      <c r="F27" s="77">
        <v>0</v>
      </c>
      <c r="G27" s="45">
        <v>0</v>
      </c>
      <c r="H27" s="45">
        <v>0</v>
      </c>
      <c r="I27" s="43"/>
      <c r="J27" s="44" t="s">
        <v>175</v>
      </c>
      <c r="K27" s="77">
        <v>0</v>
      </c>
      <c r="L27" s="46" t="e">
        <v>#DIV/0!</v>
      </c>
      <c r="M27" s="44" t="s">
        <v>175</v>
      </c>
      <c r="N27" s="44" t="s">
        <v>175</v>
      </c>
      <c r="O27" s="44" t="s">
        <v>175</v>
      </c>
      <c r="P27" s="44" t="s">
        <v>175</v>
      </c>
      <c r="Q27" s="44" t="s">
        <v>175</v>
      </c>
    </row>
    <row r="28" spans="1:17">
      <c r="A28" s="79">
        <v>46137</v>
      </c>
      <c r="B28" s="43"/>
      <c r="C28" s="43"/>
      <c r="D28" s="44" t="s">
        <v>175</v>
      </c>
      <c r="E28" s="44" t="s">
        <v>175</v>
      </c>
      <c r="F28" s="77">
        <v>0</v>
      </c>
      <c r="G28" s="45">
        <v>0</v>
      </c>
      <c r="H28" s="45">
        <v>0</v>
      </c>
      <c r="I28" s="43"/>
      <c r="J28" s="44" t="s">
        <v>175</v>
      </c>
      <c r="K28" s="77">
        <v>0</v>
      </c>
      <c r="L28" s="46" t="e">
        <v>#DIV/0!</v>
      </c>
      <c r="M28" s="44" t="s">
        <v>175</v>
      </c>
      <c r="N28" s="44" t="s">
        <v>175</v>
      </c>
      <c r="O28" s="44" t="s">
        <v>175</v>
      </c>
      <c r="P28" s="44" t="s">
        <v>175</v>
      </c>
      <c r="Q28" s="44" t="s">
        <v>175</v>
      </c>
    </row>
    <row r="29" spans="1:17">
      <c r="A29" s="79">
        <v>46138</v>
      </c>
      <c r="B29" s="43"/>
      <c r="C29" s="43"/>
      <c r="D29" s="44" t="s">
        <v>175</v>
      </c>
      <c r="E29" s="44" t="s">
        <v>175</v>
      </c>
      <c r="F29" s="77">
        <v>0</v>
      </c>
      <c r="G29" s="45">
        <v>0</v>
      </c>
      <c r="H29" s="45">
        <v>0</v>
      </c>
      <c r="I29" s="43"/>
      <c r="J29" s="44" t="s">
        <v>175</v>
      </c>
      <c r="K29" s="77">
        <v>0</v>
      </c>
      <c r="L29" s="46" t="e">
        <v>#DIV/0!</v>
      </c>
      <c r="M29" s="44" t="s">
        <v>175</v>
      </c>
      <c r="N29" s="44" t="s">
        <v>175</v>
      </c>
      <c r="O29" s="44" t="s">
        <v>175</v>
      </c>
      <c r="P29" s="44" t="s">
        <v>175</v>
      </c>
      <c r="Q29" s="44" t="s">
        <v>175</v>
      </c>
    </row>
    <row r="30" spans="1:17">
      <c r="A30" s="79">
        <v>46139</v>
      </c>
      <c r="B30" s="43"/>
      <c r="C30" s="43"/>
      <c r="D30" s="44" t="s">
        <v>175</v>
      </c>
      <c r="E30" s="44" t="s">
        <v>175</v>
      </c>
      <c r="F30" s="77">
        <v>0</v>
      </c>
      <c r="G30" s="45">
        <v>0</v>
      </c>
      <c r="H30" s="45">
        <v>0</v>
      </c>
      <c r="I30" s="43"/>
      <c r="J30" s="44" t="s">
        <v>175</v>
      </c>
      <c r="K30" s="77">
        <v>0</v>
      </c>
      <c r="L30" s="46" t="e">
        <v>#DIV/0!</v>
      </c>
      <c r="M30" s="44" t="s">
        <v>175</v>
      </c>
      <c r="N30" s="44" t="s">
        <v>175</v>
      </c>
      <c r="O30" s="44" t="s">
        <v>175</v>
      </c>
      <c r="P30" s="44" t="s">
        <v>175</v>
      </c>
      <c r="Q30" s="44" t="s">
        <v>175</v>
      </c>
    </row>
    <row r="31" spans="1:17">
      <c r="A31" s="79">
        <v>46140</v>
      </c>
      <c r="B31" s="43"/>
      <c r="C31" s="43"/>
      <c r="D31" s="44" t="s">
        <v>175</v>
      </c>
      <c r="E31" s="44" t="s">
        <v>175</v>
      </c>
      <c r="F31" s="77">
        <v>0</v>
      </c>
      <c r="G31" s="45">
        <v>0</v>
      </c>
      <c r="H31" s="45">
        <v>0</v>
      </c>
      <c r="I31" s="43"/>
      <c r="J31" s="44" t="s">
        <v>175</v>
      </c>
      <c r="K31" s="77">
        <v>0</v>
      </c>
      <c r="L31" s="46" t="e">
        <v>#DIV/0!</v>
      </c>
      <c r="M31" s="44" t="s">
        <v>175</v>
      </c>
      <c r="N31" s="44" t="s">
        <v>175</v>
      </c>
      <c r="O31" s="44" t="s">
        <v>175</v>
      </c>
      <c r="P31" s="44" t="s">
        <v>175</v>
      </c>
      <c r="Q31" s="44" t="s">
        <v>175</v>
      </c>
    </row>
    <row r="32" spans="1:17">
      <c r="A32" s="79">
        <v>46141</v>
      </c>
      <c r="B32" s="43"/>
      <c r="C32" s="43"/>
      <c r="D32" s="44" t="s">
        <v>175</v>
      </c>
      <c r="E32" s="44" t="s">
        <v>175</v>
      </c>
      <c r="F32" s="77">
        <v>0</v>
      </c>
      <c r="G32" s="45">
        <v>0</v>
      </c>
      <c r="H32" s="45">
        <v>0</v>
      </c>
      <c r="I32" s="43"/>
      <c r="J32" s="44" t="s">
        <v>175</v>
      </c>
      <c r="K32" s="77">
        <v>0</v>
      </c>
      <c r="L32" s="46" t="e">
        <v>#DIV/0!</v>
      </c>
      <c r="M32" s="44" t="s">
        <v>175</v>
      </c>
      <c r="N32" s="44" t="s">
        <v>175</v>
      </c>
      <c r="O32" s="44" t="s">
        <v>175</v>
      </c>
      <c r="P32" s="44" t="s">
        <v>175</v>
      </c>
      <c r="Q32" s="44" t="s">
        <v>175</v>
      </c>
    </row>
    <row r="33" spans="1:17">
      <c r="A33" s="79">
        <v>46142</v>
      </c>
      <c r="B33" s="43"/>
      <c r="C33" s="43"/>
      <c r="D33" s="44" t="s">
        <v>175</v>
      </c>
      <c r="E33" s="44" t="s">
        <v>175</v>
      </c>
      <c r="F33" s="77">
        <v>0</v>
      </c>
      <c r="G33" s="45">
        <v>0</v>
      </c>
      <c r="H33" s="45">
        <v>0</v>
      </c>
      <c r="I33" s="43"/>
      <c r="J33" s="44" t="s">
        <v>175</v>
      </c>
      <c r="K33" s="77">
        <v>0</v>
      </c>
      <c r="L33" s="46" t="e">
        <v>#DIV/0!</v>
      </c>
      <c r="M33" s="44" t="s">
        <v>175</v>
      </c>
      <c r="N33" s="44" t="s">
        <v>175</v>
      </c>
      <c r="O33" s="44" t="s">
        <v>175</v>
      </c>
      <c r="P33" s="44" t="s">
        <v>175</v>
      </c>
      <c r="Q33" s="44" t="s">
        <v>175</v>
      </c>
    </row>
    <row r="34" spans="1:17">
      <c r="A34" s="349">
        <v>46113</v>
      </c>
      <c r="B34" s="89">
        <f>SUM(B4:B33)</f>
        <v>450892</v>
      </c>
      <c r="C34" s="89">
        <f>SUM(C4:C33)</f>
        <v>395968</v>
      </c>
      <c r="D34" s="89">
        <f>SUM(D4:D33)</f>
        <v>405353</v>
      </c>
      <c r="E34" s="89">
        <f>SUM(E4:E33)</f>
        <v>399060</v>
      </c>
      <c r="F34" s="92">
        <f>(IF(ISBLANK(E34),0,E34-C34))/C34</f>
        <v>7.8087118150961697E-3</v>
      </c>
      <c r="G34" s="90">
        <f>AVERAGE(G4:G33)</f>
        <v>0.1691</v>
      </c>
      <c r="H34" s="90">
        <f>AVERAGE(H4:H33)</f>
        <v>0.23264333333333337</v>
      </c>
      <c r="I34" s="89">
        <f>SUM(I4:I33)</f>
        <v>172.27</v>
      </c>
      <c r="J34" s="89">
        <f>SUM(J4:J33)</f>
        <v>162.60325000000003</v>
      </c>
      <c r="K34" s="92">
        <f t="shared" ref="K34" si="0">(IF(ISBLANK(J34),0,J34-I34))/I34</f>
        <v>-5.6113949033493808E-2</v>
      </c>
      <c r="L34" s="93">
        <f t="shared" ref="L34:L66" si="1">D34/($D$2*J34)</f>
        <v>0.7487973243423881</v>
      </c>
      <c r="M34" s="90">
        <f>AVERAGE(M4:M33)</f>
        <v>0.99139565217391301</v>
      </c>
      <c r="N34" s="90">
        <f>AVERAGE(N4:N33)</f>
        <v>0.9428260869565217</v>
      </c>
      <c r="O34" s="89">
        <f>SUM(O4:O33)</f>
        <v>34334</v>
      </c>
      <c r="P34" s="89">
        <f>SUM(P4:P33)</f>
        <v>3447</v>
      </c>
      <c r="Q34" s="80" t="s">
        <v>175</v>
      </c>
    </row>
    <row r="35" spans="1:17">
      <c r="A35" s="13">
        <v>46143</v>
      </c>
      <c r="B35" s="127"/>
      <c r="C35" s="127"/>
      <c r="D35" s="33"/>
      <c r="E35" s="33"/>
      <c r="F35" s="20" t="e">
        <f>(IF(ISBLANK(E35),0,E35-C35))/C35</f>
        <v>#DIV/0!</v>
      </c>
      <c r="G35" s="2">
        <f t="shared" ref="G35:G57" si="2">D35/($D$2*24)</f>
        <v>0</v>
      </c>
      <c r="H35" s="2">
        <f t="shared" ref="H35:H61" si="3">D35/($H$2*24)</f>
        <v>0</v>
      </c>
      <c r="I35" s="28"/>
      <c r="J35" s="33"/>
      <c r="K35" s="20" t="e">
        <f>(IF(ISBLANK(J35),0,J35-I35))/I35</f>
        <v>#DIV/0!</v>
      </c>
      <c r="L35" s="4" t="e">
        <f t="shared" si="1"/>
        <v>#DIV/0!</v>
      </c>
      <c r="M35" s="103"/>
      <c r="N35" s="103"/>
      <c r="O35" s="33"/>
      <c r="P35" s="6"/>
      <c r="Q35" s="6"/>
    </row>
    <row r="36" spans="1:17">
      <c r="A36" s="13">
        <f>A35+1</f>
        <v>46144</v>
      </c>
      <c r="B36" s="127"/>
      <c r="C36" s="127"/>
      <c r="D36" s="34"/>
      <c r="E36" s="34"/>
      <c r="F36" s="20" t="e">
        <f t="shared" ref="F36:F54" si="4">(IF(ISBLANK(E36),0,E36-C36))/C36</f>
        <v>#DIV/0!</v>
      </c>
      <c r="G36" s="2">
        <f t="shared" si="2"/>
        <v>0</v>
      </c>
      <c r="H36" s="2">
        <f t="shared" si="3"/>
        <v>0</v>
      </c>
      <c r="I36" s="29"/>
      <c r="J36" s="34"/>
      <c r="K36" s="20" t="e">
        <f t="shared" ref="K36:K54" si="5">(IF(ISBLANK(J36),0,J36-I36))/I36</f>
        <v>#DIV/0!</v>
      </c>
      <c r="L36" s="4" t="e">
        <f t="shared" si="1"/>
        <v>#DIV/0!</v>
      </c>
      <c r="M36" s="103"/>
      <c r="N36" s="103"/>
      <c r="O36" s="34"/>
      <c r="P36" s="6"/>
      <c r="Q36" s="6"/>
    </row>
    <row r="37" spans="1:17">
      <c r="A37" s="13">
        <f t="shared" ref="A37:A65" si="6">A36+1</f>
        <v>46145</v>
      </c>
      <c r="B37" s="127"/>
      <c r="C37" s="127"/>
      <c r="D37" s="34"/>
      <c r="E37" s="34"/>
      <c r="F37" s="20" t="e">
        <f t="shared" si="4"/>
        <v>#DIV/0!</v>
      </c>
      <c r="G37" s="2">
        <f t="shared" si="2"/>
        <v>0</v>
      </c>
      <c r="H37" s="2">
        <f t="shared" si="3"/>
        <v>0</v>
      </c>
      <c r="I37" s="29"/>
      <c r="J37" s="34"/>
      <c r="K37" s="20" t="e">
        <f t="shared" si="5"/>
        <v>#DIV/0!</v>
      </c>
      <c r="L37" s="4" t="e">
        <f t="shared" si="1"/>
        <v>#DIV/0!</v>
      </c>
      <c r="M37" s="103"/>
      <c r="N37" s="104"/>
      <c r="O37" s="34"/>
      <c r="P37" s="6"/>
      <c r="Q37" s="6"/>
    </row>
    <row r="38" spans="1:17">
      <c r="A38" s="13">
        <f t="shared" si="6"/>
        <v>46146</v>
      </c>
      <c r="B38" s="127"/>
      <c r="C38" s="127"/>
      <c r="D38" s="34"/>
      <c r="E38" s="34"/>
      <c r="F38" s="20" t="e">
        <f t="shared" si="4"/>
        <v>#DIV/0!</v>
      </c>
      <c r="G38" s="2">
        <f t="shared" si="2"/>
        <v>0</v>
      </c>
      <c r="H38" s="2">
        <f t="shared" si="3"/>
        <v>0</v>
      </c>
      <c r="I38" s="29"/>
      <c r="J38" s="34"/>
      <c r="K38" s="20" t="e">
        <f t="shared" si="5"/>
        <v>#DIV/0!</v>
      </c>
      <c r="L38" s="4" t="e">
        <f t="shared" si="1"/>
        <v>#DIV/0!</v>
      </c>
      <c r="M38" s="103"/>
      <c r="N38" s="103"/>
      <c r="O38" s="34"/>
      <c r="P38" s="6"/>
      <c r="Q38" s="14"/>
    </row>
    <row r="39" spans="1:17">
      <c r="A39" s="13">
        <f t="shared" si="6"/>
        <v>46147</v>
      </c>
      <c r="B39" s="127"/>
      <c r="C39" s="127"/>
      <c r="D39" s="34"/>
      <c r="E39" s="34"/>
      <c r="F39" s="20" t="e">
        <f t="shared" si="4"/>
        <v>#DIV/0!</v>
      </c>
      <c r="G39" s="2">
        <f t="shared" si="2"/>
        <v>0</v>
      </c>
      <c r="H39" s="2">
        <f t="shared" si="3"/>
        <v>0</v>
      </c>
      <c r="I39" s="29"/>
      <c r="J39" s="34"/>
      <c r="K39" s="20" t="e">
        <f t="shared" si="5"/>
        <v>#DIV/0!</v>
      </c>
      <c r="L39" s="4" t="e">
        <f t="shared" si="1"/>
        <v>#DIV/0!</v>
      </c>
      <c r="M39" s="103"/>
      <c r="N39" s="103"/>
      <c r="O39" s="34"/>
      <c r="P39" s="6"/>
      <c r="Q39" s="14"/>
    </row>
    <row r="40" spans="1:17">
      <c r="A40" s="13">
        <f t="shared" si="6"/>
        <v>46148</v>
      </c>
      <c r="B40" s="127"/>
      <c r="C40" s="127"/>
      <c r="D40" s="34"/>
      <c r="E40" s="34"/>
      <c r="F40" s="20" t="e">
        <f t="shared" si="4"/>
        <v>#DIV/0!</v>
      </c>
      <c r="G40" s="2">
        <f t="shared" si="2"/>
        <v>0</v>
      </c>
      <c r="H40" s="2">
        <f t="shared" si="3"/>
        <v>0</v>
      </c>
      <c r="I40" s="29"/>
      <c r="J40" s="34"/>
      <c r="K40" s="20" t="e">
        <f t="shared" si="5"/>
        <v>#DIV/0!</v>
      </c>
      <c r="L40" s="4" t="e">
        <f t="shared" si="1"/>
        <v>#DIV/0!</v>
      </c>
      <c r="M40" s="103"/>
      <c r="N40" s="103"/>
      <c r="O40" s="34"/>
      <c r="P40" s="6"/>
      <c r="Q40" s="14"/>
    </row>
    <row r="41" spans="1:17">
      <c r="A41" s="13">
        <f t="shared" si="6"/>
        <v>46149</v>
      </c>
      <c r="B41" s="127"/>
      <c r="C41" s="127"/>
      <c r="D41" s="34"/>
      <c r="E41" s="34"/>
      <c r="F41" s="20" t="e">
        <f t="shared" si="4"/>
        <v>#DIV/0!</v>
      </c>
      <c r="G41" s="2">
        <f t="shared" si="2"/>
        <v>0</v>
      </c>
      <c r="H41" s="2">
        <f t="shared" si="3"/>
        <v>0</v>
      </c>
      <c r="I41" s="29"/>
      <c r="J41" s="34"/>
      <c r="K41" s="20" t="e">
        <f t="shared" si="5"/>
        <v>#DIV/0!</v>
      </c>
      <c r="L41" s="4" t="e">
        <f t="shared" si="1"/>
        <v>#DIV/0!</v>
      </c>
      <c r="M41" s="103"/>
      <c r="N41" s="103"/>
      <c r="O41" s="34"/>
      <c r="P41" s="6"/>
      <c r="Q41" s="202"/>
    </row>
    <row r="42" spans="1:17">
      <c r="A42" s="13">
        <f t="shared" si="6"/>
        <v>46150</v>
      </c>
      <c r="B42" s="127"/>
      <c r="C42" s="127"/>
      <c r="D42" s="34"/>
      <c r="E42" s="34"/>
      <c r="F42" s="20" t="e">
        <f t="shared" si="4"/>
        <v>#DIV/0!</v>
      </c>
      <c r="G42" s="2">
        <f t="shared" si="2"/>
        <v>0</v>
      </c>
      <c r="H42" s="2">
        <f t="shared" si="3"/>
        <v>0</v>
      </c>
      <c r="I42" s="29"/>
      <c r="J42" s="34"/>
      <c r="K42" s="20" t="e">
        <f t="shared" si="5"/>
        <v>#DIV/0!</v>
      </c>
      <c r="L42" s="4" t="e">
        <f t="shared" si="1"/>
        <v>#DIV/0!</v>
      </c>
      <c r="M42" s="103"/>
      <c r="N42" s="103"/>
      <c r="O42" s="34"/>
      <c r="P42" s="6"/>
      <c r="Q42" s="14"/>
    </row>
    <row r="43" spans="1:17">
      <c r="A43" s="13">
        <f t="shared" si="6"/>
        <v>46151</v>
      </c>
      <c r="B43" s="127"/>
      <c r="C43" s="127"/>
      <c r="D43" s="34"/>
      <c r="E43" s="34"/>
      <c r="F43" s="20" t="e">
        <f t="shared" si="4"/>
        <v>#DIV/0!</v>
      </c>
      <c r="G43" s="2">
        <f t="shared" si="2"/>
        <v>0</v>
      </c>
      <c r="H43" s="2">
        <f t="shared" si="3"/>
        <v>0</v>
      </c>
      <c r="I43" s="29"/>
      <c r="J43" s="34"/>
      <c r="K43" s="20" t="e">
        <f t="shared" si="5"/>
        <v>#DIV/0!</v>
      </c>
      <c r="L43" s="4" t="e">
        <f t="shared" si="1"/>
        <v>#DIV/0!</v>
      </c>
      <c r="M43" s="103"/>
      <c r="N43" s="103"/>
      <c r="O43" s="34"/>
      <c r="P43" s="6"/>
      <c r="Q43" s="6"/>
    </row>
    <row r="44" spans="1:17">
      <c r="A44" s="13">
        <f t="shared" si="6"/>
        <v>46152</v>
      </c>
      <c r="B44" s="127"/>
      <c r="C44" s="127"/>
      <c r="D44" s="34"/>
      <c r="E44" s="34"/>
      <c r="F44" s="20" t="e">
        <f t="shared" si="4"/>
        <v>#DIV/0!</v>
      </c>
      <c r="G44" s="2">
        <f t="shared" si="2"/>
        <v>0</v>
      </c>
      <c r="H44" s="2">
        <f t="shared" si="3"/>
        <v>0</v>
      </c>
      <c r="I44" s="29"/>
      <c r="J44" s="34"/>
      <c r="K44" s="20" t="e">
        <f t="shared" si="5"/>
        <v>#DIV/0!</v>
      </c>
      <c r="L44" s="4" t="e">
        <f t="shared" si="1"/>
        <v>#DIV/0!</v>
      </c>
      <c r="M44" s="103"/>
      <c r="N44" s="103"/>
      <c r="O44" s="34"/>
      <c r="P44" s="6"/>
      <c r="Q44" s="16"/>
    </row>
    <row r="45" spans="1:17">
      <c r="A45" s="13">
        <f t="shared" si="6"/>
        <v>46153</v>
      </c>
      <c r="B45" s="127"/>
      <c r="C45" s="127"/>
      <c r="D45" s="34"/>
      <c r="E45" s="34"/>
      <c r="F45" s="20" t="e">
        <f t="shared" si="4"/>
        <v>#DIV/0!</v>
      </c>
      <c r="G45" s="2">
        <f t="shared" si="2"/>
        <v>0</v>
      </c>
      <c r="H45" s="2">
        <f t="shared" si="3"/>
        <v>0</v>
      </c>
      <c r="I45" s="29"/>
      <c r="J45" s="34"/>
      <c r="K45" s="20" t="e">
        <f t="shared" si="5"/>
        <v>#DIV/0!</v>
      </c>
      <c r="L45" s="4" t="e">
        <f t="shared" si="1"/>
        <v>#DIV/0!</v>
      </c>
      <c r="M45" s="103"/>
      <c r="N45" s="103"/>
      <c r="O45" s="34"/>
      <c r="P45" s="6"/>
      <c r="Q45" s="6"/>
    </row>
    <row r="46" spans="1:17">
      <c r="A46" s="13">
        <f t="shared" si="6"/>
        <v>46154</v>
      </c>
      <c r="B46" s="127"/>
      <c r="C46" s="127"/>
      <c r="D46" s="34"/>
      <c r="E46" s="34"/>
      <c r="F46" s="20" t="e">
        <f t="shared" si="4"/>
        <v>#DIV/0!</v>
      </c>
      <c r="G46" s="2">
        <f t="shared" si="2"/>
        <v>0</v>
      </c>
      <c r="H46" s="2">
        <f t="shared" si="3"/>
        <v>0</v>
      </c>
      <c r="I46" s="29"/>
      <c r="J46" s="34"/>
      <c r="K46" s="20" t="e">
        <f t="shared" si="5"/>
        <v>#DIV/0!</v>
      </c>
      <c r="L46" s="4" t="e">
        <f t="shared" si="1"/>
        <v>#DIV/0!</v>
      </c>
      <c r="M46" s="104"/>
      <c r="N46" s="103"/>
      <c r="O46" s="34"/>
      <c r="P46" s="6"/>
      <c r="Q46" s="6"/>
    </row>
    <row r="47" spans="1:17">
      <c r="A47" s="13">
        <f t="shared" si="6"/>
        <v>46155</v>
      </c>
      <c r="B47" s="127"/>
      <c r="C47" s="127"/>
      <c r="D47" s="34"/>
      <c r="E47" s="34"/>
      <c r="F47" s="20" t="e">
        <f t="shared" si="4"/>
        <v>#DIV/0!</v>
      </c>
      <c r="G47" s="2">
        <f t="shared" si="2"/>
        <v>0</v>
      </c>
      <c r="H47" s="2">
        <f t="shared" si="3"/>
        <v>0</v>
      </c>
      <c r="I47" s="29"/>
      <c r="J47" s="34"/>
      <c r="K47" s="20" t="e">
        <f t="shared" si="5"/>
        <v>#DIV/0!</v>
      </c>
      <c r="L47" s="4" t="e">
        <f t="shared" si="1"/>
        <v>#DIV/0!</v>
      </c>
      <c r="M47" s="104"/>
      <c r="N47" s="103"/>
      <c r="O47" s="34"/>
      <c r="P47" s="6"/>
      <c r="Q47" s="31"/>
    </row>
    <row r="48" spans="1:17">
      <c r="A48" s="13">
        <f t="shared" si="6"/>
        <v>46156</v>
      </c>
      <c r="B48" s="127"/>
      <c r="C48" s="127"/>
      <c r="D48" s="34"/>
      <c r="E48" s="34"/>
      <c r="F48" s="20" t="e">
        <f t="shared" si="4"/>
        <v>#DIV/0!</v>
      </c>
      <c r="G48" s="2">
        <f t="shared" si="2"/>
        <v>0</v>
      </c>
      <c r="H48" s="2">
        <f t="shared" si="3"/>
        <v>0</v>
      </c>
      <c r="I48" s="29"/>
      <c r="J48" s="34"/>
      <c r="K48" s="20" t="e">
        <f t="shared" si="5"/>
        <v>#DIV/0!</v>
      </c>
      <c r="L48" s="4" t="e">
        <f t="shared" si="1"/>
        <v>#DIV/0!</v>
      </c>
      <c r="M48" s="104"/>
      <c r="N48" s="103"/>
      <c r="O48" s="34"/>
      <c r="P48" s="6"/>
      <c r="Q48" s="32"/>
    </row>
    <row r="49" spans="1:17">
      <c r="A49" s="13">
        <f t="shared" si="6"/>
        <v>46157</v>
      </c>
      <c r="B49" s="127"/>
      <c r="C49" s="127"/>
      <c r="D49" s="34"/>
      <c r="E49" s="34"/>
      <c r="F49" s="20" t="e">
        <f t="shared" si="4"/>
        <v>#DIV/0!</v>
      </c>
      <c r="G49" s="2">
        <f t="shared" si="2"/>
        <v>0</v>
      </c>
      <c r="H49" s="2">
        <f t="shared" si="3"/>
        <v>0</v>
      </c>
      <c r="I49" s="29"/>
      <c r="J49" s="34"/>
      <c r="K49" s="20" t="e">
        <f t="shared" si="5"/>
        <v>#DIV/0!</v>
      </c>
      <c r="L49" s="4" t="e">
        <f t="shared" si="1"/>
        <v>#DIV/0!</v>
      </c>
      <c r="M49" s="104"/>
      <c r="N49" s="103"/>
      <c r="O49" s="34"/>
      <c r="P49" s="6"/>
      <c r="Q49" s="32"/>
    </row>
    <row r="50" spans="1:17">
      <c r="A50" s="13">
        <f t="shared" si="6"/>
        <v>46158</v>
      </c>
      <c r="B50" s="127"/>
      <c r="C50" s="127"/>
      <c r="D50" s="34"/>
      <c r="E50" s="34"/>
      <c r="F50" s="20" t="e">
        <f t="shared" si="4"/>
        <v>#DIV/0!</v>
      </c>
      <c r="G50" s="2">
        <f t="shared" si="2"/>
        <v>0</v>
      </c>
      <c r="H50" s="2">
        <f t="shared" si="3"/>
        <v>0</v>
      </c>
      <c r="I50" s="29"/>
      <c r="J50" s="34"/>
      <c r="K50" s="20" t="e">
        <f t="shared" si="5"/>
        <v>#DIV/0!</v>
      </c>
      <c r="L50" s="4" t="e">
        <f t="shared" si="1"/>
        <v>#DIV/0!</v>
      </c>
      <c r="M50" s="104"/>
      <c r="N50" s="103"/>
      <c r="O50" s="34"/>
      <c r="P50" s="6"/>
      <c r="Q50" s="32"/>
    </row>
    <row r="51" spans="1:17">
      <c r="A51" s="13">
        <f t="shared" si="6"/>
        <v>46159</v>
      </c>
      <c r="B51" s="127"/>
      <c r="C51" s="127"/>
      <c r="D51" s="34"/>
      <c r="E51" s="34"/>
      <c r="F51" s="20" t="e">
        <f t="shared" si="4"/>
        <v>#DIV/0!</v>
      </c>
      <c r="G51" s="2">
        <f t="shared" si="2"/>
        <v>0</v>
      </c>
      <c r="H51" s="2">
        <f t="shared" si="3"/>
        <v>0</v>
      </c>
      <c r="I51" s="29"/>
      <c r="J51" s="34"/>
      <c r="K51" s="20" t="e">
        <f t="shared" si="5"/>
        <v>#DIV/0!</v>
      </c>
      <c r="L51" s="4" t="e">
        <f t="shared" si="1"/>
        <v>#DIV/0!</v>
      </c>
      <c r="M51" s="103"/>
      <c r="N51" s="103"/>
      <c r="O51" s="34"/>
      <c r="P51" s="6"/>
      <c r="Q51" s="6"/>
    </row>
    <row r="52" spans="1:17">
      <c r="A52" s="13">
        <f t="shared" si="6"/>
        <v>46160</v>
      </c>
      <c r="B52" s="127"/>
      <c r="C52" s="127"/>
      <c r="D52" s="34"/>
      <c r="E52" s="34"/>
      <c r="F52" s="20" t="e">
        <f t="shared" si="4"/>
        <v>#DIV/0!</v>
      </c>
      <c r="G52" s="2">
        <f t="shared" si="2"/>
        <v>0</v>
      </c>
      <c r="H52" s="2">
        <f t="shared" si="3"/>
        <v>0</v>
      </c>
      <c r="I52" s="29"/>
      <c r="J52" s="34"/>
      <c r="K52" s="20" t="e">
        <f t="shared" si="5"/>
        <v>#DIV/0!</v>
      </c>
      <c r="L52" s="4" t="e">
        <f t="shared" si="1"/>
        <v>#DIV/0!</v>
      </c>
      <c r="M52" s="103"/>
      <c r="N52" s="103"/>
      <c r="O52" s="34"/>
      <c r="P52" s="6"/>
      <c r="Q52" s="14"/>
    </row>
    <row r="53" spans="1:17">
      <c r="A53" s="13">
        <f t="shared" si="6"/>
        <v>46161</v>
      </c>
      <c r="B53" s="127"/>
      <c r="C53" s="127"/>
      <c r="D53" s="34"/>
      <c r="E53" s="34"/>
      <c r="F53" s="20" t="e">
        <f t="shared" si="4"/>
        <v>#DIV/0!</v>
      </c>
      <c r="G53" s="2">
        <f t="shared" si="2"/>
        <v>0</v>
      </c>
      <c r="H53" s="2">
        <f t="shared" si="3"/>
        <v>0</v>
      </c>
      <c r="I53" s="29"/>
      <c r="J53" s="34"/>
      <c r="K53" s="20" t="e">
        <f t="shared" si="5"/>
        <v>#DIV/0!</v>
      </c>
      <c r="L53" s="4" t="e">
        <f t="shared" si="1"/>
        <v>#DIV/0!</v>
      </c>
      <c r="M53" s="103"/>
      <c r="N53" s="103"/>
      <c r="O53" s="34"/>
      <c r="P53" s="6"/>
      <c r="Q53" s="14"/>
    </row>
    <row r="54" spans="1:17">
      <c r="A54" s="13">
        <f t="shared" si="6"/>
        <v>46162</v>
      </c>
      <c r="B54" s="127"/>
      <c r="C54" s="127"/>
      <c r="D54" s="34"/>
      <c r="E54" s="34"/>
      <c r="F54" s="20" t="e">
        <f t="shared" si="4"/>
        <v>#DIV/0!</v>
      </c>
      <c r="G54" s="2">
        <f t="shared" si="2"/>
        <v>0</v>
      </c>
      <c r="H54" s="2">
        <f t="shared" si="3"/>
        <v>0</v>
      </c>
      <c r="I54" s="29"/>
      <c r="J54" s="34"/>
      <c r="K54" s="20" t="e">
        <f t="shared" si="5"/>
        <v>#DIV/0!</v>
      </c>
      <c r="L54" s="4" t="e">
        <f t="shared" si="1"/>
        <v>#DIV/0!</v>
      </c>
      <c r="M54" s="103"/>
      <c r="N54" s="103"/>
      <c r="O54" s="34"/>
      <c r="P54" s="6"/>
      <c r="Q54" s="14"/>
    </row>
    <row r="55" spans="1:17">
      <c r="A55" s="13">
        <f t="shared" si="6"/>
        <v>46163</v>
      </c>
      <c r="B55" s="127"/>
      <c r="C55" s="127"/>
      <c r="D55" s="34"/>
      <c r="E55" s="34"/>
      <c r="F55" s="20" t="e">
        <f>(IF(ISBLANK(E55),0,E55-C55))/C55</f>
        <v>#DIV/0!</v>
      </c>
      <c r="G55" s="2">
        <f t="shared" si="2"/>
        <v>0</v>
      </c>
      <c r="H55" s="2">
        <f t="shared" si="3"/>
        <v>0</v>
      </c>
      <c r="I55" s="29"/>
      <c r="J55" s="34"/>
      <c r="K55" s="20" t="e">
        <f>(IF(ISBLANK(J55),0,J55-I55))/I55</f>
        <v>#DIV/0!</v>
      </c>
      <c r="L55" s="4" t="e">
        <f t="shared" si="1"/>
        <v>#DIV/0!</v>
      </c>
      <c r="M55" s="103"/>
      <c r="N55" s="103"/>
      <c r="O55" s="34"/>
      <c r="P55" s="6"/>
      <c r="Q55" s="6"/>
    </row>
    <row r="56" spans="1:17">
      <c r="A56" s="13">
        <f t="shared" si="6"/>
        <v>46164</v>
      </c>
      <c r="B56" s="127"/>
      <c r="C56" s="127"/>
      <c r="D56" s="34"/>
      <c r="E56" s="34"/>
      <c r="F56" s="20" t="e">
        <f t="shared" ref="F56:F65" si="7">(IF(ISBLANK(E56),0,E56-C56))/C56</f>
        <v>#DIV/0!</v>
      </c>
      <c r="G56" s="2">
        <f t="shared" si="2"/>
        <v>0</v>
      </c>
      <c r="H56" s="2">
        <f t="shared" si="3"/>
        <v>0</v>
      </c>
      <c r="I56" s="29"/>
      <c r="J56" s="34"/>
      <c r="K56" s="20" t="e">
        <f t="shared" ref="K56:K65" si="8">(IF(ISBLANK(J56),0,J56-I56))/I56</f>
        <v>#DIV/0!</v>
      </c>
      <c r="L56" s="4" t="e">
        <f t="shared" si="1"/>
        <v>#DIV/0!</v>
      </c>
      <c r="M56" s="103"/>
      <c r="N56" s="103"/>
      <c r="O56" s="34"/>
      <c r="P56" s="6"/>
      <c r="Q56" s="6"/>
    </row>
    <row r="57" spans="1:17">
      <c r="A57" s="13">
        <f t="shared" si="6"/>
        <v>46165</v>
      </c>
      <c r="B57" s="127"/>
      <c r="C57" s="127"/>
      <c r="D57" s="14"/>
      <c r="E57" s="14"/>
      <c r="F57" s="20" t="e">
        <f t="shared" si="7"/>
        <v>#DIV/0!</v>
      </c>
      <c r="G57" s="2">
        <f t="shared" si="2"/>
        <v>0</v>
      </c>
      <c r="H57" s="2">
        <f t="shared" si="3"/>
        <v>0</v>
      </c>
      <c r="I57" s="29"/>
      <c r="J57" s="14"/>
      <c r="K57" s="20" t="e">
        <f t="shared" si="8"/>
        <v>#DIV/0!</v>
      </c>
      <c r="L57" s="4" t="e">
        <f t="shared" si="1"/>
        <v>#DIV/0!</v>
      </c>
      <c r="M57" s="103"/>
      <c r="N57" s="103"/>
      <c r="O57" s="34"/>
      <c r="P57" s="6"/>
      <c r="Q57" s="6"/>
    </row>
    <row r="58" spans="1:17">
      <c r="A58" s="13">
        <f t="shared" si="6"/>
        <v>46166</v>
      </c>
      <c r="B58" s="127"/>
      <c r="C58" s="127"/>
      <c r="D58" s="14"/>
      <c r="E58" s="14"/>
      <c r="F58" s="20" t="e">
        <f t="shared" si="7"/>
        <v>#DIV/0!</v>
      </c>
      <c r="G58" s="2">
        <f t="shared" ref="G58:G65" si="9">D58/($D$2*24)</f>
        <v>0</v>
      </c>
      <c r="H58" s="2">
        <f t="shared" si="3"/>
        <v>0</v>
      </c>
      <c r="I58" s="29"/>
      <c r="J58" s="14"/>
      <c r="K58" s="20" t="e">
        <f t="shared" si="8"/>
        <v>#DIV/0!</v>
      </c>
      <c r="L58" s="4" t="e">
        <f t="shared" si="1"/>
        <v>#DIV/0!</v>
      </c>
      <c r="M58" s="103"/>
      <c r="N58" s="103"/>
      <c r="O58" s="34"/>
      <c r="P58" s="6"/>
      <c r="Q58" s="288"/>
    </row>
    <row r="59" spans="1:17">
      <c r="A59" s="13">
        <f t="shared" si="6"/>
        <v>46167</v>
      </c>
      <c r="B59" s="1"/>
      <c r="C59" s="1"/>
      <c r="D59" s="14"/>
      <c r="E59" s="14"/>
      <c r="F59" s="20" t="e">
        <f t="shared" si="7"/>
        <v>#DIV/0!</v>
      </c>
      <c r="G59" s="2">
        <f t="shared" si="9"/>
        <v>0</v>
      </c>
      <c r="H59" s="2">
        <f t="shared" si="3"/>
        <v>0</v>
      </c>
      <c r="I59" s="29"/>
      <c r="J59" s="14"/>
      <c r="K59" s="20" t="e">
        <f t="shared" si="8"/>
        <v>#DIV/0!</v>
      </c>
      <c r="L59" s="4" t="e">
        <f t="shared" si="1"/>
        <v>#DIV/0!</v>
      </c>
      <c r="M59" s="103"/>
      <c r="N59" s="103"/>
      <c r="O59" s="34"/>
      <c r="P59" s="155"/>
      <c r="Q59" s="6"/>
    </row>
    <row r="60" spans="1:17">
      <c r="A60" s="13">
        <f t="shared" si="6"/>
        <v>46168</v>
      </c>
      <c r="B60" s="1"/>
      <c r="C60" s="1"/>
      <c r="D60" s="14"/>
      <c r="E60" s="14"/>
      <c r="F60" s="20" t="e">
        <f t="shared" si="7"/>
        <v>#DIV/0!</v>
      </c>
      <c r="G60" s="2">
        <f t="shared" si="9"/>
        <v>0</v>
      </c>
      <c r="H60" s="2">
        <f t="shared" si="3"/>
        <v>0</v>
      </c>
      <c r="I60" s="29"/>
      <c r="J60" s="14"/>
      <c r="K60" s="20" t="e">
        <f t="shared" si="8"/>
        <v>#DIV/0!</v>
      </c>
      <c r="L60" s="4" t="e">
        <f t="shared" si="1"/>
        <v>#DIV/0!</v>
      </c>
      <c r="M60" s="103"/>
      <c r="N60" s="103"/>
      <c r="O60" s="34"/>
      <c r="P60" s="6"/>
      <c r="Q60" s="123"/>
    </row>
    <row r="61" spans="1:17">
      <c r="A61" s="13">
        <f t="shared" si="6"/>
        <v>46169</v>
      </c>
      <c r="B61" s="1"/>
      <c r="C61" s="1"/>
      <c r="D61" s="14"/>
      <c r="E61" s="14"/>
      <c r="F61" s="20" t="e">
        <f t="shared" si="7"/>
        <v>#DIV/0!</v>
      </c>
      <c r="G61" s="2">
        <f t="shared" si="9"/>
        <v>0</v>
      </c>
      <c r="H61" s="2">
        <f t="shared" si="3"/>
        <v>0</v>
      </c>
      <c r="I61" s="29"/>
      <c r="J61" s="14"/>
      <c r="K61" s="20" t="e">
        <f t="shared" si="8"/>
        <v>#DIV/0!</v>
      </c>
      <c r="L61" s="4" t="e">
        <f t="shared" si="1"/>
        <v>#DIV/0!</v>
      </c>
      <c r="M61" s="103"/>
      <c r="N61" s="103"/>
      <c r="O61" s="34"/>
      <c r="P61" s="6"/>
      <c r="Q61" s="6"/>
    </row>
    <row r="62" spans="1:17">
      <c r="A62" s="13">
        <f t="shared" si="6"/>
        <v>46170</v>
      </c>
      <c r="B62" s="1"/>
      <c r="C62" s="1"/>
      <c r="D62" s="14"/>
      <c r="E62" s="14"/>
      <c r="F62" s="20" t="e">
        <f t="shared" si="7"/>
        <v>#DIV/0!</v>
      </c>
      <c r="G62" s="2">
        <f t="shared" si="9"/>
        <v>0</v>
      </c>
      <c r="H62" s="2">
        <f t="shared" ref="H62:H65" si="10">D62/($H$2*24)</f>
        <v>0</v>
      </c>
      <c r="I62" s="29"/>
      <c r="J62" s="14"/>
      <c r="K62" s="20" t="e">
        <f t="shared" si="8"/>
        <v>#DIV/0!</v>
      </c>
      <c r="L62" s="4" t="e">
        <f t="shared" si="1"/>
        <v>#DIV/0!</v>
      </c>
      <c r="M62" s="103"/>
      <c r="N62" s="103"/>
      <c r="O62" s="34"/>
      <c r="P62" s="6"/>
      <c r="Q62" s="6"/>
    </row>
    <row r="63" spans="1:17">
      <c r="A63" s="13">
        <f t="shared" si="6"/>
        <v>46171</v>
      </c>
      <c r="B63" s="1"/>
      <c r="C63" s="1"/>
      <c r="D63" s="14"/>
      <c r="E63" s="14"/>
      <c r="F63" s="20" t="e">
        <f t="shared" si="7"/>
        <v>#DIV/0!</v>
      </c>
      <c r="G63" s="2">
        <f t="shared" si="9"/>
        <v>0</v>
      </c>
      <c r="H63" s="2">
        <f t="shared" si="10"/>
        <v>0</v>
      </c>
      <c r="I63" s="29"/>
      <c r="J63" s="14"/>
      <c r="K63" s="20" t="e">
        <f t="shared" si="8"/>
        <v>#DIV/0!</v>
      </c>
      <c r="L63" s="4" t="e">
        <f t="shared" si="1"/>
        <v>#DIV/0!</v>
      </c>
      <c r="M63" s="103"/>
      <c r="N63" s="103"/>
      <c r="O63" s="34"/>
      <c r="P63" s="6"/>
      <c r="Q63" s="6"/>
    </row>
    <row r="64" spans="1:17">
      <c r="A64" s="13">
        <f t="shared" si="6"/>
        <v>46172</v>
      </c>
      <c r="B64" s="1"/>
      <c r="C64" s="1"/>
      <c r="D64" s="14"/>
      <c r="E64" s="14"/>
      <c r="F64" s="20" t="e">
        <f t="shared" si="7"/>
        <v>#DIV/0!</v>
      </c>
      <c r="G64" s="2">
        <f t="shared" si="9"/>
        <v>0</v>
      </c>
      <c r="H64" s="2">
        <f t="shared" si="10"/>
        <v>0</v>
      </c>
      <c r="I64" s="29"/>
      <c r="J64" s="14"/>
      <c r="K64" s="20" t="e">
        <f t="shared" si="8"/>
        <v>#DIV/0!</v>
      </c>
      <c r="L64" s="4" t="e">
        <f t="shared" si="1"/>
        <v>#DIV/0!</v>
      </c>
      <c r="M64" s="103"/>
      <c r="N64" s="103"/>
      <c r="O64" s="34"/>
      <c r="P64" s="6"/>
      <c r="Q64" s="6"/>
    </row>
    <row r="65" spans="1:17">
      <c r="A65" s="13">
        <f t="shared" si="6"/>
        <v>46173</v>
      </c>
      <c r="B65" s="1"/>
      <c r="C65" s="1"/>
      <c r="D65" s="14"/>
      <c r="E65" s="14"/>
      <c r="F65" s="20" t="e">
        <f t="shared" si="7"/>
        <v>#DIV/0!</v>
      </c>
      <c r="G65" s="2">
        <f t="shared" si="9"/>
        <v>0</v>
      </c>
      <c r="H65" s="2">
        <f t="shared" si="10"/>
        <v>0</v>
      </c>
      <c r="I65" s="29"/>
      <c r="J65" s="14"/>
      <c r="K65" s="20" t="e">
        <f t="shared" si="8"/>
        <v>#DIV/0!</v>
      </c>
      <c r="L65" s="4" t="e">
        <f t="shared" si="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CC34-4C31-44FA-8A9A-4EB4908A9911}">
  <dimension ref="A1:Q66"/>
  <sheetViews>
    <sheetView topLeftCell="A18" workbookViewId="0">
      <selection activeCell="A34" sqref="A34"/>
    </sheetView>
  </sheetViews>
  <sheetFormatPr defaultColWidth="14.54296875" defaultRowHeight="14.5"/>
  <sheetData>
    <row r="1" spans="1:17" ht="18.5">
      <c r="A1" s="417" t="s">
        <v>431</v>
      </c>
      <c r="B1" s="418"/>
      <c r="C1" s="418"/>
      <c r="D1" s="418"/>
      <c r="E1" s="418"/>
      <c r="F1" s="418"/>
      <c r="G1" s="418"/>
      <c r="H1" s="418"/>
      <c r="I1" s="418"/>
      <c r="J1" s="418"/>
      <c r="K1" s="418"/>
      <c r="L1" s="418"/>
      <c r="M1" s="418"/>
      <c r="N1" s="418"/>
      <c r="O1" s="418"/>
      <c r="P1" s="418"/>
      <c r="Q1" s="418"/>
    </row>
    <row r="2" spans="1:17" ht="18.5">
      <c r="A2" s="69">
        <v>46138</v>
      </c>
      <c r="B2" s="415" t="s">
        <v>172</v>
      </c>
      <c r="C2" s="416"/>
      <c r="D2" s="70">
        <v>1800.7</v>
      </c>
      <c r="E2" s="415" t="s">
        <v>173</v>
      </c>
      <c r="F2" s="415"/>
      <c r="G2" s="416"/>
      <c r="H2" s="70">
        <v>1540</v>
      </c>
      <c r="I2" s="415" t="s">
        <v>174</v>
      </c>
      <c r="J2" s="416"/>
      <c r="K2" s="71">
        <v>45739</v>
      </c>
      <c r="L2" s="72" t="s">
        <v>175</v>
      </c>
      <c r="M2" s="72" t="s">
        <v>175</v>
      </c>
      <c r="N2" s="72" t="s">
        <v>175</v>
      </c>
      <c r="O2" s="72" t="s">
        <v>175</v>
      </c>
      <c r="P2" s="72" t="s">
        <v>175</v>
      </c>
      <c r="Q2" s="73" t="s">
        <v>175</v>
      </c>
    </row>
    <row r="3" spans="1:17" ht="39.5">
      <c r="A3" s="74" t="s">
        <v>189</v>
      </c>
      <c r="B3" s="75" t="s">
        <v>3</v>
      </c>
      <c r="C3" s="75" t="s">
        <v>4</v>
      </c>
      <c r="D3" s="75" t="s">
        <v>5</v>
      </c>
      <c r="E3" s="75" t="s">
        <v>6</v>
      </c>
      <c r="F3" s="75" t="s">
        <v>7</v>
      </c>
      <c r="G3" s="75" t="s">
        <v>8</v>
      </c>
      <c r="H3" s="75" t="s">
        <v>9</v>
      </c>
      <c r="I3" s="75" t="s">
        <v>10</v>
      </c>
      <c r="J3" s="75" t="s">
        <v>11</v>
      </c>
      <c r="K3" s="75" t="s">
        <v>12</v>
      </c>
      <c r="L3" s="75" t="s">
        <v>13</v>
      </c>
      <c r="M3" s="75" t="s">
        <v>14</v>
      </c>
      <c r="N3" s="75" t="s">
        <v>15</v>
      </c>
      <c r="O3" s="75" t="s">
        <v>16</v>
      </c>
      <c r="P3" s="75" t="s">
        <v>17</v>
      </c>
      <c r="Q3" s="184" t="s">
        <v>156</v>
      </c>
    </row>
    <row r="4" spans="1:17">
      <c r="A4" s="76">
        <v>46113</v>
      </c>
      <c r="B4" s="36">
        <v>10600</v>
      </c>
      <c r="C4" s="36">
        <v>9309</v>
      </c>
      <c r="D4" s="37">
        <v>8952</v>
      </c>
      <c r="E4" s="37">
        <v>8800</v>
      </c>
      <c r="F4" s="77">
        <v>-356.63</v>
      </c>
      <c r="G4" s="38">
        <v>0.20710000000000001</v>
      </c>
      <c r="H4" s="38">
        <v>0.2422</v>
      </c>
      <c r="I4" s="36">
        <v>7.49</v>
      </c>
      <c r="J4" s="37">
        <v>6.5774999999999997</v>
      </c>
      <c r="K4" s="77">
        <v>-0.91029000000000004</v>
      </c>
      <c r="L4" s="40">
        <v>0.75600000000000001</v>
      </c>
      <c r="M4" s="41">
        <v>1</v>
      </c>
      <c r="N4" s="41">
        <v>1</v>
      </c>
      <c r="O4" s="37">
        <v>0</v>
      </c>
      <c r="P4" s="37">
        <v>0</v>
      </c>
      <c r="Q4" s="37" t="s">
        <v>175</v>
      </c>
    </row>
    <row r="5" spans="1:17">
      <c r="A5" s="79">
        <v>46114</v>
      </c>
      <c r="B5" s="43">
        <v>10600</v>
      </c>
      <c r="C5" s="43">
        <v>9309</v>
      </c>
      <c r="D5" s="44">
        <v>9580</v>
      </c>
      <c r="E5" s="44">
        <v>9460</v>
      </c>
      <c r="F5" s="77">
        <v>271.37</v>
      </c>
      <c r="G5" s="45">
        <v>0.22170000000000001</v>
      </c>
      <c r="H5" s="45">
        <v>0.25919999999999999</v>
      </c>
      <c r="I5" s="43">
        <v>7.49</v>
      </c>
      <c r="J5" s="44">
        <v>6.4012500000000001</v>
      </c>
      <c r="K5" s="77">
        <v>-1.0865400000000001</v>
      </c>
      <c r="L5" s="47">
        <v>0.83099999999999996</v>
      </c>
      <c r="M5" s="48">
        <v>1</v>
      </c>
      <c r="N5" s="48">
        <v>1</v>
      </c>
      <c r="O5" s="44">
        <v>0</v>
      </c>
      <c r="P5" s="44">
        <v>0</v>
      </c>
      <c r="Q5" s="44" t="s">
        <v>175</v>
      </c>
    </row>
    <row r="6" spans="1:17">
      <c r="A6" s="79">
        <v>46115</v>
      </c>
      <c r="B6" s="43">
        <v>10600</v>
      </c>
      <c r="C6" s="43">
        <v>9309</v>
      </c>
      <c r="D6" s="44">
        <v>7033</v>
      </c>
      <c r="E6" s="44">
        <v>6920</v>
      </c>
      <c r="F6" s="77">
        <v>-2275.63</v>
      </c>
      <c r="G6" s="45">
        <v>0.16270000000000001</v>
      </c>
      <c r="H6" s="45">
        <v>0.1903</v>
      </c>
      <c r="I6" s="43">
        <v>7.49</v>
      </c>
      <c r="J6" s="44">
        <v>4.8082500000000001</v>
      </c>
      <c r="K6" s="77">
        <v>-2.6795399999999998</v>
      </c>
      <c r="L6" s="47">
        <v>0.81200000000000006</v>
      </c>
      <c r="M6" s="48">
        <v>0.9032</v>
      </c>
      <c r="N6" s="48">
        <v>1</v>
      </c>
      <c r="O6" s="44">
        <v>0</v>
      </c>
      <c r="P6" s="44">
        <v>160</v>
      </c>
      <c r="Q6" s="44" t="s">
        <v>421</v>
      </c>
    </row>
    <row r="7" spans="1:17">
      <c r="A7" s="79">
        <v>46116</v>
      </c>
      <c r="B7" s="43">
        <v>10600</v>
      </c>
      <c r="C7" s="43">
        <v>9309</v>
      </c>
      <c r="D7" s="44">
        <v>10138</v>
      </c>
      <c r="E7" s="44">
        <v>9980</v>
      </c>
      <c r="F7" s="77">
        <v>829.37</v>
      </c>
      <c r="G7" s="45">
        <v>0.2346</v>
      </c>
      <c r="H7" s="45">
        <v>0.27429999999999999</v>
      </c>
      <c r="I7" s="43">
        <v>7.49</v>
      </c>
      <c r="J7" s="44">
        <v>7.6937499999999996</v>
      </c>
      <c r="K7" s="77">
        <v>0.20596</v>
      </c>
      <c r="L7" s="47">
        <v>0.73199999999999998</v>
      </c>
      <c r="M7" s="48">
        <v>1</v>
      </c>
      <c r="N7" s="48">
        <v>0.95240000000000002</v>
      </c>
      <c r="O7" s="44">
        <v>876</v>
      </c>
      <c r="P7" s="44">
        <v>0</v>
      </c>
      <c r="Q7" s="44" t="s">
        <v>422</v>
      </c>
    </row>
    <row r="8" spans="1:17">
      <c r="A8" s="79">
        <v>46117</v>
      </c>
      <c r="B8" s="43">
        <v>10600</v>
      </c>
      <c r="C8" s="43">
        <v>9309</v>
      </c>
      <c r="D8" s="44">
        <v>7705</v>
      </c>
      <c r="E8" s="44">
        <v>7560</v>
      </c>
      <c r="F8" s="77">
        <v>-1603.63</v>
      </c>
      <c r="G8" s="45">
        <v>0.17829999999999999</v>
      </c>
      <c r="H8" s="45">
        <v>0.20849999999999999</v>
      </c>
      <c r="I8" s="43">
        <v>7.49</v>
      </c>
      <c r="J8" s="44">
        <v>7.1105</v>
      </c>
      <c r="K8" s="77">
        <v>-0.37729000000000001</v>
      </c>
      <c r="L8" s="47">
        <v>0.60199999999999998</v>
      </c>
      <c r="M8" s="48">
        <v>1</v>
      </c>
      <c r="N8" s="48">
        <v>0.83630000000000004</v>
      </c>
      <c r="O8" s="44">
        <v>2125</v>
      </c>
      <c r="P8" s="44">
        <v>0</v>
      </c>
      <c r="Q8" s="44" t="s">
        <v>432</v>
      </c>
    </row>
    <row r="9" spans="1:17">
      <c r="A9" s="79">
        <v>46118</v>
      </c>
      <c r="B9" s="43">
        <v>10600</v>
      </c>
      <c r="C9" s="43">
        <v>9309</v>
      </c>
      <c r="D9" s="44">
        <v>10611</v>
      </c>
      <c r="E9" s="44">
        <v>10460</v>
      </c>
      <c r="F9" s="77">
        <v>1302.3699999999999</v>
      </c>
      <c r="G9" s="45">
        <v>0.2455</v>
      </c>
      <c r="H9" s="45">
        <v>0.28710000000000002</v>
      </c>
      <c r="I9" s="43">
        <v>7.49</v>
      </c>
      <c r="J9" s="44">
        <v>7.3512500000000003</v>
      </c>
      <c r="K9" s="77">
        <v>-0.13653999999999999</v>
      </c>
      <c r="L9" s="47">
        <v>0.80200000000000005</v>
      </c>
      <c r="M9" s="48">
        <v>1</v>
      </c>
      <c r="N9" s="48">
        <v>0.97099999999999997</v>
      </c>
      <c r="O9" s="44">
        <v>207</v>
      </c>
      <c r="P9" s="44">
        <v>0</v>
      </c>
      <c r="Q9" s="44" t="s">
        <v>433</v>
      </c>
    </row>
    <row r="10" spans="1:17">
      <c r="A10" s="79">
        <v>46119</v>
      </c>
      <c r="B10" s="43">
        <v>10600</v>
      </c>
      <c r="C10" s="43">
        <v>9309</v>
      </c>
      <c r="D10" s="44">
        <v>6240</v>
      </c>
      <c r="E10" s="44">
        <v>6100</v>
      </c>
      <c r="F10" s="77">
        <v>-3068.63</v>
      </c>
      <c r="G10" s="45">
        <v>0.1444</v>
      </c>
      <c r="H10" s="45">
        <v>0.16880000000000001</v>
      </c>
      <c r="I10" s="43">
        <v>7.49</v>
      </c>
      <c r="J10" s="44">
        <v>5.4095000000000004</v>
      </c>
      <c r="K10" s="77">
        <v>-2.07829</v>
      </c>
      <c r="L10" s="47">
        <v>0.64100000000000001</v>
      </c>
      <c r="M10" s="48">
        <v>1</v>
      </c>
      <c r="N10" s="48">
        <v>0.84619999999999995</v>
      </c>
      <c r="O10" s="44">
        <v>1415</v>
      </c>
      <c r="P10" s="44">
        <v>0</v>
      </c>
      <c r="Q10" s="44" t="s">
        <v>433</v>
      </c>
    </row>
    <row r="11" spans="1:17">
      <c r="A11" s="79">
        <v>46120</v>
      </c>
      <c r="B11" s="43">
        <v>10600</v>
      </c>
      <c r="C11" s="43">
        <v>9309</v>
      </c>
      <c r="D11" s="44">
        <v>9380</v>
      </c>
      <c r="E11" s="44">
        <v>9240</v>
      </c>
      <c r="F11" s="77">
        <v>71.37</v>
      </c>
      <c r="G11" s="45">
        <v>0.217</v>
      </c>
      <c r="H11" s="45">
        <v>0.25380000000000003</v>
      </c>
      <c r="I11" s="43">
        <v>7.49</v>
      </c>
      <c r="J11" s="44">
        <v>6.3445</v>
      </c>
      <c r="K11" s="77">
        <v>-1.1432899999999999</v>
      </c>
      <c r="L11" s="47">
        <v>0.82099999999999995</v>
      </c>
      <c r="M11" s="48">
        <v>1</v>
      </c>
      <c r="N11" s="48">
        <v>0.95750000000000002</v>
      </c>
      <c r="O11" s="44">
        <v>572</v>
      </c>
      <c r="P11" s="44">
        <v>0</v>
      </c>
      <c r="Q11" s="44" t="s">
        <v>434</v>
      </c>
    </row>
    <row r="12" spans="1:17">
      <c r="A12" s="79">
        <v>46121</v>
      </c>
      <c r="B12" s="43">
        <v>10600</v>
      </c>
      <c r="C12" s="43">
        <v>9309</v>
      </c>
      <c r="D12" s="44">
        <v>9552</v>
      </c>
      <c r="E12" s="44">
        <v>9440</v>
      </c>
      <c r="F12" s="77">
        <v>243.37</v>
      </c>
      <c r="G12" s="45">
        <v>0.221</v>
      </c>
      <c r="H12" s="45">
        <v>0.25840000000000002</v>
      </c>
      <c r="I12" s="43">
        <v>7.49</v>
      </c>
      <c r="J12" s="44">
        <v>6.8964999999999996</v>
      </c>
      <c r="K12" s="77">
        <v>-0.59128999999999998</v>
      </c>
      <c r="L12" s="47">
        <v>0.76900000000000002</v>
      </c>
      <c r="M12" s="48">
        <v>1</v>
      </c>
      <c r="N12" s="48">
        <v>0.9516</v>
      </c>
      <c r="O12" s="44">
        <v>742</v>
      </c>
      <c r="P12" s="44">
        <v>0</v>
      </c>
      <c r="Q12" s="44" t="s">
        <v>433</v>
      </c>
    </row>
    <row r="13" spans="1:17">
      <c r="A13" s="79">
        <v>46122</v>
      </c>
      <c r="B13" s="43">
        <v>10600</v>
      </c>
      <c r="C13" s="43">
        <v>9309</v>
      </c>
      <c r="D13" s="44">
        <v>8961</v>
      </c>
      <c r="E13" s="44">
        <v>8820</v>
      </c>
      <c r="F13" s="77">
        <v>-347.63</v>
      </c>
      <c r="G13" s="45">
        <v>0.20730000000000001</v>
      </c>
      <c r="H13" s="45">
        <v>0.24249999999999999</v>
      </c>
      <c r="I13" s="43">
        <v>7.49</v>
      </c>
      <c r="J13" s="44">
        <v>7.4852499999999997</v>
      </c>
      <c r="K13" s="77">
        <v>-2.5400000000000002E-3</v>
      </c>
      <c r="L13" s="47">
        <v>0.66500000000000004</v>
      </c>
      <c r="M13" s="48">
        <v>0.89890000000000003</v>
      </c>
      <c r="N13" s="48">
        <v>1</v>
      </c>
      <c r="O13" s="44">
        <v>0</v>
      </c>
      <c r="P13" s="44">
        <v>1712</v>
      </c>
      <c r="Q13" s="44" t="s">
        <v>435</v>
      </c>
    </row>
    <row r="14" spans="1:17">
      <c r="A14" s="79">
        <v>46123</v>
      </c>
      <c r="B14" s="43">
        <v>10600</v>
      </c>
      <c r="C14" s="43">
        <v>9309</v>
      </c>
      <c r="D14" s="44">
        <v>10537</v>
      </c>
      <c r="E14" s="44">
        <v>10380</v>
      </c>
      <c r="F14" s="77">
        <v>1228.3699999999999</v>
      </c>
      <c r="G14" s="45">
        <v>0.24379999999999999</v>
      </c>
      <c r="H14" s="45">
        <v>0.28510000000000002</v>
      </c>
      <c r="I14" s="43">
        <v>7.49</v>
      </c>
      <c r="J14" s="44">
        <v>7.1820000000000004</v>
      </c>
      <c r="K14" s="77">
        <v>-0.30579000000000001</v>
      </c>
      <c r="L14" s="47">
        <v>0.81499999999999995</v>
      </c>
      <c r="M14" s="48">
        <v>1</v>
      </c>
      <c r="N14" s="48">
        <v>1</v>
      </c>
      <c r="O14" s="44">
        <v>0</v>
      </c>
      <c r="P14" s="44">
        <v>0</v>
      </c>
      <c r="Q14" s="44" t="s">
        <v>175</v>
      </c>
    </row>
    <row r="15" spans="1:17">
      <c r="A15" s="79">
        <v>46124</v>
      </c>
      <c r="B15" s="43">
        <v>10600</v>
      </c>
      <c r="C15" s="43">
        <v>9309</v>
      </c>
      <c r="D15" s="44">
        <v>9836</v>
      </c>
      <c r="E15" s="44">
        <v>9700</v>
      </c>
      <c r="F15" s="77">
        <v>527.37</v>
      </c>
      <c r="G15" s="45">
        <v>0.2276</v>
      </c>
      <c r="H15" s="45">
        <v>0.2661</v>
      </c>
      <c r="I15" s="43">
        <v>7.49</v>
      </c>
      <c r="J15" s="44">
        <v>7.4029999999999996</v>
      </c>
      <c r="K15" s="77">
        <v>-8.4790000000000004E-2</v>
      </c>
      <c r="L15" s="47">
        <v>0.73799999999999999</v>
      </c>
      <c r="M15" s="48">
        <v>1</v>
      </c>
      <c r="N15" s="48">
        <v>0.95330000000000004</v>
      </c>
      <c r="O15" s="44">
        <v>754</v>
      </c>
      <c r="P15" s="44">
        <v>0</v>
      </c>
      <c r="Q15" s="44" t="s">
        <v>422</v>
      </c>
    </row>
    <row r="16" spans="1:17">
      <c r="A16" s="79">
        <v>46125</v>
      </c>
      <c r="B16" s="43">
        <v>10600</v>
      </c>
      <c r="C16" s="43">
        <v>9309</v>
      </c>
      <c r="D16" s="44">
        <v>10541</v>
      </c>
      <c r="E16" s="44">
        <v>10360</v>
      </c>
      <c r="F16" s="77">
        <v>1232.3699999999999</v>
      </c>
      <c r="G16" s="45">
        <v>0.24390000000000001</v>
      </c>
      <c r="H16" s="45">
        <v>0.28520000000000001</v>
      </c>
      <c r="I16" s="43">
        <v>7.49</v>
      </c>
      <c r="J16" s="44">
        <v>7.3390000000000004</v>
      </c>
      <c r="K16" s="77">
        <v>-0.14879000000000001</v>
      </c>
      <c r="L16" s="47">
        <v>0.79800000000000004</v>
      </c>
      <c r="M16" s="48">
        <v>1</v>
      </c>
      <c r="N16" s="48">
        <v>1</v>
      </c>
      <c r="O16" s="44">
        <v>0</v>
      </c>
      <c r="P16" s="44">
        <v>0</v>
      </c>
      <c r="Q16" s="44" t="s">
        <v>175</v>
      </c>
    </row>
    <row r="17" spans="1:17">
      <c r="A17" s="79">
        <v>46126</v>
      </c>
      <c r="B17" s="43">
        <v>10600</v>
      </c>
      <c r="C17" s="43">
        <v>9309</v>
      </c>
      <c r="D17" s="44">
        <v>10758</v>
      </c>
      <c r="E17" s="44">
        <v>10600</v>
      </c>
      <c r="F17" s="77">
        <v>1449.37</v>
      </c>
      <c r="G17" s="45">
        <v>0.24890000000000001</v>
      </c>
      <c r="H17" s="45">
        <v>0.29110000000000003</v>
      </c>
      <c r="I17" s="43">
        <v>7.49</v>
      </c>
      <c r="J17" s="44">
        <v>7.4977499999999999</v>
      </c>
      <c r="K17" s="77">
        <v>9.9600000000000001E-3</v>
      </c>
      <c r="L17" s="47">
        <v>0.79700000000000004</v>
      </c>
      <c r="M17" s="48">
        <v>1</v>
      </c>
      <c r="N17" s="48">
        <v>1</v>
      </c>
      <c r="O17" s="44">
        <v>0</v>
      </c>
      <c r="P17" s="44">
        <v>0</v>
      </c>
      <c r="Q17" s="44" t="s">
        <v>175</v>
      </c>
    </row>
    <row r="18" spans="1:17">
      <c r="A18" s="79">
        <v>46127</v>
      </c>
      <c r="B18" s="43">
        <v>10600</v>
      </c>
      <c r="C18" s="43">
        <v>9309</v>
      </c>
      <c r="D18" s="44">
        <v>10474</v>
      </c>
      <c r="E18" s="44">
        <v>10320</v>
      </c>
      <c r="F18" s="77">
        <v>1165.3699999999999</v>
      </c>
      <c r="G18" s="45">
        <v>0.2424</v>
      </c>
      <c r="H18" s="45">
        <v>0.28339999999999999</v>
      </c>
      <c r="I18" s="43">
        <v>7.49</v>
      </c>
      <c r="J18" s="44">
        <v>7.016</v>
      </c>
      <c r="K18" s="77">
        <v>-0.47178999999999999</v>
      </c>
      <c r="L18" s="47">
        <v>0.82899999999999996</v>
      </c>
      <c r="M18" s="48">
        <v>1</v>
      </c>
      <c r="N18" s="48">
        <v>1</v>
      </c>
      <c r="O18" s="44">
        <v>0</v>
      </c>
      <c r="P18" s="44">
        <v>0</v>
      </c>
      <c r="Q18" s="44" t="s">
        <v>175</v>
      </c>
    </row>
    <row r="19" spans="1:17">
      <c r="A19" s="79">
        <v>46128</v>
      </c>
      <c r="B19" s="43">
        <v>10600</v>
      </c>
      <c r="C19" s="43">
        <v>9309</v>
      </c>
      <c r="D19" s="44">
        <v>10778</v>
      </c>
      <c r="E19" s="44">
        <v>10640</v>
      </c>
      <c r="F19" s="77">
        <v>1469.37</v>
      </c>
      <c r="G19" s="45">
        <v>0.24940000000000001</v>
      </c>
      <c r="H19" s="45">
        <v>0.29160000000000003</v>
      </c>
      <c r="I19" s="43">
        <v>7.49</v>
      </c>
      <c r="J19" s="44">
        <v>7.3259999999999996</v>
      </c>
      <c r="K19" s="77">
        <v>-0.16178999999999999</v>
      </c>
      <c r="L19" s="47">
        <v>0.81699999999999995</v>
      </c>
      <c r="M19" s="48">
        <v>1</v>
      </c>
      <c r="N19" s="48">
        <v>1</v>
      </c>
      <c r="O19" s="44">
        <v>0</v>
      </c>
      <c r="P19" s="44">
        <v>0</v>
      </c>
      <c r="Q19" s="44" t="s">
        <v>175</v>
      </c>
    </row>
    <row r="20" spans="1:17">
      <c r="A20" s="79">
        <v>46129</v>
      </c>
      <c r="B20" s="43">
        <v>10600</v>
      </c>
      <c r="C20" s="43">
        <v>9309</v>
      </c>
      <c r="D20" s="44">
        <v>11025</v>
      </c>
      <c r="E20" s="44">
        <v>10820</v>
      </c>
      <c r="F20" s="77">
        <v>1716.37</v>
      </c>
      <c r="G20" s="45">
        <v>0.25509999999999999</v>
      </c>
      <c r="H20" s="45">
        <v>0.29830000000000001</v>
      </c>
      <c r="I20" s="43">
        <v>7.49</v>
      </c>
      <c r="J20" s="44">
        <v>7.4482499999999998</v>
      </c>
      <c r="K20" s="77">
        <v>-3.9539999999999999E-2</v>
      </c>
      <c r="L20" s="47">
        <v>0.82199999999999995</v>
      </c>
      <c r="M20" s="48">
        <v>1</v>
      </c>
      <c r="N20" s="48">
        <v>1</v>
      </c>
      <c r="O20" s="44">
        <v>0</v>
      </c>
      <c r="P20" s="44">
        <v>0</v>
      </c>
      <c r="Q20" s="44" t="s">
        <v>175</v>
      </c>
    </row>
    <row r="21" spans="1:17">
      <c r="A21" s="79">
        <v>46130</v>
      </c>
      <c r="B21" s="43">
        <v>10600</v>
      </c>
      <c r="C21" s="43">
        <v>9309</v>
      </c>
      <c r="D21" s="44">
        <v>11555</v>
      </c>
      <c r="E21" s="44">
        <v>11380</v>
      </c>
      <c r="F21" s="77">
        <v>2246.37</v>
      </c>
      <c r="G21" s="45">
        <v>0.26740000000000003</v>
      </c>
      <c r="H21" s="45">
        <v>0.31259999999999999</v>
      </c>
      <c r="I21" s="43">
        <v>7.49</v>
      </c>
      <c r="J21" s="44">
        <v>7.69475</v>
      </c>
      <c r="K21" s="77">
        <v>0.20696000000000001</v>
      </c>
      <c r="L21" s="47">
        <v>0.83399999999999996</v>
      </c>
      <c r="M21" s="48">
        <v>1</v>
      </c>
      <c r="N21" s="48">
        <v>1</v>
      </c>
      <c r="O21" s="44">
        <v>0</v>
      </c>
      <c r="P21" s="44">
        <v>0</v>
      </c>
      <c r="Q21" s="44" t="s">
        <v>175</v>
      </c>
    </row>
    <row r="22" spans="1:17">
      <c r="A22" s="79">
        <v>46131</v>
      </c>
      <c r="B22" s="43">
        <v>10600</v>
      </c>
      <c r="C22" s="43">
        <v>9309</v>
      </c>
      <c r="D22" s="44">
        <v>9609</v>
      </c>
      <c r="E22" s="44">
        <v>9460</v>
      </c>
      <c r="F22" s="77">
        <v>300.37</v>
      </c>
      <c r="G22" s="45">
        <v>0.2223</v>
      </c>
      <c r="H22" s="45">
        <v>0.26</v>
      </c>
      <c r="I22" s="43">
        <v>7.49</v>
      </c>
      <c r="J22" s="44">
        <v>7.4580000000000002</v>
      </c>
      <c r="K22" s="77">
        <v>-2.9790000000000001E-2</v>
      </c>
      <c r="L22" s="47">
        <v>0.71599999999999997</v>
      </c>
      <c r="M22" s="48">
        <v>1</v>
      </c>
      <c r="N22" s="48">
        <v>0.91849999999999998</v>
      </c>
      <c r="O22" s="44">
        <v>1349</v>
      </c>
      <c r="P22" s="44">
        <v>0</v>
      </c>
      <c r="Q22" s="44" t="s">
        <v>436</v>
      </c>
    </row>
    <row r="23" spans="1:17">
      <c r="A23" s="79">
        <v>46132</v>
      </c>
      <c r="B23" s="43">
        <v>10600</v>
      </c>
      <c r="C23" s="43">
        <v>9309</v>
      </c>
      <c r="D23" s="44">
        <v>10741</v>
      </c>
      <c r="E23" s="44">
        <v>10600</v>
      </c>
      <c r="F23" s="77">
        <v>1432.37</v>
      </c>
      <c r="G23" s="45">
        <v>0.2485</v>
      </c>
      <c r="H23" s="45">
        <v>0.29060000000000002</v>
      </c>
      <c r="I23" s="43">
        <v>7.49</v>
      </c>
      <c r="J23" s="44">
        <v>7.4262499999999996</v>
      </c>
      <c r="K23" s="77">
        <v>-6.1539999999999997E-2</v>
      </c>
      <c r="L23" s="47">
        <v>0.80300000000000005</v>
      </c>
      <c r="M23" s="48">
        <v>1</v>
      </c>
      <c r="N23" s="48">
        <v>1</v>
      </c>
      <c r="O23" s="44">
        <v>0</v>
      </c>
      <c r="P23" s="44">
        <v>0</v>
      </c>
      <c r="Q23" s="44" t="s">
        <v>175</v>
      </c>
    </row>
    <row r="24" spans="1:17">
      <c r="A24" s="79">
        <v>46133</v>
      </c>
      <c r="B24" s="43">
        <v>10600</v>
      </c>
      <c r="C24" s="43">
        <v>9309</v>
      </c>
      <c r="D24" s="44">
        <v>10815</v>
      </c>
      <c r="E24" s="44">
        <v>10640</v>
      </c>
      <c r="F24" s="77">
        <v>1506.37</v>
      </c>
      <c r="G24" s="45">
        <v>0.25019999999999998</v>
      </c>
      <c r="H24" s="45">
        <v>0.29260000000000003</v>
      </c>
      <c r="I24" s="43">
        <v>7.49</v>
      </c>
      <c r="J24" s="44">
        <v>7.5787500000000003</v>
      </c>
      <c r="K24" s="77">
        <v>9.0959999999999999E-2</v>
      </c>
      <c r="L24" s="47">
        <v>0.79200000000000004</v>
      </c>
      <c r="M24" s="48">
        <v>1</v>
      </c>
      <c r="N24" s="48">
        <v>0.97250000000000003</v>
      </c>
      <c r="O24" s="44">
        <v>482</v>
      </c>
      <c r="P24" s="44">
        <v>0</v>
      </c>
      <c r="Q24" s="44" t="s">
        <v>437</v>
      </c>
    </row>
    <row r="25" spans="1:17">
      <c r="A25" s="79">
        <v>46134</v>
      </c>
      <c r="B25" s="43">
        <v>10600</v>
      </c>
      <c r="C25" s="43">
        <v>9309</v>
      </c>
      <c r="D25" s="44">
        <v>10620</v>
      </c>
      <c r="E25" s="44">
        <v>10460</v>
      </c>
      <c r="F25" s="77">
        <v>1311.37</v>
      </c>
      <c r="G25" s="45">
        <v>0.2457</v>
      </c>
      <c r="H25" s="45">
        <v>0.2873</v>
      </c>
      <c r="I25" s="43">
        <v>7.49</v>
      </c>
      <c r="J25" s="44">
        <v>7.6230000000000002</v>
      </c>
      <c r="K25" s="77">
        <v>0.13521</v>
      </c>
      <c r="L25" s="47">
        <v>0.77400000000000002</v>
      </c>
      <c r="M25" s="48">
        <v>1</v>
      </c>
      <c r="N25" s="48">
        <v>0.96909999999999996</v>
      </c>
      <c r="O25" s="44">
        <v>565</v>
      </c>
      <c r="P25" s="44">
        <v>0</v>
      </c>
      <c r="Q25" s="44" t="s">
        <v>437</v>
      </c>
    </row>
    <row r="26" spans="1:17">
      <c r="A26" s="79">
        <v>46135</v>
      </c>
      <c r="B26" s="43">
        <v>10600</v>
      </c>
      <c r="C26" s="43">
        <v>9309</v>
      </c>
      <c r="D26" s="44">
        <v>10335</v>
      </c>
      <c r="E26" s="44">
        <v>10180</v>
      </c>
      <c r="F26" s="77">
        <v>1026.3699999999999</v>
      </c>
      <c r="G26" s="45">
        <v>0.23910000000000001</v>
      </c>
      <c r="H26" s="45">
        <v>0.27960000000000002</v>
      </c>
      <c r="I26" s="43">
        <v>7.49</v>
      </c>
      <c r="J26" s="44">
        <v>7.5322500000000003</v>
      </c>
      <c r="K26" s="77">
        <v>4.446E-2</v>
      </c>
      <c r="L26" s="47">
        <v>0.76200000000000001</v>
      </c>
      <c r="M26" s="48">
        <v>1</v>
      </c>
      <c r="N26" s="48">
        <v>0.97060000000000002</v>
      </c>
      <c r="O26" s="44">
        <v>533</v>
      </c>
      <c r="P26" s="44">
        <v>0</v>
      </c>
      <c r="Q26" s="44" t="s">
        <v>434</v>
      </c>
    </row>
    <row r="27" spans="1:17">
      <c r="A27" s="79">
        <v>46136</v>
      </c>
      <c r="B27" s="43"/>
      <c r="C27" s="43"/>
      <c r="D27" s="44" t="s">
        <v>175</v>
      </c>
      <c r="E27" s="44" t="s">
        <v>175</v>
      </c>
      <c r="F27" s="77">
        <v>0</v>
      </c>
      <c r="G27" s="45">
        <v>0</v>
      </c>
      <c r="H27" s="45">
        <v>0</v>
      </c>
      <c r="I27" s="43"/>
      <c r="J27" s="44" t="s">
        <v>175</v>
      </c>
      <c r="K27" s="77">
        <v>0</v>
      </c>
      <c r="L27" s="46" t="e">
        <v>#DIV/0!</v>
      </c>
      <c r="M27" s="44" t="s">
        <v>175</v>
      </c>
      <c r="N27" s="44" t="s">
        <v>175</v>
      </c>
      <c r="O27" s="44" t="s">
        <v>175</v>
      </c>
      <c r="P27" s="44" t="s">
        <v>175</v>
      </c>
      <c r="Q27" s="44" t="s">
        <v>175</v>
      </c>
    </row>
    <row r="28" spans="1:17">
      <c r="A28" s="79">
        <v>46137</v>
      </c>
      <c r="B28" s="43"/>
      <c r="C28" s="43"/>
      <c r="D28" s="44" t="s">
        <v>175</v>
      </c>
      <c r="E28" s="44" t="s">
        <v>175</v>
      </c>
      <c r="F28" s="77">
        <v>0</v>
      </c>
      <c r="G28" s="45">
        <v>0</v>
      </c>
      <c r="H28" s="45">
        <v>0</v>
      </c>
      <c r="I28" s="43"/>
      <c r="J28" s="44" t="s">
        <v>175</v>
      </c>
      <c r="K28" s="77">
        <v>0</v>
      </c>
      <c r="L28" s="46" t="e">
        <v>#DIV/0!</v>
      </c>
      <c r="M28" s="44" t="s">
        <v>175</v>
      </c>
      <c r="N28" s="44" t="s">
        <v>175</v>
      </c>
      <c r="O28" s="44" t="s">
        <v>175</v>
      </c>
      <c r="P28" s="44" t="s">
        <v>175</v>
      </c>
      <c r="Q28" s="44" t="s">
        <v>175</v>
      </c>
    </row>
    <row r="29" spans="1:17">
      <c r="A29" s="79">
        <v>46138</v>
      </c>
      <c r="B29" s="43"/>
      <c r="C29" s="43"/>
      <c r="D29" s="44" t="s">
        <v>175</v>
      </c>
      <c r="E29" s="44" t="s">
        <v>175</v>
      </c>
      <c r="F29" s="77">
        <v>0</v>
      </c>
      <c r="G29" s="45">
        <v>0</v>
      </c>
      <c r="H29" s="45">
        <v>0</v>
      </c>
      <c r="I29" s="43"/>
      <c r="J29" s="44" t="s">
        <v>175</v>
      </c>
      <c r="K29" s="77">
        <v>0</v>
      </c>
      <c r="L29" s="46" t="e">
        <v>#DIV/0!</v>
      </c>
      <c r="M29" s="44" t="s">
        <v>175</v>
      </c>
      <c r="N29" s="44" t="s">
        <v>175</v>
      </c>
      <c r="O29" s="44" t="s">
        <v>175</v>
      </c>
      <c r="P29" s="44" t="s">
        <v>175</v>
      </c>
      <c r="Q29" s="44" t="s">
        <v>175</v>
      </c>
    </row>
    <row r="30" spans="1:17">
      <c r="A30" s="79">
        <v>46139</v>
      </c>
      <c r="B30" s="43"/>
      <c r="C30" s="43"/>
      <c r="D30" s="44" t="s">
        <v>175</v>
      </c>
      <c r="E30" s="44" t="s">
        <v>175</v>
      </c>
      <c r="F30" s="77">
        <v>0</v>
      </c>
      <c r="G30" s="45">
        <v>0</v>
      </c>
      <c r="H30" s="45">
        <v>0</v>
      </c>
      <c r="I30" s="43"/>
      <c r="J30" s="44" t="s">
        <v>175</v>
      </c>
      <c r="K30" s="77">
        <v>0</v>
      </c>
      <c r="L30" s="46" t="e">
        <v>#DIV/0!</v>
      </c>
      <c r="M30" s="44" t="s">
        <v>175</v>
      </c>
      <c r="N30" s="44" t="s">
        <v>175</v>
      </c>
      <c r="O30" s="44" t="s">
        <v>175</v>
      </c>
      <c r="P30" s="44" t="s">
        <v>175</v>
      </c>
      <c r="Q30" s="44" t="s">
        <v>175</v>
      </c>
    </row>
    <row r="31" spans="1:17">
      <c r="A31" s="79">
        <v>46140</v>
      </c>
      <c r="B31" s="43"/>
      <c r="C31" s="43"/>
      <c r="D31" s="44" t="s">
        <v>175</v>
      </c>
      <c r="E31" s="44" t="s">
        <v>175</v>
      </c>
      <c r="F31" s="77">
        <v>0</v>
      </c>
      <c r="G31" s="45">
        <v>0</v>
      </c>
      <c r="H31" s="45">
        <v>0</v>
      </c>
      <c r="I31" s="43"/>
      <c r="J31" s="44" t="s">
        <v>175</v>
      </c>
      <c r="K31" s="77">
        <v>0</v>
      </c>
      <c r="L31" s="46" t="e">
        <v>#DIV/0!</v>
      </c>
      <c r="M31" s="44" t="s">
        <v>175</v>
      </c>
      <c r="N31" s="44" t="s">
        <v>175</v>
      </c>
      <c r="O31" s="44" t="s">
        <v>175</v>
      </c>
      <c r="P31" s="44" t="s">
        <v>175</v>
      </c>
      <c r="Q31" s="44" t="s">
        <v>175</v>
      </c>
    </row>
    <row r="32" spans="1:17">
      <c r="A32" s="79">
        <v>46141</v>
      </c>
      <c r="B32" s="43"/>
      <c r="C32" s="43"/>
      <c r="D32" s="44" t="s">
        <v>175</v>
      </c>
      <c r="E32" s="44" t="s">
        <v>175</v>
      </c>
      <c r="F32" s="77">
        <v>0</v>
      </c>
      <c r="G32" s="45">
        <v>0</v>
      </c>
      <c r="H32" s="45">
        <v>0</v>
      </c>
      <c r="I32" s="43"/>
      <c r="J32" s="44" t="s">
        <v>175</v>
      </c>
      <c r="K32" s="77">
        <v>0</v>
      </c>
      <c r="L32" s="46" t="e">
        <v>#DIV/0!</v>
      </c>
      <c r="M32" s="44" t="s">
        <v>175</v>
      </c>
      <c r="N32" s="44" t="s">
        <v>175</v>
      </c>
      <c r="O32" s="44" t="s">
        <v>175</v>
      </c>
      <c r="P32" s="44" t="s">
        <v>175</v>
      </c>
      <c r="Q32" s="44" t="s">
        <v>175</v>
      </c>
    </row>
    <row r="33" spans="1:17">
      <c r="A33" s="79">
        <v>46142</v>
      </c>
      <c r="B33" s="43"/>
      <c r="C33" s="43"/>
      <c r="D33" s="44" t="s">
        <v>175</v>
      </c>
      <c r="E33" s="44" t="s">
        <v>175</v>
      </c>
      <c r="F33" s="77">
        <v>0</v>
      </c>
      <c r="G33" s="45">
        <v>0</v>
      </c>
      <c r="H33" s="45">
        <v>0</v>
      </c>
      <c r="I33" s="43"/>
      <c r="J33" s="44" t="s">
        <v>175</v>
      </c>
      <c r="K33" s="77">
        <v>0</v>
      </c>
      <c r="L33" s="46" t="e">
        <v>#DIV/0!</v>
      </c>
      <c r="M33" s="44" t="s">
        <v>175</v>
      </c>
      <c r="N33" s="44" t="s">
        <v>175</v>
      </c>
      <c r="O33" s="44" t="s">
        <v>175</v>
      </c>
      <c r="P33" s="44" t="s">
        <v>175</v>
      </c>
      <c r="Q33" s="44" t="s">
        <v>175</v>
      </c>
    </row>
    <row r="34" spans="1:17">
      <c r="A34" s="349">
        <v>46113</v>
      </c>
      <c r="B34" s="89">
        <f>SUM(B4:B33)</f>
        <v>243800</v>
      </c>
      <c r="C34" s="89">
        <f>SUM(C4:C33)</f>
        <v>214107</v>
      </c>
      <c r="D34" s="89">
        <f>SUM(D4:D33)</f>
        <v>225776</v>
      </c>
      <c r="E34" s="89">
        <f>SUM(E4:E33)</f>
        <v>222320</v>
      </c>
      <c r="F34" s="92">
        <f>(IF(ISBLANK(E34),0,E34-C34))/C34</f>
        <v>3.8359325010391999E-2</v>
      </c>
      <c r="G34" s="90">
        <f>AVERAGE(G4:G33)</f>
        <v>0.17412999999999995</v>
      </c>
      <c r="H34" s="90">
        <f>AVERAGE(H4:H33)</f>
        <v>0.20362000000000002</v>
      </c>
      <c r="I34" s="89">
        <f>SUM(I4:I33)</f>
        <v>172.27</v>
      </c>
      <c r="J34" s="89">
        <f>SUM(J4:J33)</f>
        <v>162.60325000000003</v>
      </c>
      <c r="K34" s="92">
        <f t="shared" ref="K34" si="0">(IF(ISBLANK(J34),0,J34-I34))/I34</f>
        <v>-5.6113949033493808E-2</v>
      </c>
      <c r="L34" s="93">
        <f t="shared" ref="L34:L66" si="1">D34/($D$2*J34)</f>
        <v>0.77109375924420143</v>
      </c>
      <c r="M34" s="90">
        <f>AVERAGE(M4:M33)</f>
        <v>0.99139565217391301</v>
      </c>
      <c r="N34" s="90">
        <f>AVERAGE(N4:N33)</f>
        <v>0.96952173913043493</v>
      </c>
      <c r="O34" s="89">
        <f>SUM(O4:O33)</f>
        <v>9620</v>
      </c>
      <c r="P34" s="89">
        <f>SUM(P4:P33)</f>
        <v>1872</v>
      </c>
      <c r="Q34" s="80" t="s">
        <v>175</v>
      </c>
    </row>
    <row r="35" spans="1:17">
      <c r="A35" s="13">
        <v>46143</v>
      </c>
      <c r="B35" s="127"/>
      <c r="C35" s="127"/>
      <c r="D35" s="33"/>
      <c r="E35" s="33"/>
      <c r="F35" s="20" t="e">
        <f>(IF(ISBLANK(E35),0,E35-C35))/C35</f>
        <v>#DIV/0!</v>
      </c>
      <c r="G35" s="2">
        <f t="shared" ref="G35:G57" si="2">D35/($D$2*24)</f>
        <v>0</v>
      </c>
      <c r="H35" s="2">
        <f t="shared" ref="H35:H61" si="3">D35/($H$2*24)</f>
        <v>0</v>
      </c>
      <c r="I35" s="28"/>
      <c r="J35" s="33"/>
      <c r="K35" s="20" t="e">
        <f>(IF(ISBLANK(J35),0,J35-I35))/I35</f>
        <v>#DIV/0!</v>
      </c>
      <c r="L35" s="4" t="e">
        <f t="shared" si="1"/>
        <v>#DIV/0!</v>
      </c>
      <c r="M35" s="103"/>
      <c r="N35" s="103"/>
      <c r="O35" s="33"/>
      <c r="P35" s="6"/>
      <c r="Q35" s="6"/>
    </row>
    <row r="36" spans="1:17">
      <c r="A36" s="13">
        <f>A35+1</f>
        <v>46144</v>
      </c>
      <c r="B36" s="127"/>
      <c r="C36" s="127"/>
      <c r="D36" s="34"/>
      <c r="E36" s="34"/>
      <c r="F36" s="20" t="e">
        <f t="shared" ref="F36:F54" si="4">(IF(ISBLANK(E36),0,E36-C36))/C36</f>
        <v>#DIV/0!</v>
      </c>
      <c r="G36" s="2">
        <f t="shared" si="2"/>
        <v>0</v>
      </c>
      <c r="H36" s="2">
        <f t="shared" si="3"/>
        <v>0</v>
      </c>
      <c r="I36" s="29"/>
      <c r="J36" s="34"/>
      <c r="K36" s="20" t="e">
        <f t="shared" ref="K36:K54" si="5">(IF(ISBLANK(J36),0,J36-I36))/I36</f>
        <v>#DIV/0!</v>
      </c>
      <c r="L36" s="4" t="e">
        <f t="shared" si="1"/>
        <v>#DIV/0!</v>
      </c>
      <c r="M36" s="103"/>
      <c r="N36" s="103"/>
      <c r="O36" s="34"/>
      <c r="P36" s="6"/>
      <c r="Q36" s="6"/>
    </row>
    <row r="37" spans="1:17">
      <c r="A37" s="13">
        <f t="shared" ref="A37:A65" si="6">A36+1</f>
        <v>46145</v>
      </c>
      <c r="B37" s="127"/>
      <c r="C37" s="127"/>
      <c r="D37" s="34"/>
      <c r="E37" s="34"/>
      <c r="F37" s="20" t="e">
        <f t="shared" si="4"/>
        <v>#DIV/0!</v>
      </c>
      <c r="G37" s="2">
        <f t="shared" si="2"/>
        <v>0</v>
      </c>
      <c r="H37" s="2">
        <f t="shared" si="3"/>
        <v>0</v>
      </c>
      <c r="I37" s="29"/>
      <c r="J37" s="34"/>
      <c r="K37" s="20" t="e">
        <f t="shared" si="5"/>
        <v>#DIV/0!</v>
      </c>
      <c r="L37" s="4" t="e">
        <f t="shared" si="1"/>
        <v>#DIV/0!</v>
      </c>
      <c r="M37" s="103"/>
      <c r="N37" s="104"/>
      <c r="O37" s="34"/>
      <c r="P37" s="6"/>
      <c r="Q37" s="6"/>
    </row>
    <row r="38" spans="1:17">
      <c r="A38" s="13">
        <f t="shared" si="6"/>
        <v>46146</v>
      </c>
      <c r="B38" s="127"/>
      <c r="C38" s="127"/>
      <c r="D38" s="34"/>
      <c r="E38" s="34"/>
      <c r="F38" s="20" t="e">
        <f t="shared" si="4"/>
        <v>#DIV/0!</v>
      </c>
      <c r="G38" s="2">
        <f t="shared" si="2"/>
        <v>0</v>
      </c>
      <c r="H38" s="2">
        <f t="shared" si="3"/>
        <v>0</v>
      </c>
      <c r="I38" s="29"/>
      <c r="J38" s="34"/>
      <c r="K38" s="20" t="e">
        <f t="shared" si="5"/>
        <v>#DIV/0!</v>
      </c>
      <c r="L38" s="4" t="e">
        <f t="shared" si="1"/>
        <v>#DIV/0!</v>
      </c>
      <c r="M38" s="103"/>
      <c r="N38" s="103"/>
      <c r="O38" s="34"/>
      <c r="P38" s="6"/>
      <c r="Q38" s="14"/>
    </row>
    <row r="39" spans="1:17">
      <c r="A39" s="13">
        <f t="shared" si="6"/>
        <v>46147</v>
      </c>
      <c r="B39" s="127"/>
      <c r="C39" s="127"/>
      <c r="D39" s="34"/>
      <c r="E39" s="34"/>
      <c r="F39" s="20" t="e">
        <f t="shared" si="4"/>
        <v>#DIV/0!</v>
      </c>
      <c r="G39" s="2">
        <f t="shared" si="2"/>
        <v>0</v>
      </c>
      <c r="H39" s="2">
        <f t="shared" si="3"/>
        <v>0</v>
      </c>
      <c r="I39" s="29"/>
      <c r="J39" s="34"/>
      <c r="K39" s="20" t="e">
        <f t="shared" si="5"/>
        <v>#DIV/0!</v>
      </c>
      <c r="L39" s="4" t="e">
        <f t="shared" si="1"/>
        <v>#DIV/0!</v>
      </c>
      <c r="M39" s="103"/>
      <c r="N39" s="103"/>
      <c r="O39" s="34"/>
      <c r="P39" s="6"/>
      <c r="Q39" s="14"/>
    </row>
    <row r="40" spans="1:17">
      <c r="A40" s="13">
        <f t="shared" si="6"/>
        <v>46148</v>
      </c>
      <c r="B40" s="127"/>
      <c r="C40" s="127"/>
      <c r="D40" s="34"/>
      <c r="E40" s="34"/>
      <c r="F40" s="20" t="e">
        <f t="shared" si="4"/>
        <v>#DIV/0!</v>
      </c>
      <c r="G40" s="2">
        <f t="shared" si="2"/>
        <v>0</v>
      </c>
      <c r="H40" s="2">
        <f t="shared" si="3"/>
        <v>0</v>
      </c>
      <c r="I40" s="29"/>
      <c r="J40" s="34"/>
      <c r="K40" s="20" t="e">
        <f t="shared" si="5"/>
        <v>#DIV/0!</v>
      </c>
      <c r="L40" s="4" t="e">
        <f t="shared" si="1"/>
        <v>#DIV/0!</v>
      </c>
      <c r="M40" s="103"/>
      <c r="N40" s="103"/>
      <c r="O40" s="34"/>
      <c r="P40" s="6"/>
      <c r="Q40" s="14"/>
    </row>
    <row r="41" spans="1:17">
      <c r="A41" s="13">
        <f t="shared" si="6"/>
        <v>46149</v>
      </c>
      <c r="B41" s="127"/>
      <c r="C41" s="127"/>
      <c r="D41" s="34"/>
      <c r="E41" s="34"/>
      <c r="F41" s="20" t="e">
        <f t="shared" si="4"/>
        <v>#DIV/0!</v>
      </c>
      <c r="G41" s="2">
        <f t="shared" si="2"/>
        <v>0</v>
      </c>
      <c r="H41" s="2">
        <f t="shared" si="3"/>
        <v>0</v>
      </c>
      <c r="I41" s="29"/>
      <c r="J41" s="34"/>
      <c r="K41" s="20" t="e">
        <f t="shared" si="5"/>
        <v>#DIV/0!</v>
      </c>
      <c r="L41" s="4" t="e">
        <f t="shared" si="1"/>
        <v>#DIV/0!</v>
      </c>
      <c r="M41" s="103"/>
      <c r="N41" s="103"/>
      <c r="O41" s="34"/>
      <c r="P41" s="6"/>
      <c r="Q41" s="202"/>
    </row>
    <row r="42" spans="1:17">
      <c r="A42" s="13">
        <f t="shared" si="6"/>
        <v>46150</v>
      </c>
      <c r="B42" s="127"/>
      <c r="C42" s="127"/>
      <c r="D42" s="34"/>
      <c r="E42" s="34"/>
      <c r="F42" s="20" t="e">
        <f t="shared" si="4"/>
        <v>#DIV/0!</v>
      </c>
      <c r="G42" s="2">
        <f t="shared" si="2"/>
        <v>0</v>
      </c>
      <c r="H42" s="2">
        <f t="shared" si="3"/>
        <v>0</v>
      </c>
      <c r="I42" s="29"/>
      <c r="J42" s="34"/>
      <c r="K42" s="20" t="e">
        <f t="shared" si="5"/>
        <v>#DIV/0!</v>
      </c>
      <c r="L42" s="4" t="e">
        <f t="shared" si="1"/>
        <v>#DIV/0!</v>
      </c>
      <c r="M42" s="103"/>
      <c r="N42" s="103"/>
      <c r="O42" s="34"/>
      <c r="P42" s="6"/>
      <c r="Q42" s="14"/>
    </row>
    <row r="43" spans="1:17">
      <c r="A43" s="13">
        <f t="shared" si="6"/>
        <v>46151</v>
      </c>
      <c r="B43" s="127"/>
      <c r="C43" s="127"/>
      <c r="D43" s="34"/>
      <c r="E43" s="34"/>
      <c r="F43" s="20" t="e">
        <f t="shared" si="4"/>
        <v>#DIV/0!</v>
      </c>
      <c r="G43" s="2">
        <f t="shared" si="2"/>
        <v>0</v>
      </c>
      <c r="H43" s="2">
        <f t="shared" si="3"/>
        <v>0</v>
      </c>
      <c r="I43" s="29"/>
      <c r="J43" s="34"/>
      <c r="K43" s="20" t="e">
        <f t="shared" si="5"/>
        <v>#DIV/0!</v>
      </c>
      <c r="L43" s="4" t="e">
        <f t="shared" si="1"/>
        <v>#DIV/0!</v>
      </c>
      <c r="M43" s="103"/>
      <c r="N43" s="103"/>
      <c r="O43" s="34"/>
      <c r="P43" s="6"/>
      <c r="Q43" s="6"/>
    </row>
    <row r="44" spans="1:17">
      <c r="A44" s="13">
        <f t="shared" si="6"/>
        <v>46152</v>
      </c>
      <c r="B44" s="127"/>
      <c r="C44" s="127"/>
      <c r="D44" s="34"/>
      <c r="E44" s="34"/>
      <c r="F44" s="20" t="e">
        <f t="shared" si="4"/>
        <v>#DIV/0!</v>
      </c>
      <c r="G44" s="2">
        <f t="shared" si="2"/>
        <v>0</v>
      </c>
      <c r="H44" s="2">
        <f t="shared" si="3"/>
        <v>0</v>
      </c>
      <c r="I44" s="29"/>
      <c r="J44" s="34"/>
      <c r="K44" s="20" t="e">
        <f t="shared" si="5"/>
        <v>#DIV/0!</v>
      </c>
      <c r="L44" s="4" t="e">
        <f t="shared" si="1"/>
        <v>#DIV/0!</v>
      </c>
      <c r="M44" s="103"/>
      <c r="N44" s="103"/>
      <c r="O44" s="34"/>
      <c r="P44" s="6"/>
      <c r="Q44" s="16"/>
    </row>
    <row r="45" spans="1:17">
      <c r="A45" s="13">
        <f t="shared" si="6"/>
        <v>46153</v>
      </c>
      <c r="B45" s="127"/>
      <c r="C45" s="127"/>
      <c r="D45" s="34"/>
      <c r="E45" s="34"/>
      <c r="F45" s="20" t="e">
        <f t="shared" si="4"/>
        <v>#DIV/0!</v>
      </c>
      <c r="G45" s="2">
        <f t="shared" si="2"/>
        <v>0</v>
      </c>
      <c r="H45" s="2">
        <f t="shared" si="3"/>
        <v>0</v>
      </c>
      <c r="I45" s="29"/>
      <c r="J45" s="34"/>
      <c r="K45" s="20" t="e">
        <f t="shared" si="5"/>
        <v>#DIV/0!</v>
      </c>
      <c r="L45" s="4" t="e">
        <f t="shared" si="1"/>
        <v>#DIV/0!</v>
      </c>
      <c r="M45" s="103"/>
      <c r="N45" s="103"/>
      <c r="O45" s="34"/>
      <c r="P45" s="6"/>
      <c r="Q45" s="6"/>
    </row>
    <row r="46" spans="1:17">
      <c r="A46" s="13">
        <f t="shared" si="6"/>
        <v>46154</v>
      </c>
      <c r="B46" s="127"/>
      <c r="C46" s="127"/>
      <c r="D46" s="34"/>
      <c r="E46" s="34"/>
      <c r="F46" s="20" t="e">
        <f t="shared" si="4"/>
        <v>#DIV/0!</v>
      </c>
      <c r="G46" s="2">
        <f t="shared" si="2"/>
        <v>0</v>
      </c>
      <c r="H46" s="2">
        <f t="shared" si="3"/>
        <v>0</v>
      </c>
      <c r="I46" s="29"/>
      <c r="J46" s="34"/>
      <c r="K46" s="20" t="e">
        <f t="shared" si="5"/>
        <v>#DIV/0!</v>
      </c>
      <c r="L46" s="4" t="e">
        <f t="shared" si="1"/>
        <v>#DIV/0!</v>
      </c>
      <c r="M46" s="104"/>
      <c r="N46" s="103"/>
      <c r="O46" s="34"/>
      <c r="P46" s="6"/>
      <c r="Q46" s="6"/>
    </row>
    <row r="47" spans="1:17">
      <c r="A47" s="13">
        <f t="shared" si="6"/>
        <v>46155</v>
      </c>
      <c r="B47" s="127"/>
      <c r="C47" s="127"/>
      <c r="D47" s="34"/>
      <c r="E47" s="34"/>
      <c r="F47" s="20" t="e">
        <f t="shared" si="4"/>
        <v>#DIV/0!</v>
      </c>
      <c r="G47" s="2">
        <f t="shared" si="2"/>
        <v>0</v>
      </c>
      <c r="H47" s="2">
        <f t="shared" si="3"/>
        <v>0</v>
      </c>
      <c r="I47" s="29"/>
      <c r="J47" s="34"/>
      <c r="K47" s="20" t="e">
        <f t="shared" si="5"/>
        <v>#DIV/0!</v>
      </c>
      <c r="L47" s="4" t="e">
        <f t="shared" si="1"/>
        <v>#DIV/0!</v>
      </c>
      <c r="M47" s="104"/>
      <c r="N47" s="103"/>
      <c r="O47" s="34"/>
      <c r="P47" s="6"/>
      <c r="Q47" s="31"/>
    </row>
    <row r="48" spans="1:17">
      <c r="A48" s="13">
        <f t="shared" si="6"/>
        <v>46156</v>
      </c>
      <c r="B48" s="127"/>
      <c r="C48" s="127"/>
      <c r="D48" s="34"/>
      <c r="E48" s="34"/>
      <c r="F48" s="20" t="e">
        <f t="shared" si="4"/>
        <v>#DIV/0!</v>
      </c>
      <c r="G48" s="2">
        <f t="shared" si="2"/>
        <v>0</v>
      </c>
      <c r="H48" s="2">
        <f t="shared" si="3"/>
        <v>0</v>
      </c>
      <c r="I48" s="29"/>
      <c r="J48" s="34"/>
      <c r="K48" s="20" t="e">
        <f t="shared" si="5"/>
        <v>#DIV/0!</v>
      </c>
      <c r="L48" s="4" t="e">
        <f t="shared" si="1"/>
        <v>#DIV/0!</v>
      </c>
      <c r="M48" s="104"/>
      <c r="N48" s="103"/>
      <c r="O48" s="34"/>
      <c r="P48" s="6"/>
      <c r="Q48" s="32"/>
    </row>
    <row r="49" spans="1:17">
      <c r="A49" s="13">
        <f t="shared" si="6"/>
        <v>46157</v>
      </c>
      <c r="B49" s="127"/>
      <c r="C49" s="127"/>
      <c r="D49" s="34"/>
      <c r="E49" s="34"/>
      <c r="F49" s="20" t="e">
        <f t="shared" si="4"/>
        <v>#DIV/0!</v>
      </c>
      <c r="G49" s="2">
        <f t="shared" si="2"/>
        <v>0</v>
      </c>
      <c r="H49" s="2">
        <f t="shared" si="3"/>
        <v>0</v>
      </c>
      <c r="I49" s="29"/>
      <c r="J49" s="34"/>
      <c r="K49" s="20" t="e">
        <f t="shared" si="5"/>
        <v>#DIV/0!</v>
      </c>
      <c r="L49" s="4" t="e">
        <f t="shared" si="1"/>
        <v>#DIV/0!</v>
      </c>
      <c r="M49" s="104"/>
      <c r="N49" s="103"/>
      <c r="O49" s="34"/>
      <c r="P49" s="6"/>
      <c r="Q49" s="32"/>
    </row>
    <row r="50" spans="1:17">
      <c r="A50" s="13">
        <f t="shared" si="6"/>
        <v>46158</v>
      </c>
      <c r="B50" s="127"/>
      <c r="C50" s="127"/>
      <c r="D50" s="34"/>
      <c r="E50" s="34"/>
      <c r="F50" s="20" t="e">
        <f t="shared" si="4"/>
        <v>#DIV/0!</v>
      </c>
      <c r="G50" s="2">
        <f t="shared" si="2"/>
        <v>0</v>
      </c>
      <c r="H50" s="2">
        <f t="shared" si="3"/>
        <v>0</v>
      </c>
      <c r="I50" s="29"/>
      <c r="J50" s="34"/>
      <c r="K50" s="20" t="e">
        <f t="shared" si="5"/>
        <v>#DIV/0!</v>
      </c>
      <c r="L50" s="4" t="e">
        <f t="shared" si="1"/>
        <v>#DIV/0!</v>
      </c>
      <c r="M50" s="104"/>
      <c r="N50" s="103"/>
      <c r="O50" s="34"/>
      <c r="P50" s="6"/>
      <c r="Q50" s="32"/>
    </row>
    <row r="51" spans="1:17">
      <c r="A51" s="13">
        <f t="shared" si="6"/>
        <v>46159</v>
      </c>
      <c r="B51" s="127"/>
      <c r="C51" s="127"/>
      <c r="D51" s="34"/>
      <c r="E51" s="34"/>
      <c r="F51" s="20" t="e">
        <f t="shared" si="4"/>
        <v>#DIV/0!</v>
      </c>
      <c r="G51" s="2">
        <f t="shared" si="2"/>
        <v>0</v>
      </c>
      <c r="H51" s="2">
        <f t="shared" si="3"/>
        <v>0</v>
      </c>
      <c r="I51" s="29"/>
      <c r="J51" s="34"/>
      <c r="K51" s="20" t="e">
        <f t="shared" si="5"/>
        <v>#DIV/0!</v>
      </c>
      <c r="L51" s="4" t="e">
        <f t="shared" si="1"/>
        <v>#DIV/0!</v>
      </c>
      <c r="M51" s="103"/>
      <c r="N51" s="103"/>
      <c r="O51" s="34"/>
      <c r="P51" s="6"/>
      <c r="Q51" s="6"/>
    </row>
    <row r="52" spans="1:17">
      <c r="A52" s="13">
        <f t="shared" si="6"/>
        <v>46160</v>
      </c>
      <c r="B52" s="127"/>
      <c r="C52" s="127"/>
      <c r="D52" s="34"/>
      <c r="E52" s="34"/>
      <c r="F52" s="20" t="e">
        <f t="shared" si="4"/>
        <v>#DIV/0!</v>
      </c>
      <c r="G52" s="2">
        <f t="shared" si="2"/>
        <v>0</v>
      </c>
      <c r="H52" s="2">
        <f t="shared" si="3"/>
        <v>0</v>
      </c>
      <c r="I52" s="29"/>
      <c r="J52" s="34"/>
      <c r="K52" s="20" t="e">
        <f t="shared" si="5"/>
        <v>#DIV/0!</v>
      </c>
      <c r="L52" s="4" t="e">
        <f t="shared" si="1"/>
        <v>#DIV/0!</v>
      </c>
      <c r="M52" s="103"/>
      <c r="N52" s="103"/>
      <c r="O52" s="34"/>
      <c r="P52" s="6"/>
      <c r="Q52" s="14"/>
    </row>
    <row r="53" spans="1:17">
      <c r="A53" s="13">
        <f t="shared" si="6"/>
        <v>46161</v>
      </c>
      <c r="B53" s="127"/>
      <c r="C53" s="127"/>
      <c r="D53" s="34"/>
      <c r="E53" s="34"/>
      <c r="F53" s="20" t="e">
        <f t="shared" si="4"/>
        <v>#DIV/0!</v>
      </c>
      <c r="G53" s="2">
        <f t="shared" si="2"/>
        <v>0</v>
      </c>
      <c r="H53" s="2">
        <f t="shared" si="3"/>
        <v>0</v>
      </c>
      <c r="I53" s="29"/>
      <c r="J53" s="34"/>
      <c r="K53" s="20" t="e">
        <f t="shared" si="5"/>
        <v>#DIV/0!</v>
      </c>
      <c r="L53" s="4" t="e">
        <f t="shared" si="1"/>
        <v>#DIV/0!</v>
      </c>
      <c r="M53" s="103"/>
      <c r="N53" s="103"/>
      <c r="O53" s="34"/>
      <c r="P53" s="6"/>
      <c r="Q53" s="14"/>
    </row>
    <row r="54" spans="1:17">
      <c r="A54" s="13">
        <f t="shared" si="6"/>
        <v>46162</v>
      </c>
      <c r="B54" s="127"/>
      <c r="C54" s="127"/>
      <c r="D54" s="34"/>
      <c r="E54" s="34"/>
      <c r="F54" s="20" t="e">
        <f t="shared" si="4"/>
        <v>#DIV/0!</v>
      </c>
      <c r="G54" s="2">
        <f t="shared" si="2"/>
        <v>0</v>
      </c>
      <c r="H54" s="2">
        <f t="shared" si="3"/>
        <v>0</v>
      </c>
      <c r="I54" s="29"/>
      <c r="J54" s="34"/>
      <c r="K54" s="20" t="e">
        <f t="shared" si="5"/>
        <v>#DIV/0!</v>
      </c>
      <c r="L54" s="4" t="e">
        <f t="shared" si="1"/>
        <v>#DIV/0!</v>
      </c>
      <c r="M54" s="103"/>
      <c r="N54" s="103"/>
      <c r="O54" s="34"/>
      <c r="P54" s="6"/>
      <c r="Q54" s="14"/>
    </row>
    <row r="55" spans="1:17">
      <c r="A55" s="13">
        <f t="shared" si="6"/>
        <v>46163</v>
      </c>
      <c r="B55" s="127"/>
      <c r="C55" s="127"/>
      <c r="D55" s="34"/>
      <c r="E55" s="34"/>
      <c r="F55" s="20" t="e">
        <f>(IF(ISBLANK(E55),0,E55-C55))/C55</f>
        <v>#DIV/0!</v>
      </c>
      <c r="G55" s="2">
        <f t="shared" si="2"/>
        <v>0</v>
      </c>
      <c r="H55" s="2">
        <f t="shared" si="3"/>
        <v>0</v>
      </c>
      <c r="I55" s="29"/>
      <c r="J55" s="34"/>
      <c r="K55" s="20" t="e">
        <f>(IF(ISBLANK(J55),0,J55-I55))/I55</f>
        <v>#DIV/0!</v>
      </c>
      <c r="L55" s="4" t="e">
        <f t="shared" si="1"/>
        <v>#DIV/0!</v>
      </c>
      <c r="M55" s="103"/>
      <c r="N55" s="103"/>
      <c r="O55" s="34"/>
      <c r="P55" s="6"/>
      <c r="Q55" s="6"/>
    </row>
    <row r="56" spans="1:17">
      <c r="A56" s="13">
        <f t="shared" si="6"/>
        <v>46164</v>
      </c>
      <c r="B56" s="127"/>
      <c r="C56" s="127"/>
      <c r="D56" s="34"/>
      <c r="E56" s="34"/>
      <c r="F56" s="20" t="e">
        <f t="shared" ref="F56:F65" si="7">(IF(ISBLANK(E56),0,E56-C56))/C56</f>
        <v>#DIV/0!</v>
      </c>
      <c r="G56" s="2">
        <f t="shared" si="2"/>
        <v>0</v>
      </c>
      <c r="H56" s="2">
        <f t="shared" si="3"/>
        <v>0</v>
      </c>
      <c r="I56" s="29"/>
      <c r="J56" s="34"/>
      <c r="K56" s="20" t="e">
        <f t="shared" ref="K56:K65" si="8">(IF(ISBLANK(J56),0,J56-I56))/I56</f>
        <v>#DIV/0!</v>
      </c>
      <c r="L56" s="4" t="e">
        <f t="shared" si="1"/>
        <v>#DIV/0!</v>
      </c>
      <c r="M56" s="103"/>
      <c r="N56" s="103"/>
      <c r="O56" s="34"/>
      <c r="P56" s="6"/>
      <c r="Q56" s="6"/>
    </row>
    <row r="57" spans="1:17">
      <c r="A57" s="13">
        <f t="shared" si="6"/>
        <v>46165</v>
      </c>
      <c r="B57" s="127"/>
      <c r="C57" s="127"/>
      <c r="D57" s="14"/>
      <c r="E57" s="14"/>
      <c r="F57" s="20" t="e">
        <f t="shared" si="7"/>
        <v>#DIV/0!</v>
      </c>
      <c r="G57" s="2">
        <f t="shared" si="2"/>
        <v>0</v>
      </c>
      <c r="H57" s="2">
        <f t="shared" si="3"/>
        <v>0</v>
      </c>
      <c r="I57" s="29"/>
      <c r="J57" s="14"/>
      <c r="K57" s="20" t="e">
        <f t="shared" si="8"/>
        <v>#DIV/0!</v>
      </c>
      <c r="L57" s="4" t="e">
        <f t="shared" si="1"/>
        <v>#DIV/0!</v>
      </c>
      <c r="M57" s="103"/>
      <c r="N57" s="103"/>
      <c r="O57" s="34"/>
      <c r="P57" s="6"/>
      <c r="Q57" s="6"/>
    </row>
    <row r="58" spans="1:17">
      <c r="A58" s="13">
        <f t="shared" si="6"/>
        <v>46166</v>
      </c>
      <c r="B58" s="127"/>
      <c r="C58" s="127"/>
      <c r="D58" s="14"/>
      <c r="E58" s="14"/>
      <c r="F58" s="20" t="e">
        <f t="shared" si="7"/>
        <v>#DIV/0!</v>
      </c>
      <c r="G58" s="2">
        <f t="shared" ref="G58:G65" si="9">D58/($D$2*24)</f>
        <v>0</v>
      </c>
      <c r="H58" s="2">
        <f t="shared" si="3"/>
        <v>0</v>
      </c>
      <c r="I58" s="29"/>
      <c r="J58" s="14"/>
      <c r="K58" s="20" t="e">
        <f t="shared" si="8"/>
        <v>#DIV/0!</v>
      </c>
      <c r="L58" s="4" t="e">
        <f t="shared" si="1"/>
        <v>#DIV/0!</v>
      </c>
      <c r="M58" s="103"/>
      <c r="N58" s="103"/>
      <c r="O58" s="34"/>
      <c r="P58" s="6"/>
      <c r="Q58" s="288"/>
    </row>
    <row r="59" spans="1:17">
      <c r="A59" s="13">
        <f t="shared" si="6"/>
        <v>46167</v>
      </c>
      <c r="B59" s="1"/>
      <c r="C59" s="1"/>
      <c r="D59" s="14"/>
      <c r="E59" s="14"/>
      <c r="F59" s="20" t="e">
        <f t="shared" si="7"/>
        <v>#DIV/0!</v>
      </c>
      <c r="G59" s="2">
        <f t="shared" si="9"/>
        <v>0</v>
      </c>
      <c r="H59" s="2">
        <f t="shared" si="3"/>
        <v>0</v>
      </c>
      <c r="I59" s="29"/>
      <c r="J59" s="14"/>
      <c r="K59" s="20" t="e">
        <f t="shared" si="8"/>
        <v>#DIV/0!</v>
      </c>
      <c r="L59" s="4" t="e">
        <f t="shared" si="1"/>
        <v>#DIV/0!</v>
      </c>
      <c r="M59" s="103"/>
      <c r="N59" s="103"/>
      <c r="O59" s="34"/>
      <c r="P59" s="155"/>
      <c r="Q59" s="6"/>
    </row>
    <row r="60" spans="1:17">
      <c r="A60" s="13">
        <f t="shared" si="6"/>
        <v>46168</v>
      </c>
      <c r="B60" s="1"/>
      <c r="C60" s="1"/>
      <c r="D60" s="14"/>
      <c r="E60" s="14"/>
      <c r="F60" s="20" t="e">
        <f t="shared" si="7"/>
        <v>#DIV/0!</v>
      </c>
      <c r="G60" s="2">
        <f t="shared" si="9"/>
        <v>0</v>
      </c>
      <c r="H60" s="2">
        <f t="shared" si="3"/>
        <v>0</v>
      </c>
      <c r="I60" s="29"/>
      <c r="J60" s="14"/>
      <c r="K60" s="20" t="e">
        <f t="shared" si="8"/>
        <v>#DIV/0!</v>
      </c>
      <c r="L60" s="4" t="e">
        <f t="shared" si="1"/>
        <v>#DIV/0!</v>
      </c>
      <c r="M60" s="103"/>
      <c r="N60" s="103"/>
      <c r="O60" s="34"/>
      <c r="P60" s="6"/>
      <c r="Q60" s="123"/>
    </row>
    <row r="61" spans="1:17">
      <c r="A61" s="13">
        <f t="shared" si="6"/>
        <v>46169</v>
      </c>
      <c r="B61" s="1"/>
      <c r="C61" s="1"/>
      <c r="D61" s="14"/>
      <c r="E61" s="14"/>
      <c r="F61" s="20" t="e">
        <f t="shared" si="7"/>
        <v>#DIV/0!</v>
      </c>
      <c r="G61" s="2">
        <f t="shared" si="9"/>
        <v>0</v>
      </c>
      <c r="H61" s="2">
        <f t="shared" si="3"/>
        <v>0</v>
      </c>
      <c r="I61" s="29"/>
      <c r="J61" s="14"/>
      <c r="K61" s="20" t="e">
        <f t="shared" si="8"/>
        <v>#DIV/0!</v>
      </c>
      <c r="L61" s="4" t="e">
        <f t="shared" si="1"/>
        <v>#DIV/0!</v>
      </c>
      <c r="M61" s="103"/>
      <c r="N61" s="103"/>
      <c r="O61" s="34"/>
      <c r="P61" s="6"/>
      <c r="Q61" s="6"/>
    </row>
    <row r="62" spans="1:17">
      <c r="A62" s="13">
        <f t="shared" si="6"/>
        <v>46170</v>
      </c>
      <c r="B62" s="1"/>
      <c r="C62" s="1"/>
      <c r="D62" s="14"/>
      <c r="E62" s="14"/>
      <c r="F62" s="20" t="e">
        <f t="shared" si="7"/>
        <v>#DIV/0!</v>
      </c>
      <c r="G62" s="2">
        <f t="shared" si="9"/>
        <v>0</v>
      </c>
      <c r="H62" s="2">
        <f t="shared" ref="H62:H65" si="10">D62/($H$2*24)</f>
        <v>0</v>
      </c>
      <c r="I62" s="29"/>
      <c r="J62" s="14"/>
      <c r="K62" s="20" t="e">
        <f t="shared" si="8"/>
        <v>#DIV/0!</v>
      </c>
      <c r="L62" s="4" t="e">
        <f t="shared" si="1"/>
        <v>#DIV/0!</v>
      </c>
      <c r="M62" s="103"/>
      <c r="N62" s="103"/>
      <c r="O62" s="34"/>
      <c r="P62" s="6"/>
      <c r="Q62" s="6"/>
    </row>
    <row r="63" spans="1:17">
      <c r="A63" s="13">
        <f t="shared" si="6"/>
        <v>46171</v>
      </c>
      <c r="B63" s="1"/>
      <c r="C63" s="1"/>
      <c r="D63" s="14"/>
      <c r="E63" s="14"/>
      <c r="F63" s="20" t="e">
        <f t="shared" si="7"/>
        <v>#DIV/0!</v>
      </c>
      <c r="G63" s="2">
        <f t="shared" si="9"/>
        <v>0</v>
      </c>
      <c r="H63" s="2">
        <f t="shared" si="10"/>
        <v>0</v>
      </c>
      <c r="I63" s="29"/>
      <c r="J63" s="14"/>
      <c r="K63" s="20" t="e">
        <f t="shared" si="8"/>
        <v>#DIV/0!</v>
      </c>
      <c r="L63" s="4" t="e">
        <f t="shared" si="1"/>
        <v>#DIV/0!</v>
      </c>
      <c r="M63" s="103"/>
      <c r="N63" s="103"/>
      <c r="O63" s="34"/>
      <c r="P63" s="6"/>
      <c r="Q63" s="6"/>
    </row>
    <row r="64" spans="1:17">
      <c r="A64" s="13">
        <f t="shared" si="6"/>
        <v>46172</v>
      </c>
      <c r="B64" s="1"/>
      <c r="C64" s="1"/>
      <c r="D64" s="14"/>
      <c r="E64" s="14"/>
      <c r="F64" s="20" t="e">
        <f t="shared" si="7"/>
        <v>#DIV/0!</v>
      </c>
      <c r="G64" s="2">
        <f t="shared" si="9"/>
        <v>0</v>
      </c>
      <c r="H64" s="2">
        <f t="shared" si="10"/>
        <v>0</v>
      </c>
      <c r="I64" s="29"/>
      <c r="J64" s="14"/>
      <c r="K64" s="20" t="e">
        <f t="shared" si="8"/>
        <v>#DIV/0!</v>
      </c>
      <c r="L64" s="4" t="e">
        <f t="shared" si="1"/>
        <v>#DIV/0!</v>
      </c>
      <c r="M64" s="103"/>
      <c r="N64" s="103"/>
      <c r="O64" s="34"/>
      <c r="P64" s="6"/>
      <c r="Q64" s="6"/>
    </row>
    <row r="65" spans="1:17">
      <c r="A65" s="13">
        <f t="shared" si="6"/>
        <v>46173</v>
      </c>
      <c r="B65" s="1"/>
      <c r="C65" s="1"/>
      <c r="D65" s="14"/>
      <c r="E65" s="14"/>
      <c r="F65" s="20" t="e">
        <f t="shared" si="7"/>
        <v>#DIV/0!</v>
      </c>
      <c r="G65" s="2">
        <f t="shared" si="9"/>
        <v>0</v>
      </c>
      <c r="H65" s="2">
        <f t="shared" si="10"/>
        <v>0</v>
      </c>
      <c r="I65" s="29"/>
      <c r="J65" s="14"/>
      <c r="K65" s="20" t="e">
        <f t="shared" si="8"/>
        <v>#DIV/0!</v>
      </c>
      <c r="L65" s="4" t="e">
        <f t="shared" si="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ABE6-1479-49F4-987F-656C2FF9080D}">
  <dimension ref="A1:Q66"/>
  <sheetViews>
    <sheetView topLeftCell="A27" workbookViewId="0">
      <selection activeCell="A34" sqref="A34"/>
    </sheetView>
  </sheetViews>
  <sheetFormatPr defaultColWidth="14.453125" defaultRowHeight="14.5"/>
  <sheetData>
    <row r="1" spans="1:17" ht="18.5">
      <c r="A1" s="417" t="s">
        <v>438</v>
      </c>
      <c r="B1" s="418"/>
      <c r="C1" s="418"/>
      <c r="D1" s="418"/>
      <c r="E1" s="418"/>
      <c r="F1" s="418"/>
      <c r="G1" s="418"/>
      <c r="H1" s="418"/>
      <c r="I1" s="418"/>
      <c r="J1" s="418"/>
      <c r="K1" s="418"/>
      <c r="L1" s="418"/>
      <c r="M1" s="418"/>
      <c r="N1" s="418"/>
      <c r="O1" s="418"/>
      <c r="P1" s="418"/>
      <c r="Q1" s="418"/>
    </row>
    <row r="2" spans="1:17" ht="18.5">
      <c r="A2" s="69">
        <v>46138</v>
      </c>
      <c r="B2" s="415" t="s">
        <v>172</v>
      </c>
      <c r="C2" s="416"/>
      <c r="D2" s="70">
        <v>5148.08</v>
      </c>
      <c r="E2" s="415" t="s">
        <v>173</v>
      </c>
      <c r="F2" s="415"/>
      <c r="G2" s="416"/>
      <c r="H2" s="70">
        <v>3960</v>
      </c>
      <c r="I2" s="415" t="s">
        <v>174</v>
      </c>
      <c r="J2" s="416"/>
      <c r="K2" s="71">
        <v>45692</v>
      </c>
      <c r="L2" s="72" t="s">
        <v>175</v>
      </c>
      <c r="M2" s="72" t="s">
        <v>175</v>
      </c>
      <c r="N2" s="72" t="s">
        <v>175</v>
      </c>
      <c r="O2" s="72" t="s">
        <v>175</v>
      </c>
      <c r="P2" s="72" t="s">
        <v>175</v>
      </c>
      <c r="Q2" s="73" t="s">
        <v>175</v>
      </c>
    </row>
    <row r="3" spans="1:17" ht="39.5">
      <c r="A3" s="74" t="s">
        <v>189</v>
      </c>
      <c r="B3" s="75" t="s">
        <v>3</v>
      </c>
      <c r="C3" s="75" t="s">
        <v>4</v>
      </c>
      <c r="D3" s="75" t="s">
        <v>5</v>
      </c>
      <c r="E3" s="75" t="s">
        <v>6</v>
      </c>
      <c r="F3" s="75" t="s">
        <v>7</v>
      </c>
      <c r="G3" s="75" t="s">
        <v>8</v>
      </c>
      <c r="H3" s="75" t="s">
        <v>9</v>
      </c>
      <c r="I3" s="75" t="s">
        <v>10</v>
      </c>
      <c r="J3" s="75" t="s">
        <v>11</v>
      </c>
      <c r="K3" s="75" t="s">
        <v>12</v>
      </c>
      <c r="L3" s="75" t="s">
        <v>13</v>
      </c>
      <c r="M3" s="75" t="s">
        <v>14</v>
      </c>
      <c r="N3" s="75" t="s">
        <v>15</v>
      </c>
      <c r="O3" s="75" t="s">
        <v>16</v>
      </c>
      <c r="P3" s="75" t="s">
        <v>17</v>
      </c>
      <c r="Q3" s="184" t="s">
        <v>156</v>
      </c>
    </row>
    <row r="4" spans="1:17">
      <c r="A4" s="76">
        <v>46113</v>
      </c>
      <c r="B4" s="36">
        <v>37190</v>
      </c>
      <c r="C4" s="36">
        <v>33060</v>
      </c>
      <c r="D4" s="37">
        <v>30119</v>
      </c>
      <c r="E4" s="37">
        <v>29400</v>
      </c>
      <c r="F4" s="77">
        <v>-2940.6</v>
      </c>
      <c r="G4" s="38">
        <v>0.24379999999999999</v>
      </c>
      <c r="H4" s="38">
        <v>0.31690000000000002</v>
      </c>
      <c r="I4" s="36">
        <v>9.16</v>
      </c>
      <c r="J4" s="37">
        <v>7.5648</v>
      </c>
      <c r="K4" s="77">
        <v>-1.5923099999999999</v>
      </c>
      <c r="L4" s="40">
        <v>0.77300000000000002</v>
      </c>
      <c r="M4" s="41">
        <v>1</v>
      </c>
      <c r="N4" s="41">
        <v>0.95569999999999999</v>
      </c>
      <c r="O4" s="37">
        <v>1726</v>
      </c>
      <c r="P4" s="37">
        <v>0</v>
      </c>
      <c r="Q4" s="37" t="s">
        <v>439</v>
      </c>
    </row>
    <row r="5" spans="1:17">
      <c r="A5" s="79">
        <v>46114</v>
      </c>
      <c r="B5" s="43">
        <v>37190</v>
      </c>
      <c r="C5" s="43">
        <v>33060</v>
      </c>
      <c r="D5" s="44">
        <v>31512</v>
      </c>
      <c r="E5" s="44">
        <v>30650</v>
      </c>
      <c r="F5" s="77">
        <v>-1547.6</v>
      </c>
      <c r="G5" s="45">
        <v>0.255</v>
      </c>
      <c r="H5" s="45">
        <v>0.33160000000000001</v>
      </c>
      <c r="I5" s="43">
        <v>9.16</v>
      </c>
      <c r="J5" s="44">
        <v>7.2298</v>
      </c>
      <c r="K5" s="77">
        <v>-1.9273100000000001</v>
      </c>
      <c r="L5" s="47">
        <v>0.84699999999999998</v>
      </c>
      <c r="M5" s="48">
        <v>1</v>
      </c>
      <c r="N5" s="48">
        <v>0.97230000000000005</v>
      </c>
      <c r="O5" s="44">
        <v>1214</v>
      </c>
      <c r="P5" s="44">
        <v>0</v>
      </c>
      <c r="Q5" s="44" t="s">
        <v>440</v>
      </c>
    </row>
    <row r="6" spans="1:17">
      <c r="A6" s="79">
        <v>46115</v>
      </c>
      <c r="B6" s="43">
        <v>37190</v>
      </c>
      <c r="C6" s="43">
        <v>33060</v>
      </c>
      <c r="D6" s="44">
        <v>24185</v>
      </c>
      <c r="E6" s="44">
        <v>23550</v>
      </c>
      <c r="F6" s="77">
        <v>-8874.6</v>
      </c>
      <c r="G6" s="45">
        <v>0.19570000000000001</v>
      </c>
      <c r="H6" s="45">
        <v>0.2545</v>
      </c>
      <c r="I6" s="43">
        <v>9.16</v>
      </c>
      <c r="J6" s="44">
        <v>5.2548000000000004</v>
      </c>
      <c r="K6" s="77">
        <v>-3.9023099999999999</v>
      </c>
      <c r="L6" s="47">
        <v>0.89400000000000002</v>
      </c>
      <c r="M6" s="48">
        <v>1</v>
      </c>
      <c r="N6" s="48">
        <v>1</v>
      </c>
      <c r="O6" s="44">
        <v>0</v>
      </c>
      <c r="P6" s="44">
        <v>0</v>
      </c>
      <c r="Q6" s="44" t="s">
        <v>175</v>
      </c>
    </row>
    <row r="7" spans="1:17">
      <c r="A7" s="79">
        <v>46116</v>
      </c>
      <c r="B7" s="43">
        <v>37190</v>
      </c>
      <c r="C7" s="43">
        <v>33060</v>
      </c>
      <c r="D7" s="44">
        <v>39669</v>
      </c>
      <c r="E7" s="44">
        <v>38650</v>
      </c>
      <c r="F7" s="77">
        <v>6609.4</v>
      </c>
      <c r="G7" s="45">
        <v>0.3211</v>
      </c>
      <c r="H7" s="45">
        <v>0.41739999999999999</v>
      </c>
      <c r="I7" s="43">
        <v>9.16</v>
      </c>
      <c r="J7" s="44">
        <v>9.4042999999999992</v>
      </c>
      <c r="K7" s="77">
        <v>0.24718999999999999</v>
      </c>
      <c r="L7" s="47">
        <v>0.81899999999999995</v>
      </c>
      <c r="M7" s="48">
        <v>1</v>
      </c>
      <c r="N7" s="48">
        <v>1</v>
      </c>
      <c r="O7" s="44">
        <v>0</v>
      </c>
      <c r="P7" s="44">
        <v>0</v>
      </c>
      <c r="Q7" s="44" t="s">
        <v>175</v>
      </c>
    </row>
    <row r="8" spans="1:17">
      <c r="A8" s="79">
        <v>46117</v>
      </c>
      <c r="B8" s="43">
        <v>37190</v>
      </c>
      <c r="C8" s="43">
        <v>33060</v>
      </c>
      <c r="D8" s="44">
        <v>32951</v>
      </c>
      <c r="E8" s="44">
        <v>32200</v>
      </c>
      <c r="F8" s="77">
        <v>-108.6</v>
      </c>
      <c r="G8" s="45">
        <v>0.26669999999999999</v>
      </c>
      <c r="H8" s="45">
        <v>0.34670000000000001</v>
      </c>
      <c r="I8" s="43">
        <v>9.16</v>
      </c>
      <c r="J8" s="44">
        <v>8.6668000000000003</v>
      </c>
      <c r="K8" s="77">
        <v>-0.49031000000000002</v>
      </c>
      <c r="L8" s="47">
        <v>0.73899999999999999</v>
      </c>
      <c r="M8" s="48">
        <v>1</v>
      </c>
      <c r="N8" s="48">
        <v>0.91359999999999997</v>
      </c>
      <c r="O8" s="44">
        <v>3835</v>
      </c>
      <c r="P8" s="44">
        <v>0</v>
      </c>
      <c r="Q8" s="44" t="s">
        <v>441</v>
      </c>
    </row>
    <row r="9" spans="1:17">
      <c r="A9" s="79">
        <v>46118</v>
      </c>
      <c r="B9" s="43">
        <v>37190</v>
      </c>
      <c r="C9" s="43">
        <v>33060</v>
      </c>
      <c r="D9" s="44">
        <v>35797</v>
      </c>
      <c r="E9" s="44">
        <v>34850</v>
      </c>
      <c r="F9" s="77">
        <v>2737.4</v>
      </c>
      <c r="G9" s="45">
        <v>0.28970000000000001</v>
      </c>
      <c r="H9" s="45">
        <v>0.37669999999999998</v>
      </c>
      <c r="I9" s="43">
        <v>9.16</v>
      </c>
      <c r="J9" s="44">
        <v>8.9618000000000002</v>
      </c>
      <c r="K9" s="77">
        <v>-0.19531000000000001</v>
      </c>
      <c r="L9" s="47">
        <v>0.77600000000000002</v>
      </c>
      <c r="M9" s="48">
        <v>1</v>
      </c>
      <c r="N9" s="48">
        <v>0.91779999999999995</v>
      </c>
      <c r="O9" s="44">
        <v>3509</v>
      </c>
      <c r="P9" s="44">
        <v>0</v>
      </c>
      <c r="Q9" s="44" t="s">
        <v>442</v>
      </c>
    </row>
    <row r="10" spans="1:17">
      <c r="A10" s="79">
        <v>46119</v>
      </c>
      <c r="B10" s="43">
        <v>37190</v>
      </c>
      <c r="C10" s="43">
        <v>33060</v>
      </c>
      <c r="D10" s="44">
        <v>19469</v>
      </c>
      <c r="E10" s="44">
        <v>18950</v>
      </c>
      <c r="F10" s="77">
        <v>-13590.6</v>
      </c>
      <c r="G10" s="45">
        <v>0.15759999999999999</v>
      </c>
      <c r="H10" s="45">
        <v>0.2049</v>
      </c>
      <c r="I10" s="43">
        <v>9.16</v>
      </c>
      <c r="J10" s="44">
        <v>6.2298</v>
      </c>
      <c r="K10" s="77">
        <v>-2.9273099999999999</v>
      </c>
      <c r="L10" s="47">
        <v>0.60699999999999998</v>
      </c>
      <c r="M10" s="48">
        <v>1</v>
      </c>
      <c r="N10" s="48">
        <v>0.82709999999999995</v>
      </c>
      <c r="O10" s="44">
        <v>5424</v>
      </c>
      <c r="P10" s="44">
        <v>0</v>
      </c>
      <c r="Q10" s="44" t="s">
        <v>443</v>
      </c>
    </row>
    <row r="11" spans="1:17">
      <c r="A11" s="79">
        <v>46120</v>
      </c>
      <c r="B11" s="43">
        <v>37190</v>
      </c>
      <c r="C11" s="43">
        <v>33060</v>
      </c>
      <c r="D11" s="44">
        <v>29344</v>
      </c>
      <c r="E11" s="44">
        <v>28750</v>
      </c>
      <c r="F11" s="77">
        <v>-3715.6</v>
      </c>
      <c r="G11" s="45">
        <v>0.23749999999999999</v>
      </c>
      <c r="H11" s="45">
        <v>0.30880000000000002</v>
      </c>
      <c r="I11" s="43">
        <v>9.16</v>
      </c>
      <c r="J11" s="44">
        <v>8.0229999999999997</v>
      </c>
      <c r="K11" s="77">
        <v>-1.1340600000000001</v>
      </c>
      <c r="L11" s="47">
        <v>0.71</v>
      </c>
      <c r="M11" s="48">
        <v>1</v>
      </c>
      <c r="N11" s="48">
        <v>0.86529999999999996</v>
      </c>
      <c r="O11" s="44">
        <v>5516</v>
      </c>
      <c r="P11" s="44">
        <v>0</v>
      </c>
      <c r="Q11" s="44" t="s">
        <v>444</v>
      </c>
    </row>
    <row r="12" spans="1:17">
      <c r="A12" s="79">
        <v>46121</v>
      </c>
      <c r="B12" s="43">
        <v>37190</v>
      </c>
      <c r="C12" s="43">
        <v>33060</v>
      </c>
      <c r="D12" s="44">
        <v>34662</v>
      </c>
      <c r="E12" s="44">
        <v>33800</v>
      </c>
      <c r="F12" s="77">
        <v>1602.4</v>
      </c>
      <c r="G12" s="45">
        <v>0.28050000000000003</v>
      </c>
      <c r="H12" s="45">
        <v>0.36470000000000002</v>
      </c>
      <c r="I12" s="43">
        <v>9.16</v>
      </c>
      <c r="J12" s="44">
        <v>8.2859999999999996</v>
      </c>
      <c r="K12" s="77">
        <v>-0.87105999999999995</v>
      </c>
      <c r="L12" s="47">
        <v>0.81299999999999994</v>
      </c>
      <c r="M12" s="48">
        <v>1</v>
      </c>
      <c r="N12" s="48">
        <v>0.95779999999999998</v>
      </c>
      <c r="O12" s="44">
        <v>1841</v>
      </c>
      <c r="P12" s="44">
        <v>0</v>
      </c>
      <c r="Q12" s="44" t="s">
        <v>445</v>
      </c>
    </row>
    <row r="13" spans="1:17">
      <c r="A13" s="79">
        <v>46122</v>
      </c>
      <c r="B13" s="43">
        <v>37190</v>
      </c>
      <c r="C13" s="43">
        <v>33060</v>
      </c>
      <c r="D13" s="44">
        <v>35046</v>
      </c>
      <c r="E13" s="44">
        <v>34150</v>
      </c>
      <c r="F13" s="77">
        <v>1986.4</v>
      </c>
      <c r="G13" s="45">
        <v>0.28360000000000002</v>
      </c>
      <c r="H13" s="45">
        <v>0.36880000000000002</v>
      </c>
      <c r="I13" s="43">
        <v>9.16</v>
      </c>
      <c r="J13" s="44">
        <v>9.2095000000000002</v>
      </c>
      <c r="K13" s="77">
        <v>5.2440000000000001E-2</v>
      </c>
      <c r="L13" s="47">
        <v>0.73899999999999999</v>
      </c>
      <c r="M13" s="48">
        <v>0.95960000000000001</v>
      </c>
      <c r="N13" s="48">
        <v>0.97450000000000003</v>
      </c>
      <c r="O13" s="44">
        <v>1285</v>
      </c>
      <c r="P13" s="44">
        <v>1987</v>
      </c>
      <c r="Q13" s="44" t="s">
        <v>446</v>
      </c>
    </row>
    <row r="14" spans="1:17">
      <c r="A14" s="79">
        <v>46123</v>
      </c>
      <c r="B14" s="43">
        <v>37190</v>
      </c>
      <c r="C14" s="43">
        <v>33060</v>
      </c>
      <c r="D14" s="44">
        <v>37737.199999999997</v>
      </c>
      <c r="E14" s="44">
        <v>36750</v>
      </c>
      <c r="F14" s="77">
        <v>4677.6000000000004</v>
      </c>
      <c r="G14" s="45">
        <v>0.3054</v>
      </c>
      <c r="H14" s="45">
        <v>0.39710000000000001</v>
      </c>
      <c r="I14" s="43">
        <v>9.16</v>
      </c>
      <c r="J14" s="44">
        <v>8.7565000000000008</v>
      </c>
      <c r="K14" s="77">
        <v>-0.40056000000000003</v>
      </c>
      <c r="L14" s="47">
        <v>0.83699999999999997</v>
      </c>
      <c r="M14" s="48">
        <v>1</v>
      </c>
      <c r="N14" s="48">
        <v>1</v>
      </c>
      <c r="O14" s="44">
        <v>0</v>
      </c>
      <c r="P14" s="44">
        <v>0</v>
      </c>
      <c r="Q14" s="44" t="s">
        <v>175</v>
      </c>
    </row>
    <row r="15" spans="1:17">
      <c r="A15" s="79">
        <v>46124</v>
      </c>
      <c r="B15" s="43">
        <v>37190</v>
      </c>
      <c r="C15" s="43">
        <v>33060</v>
      </c>
      <c r="D15" s="44">
        <v>38416.199999999997</v>
      </c>
      <c r="E15" s="44">
        <v>37500</v>
      </c>
      <c r="F15" s="77">
        <v>5356.6</v>
      </c>
      <c r="G15" s="45">
        <v>0.31090000000000001</v>
      </c>
      <c r="H15" s="45">
        <v>0.4042</v>
      </c>
      <c r="I15" s="43">
        <v>9.16</v>
      </c>
      <c r="J15" s="44">
        <v>9.1095000000000006</v>
      </c>
      <c r="K15" s="77">
        <v>-4.7559999999999998E-2</v>
      </c>
      <c r="L15" s="47">
        <v>0.81899999999999995</v>
      </c>
      <c r="M15" s="48">
        <v>1</v>
      </c>
      <c r="N15" s="48">
        <v>1</v>
      </c>
      <c r="O15" s="44">
        <v>0</v>
      </c>
      <c r="P15" s="44">
        <v>0</v>
      </c>
      <c r="Q15" s="44" t="s">
        <v>175</v>
      </c>
    </row>
    <row r="16" spans="1:17">
      <c r="A16" s="79">
        <v>46125</v>
      </c>
      <c r="B16" s="43">
        <v>37190</v>
      </c>
      <c r="C16" s="43">
        <v>33060</v>
      </c>
      <c r="D16" s="44">
        <v>36178.699999999997</v>
      </c>
      <c r="E16" s="44">
        <v>35250</v>
      </c>
      <c r="F16" s="77">
        <v>3119.1</v>
      </c>
      <c r="G16" s="45">
        <v>0.2928</v>
      </c>
      <c r="H16" s="45">
        <v>0.38069999999999998</v>
      </c>
      <c r="I16" s="43">
        <v>9.16</v>
      </c>
      <c r="J16" s="44">
        <v>8.9064999999999994</v>
      </c>
      <c r="K16" s="77">
        <v>-0.25056</v>
      </c>
      <c r="L16" s="47">
        <v>0.78900000000000003</v>
      </c>
      <c r="M16" s="48">
        <v>1</v>
      </c>
      <c r="N16" s="48">
        <v>0.95979999999999999</v>
      </c>
      <c r="O16" s="44">
        <v>1952</v>
      </c>
      <c r="P16" s="44">
        <v>0</v>
      </c>
      <c r="Q16" s="44" t="s">
        <v>422</v>
      </c>
    </row>
    <row r="17" spans="1:17">
      <c r="A17" s="79">
        <v>46126</v>
      </c>
      <c r="B17" s="43">
        <v>37190</v>
      </c>
      <c r="C17" s="43">
        <v>33060</v>
      </c>
      <c r="D17" s="44">
        <v>38392</v>
      </c>
      <c r="E17" s="44">
        <v>37400</v>
      </c>
      <c r="F17" s="77">
        <v>5332.4</v>
      </c>
      <c r="G17" s="45">
        <v>0.31069999999999998</v>
      </c>
      <c r="H17" s="45">
        <v>0.40400000000000003</v>
      </c>
      <c r="I17" s="43">
        <v>9.16</v>
      </c>
      <c r="J17" s="44">
        <v>9.2095000000000002</v>
      </c>
      <c r="K17" s="77">
        <v>5.2440000000000001E-2</v>
      </c>
      <c r="L17" s="47">
        <v>0.81</v>
      </c>
      <c r="M17" s="48">
        <v>1</v>
      </c>
      <c r="N17" s="48">
        <v>0.97609999999999997</v>
      </c>
      <c r="O17" s="44">
        <v>1176</v>
      </c>
      <c r="P17" s="44">
        <v>0</v>
      </c>
      <c r="Q17" s="44" t="s">
        <v>447</v>
      </c>
    </row>
    <row r="18" spans="1:17">
      <c r="A18" s="79">
        <v>46127</v>
      </c>
      <c r="B18" s="43">
        <v>37190</v>
      </c>
      <c r="C18" s="43">
        <v>33060</v>
      </c>
      <c r="D18" s="44">
        <v>35336</v>
      </c>
      <c r="E18" s="44">
        <v>34400</v>
      </c>
      <c r="F18" s="77">
        <v>2276.4</v>
      </c>
      <c r="G18" s="45">
        <v>0.28599999999999998</v>
      </c>
      <c r="H18" s="45">
        <v>0.37180000000000002</v>
      </c>
      <c r="I18" s="43">
        <v>9.16</v>
      </c>
      <c r="J18" s="44">
        <v>8.468</v>
      </c>
      <c r="K18" s="77">
        <v>-0.68906000000000001</v>
      </c>
      <c r="L18" s="47">
        <v>0.81100000000000005</v>
      </c>
      <c r="M18" s="48">
        <v>1</v>
      </c>
      <c r="N18" s="48">
        <v>0.96919999999999995</v>
      </c>
      <c r="O18" s="44">
        <v>1442</v>
      </c>
      <c r="P18" s="44">
        <v>0</v>
      </c>
      <c r="Q18" s="44" t="s">
        <v>447</v>
      </c>
    </row>
    <row r="19" spans="1:17">
      <c r="A19" s="79">
        <v>46128</v>
      </c>
      <c r="B19" s="43">
        <v>37190</v>
      </c>
      <c r="C19" s="43">
        <v>33060</v>
      </c>
      <c r="D19" s="44">
        <v>36345</v>
      </c>
      <c r="E19" s="44">
        <v>35500</v>
      </c>
      <c r="F19" s="77">
        <v>3285.4</v>
      </c>
      <c r="G19" s="45">
        <v>0.29420000000000002</v>
      </c>
      <c r="H19" s="45">
        <v>0.38240000000000002</v>
      </c>
      <c r="I19" s="43">
        <v>9.16</v>
      </c>
      <c r="J19" s="44">
        <v>9.0775000000000006</v>
      </c>
      <c r="K19" s="77">
        <v>-7.9560000000000006E-2</v>
      </c>
      <c r="L19" s="47">
        <v>0.77800000000000002</v>
      </c>
      <c r="M19" s="48">
        <v>1</v>
      </c>
      <c r="N19" s="48">
        <v>0.97189999999999999</v>
      </c>
      <c r="O19" s="44">
        <v>1400</v>
      </c>
      <c r="P19" s="44">
        <v>0</v>
      </c>
      <c r="Q19" s="44" t="s">
        <v>447</v>
      </c>
    </row>
    <row r="20" spans="1:17">
      <c r="A20" s="79">
        <v>46129</v>
      </c>
      <c r="B20" s="43">
        <v>37190</v>
      </c>
      <c r="C20" s="43">
        <v>33060</v>
      </c>
      <c r="D20" s="44">
        <v>36793</v>
      </c>
      <c r="E20" s="44">
        <v>35750</v>
      </c>
      <c r="F20" s="77">
        <v>3733.4</v>
      </c>
      <c r="G20" s="45">
        <v>0.29780000000000001</v>
      </c>
      <c r="H20" s="45">
        <v>0.3871</v>
      </c>
      <c r="I20" s="43">
        <v>9.16</v>
      </c>
      <c r="J20" s="44">
        <v>9.2378</v>
      </c>
      <c r="K20" s="77">
        <v>8.0689999999999998E-2</v>
      </c>
      <c r="L20" s="47">
        <v>0.77400000000000002</v>
      </c>
      <c r="M20" s="48">
        <v>1</v>
      </c>
      <c r="N20" s="48">
        <v>0.95860000000000001</v>
      </c>
      <c r="O20" s="44">
        <v>2158</v>
      </c>
      <c r="P20" s="44">
        <v>0</v>
      </c>
      <c r="Q20" s="44" t="s">
        <v>447</v>
      </c>
    </row>
    <row r="21" spans="1:17">
      <c r="A21" s="79">
        <v>46130</v>
      </c>
      <c r="B21" s="43">
        <v>37190</v>
      </c>
      <c r="C21" s="43">
        <v>33060</v>
      </c>
      <c r="D21" s="44">
        <v>41173</v>
      </c>
      <c r="E21" s="44">
        <v>40100</v>
      </c>
      <c r="F21" s="77">
        <v>8113.4</v>
      </c>
      <c r="G21" s="45">
        <v>0.3332</v>
      </c>
      <c r="H21" s="45">
        <v>0.43319999999999997</v>
      </c>
      <c r="I21" s="43">
        <v>9.16</v>
      </c>
      <c r="J21" s="44">
        <v>9.6954999999999991</v>
      </c>
      <c r="K21" s="77">
        <v>0.53844000000000003</v>
      </c>
      <c r="L21" s="47">
        <v>0.82499999999999996</v>
      </c>
      <c r="M21" s="48">
        <v>1</v>
      </c>
      <c r="N21" s="48">
        <v>1</v>
      </c>
      <c r="O21" s="44">
        <v>0</v>
      </c>
      <c r="P21" s="44">
        <v>0</v>
      </c>
      <c r="Q21" s="44" t="s">
        <v>175</v>
      </c>
    </row>
    <row r="22" spans="1:17">
      <c r="A22" s="79">
        <v>46131</v>
      </c>
      <c r="B22" s="43">
        <v>37190</v>
      </c>
      <c r="C22" s="43">
        <v>33060</v>
      </c>
      <c r="D22" s="44">
        <v>35206</v>
      </c>
      <c r="E22" s="44">
        <v>34200</v>
      </c>
      <c r="F22" s="77">
        <v>2146.4</v>
      </c>
      <c r="G22" s="45">
        <v>0.28489999999999999</v>
      </c>
      <c r="H22" s="45">
        <v>0.37040000000000001</v>
      </c>
      <c r="I22" s="43">
        <v>9.16</v>
      </c>
      <c r="J22" s="44">
        <v>9.2330000000000005</v>
      </c>
      <c r="K22" s="77">
        <v>7.5939999999999994E-2</v>
      </c>
      <c r="L22" s="47">
        <v>0.74099999999999999</v>
      </c>
      <c r="M22" s="48">
        <v>0.98670000000000002</v>
      </c>
      <c r="N22" s="48">
        <v>0.96099999999999997</v>
      </c>
      <c r="O22" s="44">
        <v>2030</v>
      </c>
      <c r="P22" s="44">
        <v>643</v>
      </c>
      <c r="Q22" s="44" t="s">
        <v>448</v>
      </c>
    </row>
    <row r="23" spans="1:17">
      <c r="A23" s="79">
        <v>46132</v>
      </c>
      <c r="B23" s="43">
        <v>37190</v>
      </c>
      <c r="C23" s="43">
        <v>33060</v>
      </c>
      <c r="D23" s="44">
        <v>37982</v>
      </c>
      <c r="E23" s="44">
        <v>37100</v>
      </c>
      <c r="F23" s="77">
        <v>4922.3999999999996</v>
      </c>
      <c r="G23" s="45">
        <v>0.30740000000000001</v>
      </c>
      <c r="H23" s="45">
        <v>0.39960000000000001</v>
      </c>
      <c r="I23" s="43">
        <v>9.16</v>
      </c>
      <c r="J23" s="44">
        <v>9.3488000000000007</v>
      </c>
      <c r="K23" s="77">
        <v>0.19169</v>
      </c>
      <c r="L23" s="47">
        <v>0.78900000000000003</v>
      </c>
      <c r="M23" s="48">
        <v>1</v>
      </c>
      <c r="N23" s="48">
        <v>0.96860000000000002</v>
      </c>
      <c r="O23" s="44">
        <v>1596</v>
      </c>
      <c r="P23" s="44">
        <v>0</v>
      </c>
      <c r="Q23" s="44" t="s">
        <v>447</v>
      </c>
    </row>
    <row r="24" spans="1:17">
      <c r="A24" s="79">
        <v>46133</v>
      </c>
      <c r="B24" s="43">
        <v>37190</v>
      </c>
      <c r="C24" s="43">
        <v>33060</v>
      </c>
      <c r="D24" s="44">
        <v>39010</v>
      </c>
      <c r="E24" s="44">
        <v>38050</v>
      </c>
      <c r="F24" s="77">
        <v>5950.4</v>
      </c>
      <c r="G24" s="45">
        <v>0.31569999999999998</v>
      </c>
      <c r="H24" s="45">
        <v>0.41049999999999998</v>
      </c>
      <c r="I24" s="43">
        <v>9.16</v>
      </c>
      <c r="J24" s="44">
        <v>9.5739999999999998</v>
      </c>
      <c r="K24" s="77">
        <v>0.41693999999999998</v>
      </c>
      <c r="L24" s="47">
        <v>0.79100000000000004</v>
      </c>
      <c r="M24" s="48">
        <v>1</v>
      </c>
      <c r="N24" s="48">
        <v>0.96350000000000002</v>
      </c>
      <c r="O24" s="44">
        <v>1894</v>
      </c>
      <c r="P24" s="44">
        <v>0</v>
      </c>
      <c r="Q24" s="44" t="s">
        <v>447</v>
      </c>
    </row>
    <row r="25" spans="1:17">
      <c r="A25" s="79">
        <v>46134</v>
      </c>
      <c r="B25" s="43">
        <v>37190</v>
      </c>
      <c r="C25" s="43">
        <v>33060</v>
      </c>
      <c r="D25" s="44">
        <v>37193</v>
      </c>
      <c r="E25" s="44">
        <v>36250</v>
      </c>
      <c r="F25" s="77">
        <v>4133.3999999999996</v>
      </c>
      <c r="G25" s="45">
        <v>0.30099999999999999</v>
      </c>
      <c r="H25" s="45">
        <v>0.39129999999999998</v>
      </c>
      <c r="I25" s="43">
        <v>9.16</v>
      </c>
      <c r="J25" s="44">
        <v>9.7669999999999995</v>
      </c>
      <c r="K25" s="77">
        <v>0.60994000000000004</v>
      </c>
      <c r="L25" s="47">
        <v>0.74</v>
      </c>
      <c r="M25" s="48">
        <v>1</v>
      </c>
      <c r="N25" s="48">
        <v>0.93559999999999999</v>
      </c>
      <c r="O25" s="44">
        <v>3557</v>
      </c>
      <c r="P25" s="44">
        <v>0</v>
      </c>
      <c r="Q25" s="44" t="s">
        <v>449</v>
      </c>
    </row>
    <row r="26" spans="1:17">
      <c r="A26" s="79">
        <v>46135</v>
      </c>
      <c r="B26" s="43">
        <v>37190</v>
      </c>
      <c r="C26" s="43">
        <v>33060</v>
      </c>
      <c r="D26" s="44">
        <v>39009</v>
      </c>
      <c r="E26" s="44">
        <v>38050</v>
      </c>
      <c r="F26" s="77">
        <v>5949.4</v>
      </c>
      <c r="G26" s="45">
        <v>0.31569999999999998</v>
      </c>
      <c r="H26" s="45">
        <v>0.41039999999999999</v>
      </c>
      <c r="I26" s="43">
        <v>9.16</v>
      </c>
      <c r="J26" s="44">
        <v>9.6178000000000008</v>
      </c>
      <c r="K26" s="77">
        <v>0.46068999999999999</v>
      </c>
      <c r="L26" s="47">
        <v>0.78800000000000003</v>
      </c>
      <c r="M26" s="48">
        <v>1</v>
      </c>
      <c r="N26" s="48">
        <v>0.97719999999999996</v>
      </c>
      <c r="O26" s="44">
        <v>1281</v>
      </c>
      <c r="P26" s="44">
        <v>0</v>
      </c>
      <c r="Q26" s="44" t="s">
        <v>450</v>
      </c>
    </row>
    <row r="27" spans="1:17">
      <c r="A27" s="79">
        <v>46136</v>
      </c>
      <c r="B27" s="43"/>
      <c r="C27" s="43"/>
      <c r="D27" s="44" t="s">
        <v>175</v>
      </c>
      <c r="E27" s="44" t="s">
        <v>175</v>
      </c>
      <c r="F27" s="77">
        <v>0</v>
      </c>
      <c r="G27" s="45">
        <v>0</v>
      </c>
      <c r="H27" s="45">
        <v>0</v>
      </c>
      <c r="I27" s="43"/>
      <c r="J27" s="44" t="s">
        <v>175</v>
      </c>
      <c r="K27" s="77">
        <v>0</v>
      </c>
      <c r="L27" s="46" t="e">
        <v>#DIV/0!</v>
      </c>
      <c r="M27" s="44" t="s">
        <v>175</v>
      </c>
      <c r="N27" s="44" t="s">
        <v>175</v>
      </c>
      <c r="O27" s="44" t="s">
        <v>175</v>
      </c>
      <c r="P27" s="44" t="s">
        <v>175</v>
      </c>
      <c r="Q27" s="44" t="s">
        <v>175</v>
      </c>
    </row>
    <row r="28" spans="1:17">
      <c r="A28" s="79">
        <v>46137</v>
      </c>
      <c r="B28" s="43"/>
      <c r="C28" s="43"/>
      <c r="D28" s="44" t="s">
        <v>175</v>
      </c>
      <c r="E28" s="44" t="s">
        <v>175</v>
      </c>
      <c r="F28" s="77">
        <v>0</v>
      </c>
      <c r="G28" s="45">
        <v>0</v>
      </c>
      <c r="H28" s="45">
        <v>0</v>
      </c>
      <c r="I28" s="43"/>
      <c r="J28" s="44" t="s">
        <v>175</v>
      </c>
      <c r="K28" s="77">
        <v>0</v>
      </c>
      <c r="L28" s="46" t="e">
        <v>#DIV/0!</v>
      </c>
      <c r="M28" s="44" t="s">
        <v>175</v>
      </c>
      <c r="N28" s="44" t="s">
        <v>175</v>
      </c>
      <c r="O28" s="44" t="s">
        <v>175</v>
      </c>
      <c r="P28" s="44" t="s">
        <v>175</v>
      </c>
      <c r="Q28" s="44" t="s">
        <v>175</v>
      </c>
    </row>
    <row r="29" spans="1:17">
      <c r="A29" s="79">
        <v>46138</v>
      </c>
      <c r="B29" s="43"/>
      <c r="C29" s="43"/>
      <c r="D29" s="44" t="s">
        <v>175</v>
      </c>
      <c r="E29" s="44" t="s">
        <v>175</v>
      </c>
      <c r="F29" s="77">
        <v>0</v>
      </c>
      <c r="G29" s="45">
        <v>0</v>
      </c>
      <c r="H29" s="45">
        <v>0</v>
      </c>
      <c r="I29" s="43"/>
      <c r="J29" s="44" t="s">
        <v>175</v>
      </c>
      <c r="K29" s="77">
        <v>0</v>
      </c>
      <c r="L29" s="46" t="e">
        <v>#DIV/0!</v>
      </c>
      <c r="M29" s="44" t="s">
        <v>175</v>
      </c>
      <c r="N29" s="44" t="s">
        <v>175</v>
      </c>
      <c r="O29" s="44" t="s">
        <v>175</v>
      </c>
      <c r="P29" s="44" t="s">
        <v>175</v>
      </c>
      <c r="Q29" s="44" t="s">
        <v>175</v>
      </c>
    </row>
    <row r="30" spans="1:17">
      <c r="A30" s="79">
        <v>46139</v>
      </c>
      <c r="B30" s="43"/>
      <c r="C30" s="43"/>
      <c r="D30" s="44" t="s">
        <v>175</v>
      </c>
      <c r="E30" s="44" t="s">
        <v>175</v>
      </c>
      <c r="F30" s="77">
        <v>0</v>
      </c>
      <c r="G30" s="45">
        <v>0</v>
      </c>
      <c r="H30" s="45">
        <v>0</v>
      </c>
      <c r="I30" s="43"/>
      <c r="J30" s="44" t="s">
        <v>175</v>
      </c>
      <c r="K30" s="77">
        <v>0</v>
      </c>
      <c r="L30" s="46" t="e">
        <v>#DIV/0!</v>
      </c>
      <c r="M30" s="44" t="s">
        <v>175</v>
      </c>
      <c r="N30" s="44" t="s">
        <v>175</v>
      </c>
      <c r="O30" s="44" t="s">
        <v>175</v>
      </c>
      <c r="P30" s="44" t="s">
        <v>175</v>
      </c>
      <c r="Q30" s="44" t="s">
        <v>175</v>
      </c>
    </row>
    <row r="31" spans="1:17">
      <c r="A31" s="79">
        <v>46140</v>
      </c>
      <c r="B31" s="43"/>
      <c r="C31" s="43"/>
      <c r="D31" s="44" t="s">
        <v>175</v>
      </c>
      <c r="E31" s="44" t="s">
        <v>175</v>
      </c>
      <c r="F31" s="77">
        <v>0</v>
      </c>
      <c r="G31" s="45">
        <v>0</v>
      </c>
      <c r="H31" s="45">
        <v>0</v>
      </c>
      <c r="I31" s="43"/>
      <c r="J31" s="44" t="s">
        <v>175</v>
      </c>
      <c r="K31" s="77">
        <v>0</v>
      </c>
      <c r="L31" s="46" t="e">
        <v>#DIV/0!</v>
      </c>
      <c r="M31" s="44" t="s">
        <v>175</v>
      </c>
      <c r="N31" s="44" t="s">
        <v>175</v>
      </c>
      <c r="O31" s="44" t="s">
        <v>175</v>
      </c>
      <c r="P31" s="44" t="s">
        <v>175</v>
      </c>
      <c r="Q31" s="44" t="s">
        <v>175</v>
      </c>
    </row>
    <row r="32" spans="1:17">
      <c r="A32" s="79">
        <v>46141</v>
      </c>
      <c r="B32" s="43"/>
      <c r="C32" s="43"/>
      <c r="D32" s="44" t="s">
        <v>175</v>
      </c>
      <c r="E32" s="44" t="s">
        <v>175</v>
      </c>
      <c r="F32" s="77">
        <v>0</v>
      </c>
      <c r="G32" s="45">
        <v>0</v>
      </c>
      <c r="H32" s="45">
        <v>0</v>
      </c>
      <c r="I32" s="43"/>
      <c r="J32" s="44" t="s">
        <v>175</v>
      </c>
      <c r="K32" s="77">
        <v>0</v>
      </c>
      <c r="L32" s="46" t="e">
        <v>#DIV/0!</v>
      </c>
      <c r="M32" s="44" t="s">
        <v>175</v>
      </c>
      <c r="N32" s="44" t="s">
        <v>175</v>
      </c>
      <c r="O32" s="44" t="s">
        <v>175</v>
      </c>
      <c r="P32" s="44" t="s">
        <v>175</v>
      </c>
      <c r="Q32" s="44" t="s">
        <v>175</v>
      </c>
    </row>
    <row r="33" spans="1:17">
      <c r="A33" s="79">
        <v>46142</v>
      </c>
      <c r="B33" s="43"/>
      <c r="C33" s="43"/>
      <c r="D33" s="44" t="s">
        <v>175</v>
      </c>
      <c r="E33" s="44" t="s">
        <v>175</v>
      </c>
      <c r="F33" s="77">
        <v>0</v>
      </c>
      <c r="G33" s="45">
        <v>0</v>
      </c>
      <c r="H33" s="45">
        <v>0</v>
      </c>
      <c r="I33" s="43"/>
      <c r="J33" s="44" t="s">
        <v>175</v>
      </c>
      <c r="K33" s="77">
        <v>0</v>
      </c>
      <c r="L33" s="46" t="e">
        <v>#DIV/0!</v>
      </c>
      <c r="M33" s="44" t="s">
        <v>175</v>
      </c>
      <c r="N33" s="44" t="s">
        <v>175</v>
      </c>
      <c r="O33" s="44" t="s">
        <v>175</v>
      </c>
      <c r="P33" s="44" t="s">
        <v>175</v>
      </c>
      <c r="Q33" s="44" t="s">
        <v>175</v>
      </c>
    </row>
    <row r="34" spans="1:17">
      <c r="A34" s="349">
        <v>46113</v>
      </c>
      <c r="B34" s="89">
        <f>SUM(B4:B33)</f>
        <v>855370</v>
      </c>
      <c r="C34" s="89">
        <f>SUM(C4:C33)</f>
        <v>760380</v>
      </c>
      <c r="D34" s="89">
        <f>SUM(D4:D33)</f>
        <v>801525.10000000009</v>
      </c>
      <c r="E34" s="89">
        <f>SUM(E4:E33)</f>
        <v>781250</v>
      </c>
      <c r="F34" s="92">
        <f>(IF(ISBLANK(E34),0,E34-C34))/C34</f>
        <v>2.7446802914332307E-2</v>
      </c>
      <c r="G34" s="90">
        <f>AVERAGE(G4:G33)</f>
        <v>0.21622999999999998</v>
      </c>
      <c r="H34" s="90">
        <f>AVERAGE(H4:H33)</f>
        <v>0.28112333333333334</v>
      </c>
      <c r="I34" s="89">
        <f>SUM(I4:I33)</f>
        <v>210.67999999999995</v>
      </c>
      <c r="J34" s="89">
        <f>SUM(J4:J33)</f>
        <v>198.83200000000002</v>
      </c>
      <c r="K34" s="92">
        <f t="shared" ref="K34" si="0">(IF(ISBLANK(J34),0,J34-I34))/I34</f>
        <v>-5.6236947028668743E-2</v>
      </c>
      <c r="L34" s="93">
        <f t="shared" ref="L34:L66" si="1">D34/($D$2*J34)</f>
        <v>0.78304290498727924</v>
      </c>
      <c r="M34" s="90">
        <f>AVERAGE(M4:M33)</f>
        <v>0.99766521739130443</v>
      </c>
      <c r="N34" s="90">
        <f>AVERAGE(N4:N33)</f>
        <v>0.9576347826086955</v>
      </c>
      <c r="O34" s="89">
        <f>SUM(O4:O33)</f>
        <v>42836</v>
      </c>
      <c r="P34" s="89">
        <f>SUM(P4:P33)</f>
        <v>2630</v>
      </c>
      <c r="Q34" s="80" t="s">
        <v>175</v>
      </c>
    </row>
    <row r="35" spans="1:17">
      <c r="A35" s="13">
        <v>46143</v>
      </c>
      <c r="B35" s="127"/>
      <c r="C35" s="127"/>
      <c r="D35" s="33"/>
      <c r="E35" s="33"/>
      <c r="F35" s="20" t="e">
        <f>(IF(ISBLANK(E35),0,E35-C35))/C35</f>
        <v>#DIV/0!</v>
      </c>
      <c r="G35" s="2">
        <f t="shared" ref="G35:G57" si="2">D35/($D$2*24)</f>
        <v>0</v>
      </c>
      <c r="H35" s="2">
        <f t="shared" ref="H35:H61" si="3">D35/($H$2*24)</f>
        <v>0</v>
      </c>
      <c r="I35" s="28"/>
      <c r="J35" s="33"/>
      <c r="K35" s="20" t="e">
        <f>(IF(ISBLANK(J35),0,J35-I35))/I35</f>
        <v>#DIV/0!</v>
      </c>
      <c r="L35" s="4" t="e">
        <f t="shared" si="1"/>
        <v>#DIV/0!</v>
      </c>
      <c r="M35" s="103"/>
      <c r="N35" s="103"/>
      <c r="O35" s="33"/>
      <c r="P35" s="6"/>
      <c r="Q35" s="6"/>
    </row>
    <row r="36" spans="1:17">
      <c r="A36" s="13">
        <f>A35+1</f>
        <v>46144</v>
      </c>
      <c r="B36" s="127"/>
      <c r="C36" s="127"/>
      <c r="D36" s="34"/>
      <c r="E36" s="34"/>
      <c r="F36" s="20" t="e">
        <f t="shared" ref="F36:F54" si="4">(IF(ISBLANK(E36),0,E36-C36))/C36</f>
        <v>#DIV/0!</v>
      </c>
      <c r="G36" s="2">
        <f t="shared" si="2"/>
        <v>0</v>
      </c>
      <c r="H36" s="2">
        <f t="shared" si="3"/>
        <v>0</v>
      </c>
      <c r="I36" s="29"/>
      <c r="J36" s="34"/>
      <c r="K36" s="20" t="e">
        <f t="shared" ref="K36:K54" si="5">(IF(ISBLANK(J36),0,J36-I36))/I36</f>
        <v>#DIV/0!</v>
      </c>
      <c r="L36" s="4" t="e">
        <f t="shared" si="1"/>
        <v>#DIV/0!</v>
      </c>
      <c r="M36" s="103"/>
      <c r="N36" s="103"/>
      <c r="O36" s="34"/>
      <c r="P36" s="6"/>
      <c r="Q36" s="6"/>
    </row>
    <row r="37" spans="1:17">
      <c r="A37" s="13">
        <f t="shared" ref="A37:A65" si="6">A36+1</f>
        <v>46145</v>
      </c>
      <c r="B37" s="127"/>
      <c r="C37" s="127"/>
      <c r="D37" s="34"/>
      <c r="E37" s="34"/>
      <c r="F37" s="20" t="e">
        <f t="shared" si="4"/>
        <v>#DIV/0!</v>
      </c>
      <c r="G37" s="2">
        <f t="shared" si="2"/>
        <v>0</v>
      </c>
      <c r="H37" s="2">
        <f t="shared" si="3"/>
        <v>0</v>
      </c>
      <c r="I37" s="29"/>
      <c r="J37" s="34"/>
      <c r="K37" s="20" t="e">
        <f t="shared" si="5"/>
        <v>#DIV/0!</v>
      </c>
      <c r="L37" s="4" t="e">
        <f t="shared" si="1"/>
        <v>#DIV/0!</v>
      </c>
      <c r="M37" s="103"/>
      <c r="N37" s="104"/>
      <c r="O37" s="34"/>
      <c r="P37" s="6"/>
      <c r="Q37" s="6"/>
    </row>
    <row r="38" spans="1:17">
      <c r="A38" s="13">
        <f t="shared" si="6"/>
        <v>46146</v>
      </c>
      <c r="B38" s="127"/>
      <c r="C38" s="127"/>
      <c r="D38" s="34"/>
      <c r="E38" s="34"/>
      <c r="F38" s="20" t="e">
        <f t="shared" si="4"/>
        <v>#DIV/0!</v>
      </c>
      <c r="G38" s="2">
        <f t="shared" si="2"/>
        <v>0</v>
      </c>
      <c r="H38" s="2">
        <f t="shared" si="3"/>
        <v>0</v>
      </c>
      <c r="I38" s="29"/>
      <c r="J38" s="34"/>
      <c r="K38" s="20" t="e">
        <f t="shared" si="5"/>
        <v>#DIV/0!</v>
      </c>
      <c r="L38" s="4" t="e">
        <f t="shared" si="1"/>
        <v>#DIV/0!</v>
      </c>
      <c r="M38" s="103"/>
      <c r="N38" s="103"/>
      <c r="O38" s="34"/>
      <c r="P38" s="6"/>
      <c r="Q38" s="14"/>
    </row>
    <row r="39" spans="1:17">
      <c r="A39" s="13">
        <f t="shared" si="6"/>
        <v>46147</v>
      </c>
      <c r="B39" s="127"/>
      <c r="C39" s="127"/>
      <c r="D39" s="34"/>
      <c r="E39" s="34"/>
      <c r="F39" s="20" t="e">
        <f t="shared" si="4"/>
        <v>#DIV/0!</v>
      </c>
      <c r="G39" s="2">
        <f t="shared" si="2"/>
        <v>0</v>
      </c>
      <c r="H39" s="2">
        <f t="shared" si="3"/>
        <v>0</v>
      </c>
      <c r="I39" s="29"/>
      <c r="J39" s="34"/>
      <c r="K39" s="20" t="e">
        <f t="shared" si="5"/>
        <v>#DIV/0!</v>
      </c>
      <c r="L39" s="4" t="e">
        <f t="shared" si="1"/>
        <v>#DIV/0!</v>
      </c>
      <c r="M39" s="103"/>
      <c r="N39" s="103"/>
      <c r="O39" s="34"/>
      <c r="P39" s="6"/>
      <c r="Q39" s="14"/>
    </row>
    <row r="40" spans="1:17">
      <c r="A40" s="13">
        <f t="shared" si="6"/>
        <v>46148</v>
      </c>
      <c r="B40" s="127"/>
      <c r="C40" s="127"/>
      <c r="D40" s="34"/>
      <c r="E40" s="34"/>
      <c r="F40" s="20" t="e">
        <f t="shared" si="4"/>
        <v>#DIV/0!</v>
      </c>
      <c r="G40" s="2">
        <f t="shared" si="2"/>
        <v>0</v>
      </c>
      <c r="H40" s="2">
        <f t="shared" si="3"/>
        <v>0</v>
      </c>
      <c r="I40" s="29"/>
      <c r="J40" s="34"/>
      <c r="K40" s="20" t="e">
        <f t="shared" si="5"/>
        <v>#DIV/0!</v>
      </c>
      <c r="L40" s="4" t="e">
        <f t="shared" si="1"/>
        <v>#DIV/0!</v>
      </c>
      <c r="M40" s="103"/>
      <c r="N40" s="103"/>
      <c r="O40" s="34"/>
      <c r="P40" s="6"/>
      <c r="Q40" s="14"/>
    </row>
    <row r="41" spans="1:17">
      <c r="A41" s="13">
        <f t="shared" si="6"/>
        <v>46149</v>
      </c>
      <c r="B41" s="127"/>
      <c r="C41" s="127"/>
      <c r="D41" s="34"/>
      <c r="E41" s="34"/>
      <c r="F41" s="20" t="e">
        <f t="shared" si="4"/>
        <v>#DIV/0!</v>
      </c>
      <c r="G41" s="2">
        <f t="shared" si="2"/>
        <v>0</v>
      </c>
      <c r="H41" s="2">
        <f t="shared" si="3"/>
        <v>0</v>
      </c>
      <c r="I41" s="29"/>
      <c r="J41" s="34"/>
      <c r="K41" s="20" t="e">
        <f t="shared" si="5"/>
        <v>#DIV/0!</v>
      </c>
      <c r="L41" s="4" t="e">
        <f t="shared" si="1"/>
        <v>#DIV/0!</v>
      </c>
      <c r="M41" s="103"/>
      <c r="N41" s="103"/>
      <c r="O41" s="34"/>
      <c r="P41" s="6"/>
      <c r="Q41" s="202"/>
    </row>
    <row r="42" spans="1:17">
      <c r="A42" s="13">
        <f t="shared" si="6"/>
        <v>46150</v>
      </c>
      <c r="B42" s="127"/>
      <c r="C42" s="127"/>
      <c r="D42" s="34"/>
      <c r="E42" s="34"/>
      <c r="F42" s="20" t="e">
        <f t="shared" si="4"/>
        <v>#DIV/0!</v>
      </c>
      <c r="G42" s="2">
        <f t="shared" si="2"/>
        <v>0</v>
      </c>
      <c r="H42" s="2">
        <f t="shared" si="3"/>
        <v>0</v>
      </c>
      <c r="I42" s="29"/>
      <c r="J42" s="34"/>
      <c r="K42" s="20" t="e">
        <f t="shared" si="5"/>
        <v>#DIV/0!</v>
      </c>
      <c r="L42" s="4" t="e">
        <f t="shared" si="1"/>
        <v>#DIV/0!</v>
      </c>
      <c r="M42" s="103"/>
      <c r="N42" s="103"/>
      <c r="O42" s="34"/>
      <c r="P42" s="6"/>
      <c r="Q42" s="14"/>
    </row>
    <row r="43" spans="1:17">
      <c r="A43" s="13">
        <f t="shared" si="6"/>
        <v>46151</v>
      </c>
      <c r="B43" s="127"/>
      <c r="C43" s="127"/>
      <c r="D43" s="34"/>
      <c r="E43" s="34"/>
      <c r="F43" s="20" t="e">
        <f t="shared" si="4"/>
        <v>#DIV/0!</v>
      </c>
      <c r="G43" s="2">
        <f t="shared" si="2"/>
        <v>0</v>
      </c>
      <c r="H43" s="2">
        <f t="shared" si="3"/>
        <v>0</v>
      </c>
      <c r="I43" s="29"/>
      <c r="J43" s="34"/>
      <c r="K43" s="20" t="e">
        <f t="shared" si="5"/>
        <v>#DIV/0!</v>
      </c>
      <c r="L43" s="4" t="e">
        <f t="shared" si="1"/>
        <v>#DIV/0!</v>
      </c>
      <c r="M43" s="103"/>
      <c r="N43" s="103"/>
      <c r="O43" s="34"/>
      <c r="P43" s="6"/>
      <c r="Q43" s="6"/>
    </row>
    <row r="44" spans="1:17">
      <c r="A44" s="13">
        <f t="shared" si="6"/>
        <v>46152</v>
      </c>
      <c r="B44" s="127"/>
      <c r="C44" s="127"/>
      <c r="D44" s="34"/>
      <c r="E44" s="34"/>
      <c r="F44" s="20" t="e">
        <f t="shared" si="4"/>
        <v>#DIV/0!</v>
      </c>
      <c r="G44" s="2">
        <f t="shared" si="2"/>
        <v>0</v>
      </c>
      <c r="H44" s="2">
        <f t="shared" si="3"/>
        <v>0</v>
      </c>
      <c r="I44" s="29"/>
      <c r="J44" s="34"/>
      <c r="K44" s="20" t="e">
        <f t="shared" si="5"/>
        <v>#DIV/0!</v>
      </c>
      <c r="L44" s="4" t="e">
        <f t="shared" si="1"/>
        <v>#DIV/0!</v>
      </c>
      <c r="M44" s="103"/>
      <c r="N44" s="103"/>
      <c r="O44" s="34"/>
      <c r="P44" s="6"/>
      <c r="Q44" s="16"/>
    </row>
    <row r="45" spans="1:17">
      <c r="A45" s="13">
        <f t="shared" si="6"/>
        <v>46153</v>
      </c>
      <c r="B45" s="127"/>
      <c r="C45" s="127"/>
      <c r="D45" s="34"/>
      <c r="E45" s="34"/>
      <c r="F45" s="20" t="e">
        <f t="shared" si="4"/>
        <v>#DIV/0!</v>
      </c>
      <c r="G45" s="2">
        <f t="shared" si="2"/>
        <v>0</v>
      </c>
      <c r="H45" s="2">
        <f t="shared" si="3"/>
        <v>0</v>
      </c>
      <c r="I45" s="29"/>
      <c r="J45" s="34"/>
      <c r="K45" s="20" t="e">
        <f t="shared" si="5"/>
        <v>#DIV/0!</v>
      </c>
      <c r="L45" s="4" t="e">
        <f t="shared" si="1"/>
        <v>#DIV/0!</v>
      </c>
      <c r="M45" s="103"/>
      <c r="N45" s="103"/>
      <c r="O45" s="34"/>
      <c r="P45" s="6"/>
      <c r="Q45" s="6"/>
    </row>
    <row r="46" spans="1:17">
      <c r="A46" s="13">
        <f t="shared" si="6"/>
        <v>46154</v>
      </c>
      <c r="B46" s="127"/>
      <c r="C46" s="127"/>
      <c r="D46" s="34"/>
      <c r="E46" s="34"/>
      <c r="F46" s="20" t="e">
        <f t="shared" si="4"/>
        <v>#DIV/0!</v>
      </c>
      <c r="G46" s="2">
        <f t="shared" si="2"/>
        <v>0</v>
      </c>
      <c r="H46" s="2">
        <f t="shared" si="3"/>
        <v>0</v>
      </c>
      <c r="I46" s="29"/>
      <c r="J46" s="34"/>
      <c r="K46" s="20" t="e">
        <f t="shared" si="5"/>
        <v>#DIV/0!</v>
      </c>
      <c r="L46" s="4" t="e">
        <f t="shared" si="1"/>
        <v>#DIV/0!</v>
      </c>
      <c r="M46" s="104"/>
      <c r="N46" s="103"/>
      <c r="O46" s="34"/>
      <c r="P46" s="6"/>
      <c r="Q46" s="6"/>
    </row>
    <row r="47" spans="1:17">
      <c r="A47" s="13">
        <f t="shared" si="6"/>
        <v>46155</v>
      </c>
      <c r="B47" s="127"/>
      <c r="C47" s="127"/>
      <c r="D47" s="34"/>
      <c r="E47" s="34"/>
      <c r="F47" s="20" t="e">
        <f t="shared" si="4"/>
        <v>#DIV/0!</v>
      </c>
      <c r="G47" s="2">
        <f t="shared" si="2"/>
        <v>0</v>
      </c>
      <c r="H47" s="2">
        <f t="shared" si="3"/>
        <v>0</v>
      </c>
      <c r="I47" s="29"/>
      <c r="J47" s="34"/>
      <c r="K47" s="20" t="e">
        <f t="shared" si="5"/>
        <v>#DIV/0!</v>
      </c>
      <c r="L47" s="4" t="e">
        <f t="shared" si="1"/>
        <v>#DIV/0!</v>
      </c>
      <c r="M47" s="104"/>
      <c r="N47" s="103"/>
      <c r="O47" s="34"/>
      <c r="P47" s="6"/>
      <c r="Q47" s="31"/>
    </row>
    <row r="48" spans="1:17">
      <c r="A48" s="13">
        <f t="shared" si="6"/>
        <v>46156</v>
      </c>
      <c r="B48" s="127"/>
      <c r="C48" s="127"/>
      <c r="D48" s="34"/>
      <c r="E48" s="34"/>
      <c r="F48" s="20" t="e">
        <f t="shared" si="4"/>
        <v>#DIV/0!</v>
      </c>
      <c r="G48" s="2">
        <f t="shared" si="2"/>
        <v>0</v>
      </c>
      <c r="H48" s="2">
        <f t="shared" si="3"/>
        <v>0</v>
      </c>
      <c r="I48" s="29"/>
      <c r="J48" s="34"/>
      <c r="K48" s="20" t="e">
        <f t="shared" si="5"/>
        <v>#DIV/0!</v>
      </c>
      <c r="L48" s="4" t="e">
        <f t="shared" si="1"/>
        <v>#DIV/0!</v>
      </c>
      <c r="M48" s="104"/>
      <c r="N48" s="103"/>
      <c r="O48" s="34"/>
      <c r="P48" s="6"/>
      <c r="Q48" s="32"/>
    </row>
    <row r="49" spans="1:17">
      <c r="A49" s="13">
        <f t="shared" si="6"/>
        <v>46157</v>
      </c>
      <c r="B49" s="127"/>
      <c r="C49" s="127"/>
      <c r="D49" s="34"/>
      <c r="E49" s="34"/>
      <c r="F49" s="20" t="e">
        <f t="shared" si="4"/>
        <v>#DIV/0!</v>
      </c>
      <c r="G49" s="2">
        <f t="shared" si="2"/>
        <v>0</v>
      </c>
      <c r="H49" s="2">
        <f t="shared" si="3"/>
        <v>0</v>
      </c>
      <c r="I49" s="29"/>
      <c r="J49" s="34"/>
      <c r="K49" s="20" t="e">
        <f t="shared" si="5"/>
        <v>#DIV/0!</v>
      </c>
      <c r="L49" s="4" t="e">
        <f t="shared" si="1"/>
        <v>#DIV/0!</v>
      </c>
      <c r="M49" s="104"/>
      <c r="N49" s="103"/>
      <c r="O49" s="34"/>
      <c r="P49" s="6"/>
      <c r="Q49" s="32"/>
    </row>
    <row r="50" spans="1:17">
      <c r="A50" s="13">
        <f t="shared" si="6"/>
        <v>46158</v>
      </c>
      <c r="B50" s="127"/>
      <c r="C50" s="127"/>
      <c r="D50" s="34"/>
      <c r="E50" s="34"/>
      <c r="F50" s="20" t="e">
        <f t="shared" si="4"/>
        <v>#DIV/0!</v>
      </c>
      <c r="G50" s="2">
        <f t="shared" si="2"/>
        <v>0</v>
      </c>
      <c r="H50" s="2">
        <f t="shared" si="3"/>
        <v>0</v>
      </c>
      <c r="I50" s="29"/>
      <c r="J50" s="34"/>
      <c r="K50" s="20" t="e">
        <f t="shared" si="5"/>
        <v>#DIV/0!</v>
      </c>
      <c r="L50" s="4" t="e">
        <f t="shared" si="1"/>
        <v>#DIV/0!</v>
      </c>
      <c r="M50" s="104"/>
      <c r="N50" s="103"/>
      <c r="O50" s="34"/>
      <c r="P50" s="6"/>
      <c r="Q50" s="32"/>
    </row>
    <row r="51" spans="1:17">
      <c r="A51" s="13">
        <f t="shared" si="6"/>
        <v>46159</v>
      </c>
      <c r="B51" s="127"/>
      <c r="C51" s="127"/>
      <c r="D51" s="34"/>
      <c r="E51" s="34"/>
      <c r="F51" s="20" t="e">
        <f t="shared" si="4"/>
        <v>#DIV/0!</v>
      </c>
      <c r="G51" s="2">
        <f t="shared" si="2"/>
        <v>0</v>
      </c>
      <c r="H51" s="2">
        <f t="shared" si="3"/>
        <v>0</v>
      </c>
      <c r="I51" s="29"/>
      <c r="J51" s="34"/>
      <c r="K51" s="20" t="e">
        <f t="shared" si="5"/>
        <v>#DIV/0!</v>
      </c>
      <c r="L51" s="4" t="e">
        <f t="shared" si="1"/>
        <v>#DIV/0!</v>
      </c>
      <c r="M51" s="103"/>
      <c r="N51" s="103"/>
      <c r="O51" s="34"/>
      <c r="P51" s="6"/>
      <c r="Q51" s="6"/>
    </row>
    <row r="52" spans="1:17">
      <c r="A52" s="13">
        <f t="shared" si="6"/>
        <v>46160</v>
      </c>
      <c r="B52" s="127"/>
      <c r="C52" s="127"/>
      <c r="D52" s="34"/>
      <c r="E52" s="34"/>
      <c r="F52" s="20" t="e">
        <f t="shared" si="4"/>
        <v>#DIV/0!</v>
      </c>
      <c r="G52" s="2">
        <f t="shared" si="2"/>
        <v>0</v>
      </c>
      <c r="H52" s="2">
        <f t="shared" si="3"/>
        <v>0</v>
      </c>
      <c r="I52" s="29"/>
      <c r="J52" s="34"/>
      <c r="K52" s="20" t="e">
        <f t="shared" si="5"/>
        <v>#DIV/0!</v>
      </c>
      <c r="L52" s="4" t="e">
        <f t="shared" si="1"/>
        <v>#DIV/0!</v>
      </c>
      <c r="M52" s="103"/>
      <c r="N52" s="103"/>
      <c r="O52" s="34"/>
      <c r="P52" s="6"/>
      <c r="Q52" s="14"/>
    </row>
    <row r="53" spans="1:17">
      <c r="A53" s="13">
        <f t="shared" si="6"/>
        <v>46161</v>
      </c>
      <c r="B53" s="127"/>
      <c r="C53" s="127"/>
      <c r="D53" s="34"/>
      <c r="E53" s="34"/>
      <c r="F53" s="20" t="e">
        <f t="shared" si="4"/>
        <v>#DIV/0!</v>
      </c>
      <c r="G53" s="2">
        <f t="shared" si="2"/>
        <v>0</v>
      </c>
      <c r="H53" s="2">
        <f t="shared" si="3"/>
        <v>0</v>
      </c>
      <c r="I53" s="29"/>
      <c r="J53" s="34"/>
      <c r="K53" s="20" t="e">
        <f t="shared" si="5"/>
        <v>#DIV/0!</v>
      </c>
      <c r="L53" s="4" t="e">
        <f t="shared" si="1"/>
        <v>#DIV/0!</v>
      </c>
      <c r="M53" s="103"/>
      <c r="N53" s="103"/>
      <c r="O53" s="34"/>
      <c r="P53" s="6"/>
      <c r="Q53" s="14"/>
    </row>
    <row r="54" spans="1:17">
      <c r="A54" s="13">
        <f t="shared" si="6"/>
        <v>46162</v>
      </c>
      <c r="B54" s="127"/>
      <c r="C54" s="127"/>
      <c r="D54" s="34"/>
      <c r="E54" s="34"/>
      <c r="F54" s="20" t="e">
        <f t="shared" si="4"/>
        <v>#DIV/0!</v>
      </c>
      <c r="G54" s="2">
        <f t="shared" si="2"/>
        <v>0</v>
      </c>
      <c r="H54" s="2">
        <f t="shared" si="3"/>
        <v>0</v>
      </c>
      <c r="I54" s="29"/>
      <c r="J54" s="34"/>
      <c r="K54" s="20" t="e">
        <f t="shared" si="5"/>
        <v>#DIV/0!</v>
      </c>
      <c r="L54" s="4" t="e">
        <f t="shared" si="1"/>
        <v>#DIV/0!</v>
      </c>
      <c r="M54" s="103"/>
      <c r="N54" s="103"/>
      <c r="O54" s="34"/>
      <c r="P54" s="6"/>
      <c r="Q54" s="14"/>
    </row>
    <row r="55" spans="1:17">
      <c r="A55" s="13">
        <f t="shared" si="6"/>
        <v>46163</v>
      </c>
      <c r="B55" s="127"/>
      <c r="C55" s="127"/>
      <c r="D55" s="34"/>
      <c r="E55" s="34"/>
      <c r="F55" s="20" t="e">
        <f>(IF(ISBLANK(E55),0,E55-C55))/C55</f>
        <v>#DIV/0!</v>
      </c>
      <c r="G55" s="2">
        <f t="shared" si="2"/>
        <v>0</v>
      </c>
      <c r="H55" s="2">
        <f t="shared" si="3"/>
        <v>0</v>
      </c>
      <c r="I55" s="29"/>
      <c r="J55" s="34"/>
      <c r="K55" s="20" t="e">
        <f>(IF(ISBLANK(J55),0,J55-I55))/I55</f>
        <v>#DIV/0!</v>
      </c>
      <c r="L55" s="4" t="e">
        <f t="shared" si="1"/>
        <v>#DIV/0!</v>
      </c>
      <c r="M55" s="103"/>
      <c r="N55" s="103"/>
      <c r="O55" s="34"/>
      <c r="P55" s="6"/>
      <c r="Q55" s="6"/>
    </row>
    <row r="56" spans="1:17">
      <c r="A56" s="13">
        <f t="shared" si="6"/>
        <v>46164</v>
      </c>
      <c r="B56" s="127"/>
      <c r="C56" s="127"/>
      <c r="D56" s="34"/>
      <c r="E56" s="34"/>
      <c r="F56" s="20" t="e">
        <f t="shared" ref="F56:F65" si="7">(IF(ISBLANK(E56),0,E56-C56))/C56</f>
        <v>#DIV/0!</v>
      </c>
      <c r="G56" s="2">
        <f t="shared" si="2"/>
        <v>0</v>
      </c>
      <c r="H56" s="2">
        <f t="shared" si="3"/>
        <v>0</v>
      </c>
      <c r="I56" s="29"/>
      <c r="J56" s="34"/>
      <c r="K56" s="20" t="e">
        <f t="shared" ref="K56:K65" si="8">(IF(ISBLANK(J56),0,J56-I56))/I56</f>
        <v>#DIV/0!</v>
      </c>
      <c r="L56" s="4" t="e">
        <f t="shared" si="1"/>
        <v>#DIV/0!</v>
      </c>
      <c r="M56" s="103"/>
      <c r="N56" s="103"/>
      <c r="O56" s="34"/>
      <c r="P56" s="6"/>
      <c r="Q56" s="6"/>
    </row>
    <row r="57" spans="1:17">
      <c r="A57" s="13">
        <f t="shared" si="6"/>
        <v>46165</v>
      </c>
      <c r="B57" s="127"/>
      <c r="C57" s="127"/>
      <c r="D57" s="14"/>
      <c r="E57" s="14"/>
      <c r="F57" s="20" t="e">
        <f t="shared" si="7"/>
        <v>#DIV/0!</v>
      </c>
      <c r="G57" s="2">
        <f t="shared" si="2"/>
        <v>0</v>
      </c>
      <c r="H57" s="2">
        <f t="shared" si="3"/>
        <v>0</v>
      </c>
      <c r="I57" s="29"/>
      <c r="J57" s="14"/>
      <c r="K57" s="20" t="e">
        <f t="shared" si="8"/>
        <v>#DIV/0!</v>
      </c>
      <c r="L57" s="4" t="e">
        <f t="shared" si="1"/>
        <v>#DIV/0!</v>
      </c>
      <c r="M57" s="103"/>
      <c r="N57" s="103"/>
      <c r="O57" s="34"/>
      <c r="P57" s="6"/>
      <c r="Q57" s="6"/>
    </row>
    <row r="58" spans="1:17">
      <c r="A58" s="13">
        <f t="shared" si="6"/>
        <v>46166</v>
      </c>
      <c r="B58" s="127"/>
      <c r="C58" s="127"/>
      <c r="D58" s="14"/>
      <c r="E58" s="14"/>
      <c r="F58" s="20" t="e">
        <f t="shared" si="7"/>
        <v>#DIV/0!</v>
      </c>
      <c r="G58" s="2">
        <f t="shared" ref="G58:G65" si="9">D58/($D$2*24)</f>
        <v>0</v>
      </c>
      <c r="H58" s="2">
        <f t="shared" si="3"/>
        <v>0</v>
      </c>
      <c r="I58" s="29"/>
      <c r="J58" s="14"/>
      <c r="K58" s="20" t="e">
        <f t="shared" si="8"/>
        <v>#DIV/0!</v>
      </c>
      <c r="L58" s="4" t="e">
        <f t="shared" si="1"/>
        <v>#DIV/0!</v>
      </c>
      <c r="M58" s="103"/>
      <c r="N58" s="103"/>
      <c r="O58" s="34"/>
      <c r="P58" s="6"/>
      <c r="Q58" s="288"/>
    </row>
    <row r="59" spans="1:17">
      <c r="A59" s="13">
        <f t="shared" si="6"/>
        <v>46167</v>
      </c>
      <c r="B59" s="1"/>
      <c r="C59" s="1"/>
      <c r="D59" s="14"/>
      <c r="E59" s="14"/>
      <c r="F59" s="20" t="e">
        <f t="shared" si="7"/>
        <v>#DIV/0!</v>
      </c>
      <c r="G59" s="2">
        <f t="shared" si="9"/>
        <v>0</v>
      </c>
      <c r="H59" s="2">
        <f t="shared" si="3"/>
        <v>0</v>
      </c>
      <c r="I59" s="29"/>
      <c r="J59" s="14"/>
      <c r="K59" s="20" t="e">
        <f t="shared" si="8"/>
        <v>#DIV/0!</v>
      </c>
      <c r="L59" s="4" t="e">
        <f t="shared" si="1"/>
        <v>#DIV/0!</v>
      </c>
      <c r="M59" s="103"/>
      <c r="N59" s="103"/>
      <c r="O59" s="34"/>
      <c r="P59" s="155"/>
      <c r="Q59" s="6"/>
    </row>
    <row r="60" spans="1:17">
      <c r="A60" s="13">
        <f t="shared" si="6"/>
        <v>46168</v>
      </c>
      <c r="B60" s="1"/>
      <c r="C60" s="1"/>
      <c r="D60" s="14"/>
      <c r="E60" s="14"/>
      <c r="F60" s="20" t="e">
        <f t="shared" si="7"/>
        <v>#DIV/0!</v>
      </c>
      <c r="G60" s="2">
        <f t="shared" si="9"/>
        <v>0</v>
      </c>
      <c r="H60" s="2">
        <f t="shared" si="3"/>
        <v>0</v>
      </c>
      <c r="I60" s="29"/>
      <c r="J60" s="14"/>
      <c r="K60" s="20" t="e">
        <f t="shared" si="8"/>
        <v>#DIV/0!</v>
      </c>
      <c r="L60" s="4" t="e">
        <f t="shared" si="1"/>
        <v>#DIV/0!</v>
      </c>
      <c r="M60" s="103"/>
      <c r="N60" s="103"/>
      <c r="O60" s="34"/>
      <c r="P60" s="6"/>
      <c r="Q60" s="123"/>
    </row>
    <row r="61" spans="1:17">
      <c r="A61" s="13">
        <f t="shared" si="6"/>
        <v>46169</v>
      </c>
      <c r="B61" s="1"/>
      <c r="C61" s="1"/>
      <c r="D61" s="14"/>
      <c r="E61" s="14"/>
      <c r="F61" s="20" t="e">
        <f t="shared" si="7"/>
        <v>#DIV/0!</v>
      </c>
      <c r="G61" s="2">
        <f t="shared" si="9"/>
        <v>0</v>
      </c>
      <c r="H61" s="2">
        <f t="shared" si="3"/>
        <v>0</v>
      </c>
      <c r="I61" s="29"/>
      <c r="J61" s="14"/>
      <c r="K61" s="20" t="e">
        <f t="shared" si="8"/>
        <v>#DIV/0!</v>
      </c>
      <c r="L61" s="4" t="e">
        <f t="shared" si="1"/>
        <v>#DIV/0!</v>
      </c>
      <c r="M61" s="103"/>
      <c r="N61" s="103"/>
      <c r="O61" s="34"/>
      <c r="P61" s="6"/>
      <c r="Q61" s="6"/>
    </row>
    <row r="62" spans="1:17">
      <c r="A62" s="13">
        <f t="shared" si="6"/>
        <v>46170</v>
      </c>
      <c r="B62" s="1"/>
      <c r="C62" s="1"/>
      <c r="D62" s="14"/>
      <c r="E62" s="14"/>
      <c r="F62" s="20" t="e">
        <f t="shared" si="7"/>
        <v>#DIV/0!</v>
      </c>
      <c r="G62" s="2">
        <f t="shared" si="9"/>
        <v>0</v>
      </c>
      <c r="H62" s="2">
        <f t="shared" ref="H62:H65" si="10">D62/($H$2*24)</f>
        <v>0</v>
      </c>
      <c r="I62" s="29"/>
      <c r="J62" s="14"/>
      <c r="K62" s="20" t="e">
        <f t="shared" si="8"/>
        <v>#DIV/0!</v>
      </c>
      <c r="L62" s="4" t="e">
        <f t="shared" si="1"/>
        <v>#DIV/0!</v>
      </c>
      <c r="M62" s="103"/>
      <c r="N62" s="103"/>
      <c r="O62" s="34"/>
      <c r="P62" s="6"/>
      <c r="Q62" s="6"/>
    </row>
    <row r="63" spans="1:17">
      <c r="A63" s="13">
        <f t="shared" si="6"/>
        <v>46171</v>
      </c>
      <c r="B63" s="1"/>
      <c r="C63" s="1"/>
      <c r="D63" s="14"/>
      <c r="E63" s="14"/>
      <c r="F63" s="20" t="e">
        <f t="shared" si="7"/>
        <v>#DIV/0!</v>
      </c>
      <c r="G63" s="2">
        <f t="shared" si="9"/>
        <v>0</v>
      </c>
      <c r="H63" s="2">
        <f t="shared" si="10"/>
        <v>0</v>
      </c>
      <c r="I63" s="29"/>
      <c r="J63" s="14"/>
      <c r="K63" s="20" t="e">
        <f t="shared" si="8"/>
        <v>#DIV/0!</v>
      </c>
      <c r="L63" s="4" t="e">
        <f t="shared" si="1"/>
        <v>#DIV/0!</v>
      </c>
      <c r="M63" s="103"/>
      <c r="N63" s="103"/>
      <c r="O63" s="34"/>
      <c r="P63" s="6"/>
      <c r="Q63" s="6"/>
    </row>
    <row r="64" spans="1:17">
      <c r="A64" s="13">
        <f t="shared" si="6"/>
        <v>46172</v>
      </c>
      <c r="B64" s="1"/>
      <c r="C64" s="1"/>
      <c r="D64" s="14"/>
      <c r="E64" s="14"/>
      <c r="F64" s="20" t="e">
        <f t="shared" si="7"/>
        <v>#DIV/0!</v>
      </c>
      <c r="G64" s="2">
        <f t="shared" si="9"/>
        <v>0</v>
      </c>
      <c r="H64" s="2">
        <f t="shared" si="10"/>
        <v>0</v>
      </c>
      <c r="I64" s="29"/>
      <c r="J64" s="14"/>
      <c r="K64" s="20" t="e">
        <f t="shared" si="8"/>
        <v>#DIV/0!</v>
      </c>
      <c r="L64" s="4" t="e">
        <f t="shared" si="1"/>
        <v>#DIV/0!</v>
      </c>
      <c r="M64" s="103"/>
      <c r="N64" s="103"/>
      <c r="O64" s="34"/>
      <c r="P64" s="6"/>
      <c r="Q64" s="6"/>
    </row>
    <row r="65" spans="1:17">
      <c r="A65" s="13">
        <f t="shared" si="6"/>
        <v>46173</v>
      </c>
      <c r="B65" s="1"/>
      <c r="C65" s="1"/>
      <c r="D65" s="14"/>
      <c r="E65" s="14"/>
      <c r="F65" s="20" t="e">
        <f t="shared" si="7"/>
        <v>#DIV/0!</v>
      </c>
      <c r="G65" s="2">
        <f t="shared" si="9"/>
        <v>0</v>
      </c>
      <c r="H65" s="2">
        <f t="shared" si="10"/>
        <v>0</v>
      </c>
      <c r="I65" s="29"/>
      <c r="J65" s="14"/>
      <c r="K65" s="20" t="e">
        <f t="shared" si="8"/>
        <v>#DIV/0!</v>
      </c>
      <c r="L65" s="4" t="e">
        <f t="shared" si="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E353-2753-4D6C-9919-F9CC0DC2A6D5}">
  <dimension ref="A1:Q66"/>
  <sheetViews>
    <sheetView topLeftCell="A57" workbookViewId="0">
      <selection activeCell="A34" sqref="A34"/>
    </sheetView>
  </sheetViews>
  <sheetFormatPr defaultColWidth="13.81640625" defaultRowHeight="14.5"/>
  <sheetData>
    <row r="1" spans="1:17" ht="18.75" customHeight="1">
      <c r="A1" s="417" t="s">
        <v>451</v>
      </c>
      <c r="B1" s="418"/>
      <c r="C1" s="418"/>
      <c r="D1" s="418"/>
      <c r="E1" s="418"/>
      <c r="F1" s="418"/>
      <c r="G1" s="418"/>
      <c r="H1" s="418"/>
      <c r="I1" s="418"/>
      <c r="J1" s="418"/>
      <c r="K1" s="418"/>
      <c r="L1" s="418"/>
      <c r="M1" s="418"/>
      <c r="N1" s="418"/>
      <c r="O1" s="418"/>
      <c r="P1" s="418"/>
      <c r="Q1" s="418"/>
    </row>
    <row r="2" spans="1:17" ht="18.5">
      <c r="A2" s="69">
        <v>46138</v>
      </c>
      <c r="B2" s="419" t="s">
        <v>172</v>
      </c>
      <c r="C2" s="416"/>
      <c r="D2" s="70">
        <v>65000</v>
      </c>
      <c r="E2" s="419" t="s">
        <v>173</v>
      </c>
      <c r="F2" s="415"/>
      <c r="G2" s="416"/>
      <c r="H2" s="70">
        <v>50000</v>
      </c>
      <c r="I2" s="419" t="s">
        <v>174</v>
      </c>
      <c r="J2" s="416"/>
      <c r="K2" s="71">
        <v>45787</v>
      </c>
      <c r="L2" s="72" t="s">
        <v>175</v>
      </c>
      <c r="M2" s="72" t="s">
        <v>175</v>
      </c>
      <c r="N2" s="72" t="s">
        <v>175</v>
      </c>
      <c r="O2" s="72" t="s">
        <v>175</v>
      </c>
      <c r="P2" s="72" t="s">
        <v>175</v>
      </c>
      <c r="Q2" s="73" t="s">
        <v>175</v>
      </c>
    </row>
    <row r="3" spans="1:17" ht="39.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336333</v>
      </c>
      <c r="C4" s="39">
        <v>301009</v>
      </c>
      <c r="D4" s="49">
        <v>344450</v>
      </c>
      <c r="E4" s="49">
        <v>334500</v>
      </c>
      <c r="F4" s="88">
        <f>(D4-C4)/C4</f>
        <v>0.14431794398174141</v>
      </c>
      <c r="G4" s="40">
        <v>0.2208</v>
      </c>
      <c r="H4" s="40">
        <v>0.28699999999999998</v>
      </c>
      <c r="I4" s="39">
        <v>7.54</v>
      </c>
      <c r="J4" s="49">
        <v>6.43</v>
      </c>
      <c r="K4" s="108">
        <v>-0.15</v>
      </c>
      <c r="L4" s="40">
        <v>0.82399999999999995</v>
      </c>
      <c r="M4" s="68">
        <v>0.99939999999999996</v>
      </c>
      <c r="N4" s="68">
        <v>1</v>
      </c>
      <c r="O4" s="49">
        <v>0</v>
      </c>
      <c r="P4" s="49">
        <v>84</v>
      </c>
      <c r="Q4" s="49" t="s">
        <v>452</v>
      </c>
    </row>
    <row r="5" spans="1:17">
      <c r="A5" s="79">
        <v>46114</v>
      </c>
      <c r="B5" s="46">
        <v>336333</v>
      </c>
      <c r="C5" s="46">
        <v>301009</v>
      </c>
      <c r="D5" s="50">
        <v>340016</v>
      </c>
      <c r="E5" s="50">
        <v>330600</v>
      </c>
      <c r="F5" s="88">
        <f t="shared" ref="F5:F33" si="0">(D5-C5)/C5</f>
        <v>0.12958748741731974</v>
      </c>
      <c r="G5" s="47">
        <v>0.218</v>
      </c>
      <c r="H5" s="47">
        <v>0.2833</v>
      </c>
      <c r="I5" s="46">
        <v>7.54</v>
      </c>
      <c r="J5" s="50">
        <v>6.37</v>
      </c>
      <c r="K5" s="108">
        <v>-0.16</v>
      </c>
      <c r="L5" s="47">
        <v>0.82199999999999995</v>
      </c>
      <c r="M5" s="66">
        <v>1</v>
      </c>
      <c r="N5" s="66">
        <v>1</v>
      </c>
      <c r="O5" s="50">
        <v>0</v>
      </c>
      <c r="P5" s="50">
        <v>0</v>
      </c>
      <c r="Q5" s="50" t="s">
        <v>452</v>
      </c>
    </row>
    <row r="6" spans="1:17">
      <c r="A6" s="79">
        <v>46115</v>
      </c>
      <c r="B6" s="46">
        <v>336333</v>
      </c>
      <c r="C6" s="46">
        <v>301009</v>
      </c>
      <c r="D6" s="50">
        <v>240674</v>
      </c>
      <c r="E6" s="50">
        <v>234300</v>
      </c>
      <c r="F6" s="88">
        <f t="shared" si="0"/>
        <v>-0.2004425116856971</v>
      </c>
      <c r="G6" s="47">
        <v>0.15429999999999999</v>
      </c>
      <c r="H6" s="47">
        <v>0.2006</v>
      </c>
      <c r="I6" s="46">
        <v>7.54</v>
      </c>
      <c r="J6" s="50">
        <v>4.29</v>
      </c>
      <c r="K6" s="108">
        <v>-0.43</v>
      </c>
      <c r="L6" s="47">
        <v>0.86299999999999999</v>
      </c>
      <c r="M6" s="66">
        <v>1</v>
      </c>
      <c r="N6" s="66">
        <v>1</v>
      </c>
      <c r="O6" s="50">
        <v>0</v>
      </c>
      <c r="P6" s="50">
        <v>0</v>
      </c>
      <c r="Q6" s="50" t="s">
        <v>452</v>
      </c>
    </row>
    <row r="7" spans="1:17">
      <c r="A7" s="79">
        <v>46116</v>
      </c>
      <c r="B7" s="46">
        <v>336333</v>
      </c>
      <c r="C7" s="46">
        <v>301009</v>
      </c>
      <c r="D7" s="50">
        <v>372524</v>
      </c>
      <c r="E7" s="50">
        <v>362400</v>
      </c>
      <c r="F7" s="88">
        <f t="shared" si="0"/>
        <v>0.23758425827799168</v>
      </c>
      <c r="G7" s="47">
        <v>0.23880000000000001</v>
      </c>
      <c r="H7" s="47">
        <v>0.31040000000000001</v>
      </c>
      <c r="I7" s="46">
        <v>7.54</v>
      </c>
      <c r="J7" s="50">
        <v>7.15</v>
      </c>
      <c r="K7" s="108">
        <v>-0.05</v>
      </c>
      <c r="L7" s="47">
        <v>0.80100000000000005</v>
      </c>
      <c r="M7" s="66">
        <v>1</v>
      </c>
      <c r="N7" s="66">
        <v>1</v>
      </c>
      <c r="O7" s="50">
        <v>0</v>
      </c>
      <c r="P7" s="50">
        <v>0</v>
      </c>
      <c r="Q7" s="50" t="s">
        <v>452</v>
      </c>
    </row>
    <row r="8" spans="1:17">
      <c r="A8" s="79">
        <v>46117</v>
      </c>
      <c r="B8" s="46">
        <v>336333</v>
      </c>
      <c r="C8" s="46">
        <v>301009</v>
      </c>
      <c r="D8" s="50">
        <v>351154</v>
      </c>
      <c r="E8" s="50">
        <v>340500</v>
      </c>
      <c r="F8" s="88">
        <f t="shared" si="0"/>
        <v>0.16658970329790804</v>
      </c>
      <c r="G8" s="47">
        <v>0.22509999999999999</v>
      </c>
      <c r="H8" s="47">
        <v>0.29260000000000003</v>
      </c>
      <c r="I8" s="46">
        <v>7.54</v>
      </c>
      <c r="J8" s="50">
        <v>6.93</v>
      </c>
      <c r="K8" s="108">
        <v>-0.08</v>
      </c>
      <c r="L8" s="47">
        <v>0.78</v>
      </c>
      <c r="M8" s="66">
        <v>1</v>
      </c>
      <c r="N8" s="66">
        <v>0.99590000000000001</v>
      </c>
      <c r="O8" s="50">
        <v>16901</v>
      </c>
      <c r="P8" s="50">
        <v>0</v>
      </c>
      <c r="Q8" s="50" t="s">
        <v>453</v>
      </c>
    </row>
    <row r="9" spans="1:17">
      <c r="A9" s="79">
        <v>46118</v>
      </c>
      <c r="B9" s="46">
        <v>336333</v>
      </c>
      <c r="C9" s="46">
        <v>301009</v>
      </c>
      <c r="D9" s="50">
        <v>341719</v>
      </c>
      <c r="E9" s="50">
        <v>331500</v>
      </c>
      <c r="F9" s="88">
        <f t="shared" si="0"/>
        <v>0.13524512556102974</v>
      </c>
      <c r="G9" s="47">
        <v>0.21909999999999999</v>
      </c>
      <c r="H9" s="47">
        <v>0.2848</v>
      </c>
      <c r="I9" s="46">
        <v>7.54</v>
      </c>
      <c r="J9" s="50">
        <v>6.99</v>
      </c>
      <c r="K9" s="108">
        <v>-7.0000000000000007E-2</v>
      </c>
      <c r="L9" s="47">
        <v>0.752</v>
      </c>
      <c r="M9" s="66">
        <v>1</v>
      </c>
      <c r="N9" s="66">
        <v>0.99299999999999999</v>
      </c>
      <c r="O9" s="50">
        <v>22616</v>
      </c>
      <c r="P9" s="50">
        <v>0</v>
      </c>
      <c r="Q9" s="50" t="s">
        <v>453</v>
      </c>
    </row>
    <row r="10" spans="1:17">
      <c r="A10" s="79">
        <v>46119</v>
      </c>
      <c r="B10" s="46">
        <v>336333</v>
      </c>
      <c r="C10" s="46">
        <v>301009</v>
      </c>
      <c r="D10" s="50">
        <v>264641</v>
      </c>
      <c r="E10" s="50">
        <v>257100</v>
      </c>
      <c r="F10" s="88">
        <f t="shared" si="0"/>
        <v>-0.1208203076984409</v>
      </c>
      <c r="G10" s="47">
        <v>0.1696</v>
      </c>
      <c r="H10" s="47">
        <v>0.2205</v>
      </c>
      <c r="I10" s="46">
        <v>7.54</v>
      </c>
      <c r="J10" s="50">
        <v>5.8</v>
      </c>
      <c r="K10" s="108">
        <v>-0.23</v>
      </c>
      <c r="L10" s="47">
        <v>0.70099999999999996</v>
      </c>
      <c r="M10" s="66">
        <v>1</v>
      </c>
      <c r="N10" s="66">
        <v>0.98670000000000002</v>
      </c>
      <c r="O10" s="50">
        <v>59109</v>
      </c>
      <c r="P10" s="50">
        <v>0</v>
      </c>
      <c r="Q10" s="50" t="s">
        <v>453</v>
      </c>
    </row>
    <row r="11" spans="1:17">
      <c r="A11" s="79">
        <v>46120</v>
      </c>
      <c r="B11" s="46">
        <v>336333</v>
      </c>
      <c r="C11" s="46">
        <v>301009</v>
      </c>
      <c r="D11" s="50">
        <v>247528</v>
      </c>
      <c r="E11" s="50">
        <v>240300</v>
      </c>
      <c r="F11" s="88">
        <f t="shared" si="0"/>
        <v>-0.17767242839915084</v>
      </c>
      <c r="G11" s="47">
        <v>0.15870000000000001</v>
      </c>
      <c r="H11" s="47">
        <v>0.20630000000000001</v>
      </c>
      <c r="I11" s="46">
        <v>7.54</v>
      </c>
      <c r="J11" s="50">
        <v>7</v>
      </c>
      <c r="K11" s="108">
        <v>-7.0000000000000007E-2</v>
      </c>
      <c r="L11" s="47">
        <v>0.54400000000000004</v>
      </c>
      <c r="M11" s="66">
        <v>1</v>
      </c>
      <c r="N11" s="66">
        <v>0.98729999999999996</v>
      </c>
      <c r="O11" s="50">
        <v>83185</v>
      </c>
      <c r="P11" s="50">
        <v>0</v>
      </c>
      <c r="Q11" s="50" t="s">
        <v>453</v>
      </c>
    </row>
    <row r="12" spans="1:17">
      <c r="A12" s="79">
        <v>46121</v>
      </c>
      <c r="B12" s="46">
        <v>336333</v>
      </c>
      <c r="C12" s="46">
        <v>301009</v>
      </c>
      <c r="D12" s="50">
        <v>321004</v>
      </c>
      <c r="E12" s="50">
        <v>312600</v>
      </c>
      <c r="F12" s="88">
        <f t="shared" si="0"/>
        <v>6.6426585251603776E-2</v>
      </c>
      <c r="G12" s="47">
        <v>0.20580000000000001</v>
      </c>
      <c r="H12" s="47">
        <v>0.26750000000000002</v>
      </c>
      <c r="I12" s="46">
        <v>7.54</v>
      </c>
      <c r="J12" s="50">
        <v>6.56</v>
      </c>
      <c r="K12" s="108">
        <v>-0.13</v>
      </c>
      <c r="L12" s="47">
        <v>0.753</v>
      </c>
      <c r="M12" s="66">
        <v>1</v>
      </c>
      <c r="N12" s="66">
        <v>0.99399999999999999</v>
      </c>
      <c r="O12" s="50">
        <v>26757</v>
      </c>
      <c r="P12" s="50">
        <v>0</v>
      </c>
      <c r="Q12" s="50" t="s">
        <v>453</v>
      </c>
    </row>
    <row r="13" spans="1:17">
      <c r="A13" s="79">
        <v>46122</v>
      </c>
      <c r="B13" s="46">
        <v>336333</v>
      </c>
      <c r="C13" s="46">
        <v>301009</v>
      </c>
      <c r="D13" s="50">
        <v>343580</v>
      </c>
      <c r="E13" s="50">
        <v>334500</v>
      </c>
      <c r="F13" s="88">
        <f t="shared" si="0"/>
        <v>0.14142766495353959</v>
      </c>
      <c r="G13" s="47">
        <v>0.22020000000000001</v>
      </c>
      <c r="H13" s="47">
        <v>0.2863</v>
      </c>
      <c r="I13" s="46">
        <v>7.54</v>
      </c>
      <c r="J13" s="50">
        <v>6.7</v>
      </c>
      <c r="K13" s="108">
        <v>-0.11</v>
      </c>
      <c r="L13" s="47">
        <v>0.78800000000000003</v>
      </c>
      <c r="M13" s="66">
        <v>1</v>
      </c>
      <c r="N13" s="66">
        <v>0.996</v>
      </c>
      <c r="O13" s="50">
        <v>17066</v>
      </c>
      <c r="P13" s="50">
        <v>0</v>
      </c>
      <c r="Q13" s="50" t="s">
        <v>453</v>
      </c>
    </row>
    <row r="14" spans="1:17">
      <c r="A14" s="79">
        <v>46123</v>
      </c>
      <c r="B14" s="46">
        <v>336333</v>
      </c>
      <c r="C14" s="46">
        <v>301009</v>
      </c>
      <c r="D14" s="50">
        <v>354542</v>
      </c>
      <c r="E14" s="50">
        <v>344400</v>
      </c>
      <c r="F14" s="88">
        <f t="shared" si="0"/>
        <v>0.17784518070888247</v>
      </c>
      <c r="G14" s="47">
        <v>0.2273</v>
      </c>
      <c r="H14" s="47">
        <v>0.29549999999999998</v>
      </c>
      <c r="I14" s="46">
        <v>7.54</v>
      </c>
      <c r="J14" s="50">
        <v>6.79</v>
      </c>
      <c r="K14" s="108">
        <v>-0.1</v>
      </c>
      <c r="L14" s="47">
        <v>0.80400000000000005</v>
      </c>
      <c r="M14" s="66">
        <v>1</v>
      </c>
      <c r="N14" s="66">
        <v>1</v>
      </c>
      <c r="O14" s="50">
        <v>0</v>
      </c>
      <c r="P14" s="50">
        <v>0</v>
      </c>
      <c r="Q14" s="50" t="s">
        <v>452</v>
      </c>
    </row>
    <row r="15" spans="1:17">
      <c r="A15" s="79">
        <v>46124</v>
      </c>
      <c r="B15" s="46">
        <v>336333</v>
      </c>
      <c r="C15" s="46">
        <v>301009</v>
      </c>
      <c r="D15" s="50">
        <v>358908</v>
      </c>
      <c r="E15" s="50">
        <v>349200</v>
      </c>
      <c r="F15" s="88">
        <f t="shared" si="0"/>
        <v>0.19234973040673203</v>
      </c>
      <c r="G15" s="47">
        <v>0.2301</v>
      </c>
      <c r="H15" s="47">
        <v>0.29909999999999998</v>
      </c>
      <c r="I15" s="46">
        <v>7.54</v>
      </c>
      <c r="J15" s="50">
        <v>6.87</v>
      </c>
      <c r="K15" s="108">
        <v>-0.09</v>
      </c>
      <c r="L15" s="47">
        <v>0.80400000000000005</v>
      </c>
      <c r="M15" s="66">
        <v>1</v>
      </c>
      <c r="N15" s="66">
        <v>1</v>
      </c>
      <c r="O15" s="50">
        <v>0</v>
      </c>
      <c r="P15" s="50">
        <v>0</v>
      </c>
      <c r="Q15" s="50" t="s">
        <v>452</v>
      </c>
    </row>
    <row r="16" spans="1:17">
      <c r="A16" s="79">
        <v>46125</v>
      </c>
      <c r="B16" s="46">
        <v>336333</v>
      </c>
      <c r="C16" s="46">
        <v>301009</v>
      </c>
      <c r="D16" s="50">
        <v>355879</v>
      </c>
      <c r="E16" s="50">
        <v>345600</v>
      </c>
      <c r="F16" s="88">
        <f t="shared" si="0"/>
        <v>0.18228690836486616</v>
      </c>
      <c r="G16" s="47">
        <v>0.2281</v>
      </c>
      <c r="H16" s="47">
        <v>0.29659999999999997</v>
      </c>
      <c r="I16" s="46">
        <v>7.54</v>
      </c>
      <c r="J16" s="50">
        <v>6.89</v>
      </c>
      <c r="K16" s="108">
        <v>-0.09</v>
      </c>
      <c r="L16" s="47">
        <v>0.79400000000000004</v>
      </c>
      <c r="M16" s="66">
        <v>1</v>
      </c>
      <c r="N16" s="66">
        <v>1</v>
      </c>
      <c r="O16" s="50">
        <v>0</v>
      </c>
      <c r="P16" s="50">
        <v>0</v>
      </c>
      <c r="Q16" s="50" t="s">
        <v>452</v>
      </c>
    </row>
    <row r="17" spans="1:17">
      <c r="A17" s="79">
        <v>46126</v>
      </c>
      <c r="B17" s="46">
        <v>336333</v>
      </c>
      <c r="C17" s="46">
        <v>301009</v>
      </c>
      <c r="D17" s="50">
        <v>356495</v>
      </c>
      <c r="E17" s="50">
        <v>346200</v>
      </c>
      <c r="F17" s="88">
        <f t="shared" si="0"/>
        <v>0.18433335880322516</v>
      </c>
      <c r="G17" s="47">
        <v>0.22850000000000001</v>
      </c>
      <c r="H17" s="47">
        <v>0.29709999999999998</v>
      </c>
      <c r="I17" s="46">
        <v>7.54</v>
      </c>
      <c r="J17" s="50">
        <v>7.28</v>
      </c>
      <c r="K17" s="108">
        <v>-0.03</v>
      </c>
      <c r="L17" s="47">
        <v>0.753</v>
      </c>
      <c r="M17" s="66">
        <v>1</v>
      </c>
      <c r="N17" s="66">
        <v>0.996</v>
      </c>
      <c r="O17" s="50">
        <v>16635</v>
      </c>
      <c r="P17" s="50">
        <v>0</v>
      </c>
      <c r="Q17" s="50" t="s">
        <v>453</v>
      </c>
    </row>
    <row r="18" spans="1:17">
      <c r="A18" s="79">
        <v>46127</v>
      </c>
      <c r="B18" s="46">
        <v>336333</v>
      </c>
      <c r="C18" s="46">
        <v>301009</v>
      </c>
      <c r="D18" s="50">
        <v>332091</v>
      </c>
      <c r="E18" s="50">
        <v>322800</v>
      </c>
      <c r="F18" s="88">
        <f t="shared" si="0"/>
        <v>0.10325937098226298</v>
      </c>
      <c r="G18" s="47">
        <v>0.21290000000000001</v>
      </c>
      <c r="H18" s="47">
        <v>0.2767</v>
      </c>
      <c r="I18" s="46">
        <v>7.54</v>
      </c>
      <c r="J18" s="50">
        <v>7.21</v>
      </c>
      <c r="K18" s="108">
        <v>-0.04</v>
      </c>
      <c r="L18" s="47">
        <v>0.70899999999999996</v>
      </c>
      <c r="M18" s="66">
        <v>0.996</v>
      </c>
      <c r="N18" s="66">
        <v>0.99670000000000003</v>
      </c>
      <c r="O18" s="50">
        <v>13443</v>
      </c>
      <c r="P18" s="50">
        <v>2492</v>
      </c>
      <c r="Q18" s="50" t="s">
        <v>453</v>
      </c>
    </row>
    <row r="19" spans="1:17">
      <c r="A19" s="79">
        <v>46128</v>
      </c>
      <c r="B19" s="46">
        <v>336333</v>
      </c>
      <c r="C19" s="46">
        <v>301009</v>
      </c>
      <c r="D19" s="50">
        <v>354952</v>
      </c>
      <c r="E19" s="50">
        <v>345300</v>
      </c>
      <c r="F19" s="88">
        <f t="shared" si="0"/>
        <v>0.1792072662279201</v>
      </c>
      <c r="G19" s="47">
        <v>0.22750000000000001</v>
      </c>
      <c r="H19" s="47">
        <v>0.29580000000000001</v>
      </c>
      <c r="I19" s="46">
        <v>7.54</v>
      </c>
      <c r="J19" s="50">
        <v>7.1</v>
      </c>
      <c r="K19" s="108">
        <v>-0.06</v>
      </c>
      <c r="L19" s="47">
        <v>0.77</v>
      </c>
      <c r="M19" s="66">
        <v>1</v>
      </c>
      <c r="N19" s="66">
        <v>0.99760000000000004</v>
      </c>
      <c r="O19" s="50">
        <v>10081</v>
      </c>
      <c r="P19" s="50">
        <v>0</v>
      </c>
      <c r="Q19" s="50" t="s">
        <v>453</v>
      </c>
    </row>
    <row r="20" spans="1:17">
      <c r="A20" s="79">
        <v>46129</v>
      </c>
      <c r="B20" s="46">
        <v>336333</v>
      </c>
      <c r="C20" s="46">
        <v>301009</v>
      </c>
      <c r="D20" s="50">
        <v>345861</v>
      </c>
      <c r="E20" s="50">
        <v>336000</v>
      </c>
      <c r="F20" s="88">
        <f t="shared" si="0"/>
        <v>0.14900551146311239</v>
      </c>
      <c r="G20" s="47">
        <v>0.22170000000000001</v>
      </c>
      <c r="H20" s="47">
        <v>0.28820000000000001</v>
      </c>
      <c r="I20" s="46">
        <v>7.54</v>
      </c>
      <c r="J20" s="50">
        <v>7.12</v>
      </c>
      <c r="K20" s="108">
        <v>-0.06</v>
      </c>
      <c r="L20" s="47">
        <v>0.747</v>
      </c>
      <c r="M20" s="66">
        <v>1</v>
      </c>
      <c r="N20" s="66">
        <v>0.99590000000000001</v>
      </c>
      <c r="O20" s="50">
        <v>16956</v>
      </c>
      <c r="P20" s="50">
        <v>0</v>
      </c>
      <c r="Q20" s="50" t="s">
        <v>453</v>
      </c>
    </row>
    <row r="21" spans="1:17">
      <c r="A21" s="79">
        <v>46130</v>
      </c>
      <c r="B21" s="46">
        <v>336333</v>
      </c>
      <c r="C21" s="46">
        <v>301009</v>
      </c>
      <c r="D21" s="50">
        <v>352915</v>
      </c>
      <c r="E21" s="50">
        <v>343200</v>
      </c>
      <c r="F21" s="88">
        <f t="shared" si="0"/>
        <v>0.17244002671016481</v>
      </c>
      <c r="G21" s="47">
        <v>0.22620000000000001</v>
      </c>
      <c r="H21" s="47">
        <v>0.29409999999999997</v>
      </c>
      <c r="I21" s="46">
        <v>7.54</v>
      </c>
      <c r="J21" s="50">
        <v>7</v>
      </c>
      <c r="K21" s="108">
        <v>-7.0000000000000007E-2</v>
      </c>
      <c r="L21" s="47">
        <v>0.77600000000000002</v>
      </c>
      <c r="M21" s="66">
        <v>1</v>
      </c>
      <c r="N21" s="66">
        <v>0.99709999999999999</v>
      </c>
      <c r="O21" s="50">
        <v>12509</v>
      </c>
      <c r="P21" s="50">
        <v>0</v>
      </c>
      <c r="Q21" s="50" t="s">
        <v>453</v>
      </c>
    </row>
    <row r="22" spans="1:17">
      <c r="A22" s="79">
        <v>46131</v>
      </c>
      <c r="B22" s="46">
        <v>336333</v>
      </c>
      <c r="C22" s="46">
        <v>301009</v>
      </c>
      <c r="D22" s="50">
        <v>335001</v>
      </c>
      <c r="E22" s="50">
        <v>325500</v>
      </c>
      <c r="F22" s="88">
        <f t="shared" si="0"/>
        <v>0.11292685600762768</v>
      </c>
      <c r="G22" s="47">
        <v>0.2147</v>
      </c>
      <c r="H22" s="47">
        <v>0.2792</v>
      </c>
      <c r="I22" s="46">
        <v>7.54</v>
      </c>
      <c r="J22" s="50">
        <v>6.93</v>
      </c>
      <c r="K22" s="108">
        <v>-0.08</v>
      </c>
      <c r="L22" s="47">
        <v>0.74299999999999999</v>
      </c>
      <c r="M22" s="66">
        <v>1</v>
      </c>
      <c r="N22" s="66">
        <v>0.99339999999999995</v>
      </c>
      <c r="O22" s="50">
        <v>25441</v>
      </c>
      <c r="P22" s="50">
        <v>0</v>
      </c>
      <c r="Q22" s="50" t="s">
        <v>453</v>
      </c>
    </row>
    <row r="23" spans="1:17">
      <c r="A23" s="79">
        <v>46132</v>
      </c>
      <c r="B23" s="46">
        <v>336333</v>
      </c>
      <c r="C23" s="46">
        <v>301009</v>
      </c>
      <c r="D23" s="50">
        <v>340299</v>
      </c>
      <c r="E23" s="50">
        <v>330600</v>
      </c>
      <c r="F23" s="88">
        <f t="shared" si="0"/>
        <v>0.13052765864143598</v>
      </c>
      <c r="G23" s="47">
        <v>0.21809999999999999</v>
      </c>
      <c r="H23" s="47">
        <v>0.28360000000000002</v>
      </c>
      <c r="I23" s="46">
        <v>7.54</v>
      </c>
      <c r="J23" s="50">
        <v>6.85</v>
      </c>
      <c r="K23" s="108">
        <v>-0.09</v>
      </c>
      <c r="L23" s="47">
        <v>0.76400000000000001</v>
      </c>
      <c r="M23" s="66">
        <v>1</v>
      </c>
      <c r="N23" s="66">
        <v>0.99690000000000001</v>
      </c>
      <c r="O23" s="50">
        <v>12927</v>
      </c>
      <c r="P23" s="50">
        <v>0</v>
      </c>
      <c r="Q23" s="50" t="s">
        <v>453</v>
      </c>
    </row>
    <row r="24" spans="1:17">
      <c r="A24" s="79">
        <v>46133</v>
      </c>
      <c r="B24" s="46">
        <v>336333</v>
      </c>
      <c r="C24" s="46">
        <v>301009</v>
      </c>
      <c r="D24" s="50">
        <v>338457</v>
      </c>
      <c r="E24" s="50">
        <v>329100</v>
      </c>
      <c r="F24" s="88">
        <f t="shared" si="0"/>
        <v>0.12440824028517419</v>
      </c>
      <c r="G24" s="47">
        <v>0.217</v>
      </c>
      <c r="H24" s="47">
        <v>0.28199999999999997</v>
      </c>
      <c r="I24" s="46">
        <v>7.54</v>
      </c>
      <c r="J24" s="50">
        <v>6.95</v>
      </c>
      <c r="K24" s="108">
        <v>-0.08</v>
      </c>
      <c r="L24" s="47">
        <v>0.749</v>
      </c>
      <c r="M24" s="66">
        <v>1</v>
      </c>
      <c r="N24" s="66">
        <v>0.99570000000000003</v>
      </c>
      <c r="O24" s="50">
        <v>17525</v>
      </c>
      <c r="P24" s="50">
        <v>0</v>
      </c>
      <c r="Q24" s="50" t="s">
        <v>453</v>
      </c>
    </row>
    <row r="25" spans="1:17">
      <c r="A25" s="79">
        <v>46134</v>
      </c>
      <c r="B25" s="46">
        <v>336333</v>
      </c>
      <c r="C25" s="46">
        <v>301009</v>
      </c>
      <c r="D25" s="50">
        <v>330591</v>
      </c>
      <c r="E25" s="50">
        <v>321600</v>
      </c>
      <c r="F25" s="88">
        <f t="shared" si="0"/>
        <v>9.8276131278466752E-2</v>
      </c>
      <c r="G25" s="47">
        <v>0.21190000000000001</v>
      </c>
      <c r="H25" s="47">
        <v>0.27550000000000002</v>
      </c>
      <c r="I25" s="46">
        <v>7.54</v>
      </c>
      <c r="J25" s="50">
        <v>6.89</v>
      </c>
      <c r="K25" s="108">
        <v>-0.09</v>
      </c>
      <c r="L25" s="47">
        <v>0.73899999999999999</v>
      </c>
      <c r="M25" s="66">
        <v>1</v>
      </c>
      <c r="N25" s="66">
        <v>0.99480000000000002</v>
      </c>
      <c r="O25" s="50">
        <v>20159</v>
      </c>
      <c r="P25" s="50">
        <v>0</v>
      </c>
      <c r="Q25" s="50" t="s">
        <v>453</v>
      </c>
    </row>
    <row r="26" spans="1:17">
      <c r="A26" s="79">
        <v>46135</v>
      </c>
      <c r="B26" s="46">
        <v>336333</v>
      </c>
      <c r="C26" s="46">
        <v>301009</v>
      </c>
      <c r="D26" s="50">
        <v>344649</v>
      </c>
      <c r="E26" s="50">
        <v>335100</v>
      </c>
      <c r="F26" s="88">
        <f>(D26-C26)/C26</f>
        <v>0.14497905378244505</v>
      </c>
      <c r="G26" s="47">
        <v>0.22090000000000001</v>
      </c>
      <c r="H26" s="47">
        <v>0.28720000000000001</v>
      </c>
      <c r="I26" s="46">
        <v>7.54</v>
      </c>
      <c r="J26" s="50">
        <v>6.96</v>
      </c>
      <c r="K26" s="108">
        <v>-0.08</v>
      </c>
      <c r="L26" s="47">
        <v>0.76200000000000001</v>
      </c>
      <c r="M26" s="66">
        <v>1</v>
      </c>
      <c r="N26" s="66">
        <v>0.99639999999999995</v>
      </c>
      <c r="O26" s="50">
        <v>7575</v>
      </c>
      <c r="P26" s="50">
        <v>0</v>
      </c>
      <c r="Q26" s="50" t="s">
        <v>453</v>
      </c>
    </row>
    <row r="27" spans="1:17">
      <c r="A27" s="79">
        <v>46136</v>
      </c>
      <c r="B27" s="46"/>
      <c r="C27" s="46"/>
      <c r="D27" s="50" t="s">
        <v>175</v>
      </c>
      <c r="E27" s="50" t="s">
        <v>175</v>
      </c>
      <c r="F27" s="88" t="e">
        <f t="shared" si="0"/>
        <v>#VALUE!</v>
      </c>
      <c r="G27" s="47">
        <v>0</v>
      </c>
      <c r="H27" s="47">
        <v>0</v>
      </c>
      <c r="I27" s="46"/>
      <c r="J27" s="50"/>
      <c r="K27" s="107" t="s">
        <v>175</v>
      </c>
      <c r="L27" s="46" t="e">
        <v>#DIV/0!</v>
      </c>
      <c r="M27" s="50" t="s">
        <v>175</v>
      </c>
      <c r="N27" s="50" t="s">
        <v>175</v>
      </c>
      <c r="O27" s="50" t="s">
        <v>175</v>
      </c>
      <c r="P27" s="50" t="s">
        <v>175</v>
      </c>
      <c r="Q27" s="50" t="s">
        <v>175</v>
      </c>
    </row>
    <row r="28" spans="1:17">
      <c r="A28" s="79">
        <v>46137</v>
      </c>
      <c r="B28" s="46"/>
      <c r="C28" s="46"/>
      <c r="D28" s="50" t="s">
        <v>175</v>
      </c>
      <c r="E28" s="50" t="s">
        <v>175</v>
      </c>
      <c r="F28" s="88" t="e">
        <f t="shared" si="0"/>
        <v>#VALUE!</v>
      </c>
      <c r="G28" s="47">
        <v>0</v>
      </c>
      <c r="H28" s="47">
        <v>0</v>
      </c>
      <c r="I28" s="46"/>
      <c r="J28" s="50"/>
      <c r="K28" s="107" t="s">
        <v>175</v>
      </c>
      <c r="L28" s="46" t="e">
        <v>#DIV/0!</v>
      </c>
      <c r="M28" s="50" t="s">
        <v>175</v>
      </c>
      <c r="N28" s="50" t="s">
        <v>175</v>
      </c>
      <c r="O28" s="50" t="s">
        <v>175</v>
      </c>
      <c r="P28" s="50" t="s">
        <v>175</v>
      </c>
      <c r="Q28" s="50" t="s">
        <v>175</v>
      </c>
    </row>
    <row r="29" spans="1:17">
      <c r="A29" s="79">
        <v>46138</v>
      </c>
      <c r="B29" s="46"/>
      <c r="C29" s="46"/>
      <c r="D29" s="50" t="s">
        <v>175</v>
      </c>
      <c r="E29" s="50" t="s">
        <v>175</v>
      </c>
      <c r="F29" s="88" t="e">
        <f t="shared" si="0"/>
        <v>#VALUE!</v>
      </c>
      <c r="G29" s="47">
        <v>0</v>
      </c>
      <c r="H29" s="47">
        <v>0</v>
      </c>
      <c r="I29" s="46"/>
      <c r="J29" s="50"/>
      <c r="K29" s="107" t="s">
        <v>175</v>
      </c>
      <c r="L29" s="46" t="e">
        <v>#DIV/0!</v>
      </c>
      <c r="M29" s="50" t="s">
        <v>175</v>
      </c>
      <c r="N29" s="50" t="s">
        <v>175</v>
      </c>
      <c r="O29" s="50" t="s">
        <v>175</v>
      </c>
      <c r="P29" s="50" t="s">
        <v>175</v>
      </c>
      <c r="Q29" s="50" t="s">
        <v>175</v>
      </c>
    </row>
    <row r="30" spans="1:17">
      <c r="A30" s="79">
        <v>46139</v>
      </c>
      <c r="B30" s="46"/>
      <c r="C30" s="46"/>
      <c r="D30" s="50" t="s">
        <v>175</v>
      </c>
      <c r="E30" s="50" t="s">
        <v>175</v>
      </c>
      <c r="F30" s="88" t="e">
        <f t="shared" si="0"/>
        <v>#VALUE!</v>
      </c>
      <c r="G30" s="47">
        <v>0</v>
      </c>
      <c r="H30" s="47">
        <v>0</v>
      </c>
      <c r="I30" s="46"/>
      <c r="J30" s="50"/>
      <c r="K30" s="107" t="s">
        <v>175</v>
      </c>
      <c r="L30" s="46" t="e">
        <v>#DIV/0!</v>
      </c>
      <c r="M30" s="50" t="s">
        <v>175</v>
      </c>
      <c r="N30" s="50" t="s">
        <v>175</v>
      </c>
      <c r="O30" s="50" t="s">
        <v>175</v>
      </c>
      <c r="P30" s="50" t="s">
        <v>175</v>
      </c>
      <c r="Q30" s="50" t="s">
        <v>175</v>
      </c>
    </row>
    <row r="31" spans="1:17">
      <c r="A31" s="79">
        <v>46140</v>
      </c>
      <c r="B31" s="46"/>
      <c r="C31" s="46"/>
      <c r="D31" s="50" t="s">
        <v>175</v>
      </c>
      <c r="E31" s="50" t="s">
        <v>175</v>
      </c>
      <c r="F31" s="88" t="e">
        <f t="shared" si="0"/>
        <v>#VALUE!</v>
      </c>
      <c r="G31" s="47">
        <v>0</v>
      </c>
      <c r="H31" s="47">
        <v>0</v>
      </c>
      <c r="I31" s="46"/>
      <c r="J31" s="50"/>
      <c r="K31" s="107" t="s">
        <v>175</v>
      </c>
      <c r="L31" s="46" t="e">
        <v>#DIV/0!</v>
      </c>
      <c r="M31" s="50" t="s">
        <v>175</v>
      </c>
      <c r="N31" s="50" t="s">
        <v>175</v>
      </c>
      <c r="O31" s="50" t="s">
        <v>175</v>
      </c>
      <c r="P31" s="50" t="s">
        <v>175</v>
      </c>
      <c r="Q31" s="50" t="s">
        <v>175</v>
      </c>
    </row>
    <row r="32" spans="1:17">
      <c r="A32" s="79">
        <v>46141</v>
      </c>
      <c r="B32" s="46"/>
      <c r="C32" s="46"/>
      <c r="D32" s="50" t="s">
        <v>175</v>
      </c>
      <c r="E32" s="50" t="s">
        <v>175</v>
      </c>
      <c r="F32" s="88" t="e">
        <f t="shared" si="0"/>
        <v>#VALUE!</v>
      </c>
      <c r="G32" s="47">
        <v>0</v>
      </c>
      <c r="H32" s="47">
        <v>0</v>
      </c>
      <c r="I32" s="46"/>
      <c r="J32" s="50"/>
      <c r="K32" s="107" t="s">
        <v>175</v>
      </c>
      <c r="L32" s="46" t="e">
        <v>#DIV/0!</v>
      </c>
      <c r="M32" s="50" t="s">
        <v>175</v>
      </c>
      <c r="N32" s="50" t="s">
        <v>175</v>
      </c>
      <c r="O32" s="50" t="s">
        <v>175</v>
      </c>
      <c r="P32" s="50" t="s">
        <v>175</v>
      </c>
      <c r="Q32" s="50" t="s">
        <v>175</v>
      </c>
    </row>
    <row r="33" spans="1:17">
      <c r="A33" s="79">
        <v>46142</v>
      </c>
      <c r="B33" s="46"/>
      <c r="C33" s="46"/>
      <c r="D33" s="50" t="s">
        <v>175</v>
      </c>
      <c r="E33" s="50" t="s">
        <v>175</v>
      </c>
      <c r="F33" s="88" t="e">
        <f t="shared" si="0"/>
        <v>#VALUE!</v>
      </c>
      <c r="G33" s="47">
        <v>0</v>
      </c>
      <c r="H33" s="47">
        <v>0</v>
      </c>
      <c r="I33" s="46"/>
      <c r="J33" s="50"/>
      <c r="K33" s="107" t="s">
        <v>175</v>
      </c>
      <c r="L33" s="46" t="e">
        <v>#DIV/0!</v>
      </c>
      <c r="M33" s="50" t="s">
        <v>175</v>
      </c>
      <c r="N33" s="50" t="s">
        <v>175</v>
      </c>
      <c r="O33" s="50" t="s">
        <v>175</v>
      </c>
      <c r="P33" s="50" t="s">
        <v>175</v>
      </c>
      <c r="Q33" s="50" t="s">
        <v>175</v>
      </c>
    </row>
    <row r="34" spans="1:17">
      <c r="A34" s="349">
        <v>46113</v>
      </c>
      <c r="B34" s="89">
        <f>SUM(B4:B33)</f>
        <v>7735659</v>
      </c>
      <c r="C34" s="89">
        <f>SUM(C4:C33)</f>
        <v>6923207</v>
      </c>
      <c r="D34" s="89">
        <f>SUM(D4:D33)</f>
        <v>7667930</v>
      </c>
      <c r="E34" s="89">
        <f>SUM(E4:E33)</f>
        <v>7452900</v>
      </c>
      <c r="F34" s="92">
        <f>(IF(ISBLANK(E34),0,E34-C34))/C34</f>
        <v>7.6509773577476445E-2</v>
      </c>
      <c r="G34" s="90">
        <f>AVERAGE(G4:G33)</f>
        <v>0.16384333333333334</v>
      </c>
      <c r="H34" s="90">
        <f>AVERAGE(H4:H33)</f>
        <v>0.21299666666666672</v>
      </c>
      <c r="I34" s="89">
        <f>SUM(I4:I33)</f>
        <v>173.42</v>
      </c>
      <c r="J34" s="89">
        <f>SUM(J4:J33)</f>
        <v>155.05999999999997</v>
      </c>
      <c r="K34" s="92">
        <f t="shared" ref="K34" si="1">(IF(ISBLANK(J34),0,J34-I34))/I34</f>
        <v>-0.10587014185215093</v>
      </c>
      <c r="L34" s="93">
        <f t="shared" ref="L34:L66" si="2">D34/($D$2*J34)</f>
        <v>0.76079036402782063</v>
      </c>
      <c r="M34" s="90">
        <f>AVERAGE(M4:M33)</f>
        <v>0.99980000000000002</v>
      </c>
      <c r="N34" s="90">
        <f>AVERAGE(N4:N33)</f>
        <v>0.99623478260869591</v>
      </c>
      <c r="O34" s="89">
        <f>SUM(O4:O33)</f>
        <v>378885</v>
      </c>
      <c r="P34" s="89">
        <f>SUM(P4:P33)</f>
        <v>2576</v>
      </c>
      <c r="Q34" s="84" t="s">
        <v>175</v>
      </c>
    </row>
    <row r="35" spans="1:17">
      <c r="A35" s="13">
        <v>46143</v>
      </c>
      <c r="B35" s="127"/>
      <c r="C35" s="127"/>
      <c r="D35" s="33"/>
      <c r="E35" s="33"/>
      <c r="F35" s="20" t="e">
        <f>(IF(ISBLANK(E35),0,E35-C35))/C35</f>
        <v>#DIV/0!</v>
      </c>
      <c r="G35" s="2">
        <f t="shared" ref="G35:G57" si="3">D35/($D$2*24)</f>
        <v>0</v>
      </c>
      <c r="H35" s="2">
        <f t="shared" ref="H35:H61" si="4">D35/($H$2*24)</f>
        <v>0</v>
      </c>
      <c r="I35" s="28"/>
      <c r="J35" s="33"/>
      <c r="K35" s="20" t="e">
        <f>(IF(ISBLANK(J35),0,J35-I35))/I35</f>
        <v>#DIV/0!</v>
      </c>
      <c r="L35" s="4" t="e">
        <f t="shared" si="2"/>
        <v>#DIV/0!</v>
      </c>
      <c r="M35" s="103"/>
      <c r="N35" s="103"/>
      <c r="O35" s="33"/>
      <c r="P35" s="6"/>
      <c r="Q35" s="6"/>
    </row>
    <row r="36" spans="1:17">
      <c r="A36" s="13">
        <f>A35+1</f>
        <v>46144</v>
      </c>
      <c r="B36" s="127"/>
      <c r="C36" s="127"/>
      <c r="D36" s="34"/>
      <c r="E36" s="34"/>
      <c r="F36" s="20" t="e">
        <f t="shared" ref="F36:F54" si="5">(IF(ISBLANK(E36),0,E36-C36))/C36</f>
        <v>#DIV/0!</v>
      </c>
      <c r="G36" s="2">
        <f t="shared" si="3"/>
        <v>0</v>
      </c>
      <c r="H36" s="2">
        <f t="shared" si="4"/>
        <v>0</v>
      </c>
      <c r="I36" s="29"/>
      <c r="J36" s="34"/>
      <c r="K36" s="20" t="e">
        <f t="shared" ref="K36:K54" si="6">(IF(ISBLANK(J36),0,J36-I36))/I36</f>
        <v>#DIV/0!</v>
      </c>
      <c r="L36" s="4" t="e">
        <f t="shared" si="2"/>
        <v>#DIV/0!</v>
      </c>
      <c r="M36" s="103"/>
      <c r="N36" s="103"/>
      <c r="O36" s="34"/>
      <c r="P36" s="6"/>
      <c r="Q36" s="6"/>
    </row>
    <row r="37" spans="1:17">
      <c r="A37" s="13">
        <f t="shared" ref="A37:A65" si="7">A36+1</f>
        <v>46145</v>
      </c>
      <c r="B37" s="127"/>
      <c r="C37" s="127"/>
      <c r="D37" s="34"/>
      <c r="E37" s="34"/>
      <c r="F37" s="20" t="e">
        <f t="shared" si="5"/>
        <v>#DIV/0!</v>
      </c>
      <c r="G37" s="2">
        <f t="shared" si="3"/>
        <v>0</v>
      </c>
      <c r="H37" s="2">
        <f t="shared" si="4"/>
        <v>0</v>
      </c>
      <c r="I37" s="29"/>
      <c r="J37" s="34"/>
      <c r="K37" s="20" t="e">
        <f t="shared" si="6"/>
        <v>#DIV/0!</v>
      </c>
      <c r="L37" s="4" t="e">
        <f t="shared" si="2"/>
        <v>#DIV/0!</v>
      </c>
      <c r="M37" s="103"/>
      <c r="N37" s="104"/>
      <c r="O37" s="34"/>
      <c r="P37" s="6"/>
      <c r="Q37" s="6"/>
    </row>
    <row r="38" spans="1:17">
      <c r="A38" s="13">
        <f t="shared" si="7"/>
        <v>46146</v>
      </c>
      <c r="B38" s="127"/>
      <c r="C38" s="127"/>
      <c r="D38" s="34"/>
      <c r="E38" s="34"/>
      <c r="F38" s="20" t="e">
        <f t="shared" si="5"/>
        <v>#DIV/0!</v>
      </c>
      <c r="G38" s="2">
        <f t="shared" si="3"/>
        <v>0</v>
      </c>
      <c r="H38" s="2">
        <f t="shared" si="4"/>
        <v>0</v>
      </c>
      <c r="I38" s="29"/>
      <c r="J38" s="34"/>
      <c r="K38" s="20" t="e">
        <f t="shared" si="6"/>
        <v>#DIV/0!</v>
      </c>
      <c r="L38" s="4" t="e">
        <f t="shared" si="2"/>
        <v>#DIV/0!</v>
      </c>
      <c r="M38" s="103"/>
      <c r="N38" s="103"/>
      <c r="O38" s="34"/>
      <c r="P38" s="6"/>
      <c r="Q38" s="14"/>
    </row>
    <row r="39" spans="1:17">
      <c r="A39" s="13">
        <f t="shared" si="7"/>
        <v>46147</v>
      </c>
      <c r="B39" s="127"/>
      <c r="C39" s="127"/>
      <c r="D39" s="34"/>
      <c r="E39" s="34"/>
      <c r="F39" s="20" t="e">
        <f t="shared" si="5"/>
        <v>#DIV/0!</v>
      </c>
      <c r="G39" s="2">
        <f t="shared" si="3"/>
        <v>0</v>
      </c>
      <c r="H39" s="2">
        <f t="shared" si="4"/>
        <v>0</v>
      </c>
      <c r="I39" s="29"/>
      <c r="J39" s="34"/>
      <c r="K39" s="20" t="e">
        <f t="shared" si="6"/>
        <v>#DIV/0!</v>
      </c>
      <c r="L39" s="4" t="e">
        <f t="shared" si="2"/>
        <v>#DIV/0!</v>
      </c>
      <c r="M39" s="103"/>
      <c r="N39" s="103"/>
      <c r="O39" s="34"/>
      <c r="P39" s="6"/>
      <c r="Q39" s="14"/>
    </row>
    <row r="40" spans="1:17">
      <c r="A40" s="13">
        <f t="shared" si="7"/>
        <v>46148</v>
      </c>
      <c r="B40" s="127"/>
      <c r="C40" s="127"/>
      <c r="D40" s="34"/>
      <c r="E40" s="34"/>
      <c r="F40" s="20" t="e">
        <f t="shared" si="5"/>
        <v>#DIV/0!</v>
      </c>
      <c r="G40" s="2">
        <f t="shared" si="3"/>
        <v>0</v>
      </c>
      <c r="H40" s="2">
        <f t="shared" si="4"/>
        <v>0</v>
      </c>
      <c r="I40" s="29"/>
      <c r="J40" s="34"/>
      <c r="K40" s="20" t="e">
        <f t="shared" si="6"/>
        <v>#DIV/0!</v>
      </c>
      <c r="L40" s="4" t="e">
        <f t="shared" si="2"/>
        <v>#DIV/0!</v>
      </c>
      <c r="M40" s="103"/>
      <c r="N40" s="103"/>
      <c r="O40" s="34"/>
      <c r="P40" s="6"/>
      <c r="Q40" s="14"/>
    </row>
    <row r="41" spans="1:17">
      <c r="A41" s="13">
        <f t="shared" si="7"/>
        <v>46149</v>
      </c>
      <c r="B41" s="127"/>
      <c r="C41" s="127"/>
      <c r="D41" s="34"/>
      <c r="E41" s="34"/>
      <c r="F41" s="20" t="e">
        <f t="shared" si="5"/>
        <v>#DIV/0!</v>
      </c>
      <c r="G41" s="2">
        <f t="shared" si="3"/>
        <v>0</v>
      </c>
      <c r="H41" s="2">
        <f t="shared" si="4"/>
        <v>0</v>
      </c>
      <c r="I41" s="29"/>
      <c r="J41" s="34"/>
      <c r="K41" s="20" t="e">
        <f t="shared" si="6"/>
        <v>#DIV/0!</v>
      </c>
      <c r="L41" s="4" t="e">
        <f t="shared" si="2"/>
        <v>#DIV/0!</v>
      </c>
      <c r="M41" s="103"/>
      <c r="N41" s="103"/>
      <c r="O41" s="34"/>
      <c r="P41" s="6"/>
      <c r="Q41" s="202"/>
    </row>
    <row r="42" spans="1:17">
      <c r="A42" s="13">
        <f t="shared" si="7"/>
        <v>46150</v>
      </c>
      <c r="B42" s="127"/>
      <c r="C42" s="127"/>
      <c r="D42" s="34"/>
      <c r="E42" s="34"/>
      <c r="F42" s="20" t="e">
        <f t="shared" si="5"/>
        <v>#DIV/0!</v>
      </c>
      <c r="G42" s="2">
        <f t="shared" si="3"/>
        <v>0</v>
      </c>
      <c r="H42" s="2">
        <f t="shared" si="4"/>
        <v>0</v>
      </c>
      <c r="I42" s="29"/>
      <c r="J42" s="34"/>
      <c r="K42" s="20" t="e">
        <f t="shared" si="6"/>
        <v>#DIV/0!</v>
      </c>
      <c r="L42" s="4" t="e">
        <f t="shared" si="2"/>
        <v>#DIV/0!</v>
      </c>
      <c r="M42" s="103"/>
      <c r="N42" s="103"/>
      <c r="O42" s="34"/>
      <c r="P42" s="6"/>
      <c r="Q42" s="14"/>
    </row>
    <row r="43" spans="1:17">
      <c r="A43" s="13">
        <f t="shared" si="7"/>
        <v>46151</v>
      </c>
      <c r="B43" s="127"/>
      <c r="C43" s="127"/>
      <c r="D43" s="34"/>
      <c r="E43" s="34"/>
      <c r="F43" s="20" t="e">
        <f t="shared" si="5"/>
        <v>#DIV/0!</v>
      </c>
      <c r="G43" s="2">
        <f t="shared" si="3"/>
        <v>0</v>
      </c>
      <c r="H43" s="2">
        <f t="shared" si="4"/>
        <v>0</v>
      </c>
      <c r="I43" s="29"/>
      <c r="J43" s="34"/>
      <c r="K43" s="20" t="e">
        <f t="shared" si="6"/>
        <v>#DIV/0!</v>
      </c>
      <c r="L43" s="4" t="e">
        <f t="shared" si="2"/>
        <v>#DIV/0!</v>
      </c>
      <c r="M43" s="103"/>
      <c r="N43" s="103"/>
      <c r="O43" s="34"/>
      <c r="P43" s="6"/>
      <c r="Q43" s="6"/>
    </row>
    <row r="44" spans="1:17">
      <c r="A44" s="13">
        <f t="shared" si="7"/>
        <v>46152</v>
      </c>
      <c r="B44" s="127"/>
      <c r="C44" s="127"/>
      <c r="D44" s="34"/>
      <c r="E44" s="34"/>
      <c r="F44" s="20" t="e">
        <f t="shared" si="5"/>
        <v>#DIV/0!</v>
      </c>
      <c r="G44" s="2">
        <f t="shared" si="3"/>
        <v>0</v>
      </c>
      <c r="H44" s="2">
        <f t="shared" si="4"/>
        <v>0</v>
      </c>
      <c r="I44" s="29"/>
      <c r="J44" s="34"/>
      <c r="K44" s="20" t="e">
        <f t="shared" si="6"/>
        <v>#DIV/0!</v>
      </c>
      <c r="L44" s="4" t="e">
        <f t="shared" si="2"/>
        <v>#DIV/0!</v>
      </c>
      <c r="M44" s="103"/>
      <c r="N44" s="103"/>
      <c r="O44" s="34"/>
      <c r="P44" s="6"/>
      <c r="Q44" s="16"/>
    </row>
    <row r="45" spans="1:17">
      <c r="A45" s="13">
        <f t="shared" si="7"/>
        <v>46153</v>
      </c>
      <c r="B45" s="127"/>
      <c r="C45" s="127"/>
      <c r="D45" s="34"/>
      <c r="E45" s="34"/>
      <c r="F45" s="20" t="e">
        <f t="shared" si="5"/>
        <v>#DIV/0!</v>
      </c>
      <c r="G45" s="2">
        <f t="shared" si="3"/>
        <v>0</v>
      </c>
      <c r="H45" s="2">
        <f t="shared" si="4"/>
        <v>0</v>
      </c>
      <c r="I45" s="29"/>
      <c r="J45" s="34"/>
      <c r="K45" s="20" t="e">
        <f t="shared" si="6"/>
        <v>#DIV/0!</v>
      </c>
      <c r="L45" s="4" t="e">
        <f t="shared" si="2"/>
        <v>#DIV/0!</v>
      </c>
      <c r="M45" s="103"/>
      <c r="N45" s="103"/>
      <c r="O45" s="34"/>
      <c r="P45" s="6"/>
      <c r="Q45" s="6"/>
    </row>
    <row r="46" spans="1:17">
      <c r="A46" s="13">
        <f t="shared" si="7"/>
        <v>46154</v>
      </c>
      <c r="B46" s="127"/>
      <c r="C46" s="127"/>
      <c r="D46" s="34"/>
      <c r="E46" s="34"/>
      <c r="F46" s="20" t="e">
        <f t="shared" si="5"/>
        <v>#DIV/0!</v>
      </c>
      <c r="G46" s="2">
        <f t="shared" si="3"/>
        <v>0</v>
      </c>
      <c r="H46" s="2">
        <f t="shared" si="4"/>
        <v>0</v>
      </c>
      <c r="I46" s="29"/>
      <c r="J46" s="34"/>
      <c r="K46" s="20" t="e">
        <f t="shared" si="6"/>
        <v>#DIV/0!</v>
      </c>
      <c r="L46" s="4" t="e">
        <f t="shared" si="2"/>
        <v>#DIV/0!</v>
      </c>
      <c r="M46" s="104"/>
      <c r="N46" s="103"/>
      <c r="O46" s="34"/>
      <c r="P46" s="6"/>
      <c r="Q46" s="6"/>
    </row>
    <row r="47" spans="1:17">
      <c r="A47" s="13">
        <f t="shared" si="7"/>
        <v>46155</v>
      </c>
      <c r="B47" s="127"/>
      <c r="C47" s="127"/>
      <c r="D47" s="34"/>
      <c r="E47" s="34"/>
      <c r="F47" s="20" t="e">
        <f t="shared" si="5"/>
        <v>#DIV/0!</v>
      </c>
      <c r="G47" s="2">
        <f t="shared" si="3"/>
        <v>0</v>
      </c>
      <c r="H47" s="2">
        <f t="shared" si="4"/>
        <v>0</v>
      </c>
      <c r="I47" s="29"/>
      <c r="J47" s="34"/>
      <c r="K47" s="20" t="e">
        <f t="shared" si="6"/>
        <v>#DIV/0!</v>
      </c>
      <c r="L47" s="4" t="e">
        <f t="shared" si="2"/>
        <v>#DIV/0!</v>
      </c>
      <c r="M47" s="104"/>
      <c r="N47" s="103"/>
      <c r="O47" s="34"/>
      <c r="P47" s="6"/>
      <c r="Q47" s="31"/>
    </row>
    <row r="48" spans="1:17">
      <c r="A48" s="13">
        <f t="shared" si="7"/>
        <v>46156</v>
      </c>
      <c r="B48" s="127"/>
      <c r="C48" s="127"/>
      <c r="D48" s="34"/>
      <c r="E48" s="34"/>
      <c r="F48" s="20" t="e">
        <f t="shared" si="5"/>
        <v>#DIV/0!</v>
      </c>
      <c r="G48" s="2">
        <f t="shared" si="3"/>
        <v>0</v>
      </c>
      <c r="H48" s="2">
        <f t="shared" si="4"/>
        <v>0</v>
      </c>
      <c r="I48" s="29"/>
      <c r="J48" s="34"/>
      <c r="K48" s="20" t="e">
        <f t="shared" si="6"/>
        <v>#DIV/0!</v>
      </c>
      <c r="L48" s="4" t="e">
        <f t="shared" si="2"/>
        <v>#DIV/0!</v>
      </c>
      <c r="M48" s="104"/>
      <c r="N48" s="103"/>
      <c r="O48" s="34"/>
      <c r="P48" s="6"/>
      <c r="Q48" s="32"/>
    </row>
    <row r="49" spans="1:17">
      <c r="A49" s="13">
        <f t="shared" si="7"/>
        <v>46157</v>
      </c>
      <c r="B49" s="127"/>
      <c r="C49" s="127"/>
      <c r="D49" s="34"/>
      <c r="E49" s="34"/>
      <c r="F49" s="20" t="e">
        <f t="shared" si="5"/>
        <v>#DIV/0!</v>
      </c>
      <c r="G49" s="2">
        <f t="shared" si="3"/>
        <v>0</v>
      </c>
      <c r="H49" s="2">
        <f t="shared" si="4"/>
        <v>0</v>
      </c>
      <c r="I49" s="29"/>
      <c r="J49" s="34"/>
      <c r="K49" s="20" t="e">
        <f t="shared" si="6"/>
        <v>#DIV/0!</v>
      </c>
      <c r="L49" s="4" t="e">
        <f t="shared" si="2"/>
        <v>#DIV/0!</v>
      </c>
      <c r="M49" s="104"/>
      <c r="N49" s="103"/>
      <c r="O49" s="34"/>
      <c r="P49" s="6"/>
      <c r="Q49" s="32"/>
    </row>
    <row r="50" spans="1:17">
      <c r="A50" s="13">
        <f t="shared" si="7"/>
        <v>46158</v>
      </c>
      <c r="B50" s="127"/>
      <c r="C50" s="127"/>
      <c r="D50" s="34"/>
      <c r="E50" s="34"/>
      <c r="F50" s="20" t="e">
        <f t="shared" si="5"/>
        <v>#DIV/0!</v>
      </c>
      <c r="G50" s="2">
        <f t="shared" si="3"/>
        <v>0</v>
      </c>
      <c r="H50" s="2">
        <f t="shared" si="4"/>
        <v>0</v>
      </c>
      <c r="I50" s="29"/>
      <c r="J50" s="34"/>
      <c r="K50" s="20" t="e">
        <f t="shared" si="6"/>
        <v>#DIV/0!</v>
      </c>
      <c r="L50" s="4" t="e">
        <f t="shared" si="2"/>
        <v>#DIV/0!</v>
      </c>
      <c r="M50" s="104"/>
      <c r="N50" s="103"/>
      <c r="O50" s="34"/>
      <c r="P50" s="6"/>
      <c r="Q50" s="32"/>
    </row>
    <row r="51" spans="1:17">
      <c r="A51" s="13">
        <f t="shared" si="7"/>
        <v>46159</v>
      </c>
      <c r="B51" s="127"/>
      <c r="C51" s="127"/>
      <c r="D51" s="34"/>
      <c r="E51" s="34"/>
      <c r="F51" s="20" t="e">
        <f t="shared" si="5"/>
        <v>#DIV/0!</v>
      </c>
      <c r="G51" s="2">
        <f t="shared" si="3"/>
        <v>0</v>
      </c>
      <c r="H51" s="2">
        <f t="shared" si="4"/>
        <v>0</v>
      </c>
      <c r="I51" s="29"/>
      <c r="J51" s="34"/>
      <c r="K51" s="20" t="e">
        <f t="shared" si="6"/>
        <v>#DIV/0!</v>
      </c>
      <c r="L51" s="4" t="e">
        <f t="shared" si="2"/>
        <v>#DIV/0!</v>
      </c>
      <c r="M51" s="103"/>
      <c r="N51" s="103"/>
      <c r="O51" s="34"/>
      <c r="P51" s="6"/>
      <c r="Q51" s="6"/>
    </row>
    <row r="52" spans="1:17">
      <c r="A52" s="13">
        <f t="shared" si="7"/>
        <v>46160</v>
      </c>
      <c r="B52" s="127"/>
      <c r="C52" s="127"/>
      <c r="D52" s="34"/>
      <c r="E52" s="34"/>
      <c r="F52" s="20" t="e">
        <f t="shared" si="5"/>
        <v>#DIV/0!</v>
      </c>
      <c r="G52" s="2">
        <f t="shared" si="3"/>
        <v>0</v>
      </c>
      <c r="H52" s="2">
        <f t="shared" si="4"/>
        <v>0</v>
      </c>
      <c r="I52" s="29"/>
      <c r="J52" s="34"/>
      <c r="K52" s="20" t="e">
        <f t="shared" si="6"/>
        <v>#DIV/0!</v>
      </c>
      <c r="L52" s="4" t="e">
        <f t="shared" si="2"/>
        <v>#DIV/0!</v>
      </c>
      <c r="M52" s="103"/>
      <c r="N52" s="103"/>
      <c r="O52" s="34"/>
      <c r="P52" s="6"/>
      <c r="Q52" s="14"/>
    </row>
    <row r="53" spans="1:17">
      <c r="A53" s="13">
        <f t="shared" si="7"/>
        <v>46161</v>
      </c>
      <c r="B53" s="127"/>
      <c r="C53" s="127"/>
      <c r="D53" s="34"/>
      <c r="E53" s="34"/>
      <c r="F53" s="20" t="e">
        <f t="shared" si="5"/>
        <v>#DIV/0!</v>
      </c>
      <c r="G53" s="2">
        <f t="shared" si="3"/>
        <v>0</v>
      </c>
      <c r="H53" s="2">
        <f t="shared" si="4"/>
        <v>0</v>
      </c>
      <c r="I53" s="29"/>
      <c r="J53" s="34"/>
      <c r="K53" s="20" t="e">
        <f t="shared" si="6"/>
        <v>#DIV/0!</v>
      </c>
      <c r="L53" s="4" t="e">
        <f t="shared" si="2"/>
        <v>#DIV/0!</v>
      </c>
      <c r="M53" s="103"/>
      <c r="N53" s="103"/>
      <c r="O53" s="34"/>
      <c r="P53" s="6"/>
      <c r="Q53" s="14"/>
    </row>
    <row r="54" spans="1:17">
      <c r="A54" s="13">
        <f t="shared" si="7"/>
        <v>46162</v>
      </c>
      <c r="B54" s="127"/>
      <c r="C54" s="127"/>
      <c r="D54" s="34"/>
      <c r="E54" s="34"/>
      <c r="F54" s="20" t="e">
        <f t="shared" si="5"/>
        <v>#DIV/0!</v>
      </c>
      <c r="G54" s="2">
        <f t="shared" si="3"/>
        <v>0</v>
      </c>
      <c r="H54" s="2">
        <f t="shared" si="4"/>
        <v>0</v>
      </c>
      <c r="I54" s="29"/>
      <c r="J54" s="34"/>
      <c r="K54" s="20" t="e">
        <f t="shared" si="6"/>
        <v>#DIV/0!</v>
      </c>
      <c r="L54" s="4" t="e">
        <f t="shared" si="2"/>
        <v>#DIV/0!</v>
      </c>
      <c r="M54" s="103"/>
      <c r="N54" s="103"/>
      <c r="O54" s="34"/>
      <c r="P54" s="6"/>
      <c r="Q54" s="14"/>
    </row>
    <row r="55" spans="1:17">
      <c r="A55" s="13">
        <f t="shared" si="7"/>
        <v>46163</v>
      </c>
      <c r="B55" s="127"/>
      <c r="C55" s="127"/>
      <c r="D55" s="34"/>
      <c r="E55" s="34"/>
      <c r="F55" s="20" t="e">
        <f>(IF(ISBLANK(E55),0,E55-C55))/C55</f>
        <v>#DIV/0!</v>
      </c>
      <c r="G55" s="2">
        <f t="shared" si="3"/>
        <v>0</v>
      </c>
      <c r="H55" s="2">
        <f t="shared" si="4"/>
        <v>0</v>
      </c>
      <c r="I55" s="29"/>
      <c r="J55" s="34"/>
      <c r="K55" s="20" t="e">
        <f>(IF(ISBLANK(J55),0,J55-I55))/I55</f>
        <v>#DIV/0!</v>
      </c>
      <c r="L55" s="4" t="e">
        <f t="shared" si="2"/>
        <v>#DIV/0!</v>
      </c>
      <c r="M55" s="103"/>
      <c r="N55" s="103"/>
      <c r="O55" s="34"/>
      <c r="P55" s="6"/>
      <c r="Q55" s="6"/>
    </row>
    <row r="56" spans="1:17">
      <c r="A56" s="13">
        <f t="shared" si="7"/>
        <v>46164</v>
      </c>
      <c r="B56" s="127"/>
      <c r="C56" s="127"/>
      <c r="D56" s="34"/>
      <c r="E56" s="34"/>
      <c r="F56" s="20" t="e">
        <f t="shared" ref="F56:F65" si="8">(IF(ISBLANK(E56),0,E56-C56))/C56</f>
        <v>#DIV/0!</v>
      </c>
      <c r="G56" s="2">
        <f t="shared" si="3"/>
        <v>0</v>
      </c>
      <c r="H56" s="2">
        <f t="shared" si="4"/>
        <v>0</v>
      </c>
      <c r="I56" s="29"/>
      <c r="J56" s="34"/>
      <c r="K56" s="20" t="e">
        <f t="shared" ref="K56:K65" si="9">(IF(ISBLANK(J56),0,J56-I56))/I56</f>
        <v>#DIV/0!</v>
      </c>
      <c r="L56" s="4" t="e">
        <f t="shared" si="2"/>
        <v>#DIV/0!</v>
      </c>
      <c r="M56" s="103"/>
      <c r="N56" s="103"/>
      <c r="O56" s="34"/>
      <c r="P56" s="6"/>
      <c r="Q56" s="6"/>
    </row>
    <row r="57" spans="1:17">
      <c r="A57" s="13">
        <f t="shared" si="7"/>
        <v>46165</v>
      </c>
      <c r="B57" s="127"/>
      <c r="C57" s="127"/>
      <c r="D57" s="14"/>
      <c r="E57" s="14"/>
      <c r="F57" s="20" t="e">
        <f t="shared" si="8"/>
        <v>#DIV/0!</v>
      </c>
      <c r="G57" s="2">
        <f t="shared" si="3"/>
        <v>0</v>
      </c>
      <c r="H57" s="2">
        <f t="shared" si="4"/>
        <v>0</v>
      </c>
      <c r="I57" s="29"/>
      <c r="J57" s="14"/>
      <c r="K57" s="20" t="e">
        <f t="shared" si="9"/>
        <v>#DIV/0!</v>
      </c>
      <c r="L57" s="4" t="e">
        <f t="shared" si="2"/>
        <v>#DIV/0!</v>
      </c>
      <c r="M57" s="103"/>
      <c r="N57" s="103"/>
      <c r="O57" s="34"/>
      <c r="P57" s="6"/>
      <c r="Q57" s="6"/>
    </row>
    <row r="58" spans="1:17">
      <c r="A58" s="13">
        <f t="shared" si="7"/>
        <v>46166</v>
      </c>
      <c r="B58" s="127"/>
      <c r="C58" s="127"/>
      <c r="D58" s="14"/>
      <c r="E58" s="14"/>
      <c r="F58" s="20" t="e">
        <f t="shared" si="8"/>
        <v>#DIV/0!</v>
      </c>
      <c r="G58" s="2">
        <f t="shared" ref="G58:G65" si="10">D58/($D$2*24)</f>
        <v>0</v>
      </c>
      <c r="H58" s="2">
        <f t="shared" si="4"/>
        <v>0</v>
      </c>
      <c r="I58" s="29"/>
      <c r="J58" s="14"/>
      <c r="K58" s="20" t="e">
        <f t="shared" si="9"/>
        <v>#DIV/0!</v>
      </c>
      <c r="L58" s="4" t="e">
        <f t="shared" si="2"/>
        <v>#DIV/0!</v>
      </c>
      <c r="M58" s="103"/>
      <c r="N58" s="103"/>
      <c r="O58" s="34"/>
      <c r="P58" s="6"/>
      <c r="Q58" s="288"/>
    </row>
    <row r="59" spans="1:17">
      <c r="A59" s="13">
        <f t="shared" si="7"/>
        <v>46167</v>
      </c>
      <c r="B59" s="1"/>
      <c r="C59" s="1"/>
      <c r="D59" s="14"/>
      <c r="E59" s="14"/>
      <c r="F59" s="20" t="e">
        <f t="shared" si="8"/>
        <v>#DIV/0!</v>
      </c>
      <c r="G59" s="2">
        <f t="shared" si="10"/>
        <v>0</v>
      </c>
      <c r="H59" s="2">
        <f t="shared" si="4"/>
        <v>0</v>
      </c>
      <c r="I59" s="29"/>
      <c r="J59" s="14"/>
      <c r="K59" s="20" t="e">
        <f t="shared" si="9"/>
        <v>#DIV/0!</v>
      </c>
      <c r="L59" s="4" t="e">
        <f t="shared" si="2"/>
        <v>#DIV/0!</v>
      </c>
      <c r="M59" s="103"/>
      <c r="N59" s="103"/>
      <c r="O59" s="34"/>
      <c r="P59" s="155"/>
      <c r="Q59" s="6"/>
    </row>
    <row r="60" spans="1:17">
      <c r="A60" s="13">
        <f t="shared" si="7"/>
        <v>46168</v>
      </c>
      <c r="B60" s="1"/>
      <c r="C60" s="1"/>
      <c r="D60" s="14"/>
      <c r="E60" s="14"/>
      <c r="F60" s="20" t="e">
        <f t="shared" si="8"/>
        <v>#DIV/0!</v>
      </c>
      <c r="G60" s="2">
        <f t="shared" si="10"/>
        <v>0</v>
      </c>
      <c r="H60" s="2">
        <f t="shared" si="4"/>
        <v>0</v>
      </c>
      <c r="I60" s="29"/>
      <c r="J60" s="14"/>
      <c r="K60" s="20" t="e">
        <f t="shared" si="9"/>
        <v>#DIV/0!</v>
      </c>
      <c r="L60" s="4" t="e">
        <f t="shared" si="2"/>
        <v>#DIV/0!</v>
      </c>
      <c r="M60" s="103"/>
      <c r="N60" s="103"/>
      <c r="O60" s="34"/>
      <c r="P60" s="6"/>
      <c r="Q60" s="123"/>
    </row>
    <row r="61" spans="1:17">
      <c r="A61" s="13">
        <f t="shared" si="7"/>
        <v>46169</v>
      </c>
      <c r="B61" s="1"/>
      <c r="C61" s="1"/>
      <c r="D61" s="14"/>
      <c r="E61" s="14"/>
      <c r="F61" s="20" t="e">
        <f t="shared" si="8"/>
        <v>#DIV/0!</v>
      </c>
      <c r="G61" s="2">
        <f t="shared" si="10"/>
        <v>0</v>
      </c>
      <c r="H61" s="2">
        <f t="shared" si="4"/>
        <v>0</v>
      </c>
      <c r="I61" s="29"/>
      <c r="J61" s="14"/>
      <c r="K61" s="20" t="e">
        <f t="shared" si="9"/>
        <v>#DIV/0!</v>
      </c>
      <c r="L61" s="4" t="e">
        <f t="shared" si="2"/>
        <v>#DIV/0!</v>
      </c>
      <c r="M61" s="103"/>
      <c r="N61" s="103"/>
      <c r="O61" s="34"/>
      <c r="P61" s="6"/>
      <c r="Q61" s="6"/>
    </row>
    <row r="62" spans="1:17">
      <c r="A62" s="13">
        <f t="shared" si="7"/>
        <v>46170</v>
      </c>
      <c r="B62" s="1"/>
      <c r="C62" s="1"/>
      <c r="D62" s="14"/>
      <c r="E62" s="14"/>
      <c r="F62" s="20" t="e">
        <f t="shared" si="8"/>
        <v>#DIV/0!</v>
      </c>
      <c r="G62" s="2">
        <f t="shared" si="10"/>
        <v>0</v>
      </c>
      <c r="H62" s="2">
        <f t="shared" ref="H62:H65" si="11">D62/($H$2*24)</f>
        <v>0</v>
      </c>
      <c r="I62" s="29"/>
      <c r="J62" s="14"/>
      <c r="K62" s="20" t="e">
        <f t="shared" si="9"/>
        <v>#DIV/0!</v>
      </c>
      <c r="L62" s="4" t="e">
        <f t="shared" si="2"/>
        <v>#DIV/0!</v>
      </c>
      <c r="M62" s="103"/>
      <c r="N62" s="103"/>
      <c r="O62" s="34"/>
      <c r="P62" s="6"/>
      <c r="Q62" s="6"/>
    </row>
    <row r="63" spans="1:17">
      <c r="A63" s="13">
        <f t="shared" si="7"/>
        <v>46171</v>
      </c>
      <c r="B63" s="1"/>
      <c r="C63" s="1"/>
      <c r="D63" s="14"/>
      <c r="E63" s="14"/>
      <c r="F63" s="20" t="e">
        <f t="shared" si="8"/>
        <v>#DIV/0!</v>
      </c>
      <c r="G63" s="2">
        <f t="shared" si="10"/>
        <v>0</v>
      </c>
      <c r="H63" s="2">
        <f t="shared" si="11"/>
        <v>0</v>
      </c>
      <c r="I63" s="29"/>
      <c r="J63" s="14"/>
      <c r="K63" s="20" t="e">
        <f t="shared" si="9"/>
        <v>#DIV/0!</v>
      </c>
      <c r="L63" s="4" t="e">
        <f t="shared" si="2"/>
        <v>#DIV/0!</v>
      </c>
      <c r="M63" s="103"/>
      <c r="N63" s="103"/>
      <c r="O63" s="34"/>
      <c r="P63" s="6"/>
      <c r="Q63" s="6"/>
    </row>
    <row r="64" spans="1:17">
      <c r="A64" s="13">
        <f t="shared" si="7"/>
        <v>46172</v>
      </c>
      <c r="B64" s="1"/>
      <c r="C64" s="1"/>
      <c r="D64" s="14"/>
      <c r="E64" s="14"/>
      <c r="F64" s="20" t="e">
        <f t="shared" si="8"/>
        <v>#DIV/0!</v>
      </c>
      <c r="G64" s="2">
        <f t="shared" si="10"/>
        <v>0</v>
      </c>
      <c r="H64" s="2">
        <f t="shared" si="11"/>
        <v>0</v>
      </c>
      <c r="I64" s="29"/>
      <c r="J64" s="14"/>
      <c r="K64" s="20" t="e">
        <f t="shared" si="9"/>
        <v>#DIV/0!</v>
      </c>
      <c r="L64" s="4" t="e">
        <f t="shared" si="2"/>
        <v>#DIV/0!</v>
      </c>
      <c r="M64" s="103"/>
      <c r="N64" s="103"/>
      <c r="O64" s="34"/>
      <c r="P64" s="6"/>
      <c r="Q64" s="6"/>
    </row>
    <row r="65" spans="1:17">
      <c r="A65" s="13">
        <f t="shared" si="7"/>
        <v>46173</v>
      </c>
      <c r="B65" s="1"/>
      <c r="C65" s="1"/>
      <c r="D65" s="14"/>
      <c r="E65" s="14"/>
      <c r="F65" s="20" t="e">
        <f t="shared" si="8"/>
        <v>#DIV/0!</v>
      </c>
      <c r="G65" s="2">
        <f t="shared" si="10"/>
        <v>0</v>
      </c>
      <c r="H65" s="2">
        <f t="shared" si="11"/>
        <v>0</v>
      </c>
      <c r="I65" s="29"/>
      <c r="J65" s="14"/>
      <c r="K65" s="20" t="e">
        <f t="shared" si="9"/>
        <v>#DIV/0!</v>
      </c>
      <c r="L65" s="4" t="e">
        <f t="shared" si="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BBF1-8D70-46C8-A0F3-774D36F0EF5B}">
  <dimension ref="A1:Q66"/>
  <sheetViews>
    <sheetView topLeftCell="A29" workbookViewId="0">
      <selection activeCell="A34" sqref="A34"/>
    </sheetView>
  </sheetViews>
  <sheetFormatPr defaultColWidth="14.54296875" defaultRowHeight="14.5"/>
  <sheetData>
    <row r="1" spans="1:17" ht="18.5">
      <c r="A1" s="417" t="s">
        <v>454</v>
      </c>
      <c r="B1" s="418"/>
      <c r="C1" s="418"/>
      <c r="D1" s="418"/>
      <c r="E1" s="418"/>
      <c r="F1" s="418"/>
      <c r="G1" s="418"/>
      <c r="H1" s="418"/>
      <c r="I1" s="418"/>
      <c r="J1" s="418"/>
      <c r="K1" s="418"/>
      <c r="L1" s="418"/>
      <c r="M1" s="418"/>
      <c r="N1" s="418"/>
      <c r="O1" s="418"/>
      <c r="P1" s="418"/>
      <c r="Q1" s="418"/>
    </row>
    <row r="2" spans="1:17" ht="18.5">
      <c r="A2" s="69">
        <v>46138</v>
      </c>
      <c r="B2" s="415" t="s">
        <v>172</v>
      </c>
      <c r="C2" s="416"/>
      <c r="D2" s="70">
        <v>3750</v>
      </c>
      <c r="E2" s="415" t="s">
        <v>173</v>
      </c>
      <c r="F2" s="415"/>
      <c r="G2" s="416"/>
      <c r="H2" s="70">
        <v>3000</v>
      </c>
      <c r="I2" s="415" t="s">
        <v>174</v>
      </c>
      <c r="J2" s="416"/>
      <c r="K2" s="105" t="s">
        <v>455</v>
      </c>
      <c r="L2" s="72" t="s">
        <v>175</v>
      </c>
      <c r="M2" s="72" t="s">
        <v>175</v>
      </c>
      <c r="N2" s="72" t="s">
        <v>175</v>
      </c>
      <c r="O2" s="72" t="s">
        <v>175</v>
      </c>
      <c r="P2" s="72" t="s">
        <v>175</v>
      </c>
      <c r="Q2" s="73" t="s">
        <v>175</v>
      </c>
    </row>
    <row r="3" spans="1:17" ht="39.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21286</v>
      </c>
      <c r="C4" s="39">
        <v>19885</v>
      </c>
      <c r="D4" s="49">
        <v>14199</v>
      </c>
      <c r="E4" s="49">
        <v>13960</v>
      </c>
      <c r="F4" s="107">
        <v>-5686</v>
      </c>
      <c r="G4" s="40">
        <v>0.1578</v>
      </c>
      <c r="H4" s="40">
        <v>0.19719999999999999</v>
      </c>
      <c r="I4" s="39">
        <v>6.73</v>
      </c>
      <c r="J4" s="49">
        <v>5.47</v>
      </c>
      <c r="K4" s="107">
        <v>-1.26</v>
      </c>
      <c r="L4" s="40">
        <v>0.69199999999999995</v>
      </c>
      <c r="M4" s="68">
        <v>1</v>
      </c>
      <c r="N4" s="68">
        <v>0.85209999999999997</v>
      </c>
      <c r="O4" s="49">
        <v>2027</v>
      </c>
      <c r="P4" s="49" t="s">
        <v>175</v>
      </c>
      <c r="Q4" s="49" t="s">
        <v>456</v>
      </c>
    </row>
    <row r="5" spans="1:17">
      <c r="A5" s="79">
        <v>46114</v>
      </c>
      <c r="B5" s="46">
        <v>21286</v>
      </c>
      <c r="C5" s="46">
        <v>19885</v>
      </c>
      <c r="D5" s="50">
        <v>15070</v>
      </c>
      <c r="E5" s="50">
        <v>14760</v>
      </c>
      <c r="F5" s="107">
        <v>-4815</v>
      </c>
      <c r="G5" s="47">
        <v>0.16739999999999999</v>
      </c>
      <c r="H5" s="47">
        <v>0.20930000000000001</v>
      </c>
      <c r="I5" s="46">
        <v>6.73</v>
      </c>
      <c r="J5" s="50">
        <v>5.07</v>
      </c>
      <c r="K5" s="107">
        <v>-1.66</v>
      </c>
      <c r="L5" s="47">
        <v>0.79300000000000004</v>
      </c>
      <c r="M5" s="66">
        <v>1</v>
      </c>
      <c r="N5" s="66">
        <v>0.91569999999999996</v>
      </c>
      <c r="O5" s="50">
        <v>468</v>
      </c>
      <c r="P5" s="50" t="s">
        <v>175</v>
      </c>
      <c r="Q5" s="50" t="s">
        <v>456</v>
      </c>
    </row>
    <row r="6" spans="1:17">
      <c r="A6" s="79">
        <v>46115</v>
      </c>
      <c r="B6" s="46">
        <v>21286</v>
      </c>
      <c r="C6" s="46">
        <v>19885</v>
      </c>
      <c r="D6" s="50">
        <v>17778</v>
      </c>
      <c r="E6" s="50">
        <v>17480</v>
      </c>
      <c r="F6" s="107">
        <v>-2107</v>
      </c>
      <c r="G6" s="47">
        <v>0.19750000000000001</v>
      </c>
      <c r="H6" s="47">
        <v>0.24690000000000001</v>
      </c>
      <c r="I6" s="46">
        <v>6.73</v>
      </c>
      <c r="J6" s="50">
        <v>6.17</v>
      </c>
      <c r="K6" s="107">
        <v>-0.56000000000000005</v>
      </c>
      <c r="L6" s="47">
        <v>0.76800000000000002</v>
      </c>
      <c r="M6" s="66">
        <v>1</v>
      </c>
      <c r="N6" s="66">
        <v>1</v>
      </c>
      <c r="O6" s="50">
        <v>0</v>
      </c>
      <c r="P6" s="50" t="s">
        <v>175</v>
      </c>
      <c r="Q6" s="50" t="s">
        <v>175</v>
      </c>
    </row>
    <row r="7" spans="1:17">
      <c r="A7" s="79">
        <v>46116</v>
      </c>
      <c r="B7" s="46">
        <v>21286</v>
      </c>
      <c r="C7" s="46">
        <v>19885</v>
      </c>
      <c r="D7" s="50">
        <v>18274</v>
      </c>
      <c r="E7" s="50">
        <v>17920</v>
      </c>
      <c r="F7" s="107">
        <v>-1611</v>
      </c>
      <c r="G7" s="47">
        <v>0.20300000000000001</v>
      </c>
      <c r="H7" s="47">
        <v>0.25380000000000003</v>
      </c>
      <c r="I7" s="46">
        <v>6.73</v>
      </c>
      <c r="J7" s="50">
        <v>6.2</v>
      </c>
      <c r="K7" s="107">
        <v>-0.53</v>
      </c>
      <c r="L7" s="47">
        <v>0.78600000000000003</v>
      </c>
      <c r="M7" s="66">
        <v>1</v>
      </c>
      <c r="N7" s="66">
        <v>1</v>
      </c>
      <c r="O7" s="50">
        <v>0</v>
      </c>
      <c r="P7" s="50" t="s">
        <v>175</v>
      </c>
      <c r="Q7" s="50" t="s">
        <v>175</v>
      </c>
    </row>
    <row r="8" spans="1:17">
      <c r="A8" s="79">
        <v>46117</v>
      </c>
      <c r="B8" s="46">
        <v>21286</v>
      </c>
      <c r="C8" s="46">
        <v>19885</v>
      </c>
      <c r="D8" s="50">
        <v>18606</v>
      </c>
      <c r="E8" s="50">
        <v>18200</v>
      </c>
      <c r="F8" s="107">
        <v>-1279</v>
      </c>
      <c r="G8" s="47">
        <v>0.20669999999999999</v>
      </c>
      <c r="H8" s="47">
        <v>0.25840000000000002</v>
      </c>
      <c r="I8" s="46">
        <v>6.73</v>
      </c>
      <c r="J8" s="50">
        <v>7.24</v>
      </c>
      <c r="K8" s="107">
        <v>0.51</v>
      </c>
      <c r="L8" s="47">
        <v>0.68500000000000005</v>
      </c>
      <c r="M8" s="66">
        <v>1</v>
      </c>
      <c r="N8" s="66">
        <v>0.77</v>
      </c>
      <c r="O8" s="50">
        <v>2754</v>
      </c>
      <c r="P8" s="50" t="s">
        <v>175</v>
      </c>
      <c r="Q8" s="50" t="s">
        <v>456</v>
      </c>
    </row>
    <row r="9" spans="1:17">
      <c r="A9" s="79">
        <v>46118</v>
      </c>
      <c r="B9" s="46">
        <v>21286</v>
      </c>
      <c r="C9" s="46">
        <v>19885</v>
      </c>
      <c r="D9" s="50">
        <v>18632</v>
      </c>
      <c r="E9" s="50">
        <v>18240</v>
      </c>
      <c r="F9" s="107">
        <v>-1253</v>
      </c>
      <c r="G9" s="47">
        <v>0.20699999999999999</v>
      </c>
      <c r="H9" s="47">
        <v>0.25879999999999997</v>
      </c>
      <c r="I9" s="46">
        <v>6.73</v>
      </c>
      <c r="J9" s="50">
        <v>7.55</v>
      </c>
      <c r="K9" s="107">
        <v>0.82</v>
      </c>
      <c r="L9" s="47">
        <v>0.65800000000000003</v>
      </c>
      <c r="M9" s="66">
        <v>1</v>
      </c>
      <c r="N9" s="66">
        <v>0.74629999999999996</v>
      </c>
      <c r="O9" s="50">
        <v>4437</v>
      </c>
      <c r="P9" s="50" t="s">
        <v>175</v>
      </c>
      <c r="Q9" s="50" t="s">
        <v>456</v>
      </c>
    </row>
    <row r="10" spans="1:17">
      <c r="A10" s="79">
        <v>46119</v>
      </c>
      <c r="B10" s="46">
        <v>21286</v>
      </c>
      <c r="C10" s="46">
        <v>19885</v>
      </c>
      <c r="D10" s="50">
        <v>10763</v>
      </c>
      <c r="E10" s="50">
        <v>10560</v>
      </c>
      <c r="F10" s="107">
        <v>-9122</v>
      </c>
      <c r="G10" s="47">
        <v>0.1196</v>
      </c>
      <c r="H10" s="47">
        <v>0.14949999999999999</v>
      </c>
      <c r="I10" s="46">
        <v>6.73</v>
      </c>
      <c r="J10" s="50">
        <v>7.32</v>
      </c>
      <c r="K10" s="107">
        <v>0.59</v>
      </c>
      <c r="L10" s="47">
        <v>0.39200000000000002</v>
      </c>
      <c r="M10" s="66">
        <v>1</v>
      </c>
      <c r="N10" s="66">
        <v>0.57940000000000003</v>
      </c>
      <c r="O10" s="50">
        <v>10831</v>
      </c>
      <c r="P10" s="50" t="s">
        <v>175</v>
      </c>
      <c r="Q10" s="50" t="s">
        <v>456</v>
      </c>
    </row>
    <row r="11" spans="1:17">
      <c r="A11" s="79">
        <v>46120</v>
      </c>
      <c r="B11" s="46">
        <v>21286</v>
      </c>
      <c r="C11" s="46">
        <v>19885</v>
      </c>
      <c r="D11" s="50">
        <v>18407</v>
      </c>
      <c r="E11" s="50">
        <v>18040</v>
      </c>
      <c r="F11" s="107">
        <v>-1478</v>
      </c>
      <c r="G11" s="47">
        <v>0.20449999999999999</v>
      </c>
      <c r="H11" s="47">
        <v>0.25569999999999998</v>
      </c>
      <c r="I11" s="46">
        <v>6.73</v>
      </c>
      <c r="J11" s="50">
        <v>7.3</v>
      </c>
      <c r="K11" s="107">
        <v>0.56999999999999995</v>
      </c>
      <c r="L11" s="47">
        <v>0.67200000000000004</v>
      </c>
      <c r="M11" s="66">
        <v>1</v>
      </c>
      <c r="N11" s="66">
        <v>0.80049999999999999</v>
      </c>
      <c r="O11" s="50">
        <v>3848</v>
      </c>
      <c r="P11" s="50" t="s">
        <v>175</v>
      </c>
      <c r="Q11" s="50" t="s">
        <v>456</v>
      </c>
    </row>
    <row r="12" spans="1:17">
      <c r="A12" s="79">
        <v>46121</v>
      </c>
      <c r="B12" s="46">
        <v>21286</v>
      </c>
      <c r="C12" s="46">
        <v>19885</v>
      </c>
      <c r="D12" s="50">
        <v>7010</v>
      </c>
      <c r="E12" s="50">
        <v>6840</v>
      </c>
      <c r="F12" s="107">
        <v>-12875</v>
      </c>
      <c r="G12" s="47">
        <v>7.7899999999999997E-2</v>
      </c>
      <c r="H12" s="47">
        <v>9.74E-2</v>
      </c>
      <c r="I12" s="46">
        <v>6.73</v>
      </c>
      <c r="J12" s="50">
        <v>7.63</v>
      </c>
      <c r="K12" s="107">
        <v>0.9</v>
      </c>
      <c r="L12" s="47">
        <v>0.245</v>
      </c>
      <c r="M12" s="66">
        <v>1</v>
      </c>
      <c r="N12" s="66">
        <v>0.52129999999999999</v>
      </c>
      <c r="O12" s="50">
        <v>16236</v>
      </c>
      <c r="P12" s="50" t="s">
        <v>175</v>
      </c>
      <c r="Q12" s="50" t="s">
        <v>456</v>
      </c>
    </row>
    <row r="13" spans="1:17">
      <c r="A13" s="79">
        <v>46122</v>
      </c>
      <c r="B13" s="46">
        <v>21286</v>
      </c>
      <c r="C13" s="46">
        <v>19885</v>
      </c>
      <c r="D13" s="50">
        <v>19610</v>
      </c>
      <c r="E13" s="50">
        <v>19280</v>
      </c>
      <c r="F13" s="107">
        <v>-275</v>
      </c>
      <c r="G13" s="47">
        <v>0.21790000000000001</v>
      </c>
      <c r="H13" s="47">
        <v>0.27239999999999998</v>
      </c>
      <c r="I13" s="46">
        <v>6.73</v>
      </c>
      <c r="J13" s="50">
        <v>7.02</v>
      </c>
      <c r="K13" s="107">
        <v>0.28999999999999998</v>
      </c>
      <c r="L13" s="47">
        <v>0.745</v>
      </c>
      <c r="M13" s="66">
        <v>1</v>
      </c>
      <c r="N13" s="66">
        <v>1</v>
      </c>
      <c r="O13" s="50">
        <v>0</v>
      </c>
      <c r="P13" s="50" t="s">
        <v>175</v>
      </c>
      <c r="Q13" s="50" t="s">
        <v>175</v>
      </c>
    </row>
    <row r="14" spans="1:17">
      <c r="A14" s="79">
        <v>46123</v>
      </c>
      <c r="B14" s="46">
        <v>21286</v>
      </c>
      <c r="C14" s="46">
        <v>19885</v>
      </c>
      <c r="D14" s="50">
        <v>19064</v>
      </c>
      <c r="E14" s="50">
        <v>18720</v>
      </c>
      <c r="F14" s="107">
        <v>-821</v>
      </c>
      <c r="G14" s="47">
        <v>0.21179999999999999</v>
      </c>
      <c r="H14" s="47">
        <v>0.26479999999999998</v>
      </c>
      <c r="I14" s="46">
        <v>6.73</v>
      </c>
      <c r="J14" s="50">
        <v>6.88</v>
      </c>
      <c r="K14" s="107">
        <v>0.15</v>
      </c>
      <c r="L14" s="47">
        <v>0.73899999999999999</v>
      </c>
      <c r="M14" s="66">
        <v>1</v>
      </c>
      <c r="N14" s="66">
        <v>0.9668000000000001</v>
      </c>
      <c r="O14" s="50">
        <v>665</v>
      </c>
      <c r="P14" s="50" t="s">
        <v>175</v>
      </c>
      <c r="Q14" s="50" t="s">
        <v>456</v>
      </c>
    </row>
    <row r="15" spans="1:17">
      <c r="A15" s="79">
        <v>46124</v>
      </c>
      <c r="B15" s="46">
        <v>21286</v>
      </c>
      <c r="C15" s="46">
        <v>19885</v>
      </c>
      <c r="D15" s="50">
        <v>16469</v>
      </c>
      <c r="E15" s="50">
        <v>16160</v>
      </c>
      <c r="F15" s="107">
        <v>-3416</v>
      </c>
      <c r="G15" s="47">
        <v>0.183</v>
      </c>
      <c r="H15" s="47">
        <v>0.22869999999999999</v>
      </c>
      <c r="I15" s="46">
        <v>6.73</v>
      </c>
      <c r="J15" s="50">
        <v>6.89</v>
      </c>
      <c r="K15" s="107">
        <v>0.16</v>
      </c>
      <c r="L15" s="47">
        <v>0.63700000000000001</v>
      </c>
      <c r="M15" s="66">
        <v>1</v>
      </c>
      <c r="N15" s="66">
        <v>0.8609</v>
      </c>
      <c r="O15" s="50">
        <v>2602</v>
      </c>
      <c r="P15" s="50" t="s">
        <v>175</v>
      </c>
      <c r="Q15" s="50" t="s">
        <v>456</v>
      </c>
    </row>
    <row r="16" spans="1:17">
      <c r="A16" s="79">
        <v>46125</v>
      </c>
      <c r="B16" s="46">
        <v>21286</v>
      </c>
      <c r="C16" s="46">
        <v>19885</v>
      </c>
      <c r="D16" s="50">
        <v>19369</v>
      </c>
      <c r="E16" s="50">
        <v>18960</v>
      </c>
      <c r="F16" s="107">
        <v>-516</v>
      </c>
      <c r="G16" s="47">
        <v>0.2152</v>
      </c>
      <c r="H16" s="47">
        <v>0.26900000000000002</v>
      </c>
      <c r="I16" s="46">
        <v>6.73</v>
      </c>
      <c r="J16" s="50">
        <v>6.83</v>
      </c>
      <c r="K16" s="107">
        <v>0.1</v>
      </c>
      <c r="L16" s="47">
        <v>0.75600000000000001</v>
      </c>
      <c r="M16" s="66">
        <v>1</v>
      </c>
      <c r="N16" s="66">
        <v>1</v>
      </c>
      <c r="O16" s="50">
        <v>0</v>
      </c>
      <c r="P16" s="50" t="s">
        <v>175</v>
      </c>
      <c r="Q16" s="50" t="s">
        <v>175</v>
      </c>
    </row>
    <row r="17" spans="1:17">
      <c r="A17" s="79">
        <v>46126</v>
      </c>
      <c r="B17" s="46">
        <v>21286</v>
      </c>
      <c r="C17" s="46">
        <v>19885</v>
      </c>
      <c r="D17" s="50">
        <v>17844</v>
      </c>
      <c r="E17" s="50">
        <v>17560</v>
      </c>
      <c r="F17" s="107">
        <v>-2041</v>
      </c>
      <c r="G17" s="47">
        <v>0.1983</v>
      </c>
      <c r="H17" s="47">
        <v>0.24779999999999999</v>
      </c>
      <c r="I17" s="46">
        <v>6.73</v>
      </c>
      <c r="J17" s="50">
        <v>7.08</v>
      </c>
      <c r="K17" s="107">
        <v>0.35</v>
      </c>
      <c r="L17" s="47">
        <v>0.67200000000000004</v>
      </c>
      <c r="M17" s="66">
        <v>1</v>
      </c>
      <c r="N17" s="66">
        <v>0.82209999999999994</v>
      </c>
      <c r="O17" s="50">
        <v>2966</v>
      </c>
      <c r="P17" s="50" t="s">
        <v>175</v>
      </c>
      <c r="Q17" s="50" t="s">
        <v>456</v>
      </c>
    </row>
    <row r="18" spans="1:17">
      <c r="A18" s="79">
        <v>46127</v>
      </c>
      <c r="B18" s="46">
        <v>21286</v>
      </c>
      <c r="C18" s="46">
        <v>19885</v>
      </c>
      <c r="D18" s="50">
        <v>18425</v>
      </c>
      <c r="E18" s="50">
        <v>18080</v>
      </c>
      <c r="F18" s="107">
        <v>-1460</v>
      </c>
      <c r="G18" s="47">
        <v>0.20469999999999999</v>
      </c>
      <c r="H18" s="47">
        <v>0.25590000000000002</v>
      </c>
      <c r="I18" s="46">
        <v>6.73</v>
      </c>
      <c r="J18" s="50">
        <v>7.43</v>
      </c>
      <c r="K18" s="107">
        <v>0.7</v>
      </c>
      <c r="L18" s="47">
        <v>0.66100000000000003</v>
      </c>
      <c r="M18" s="66">
        <v>1</v>
      </c>
      <c r="N18" s="66">
        <v>0.85430000000000006</v>
      </c>
      <c r="O18" s="50">
        <v>2592</v>
      </c>
      <c r="P18" s="50" t="s">
        <v>175</v>
      </c>
      <c r="Q18" s="50" t="s">
        <v>456</v>
      </c>
    </row>
    <row r="19" spans="1:17">
      <c r="A19" s="79">
        <v>46128</v>
      </c>
      <c r="B19" s="46">
        <v>21286</v>
      </c>
      <c r="C19" s="46">
        <v>19885</v>
      </c>
      <c r="D19" s="50">
        <v>18385</v>
      </c>
      <c r="E19" s="50">
        <v>18040</v>
      </c>
      <c r="F19" s="107">
        <v>-1500</v>
      </c>
      <c r="G19" s="47">
        <v>0.20430000000000001</v>
      </c>
      <c r="H19" s="47">
        <v>0.25530000000000003</v>
      </c>
      <c r="I19" s="46">
        <v>6.73</v>
      </c>
      <c r="J19" s="50">
        <v>7.43</v>
      </c>
      <c r="K19" s="107">
        <v>0.7</v>
      </c>
      <c r="L19" s="47">
        <v>0.66</v>
      </c>
      <c r="M19" s="66">
        <v>1</v>
      </c>
      <c r="N19" s="66">
        <v>0.81459999999999999</v>
      </c>
      <c r="O19" s="50">
        <v>2377</v>
      </c>
      <c r="P19" s="50" t="s">
        <v>175</v>
      </c>
      <c r="Q19" s="50" t="s">
        <v>456</v>
      </c>
    </row>
    <row r="20" spans="1:17">
      <c r="A20" s="79">
        <v>46129</v>
      </c>
      <c r="B20" s="46">
        <v>21286</v>
      </c>
      <c r="C20" s="46">
        <v>19885</v>
      </c>
      <c r="D20" s="50">
        <v>15159</v>
      </c>
      <c r="E20" s="50">
        <v>14880</v>
      </c>
      <c r="F20" s="107">
        <v>-4726</v>
      </c>
      <c r="G20" s="47">
        <v>0.16839999999999999</v>
      </c>
      <c r="H20" s="47">
        <v>0.21049999999999999</v>
      </c>
      <c r="I20" s="46">
        <v>6.73</v>
      </c>
      <c r="J20" s="50">
        <v>6.21</v>
      </c>
      <c r="K20" s="107">
        <v>-0.52</v>
      </c>
      <c r="L20" s="47">
        <v>0.65100000000000002</v>
      </c>
      <c r="M20" s="66">
        <v>1</v>
      </c>
      <c r="N20" s="66">
        <v>0.81159999999999999</v>
      </c>
      <c r="O20" s="50">
        <v>1964</v>
      </c>
      <c r="P20" s="50" t="s">
        <v>175</v>
      </c>
      <c r="Q20" s="50" t="s">
        <v>456</v>
      </c>
    </row>
    <row r="21" spans="1:17">
      <c r="A21" s="79">
        <v>46130</v>
      </c>
      <c r="B21" s="46">
        <v>21286</v>
      </c>
      <c r="C21" s="46">
        <v>19885</v>
      </c>
      <c r="D21" s="50">
        <v>11578</v>
      </c>
      <c r="E21" s="50">
        <v>11360</v>
      </c>
      <c r="F21" s="107">
        <v>-8307</v>
      </c>
      <c r="G21" s="47">
        <v>0.12859999999999999</v>
      </c>
      <c r="H21" s="47">
        <v>0.1608</v>
      </c>
      <c r="I21" s="46">
        <v>6.73</v>
      </c>
      <c r="J21" s="50">
        <v>5.96</v>
      </c>
      <c r="K21" s="107">
        <v>-0.77</v>
      </c>
      <c r="L21" s="47">
        <v>0.51800000000000002</v>
      </c>
      <c r="M21" s="66">
        <v>1</v>
      </c>
      <c r="N21" s="66">
        <v>0.74829999999999997</v>
      </c>
      <c r="O21" s="50">
        <v>5598</v>
      </c>
      <c r="P21" s="50" t="s">
        <v>175</v>
      </c>
      <c r="Q21" s="50" t="s">
        <v>456</v>
      </c>
    </row>
    <row r="22" spans="1:17">
      <c r="A22" s="79">
        <v>46131</v>
      </c>
      <c r="B22" s="46">
        <v>21286</v>
      </c>
      <c r="C22" s="46">
        <v>19885</v>
      </c>
      <c r="D22" s="50">
        <v>12009</v>
      </c>
      <c r="E22" s="50">
        <v>11800</v>
      </c>
      <c r="F22" s="107">
        <v>-7876</v>
      </c>
      <c r="G22" s="47">
        <v>0.13339999999999999</v>
      </c>
      <c r="H22" s="47">
        <v>0.1668</v>
      </c>
      <c r="I22" s="46">
        <v>6.73</v>
      </c>
      <c r="J22" s="50">
        <v>5.14</v>
      </c>
      <c r="K22" s="107">
        <v>-1.59</v>
      </c>
      <c r="L22" s="47">
        <v>0.623</v>
      </c>
      <c r="M22" s="66">
        <v>1</v>
      </c>
      <c r="N22" s="66">
        <v>0.81079999999999997</v>
      </c>
      <c r="O22" s="50">
        <v>2394</v>
      </c>
      <c r="P22" s="50" t="s">
        <v>175</v>
      </c>
      <c r="Q22" s="50" t="s">
        <v>456</v>
      </c>
    </row>
    <row r="23" spans="1:17">
      <c r="A23" s="79">
        <v>46132</v>
      </c>
      <c r="B23" s="46">
        <v>21286</v>
      </c>
      <c r="C23" s="46">
        <v>19885</v>
      </c>
      <c r="D23" s="50">
        <v>19573</v>
      </c>
      <c r="E23" s="50">
        <v>19200</v>
      </c>
      <c r="F23" s="107">
        <v>-312</v>
      </c>
      <c r="G23" s="47">
        <v>0.2175</v>
      </c>
      <c r="H23" s="47">
        <v>0.27179999999999999</v>
      </c>
      <c r="I23" s="46">
        <v>6.73</v>
      </c>
      <c r="J23" s="50">
        <v>6.72</v>
      </c>
      <c r="K23" s="107">
        <v>-0.01</v>
      </c>
      <c r="L23" s="47">
        <v>0.77700000000000002</v>
      </c>
      <c r="M23" s="66">
        <v>1</v>
      </c>
      <c r="N23" s="66">
        <v>1</v>
      </c>
      <c r="O23" s="50">
        <v>0</v>
      </c>
      <c r="P23" s="50" t="s">
        <v>175</v>
      </c>
      <c r="Q23" s="50" t="s">
        <v>175</v>
      </c>
    </row>
    <row r="24" spans="1:17">
      <c r="A24" s="79">
        <v>46133</v>
      </c>
      <c r="B24" s="46"/>
      <c r="C24" s="46"/>
      <c r="D24" s="50" t="s">
        <v>175</v>
      </c>
      <c r="E24" s="50" t="s">
        <v>175</v>
      </c>
      <c r="F24" s="107">
        <v>0</v>
      </c>
      <c r="G24" s="47">
        <v>0</v>
      </c>
      <c r="H24" s="47">
        <v>0</v>
      </c>
      <c r="I24" s="46"/>
      <c r="J24" s="50" t="s">
        <v>175</v>
      </c>
      <c r="K24" s="107">
        <v>0</v>
      </c>
      <c r="L24" s="46" t="e">
        <v>#DIV/0!</v>
      </c>
      <c r="M24" s="66" t="s">
        <v>175</v>
      </c>
      <c r="N24" s="66" t="s">
        <v>175</v>
      </c>
      <c r="O24" s="50" t="s">
        <v>175</v>
      </c>
      <c r="P24" s="50" t="s">
        <v>175</v>
      </c>
      <c r="Q24" s="50" t="s">
        <v>175</v>
      </c>
    </row>
    <row r="25" spans="1:17">
      <c r="A25" s="79">
        <v>46134</v>
      </c>
      <c r="B25" s="46"/>
      <c r="C25" s="46"/>
      <c r="D25" s="50" t="s">
        <v>175</v>
      </c>
      <c r="E25" s="50" t="s">
        <v>175</v>
      </c>
      <c r="F25" s="107">
        <v>0</v>
      </c>
      <c r="G25" s="47">
        <v>0</v>
      </c>
      <c r="H25" s="47">
        <v>0</v>
      </c>
      <c r="I25" s="46"/>
      <c r="J25" s="50" t="s">
        <v>175</v>
      </c>
      <c r="K25" s="107">
        <v>0</v>
      </c>
      <c r="L25" s="46" t="e">
        <v>#DIV/0!</v>
      </c>
      <c r="M25" s="66" t="s">
        <v>175</v>
      </c>
      <c r="N25" s="66" t="s">
        <v>175</v>
      </c>
      <c r="O25" s="50" t="s">
        <v>175</v>
      </c>
      <c r="P25" s="50" t="s">
        <v>175</v>
      </c>
      <c r="Q25" s="50" t="s">
        <v>175</v>
      </c>
    </row>
    <row r="26" spans="1:17">
      <c r="A26" s="79">
        <v>46135</v>
      </c>
      <c r="B26" s="46"/>
      <c r="C26" s="46"/>
      <c r="D26" s="50" t="s">
        <v>175</v>
      </c>
      <c r="E26" s="50" t="s">
        <v>175</v>
      </c>
      <c r="F26" s="107">
        <v>0</v>
      </c>
      <c r="G26" s="47">
        <v>0</v>
      </c>
      <c r="H26" s="47">
        <v>0</v>
      </c>
      <c r="I26" s="46"/>
      <c r="J26" s="50" t="s">
        <v>175</v>
      </c>
      <c r="K26" s="107">
        <v>0</v>
      </c>
      <c r="L26" s="46" t="e">
        <v>#DIV/0!</v>
      </c>
      <c r="M26" s="66" t="s">
        <v>175</v>
      </c>
      <c r="N26" s="66" t="s">
        <v>175</v>
      </c>
      <c r="O26" s="50" t="s">
        <v>175</v>
      </c>
      <c r="P26" s="50" t="s">
        <v>175</v>
      </c>
      <c r="Q26" s="50" t="s">
        <v>175</v>
      </c>
    </row>
    <row r="27" spans="1:17">
      <c r="A27" s="79">
        <v>46136</v>
      </c>
      <c r="B27" s="46"/>
      <c r="C27" s="46"/>
      <c r="D27" s="50" t="s">
        <v>175</v>
      </c>
      <c r="E27" s="50" t="s">
        <v>175</v>
      </c>
      <c r="F27" s="107">
        <v>0</v>
      </c>
      <c r="G27" s="47">
        <v>0</v>
      </c>
      <c r="H27" s="47">
        <v>0</v>
      </c>
      <c r="I27" s="46"/>
      <c r="J27" s="50" t="s">
        <v>175</v>
      </c>
      <c r="K27" s="107">
        <v>0</v>
      </c>
      <c r="L27" s="46" t="e">
        <v>#DIV/0!</v>
      </c>
      <c r="M27" s="66" t="s">
        <v>175</v>
      </c>
      <c r="N27" s="66" t="s">
        <v>175</v>
      </c>
      <c r="O27" s="50" t="s">
        <v>175</v>
      </c>
      <c r="P27" s="50" t="s">
        <v>175</v>
      </c>
      <c r="Q27" s="50" t="s">
        <v>175</v>
      </c>
    </row>
    <row r="28" spans="1:17">
      <c r="A28" s="79">
        <v>46137</v>
      </c>
      <c r="B28" s="46"/>
      <c r="C28" s="46"/>
      <c r="D28" s="50" t="s">
        <v>175</v>
      </c>
      <c r="E28" s="50" t="s">
        <v>175</v>
      </c>
      <c r="F28" s="107">
        <v>0</v>
      </c>
      <c r="G28" s="47">
        <v>0</v>
      </c>
      <c r="H28" s="47">
        <v>0</v>
      </c>
      <c r="I28" s="46"/>
      <c r="J28" s="50" t="s">
        <v>175</v>
      </c>
      <c r="K28" s="107">
        <v>0</v>
      </c>
      <c r="L28" s="46" t="e">
        <v>#DIV/0!</v>
      </c>
      <c r="M28" s="66" t="s">
        <v>175</v>
      </c>
      <c r="N28" s="66" t="s">
        <v>175</v>
      </c>
      <c r="O28" s="50" t="s">
        <v>175</v>
      </c>
      <c r="P28" s="50" t="s">
        <v>175</v>
      </c>
      <c r="Q28" s="50" t="s">
        <v>175</v>
      </c>
    </row>
    <row r="29" spans="1:17">
      <c r="A29" s="79">
        <v>46138</v>
      </c>
      <c r="B29" s="46"/>
      <c r="C29" s="46"/>
      <c r="D29" s="50" t="s">
        <v>175</v>
      </c>
      <c r="E29" s="50" t="s">
        <v>175</v>
      </c>
      <c r="F29" s="107">
        <v>0</v>
      </c>
      <c r="G29" s="47">
        <v>0</v>
      </c>
      <c r="H29" s="47">
        <v>0</v>
      </c>
      <c r="I29" s="46"/>
      <c r="J29" s="50" t="s">
        <v>175</v>
      </c>
      <c r="K29" s="107">
        <v>0</v>
      </c>
      <c r="L29" s="46" t="e">
        <v>#DIV/0!</v>
      </c>
      <c r="M29" s="66" t="s">
        <v>175</v>
      </c>
      <c r="N29" s="66" t="s">
        <v>175</v>
      </c>
      <c r="O29" s="50" t="s">
        <v>175</v>
      </c>
      <c r="P29" s="50" t="s">
        <v>175</v>
      </c>
      <c r="Q29" s="50" t="s">
        <v>175</v>
      </c>
    </row>
    <row r="30" spans="1:17">
      <c r="A30" s="79">
        <v>46139</v>
      </c>
      <c r="B30" s="46"/>
      <c r="C30" s="46"/>
      <c r="D30" s="50" t="s">
        <v>175</v>
      </c>
      <c r="E30" s="50" t="s">
        <v>175</v>
      </c>
      <c r="F30" s="107">
        <v>0</v>
      </c>
      <c r="G30" s="47">
        <v>0</v>
      </c>
      <c r="H30" s="47">
        <v>0</v>
      </c>
      <c r="I30" s="46"/>
      <c r="J30" s="50" t="s">
        <v>175</v>
      </c>
      <c r="K30" s="107">
        <v>0</v>
      </c>
      <c r="L30" s="46" t="e">
        <v>#DIV/0!</v>
      </c>
      <c r="M30" s="66" t="s">
        <v>175</v>
      </c>
      <c r="N30" s="66" t="s">
        <v>175</v>
      </c>
      <c r="O30" s="50" t="s">
        <v>175</v>
      </c>
      <c r="P30" s="50" t="s">
        <v>175</v>
      </c>
      <c r="Q30" s="50" t="s">
        <v>175</v>
      </c>
    </row>
    <row r="31" spans="1:17">
      <c r="A31" s="79">
        <v>46140</v>
      </c>
      <c r="B31" s="46"/>
      <c r="C31" s="46"/>
      <c r="D31" s="50" t="s">
        <v>175</v>
      </c>
      <c r="E31" s="50" t="s">
        <v>175</v>
      </c>
      <c r="F31" s="107">
        <v>0</v>
      </c>
      <c r="G31" s="47">
        <v>0</v>
      </c>
      <c r="H31" s="47">
        <v>0</v>
      </c>
      <c r="I31" s="46"/>
      <c r="J31" s="50" t="s">
        <v>175</v>
      </c>
      <c r="K31" s="107">
        <v>0</v>
      </c>
      <c r="L31" s="46" t="e">
        <v>#DIV/0!</v>
      </c>
      <c r="M31" s="66" t="s">
        <v>175</v>
      </c>
      <c r="N31" s="66" t="s">
        <v>175</v>
      </c>
      <c r="O31" s="50" t="s">
        <v>175</v>
      </c>
      <c r="P31" s="50" t="s">
        <v>175</v>
      </c>
      <c r="Q31" s="50" t="s">
        <v>175</v>
      </c>
    </row>
    <row r="32" spans="1:17">
      <c r="A32" s="79">
        <v>46141</v>
      </c>
      <c r="B32" s="46"/>
      <c r="C32" s="46"/>
      <c r="D32" s="50" t="s">
        <v>175</v>
      </c>
      <c r="E32" s="50" t="s">
        <v>175</v>
      </c>
      <c r="F32" s="107">
        <v>0</v>
      </c>
      <c r="G32" s="47">
        <v>0</v>
      </c>
      <c r="H32" s="47">
        <v>0</v>
      </c>
      <c r="I32" s="46"/>
      <c r="J32" s="50" t="s">
        <v>175</v>
      </c>
      <c r="K32" s="107">
        <v>0</v>
      </c>
      <c r="L32" s="46" t="e">
        <v>#DIV/0!</v>
      </c>
      <c r="M32" s="66" t="s">
        <v>175</v>
      </c>
      <c r="N32" s="66" t="s">
        <v>175</v>
      </c>
      <c r="O32" s="50" t="s">
        <v>175</v>
      </c>
      <c r="P32" s="50" t="s">
        <v>175</v>
      </c>
      <c r="Q32" s="50" t="s">
        <v>175</v>
      </c>
    </row>
    <row r="33" spans="1:17">
      <c r="A33" s="79">
        <v>46142</v>
      </c>
      <c r="B33" s="46"/>
      <c r="C33" s="46"/>
      <c r="D33" s="50" t="s">
        <v>175</v>
      </c>
      <c r="E33" s="50" t="s">
        <v>175</v>
      </c>
      <c r="F33" s="107">
        <v>0</v>
      </c>
      <c r="G33" s="47">
        <v>0</v>
      </c>
      <c r="H33" s="47">
        <v>0</v>
      </c>
      <c r="I33" s="46"/>
      <c r="J33" s="50" t="s">
        <v>175</v>
      </c>
      <c r="K33" s="107">
        <v>0</v>
      </c>
      <c r="L33" s="46" t="e">
        <v>#DIV/0!</v>
      </c>
      <c r="M33" s="66" t="s">
        <v>175</v>
      </c>
      <c r="N33" s="66" t="s">
        <v>175</v>
      </c>
      <c r="O33" s="50" t="s">
        <v>175</v>
      </c>
      <c r="P33" s="50" t="s">
        <v>175</v>
      </c>
      <c r="Q33" s="50" t="s">
        <v>175</v>
      </c>
    </row>
    <row r="34" spans="1:17">
      <c r="A34" s="349">
        <v>46113</v>
      </c>
      <c r="B34" s="89">
        <f>SUM(B4:B33)</f>
        <v>425720</v>
      </c>
      <c r="C34" s="89">
        <f>SUM(C4:C33)</f>
        <v>397700</v>
      </c>
      <c r="D34" s="89">
        <f>SUM(D4:D33)</f>
        <v>326224</v>
      </c>
      <c r="E34" s="89">
        <f>SUM(E4:E33)</f>
        <v>320040</v>
      </c>
      <c r="F34" s="92">
        <f>(IF(ISBLANK(E34),0,E34-C34))/C34</f>
        <v>-0.19527281870756852</v>
      </c>
      <c r="G34" s="90">
        <f>AVERAGE(G4:G33)</f>
        <v>0.12081666666666664</v>
      </c>
      <c r="H34" s="90">
        <f>AVERAGE(H4:H33)</f>
        <v>0.15102666666666667</v>
      </c>
      <c r="I34" s="89">
        <f>SUM(I4:I33)</f>
        <v>134.60000000000005</v>
      </c>
      <c r="J34" s="89">
        <f>SUM(J4:J33)</f>
        <v>133.54</v>
      </c>
      <c r="K34" s="92">
        <f t="shared" ref="K34" si="0">(IF(ISBLANK(J34),0,J34-I34))/I34</f>
        <v>-7.8751857355130669E-3</v>
      </c>
      <c r="L34" s="93">
        <f t="shared" ref="L34:L66" si="1">D34/($D$2*J34)</f>
        <v>0.65143827068044535</v>
      </c>
      <c r="M34" s="90">
        <f>AVERAGE(M4:M33)</f>
        <v>1</v>
      </c>
      <c r="N34" s="90">
        <f>AVERAGE(N4:N33)</f>
        <v>0.84373500000000023</v>
      </c>
      <c r="O34" s="89">
        <f>SUM(O4:O33)</f>
        <v>61759</v>
      </c>
      <c r="P34" s="89">
        <f>SUM(P4:P33)</f>
        <v>0</v>
      </c>
      <c r="Q34" s="84" t="s">
        <v>175</v>
      </c>
    </row>
    <row r="35" spans="1:17">
      <c r="A35" s="13">
        <v>46143</v>
      </c>
      <c r="B35" s="127"/>
      <c r="C35" s="127"/>
      <c r="D35" s="33"/>
      <c r="E35" s="33"/>
      <c r="F35" s="20" t="e">
        <f>(IF(ISBLANK(E35),0,E35-C35))/C35</f>
        <v>#DIV/0!</v>
      </c>
      <c r="G35" s="2">
        <f t="shared" ref="G35:G57" si="2">D35/($D$2*24)</f>
        <v>0</v>
      </c>
      <c r="H35" s="2">
        <f t="shared" ref="H35:H61" si="3">D35/($H$2*24)</f>
        <v>0</v>
      </c>
      <c r="I35" s="28"/>
      <c r="J35" s="33"/>
      <c r="K35" s="20" t="e">
        <f>(IF(ISBLANK(J35),0,J35-I35))/I35</f>
        <v>#DIV/0!</v>
      </c>
      <c r="L35" s="4" t="e">
        <f t="shared" si="1"/>
        <v>#DIV/0!</v>
      </c>
      <c r="M35" s="103"/>
      <c r="N35" s="103"/>
      <c r="O35" s="33"/>
      <c r="P35" s="6"/>
      <c r="Q35" s="6"/>
    </row>
    <row r="36" spans="1:17">
      <c r="A36" s="13">
        <f>A35+1</f>
        <v>46144</v>
      </c>
      <c r="B36" s="127"/>
      <c r="C36" s="127"/>
      <c r="D36" s="34"/>
      <c r="E36" s="34"/>
      <c r="F36" s="20" t="e">
        <f t="shared" ref="F36:F54" si="4">(IF(ISBLANK(E36),0,E36-C36))/C36</f>
        <v>#DIV/0!</v>
      </c>
      <c r="G36" s="2">
        <f t="shared" si="2"/>
        <v>0</v>
      </c>
      <c r="H36" s="2">
        <f t="shared" si="3"/>
        <v>0</v>
      </c>
      <c r="I36" s="29"/>
      <c r="J36" s="34"/>
      <c r="K36" s="20" t="e">
        <f t="shared" ref="K36:K54" si="5">(IF(ISBLANK(J36),0,J36-I36))/I36</f>
        <v>#DIV/0!</v>
      </c>
      <c r="L36" s="4" t="e">
        <f t="shared" si="1"/>
        <v>#DIV/0!</v>
      </c>
      <c r="M36" s="103"/>
      <c r="N36" s="103"/>
      <c r="O36" s="34"/>
      <c r="P36" s="6"/>
      <c r="Q36" s="6"/>
    </row>
    <row r="37" spans="1:17">
      <c r="A37" s="13">
        <f t="shared" ref="A37:A65" si="6">A36+1</f>
        <v>46145</v>
      </c>
      <c r="B37" s="127"/>
      <c r="C37" s="127"/>
      <c r="D37" s="34"/>
      <c r="E37" s="34"/>
      <c r="F37" s="20" t="e">
        <f t="shared" si="4"/>
        <v>#DIV/0!</v>
      </c>
      <c r="G37" s="2">
        <f t="shared" si="2"/>
        <v>0</v>
      </c>
      <c r="H37" s="2">
        <f t="shared" si="3"/>
        <v>0</v>
      </c>
      <c r="I37" s="29"/>
      <c r="J37" s="34"/>
      <c r="K37" s="20" t="e">
        <f t="shared" si="5"/>
        <v>#DIV/0!</v>
      </c>
      <c r="L37" s="4" t="e">
        <f t="shared" si="1"/>
        <v>#DIV/0!</v>
      </c>
      <c r="M37" s="103"/>
      <c r="N37" s="104"/>
      <c r="O37" s="34"/>
      <c r="P37" s="6"/>
      <c r="Q37" s="6"/>
    </row>
    <row r="38" spans="1:17">
      <c r="A38" s="13">
        <f t="shared" si="6"/>
        <v>46146</v>
      </c>
      <c r="B38" s="127"/>
      <c r="C38" s="127"/>
      <c r="D38" s="34"/>
      <c r="E38" s="34"/>
      <c r="F38" s="20" t="e">
        <f t="shared" si="4"/>
        <v>#DIV/0!</v>
      </c>
      <c r="G38" s="2">
        <f t="shared" si="2"/>
        <v>0</v>
      </c>
      <c r="H38" s="2">
        <f t="shared" si="3"/>
        <v>0</v>
      </c>
      <c r="I38" s="29"/>
      <c r="J38" s="34"/>
      <c r="K38" s="20" t="e">
        <f t="shared" si="5"/>
        <v>#DIV/0!</v>
      </c>
      <c r="L38" s="4" t="e">
        <f t="shared" si="1"/>
        <v>#DIV/0!</v>
      </c>
      <c r="M38" s="103"/>
      <c r="N38" s="103"/>
      <c r="O38" s="34"/>
      <c r="P38" s="6"/>
      <c r="Q38" s="14"/>
    </row>
    <row r="39" spans="1:17">
      <c r="A39" s="13">
        <f t="shared" si="6"/>
        <v>46147</v>
      </c>
      <c r="B39" s="127"/>
      <c r="C39" s="127"/>
      <c r="D39" s="34"/>
      <c r="E39" s="34"/>
      <c r="F39" s="20" t="e">
        <f t="shared" si="4"/>
        <v>#DIV/0!</v>
      </c>
      <c r="G39" s="2">
        <f t="shared" si="2"/>
        <v>0</v>
      </c>
      <c r="H39" s="2">
        <f t="shared" si="3"/>
        <v>0</v>
      </c>
      <c r="I39" s="29"/>
      <c r="J39" s="34"/>
      <c r="K39" s="20" t="e">
        <f t="shared" si="5"/>
        <v>#DIV/0!</v>
      </c>
      <c r="L39" s="4" t="e">
        <f t="shared" si="1"/>
        <v>#DIV/0!</v>
      </c>
      <c r="M39" s="103"/>
      <c r="N39" s="103"/>
      <c r="O39" s="34"/>
      <c r="P39" s="6"/>
      <c r="Q39" s="14"/>
    </row>
    <row r="40" spans="1:17">
      <c r="A40" s="13">
        <f t="shared" si="6"/>
        <v>46148</v>
      </c>
      <c r="B40" s="127"/>
      <c r="C40" s="127"/>
      <c r="D40" s="34"/>
      <c r="E40" s="34"/>
      <c r="F40" s="20" t="e">
        <f t="shared" si="4"/>
        <v>#DIV/0!</v>
      </c>
      <c r="G40" s="2">
        <f t="shared" si="2"/>
        <v>0</v>
      </c>
      <c r="H40" s="2">
        <f t="shared" si="3"/>
        <v>0</v>
      </c>
      <c r="I40" s="29"/>
      <c r="J40" s="34"/>
      <c r="K40" s="20" t="e">
        <f t="shared" si="5"/>
        <v>#DIV/0!</v>
      </c>
      <c r="L40" s="4" t="e">
        <f t="shared" si="1"/>
        <v>#DIV/0!</v>
      </c>
      <c r="M40" s="103"/>
      <c r="N40" s="103"/>
      <c r="O40" s="34"/>
      <c r="P40" s="6"/>
      <c r="Q40" s="14"/>
    </row>
    <row r="41" spans="1:17">
      <c r="A41" s="13">
        <f t="shared" si="6"/>
        <v>46149</v>
      </c>
      <c r="B41" s="127"/>
      <c r="C41" s="127"/>
      <c r="D41" s="34"/>
      <c r="E41" s="34"/>
      <c r="F41" s="20" t="e">
        <f t="shared" si="4"/>
        <v>#DIV/0!</v>
      </c>
      <c r="G41" s="2">
        <f t="shared" si="2"/>
        <v>0</v>
      </c>
      <c r="H41" s="2">
        <f t="shared" si="3"/>
        <v>0</v>
      </c>
      <c r="I41" s="29"/>
      <c r="J41" s="34"/>
      <c r="K41" s="20" t="e">
        <f t="shared" si="5"/>
        <v>#DIV/0!</v>
      </c>
      <c r="L41" s="4" t="e">
        <f t="shared" si="1"/>
        <v>#DIV/0!</v>
      </c>
      <c r="M41" s="103"/>
      <c r="N41" s="103"/>
      <c r="O41" s="34"/>
      <c r="P41" s="6"/>
      <c r="Q41" s="202"/>
    </row>
    <row r="42" spans="1:17">
      <c r="A42" s="13">
        <f t="shared" si="6"/>
        <v>46150</v>
      </c>
      <c r="B42" s="127"/>
      <c r="C42" s="127"/>
      <c r="D42" s="34"/>
      <c r="E42" s="34"/>
      <c r="F42" s="20" t="e">
        <f t="shared" si="4"/>
        <v>#DIV/0!</v>
      </c>
      <c r="G42" s="2">
        <f t="shared" si="2"/>
        <v>0</v>
      </c>
      <c r="H42" s="2">
        <f t="shared" si="3"/>
        <v>0</v>
      </c>
      <c r="I42" s="29"/>
      <c r="J42" s="34"/>
      <c r="K42" s="20" t="e">
        <f t="shared" si="5"/>
        <v>#DIV/0!</v>
      </c>
      <c r="L42" s="4" t="e">
        <f t="shared" si="1"/>
        <v>#DIV/0!</v>
      </c>
      <c r="M42" s="103"/>
      <c r="N42" s="103"/>
      <c r="O42" s="34"/>
      <c r="P42" s="6"/>
      <c r="Q42" s="14"/>
    </row>
    <row r="43" spans="1:17">
      <c r="A43" s="13">
        <f t="shared" si="6"/>
        <v>46151</v>
      </c>
      <c r="B43" s="127"/>
      <c r="C43" s="127"/>
      <c r="D43" s="34"/>
      <c r="E43" s="34"/>
      <c r="F43" s="20" t="e">
        <f t="shared" si="4"/>
        <v>#DIV/0!</v>
      </c>
      <c r="G43" s="2">
        <f t="shared" si="2"/>
        <v>0</v>
      </c>
      <c r="H43" s="2">
        <f t="shared" si="3"/>
        <v>0</v>
      </c>
      <c r="I43" s="29"/>
      <c r="J43" s="34"/>
      <c r="K43" s="20" t="e">
        <f t="shared" si="5"/>
        <v>#DIV/0!</v>
      </c>
      <c r="L43" s="4" t="e">
        <f t="shared" si="1"/>
        <v>#DIV/0!</v>
      </c>
      <c r="M43" s="103"/>
      <c r="N43" s="103"/>
      <c r="O43" s="34"/>
      <c r="P43" s="6"/>
      <c r="Q43" s="6"/>
    </row>
    <row r="44" spans="1:17">
      <c r="A44" s="13">
        <f t="shared" si="6"/>
        <v>46152</v>
      </c>
      <c r="B44" s="127"/>
      <c r="C44" s="127"/>
      <c r="D44" s="34"/>
      <c r="E44" s="34"/>
      <c r="F44" s="20" t="e">
        <f t="shared" si="4"/>
        <v>#DIV/0!</v>
      </c>
      <c r="G44" s="2">
        <f t="shared" si="2"/>
        <v>0</v>
      </c>
      <c r="H44" s="2">
        <f t="shared" si="3"/>
        <v>0</v>
      </c>
      <c r="I44" s="29"/>
      <c r="J44" s="34"/>
      <c r="K44" s="20" t="e">
        <f t="shared" si="5"/>
        <v>#DIV/0!</v>
      </c>
      <c r="L44" s="4" t="e">
        <f t="shared" si="1"/>
        <v>#DIV/0!</v>
      </c>
      <c r="M44" s="103"/>
      <c r="N44" s="103"/>
      <c r="O44" s="34"/>
      <c r="P44" s="6"/>
      <c r="Q44" s="16"/>
    </row>
    <row r="45" spans="1:17">
      <c r="A45" s="13">
        <f t="shared" si="6"/>
        <v>46153</v>
      </c>
      <c r="B45" s="127"/>
      <c r="C45" s="127"/>
      <c r="D45" s="34"/>
      <c r="E45" s="34"/>
      <c r="F45" s="20" t="e">
        <f t="shared" si="4"/>
        <v>#DIV/0!</v>
      </c>
      <c r="G45" s="2">
        <f t="shared" si="2"/>
        <v>0</v>
      </c>
      <c r="H45" s="2">
        <f t="shared" si="3"/>
        <v>0</v>
      </c>
      <c r="I45" s="29"/>
      <c r="J45" s="34"/>
      <c r="K45" s="20" t="e">
        <f t="shared" si="5"/>
        <v>#DIV/0!</v>
      </c>
      <c r="L45" s="4" t="e">
        <f t="shared" si="1"/>
        <v>#DIV/0!</v>
      </c>
      <c r="M45" s="103"/>
      <c r="N45" s="103"/>
      <c r="O45" s="34"/>
      <c r="P45" s="6"/>
      <c r="Q45" s="6"/>
    </row>
    <row r="46" spans="1:17">
      <c r="A46" s="13">
        <f t="shared" si="6"/>
        <v>46154</v>
      </c>
      <c r="B46" s="127"/>
      <c r="C46" s="127"/>
      <c r="D46" s="34"/>
      <c r="E46" s="34"/>
      <c r="F46" s="20" t="e">
        <f t="shared" si="4"/>
        <v>#DIV/0!</v>
      </c>
      <c r="G46" s="2">
        <f t="shared" si="2"/>
        <v>0</v>
      </c>
      <c r="H46" s="2">
        <f t="shared" si="3"/>
        <v>0</v>
      </c>
      <c r="I46" s="29"/>
      <c r="J46" s="34"/>
      <c r="K46" s="20" t="e">
        <f t="shared" si="5"/>
        <v>#DIV/0!</v>
      </c>
      <c r="L46" s="4" t="e">
        <f t="shared" si="1"/>
        <v>#DIV/0!</v>
      </c>
      <c r="M46" s="104"/>
      <c r="N46" s="103"/>
      <c r="O46" s="34"/>
      <c r="P46" s="6"/>
      <c r="Q46" s="6"/>
    </row>
    <row r="47" spans="1:17">
      <c r="A47" s="13">
        <f t="shared" si="6"/>
        <v>46155</v>
      </c>
      <c r="B47" s="127"/>
      <c r="C47" s="127"/>
      <c r="D47" s="34"/>
      <c r="E47" s="34"/>
      <c r="F47" s="20" t="e">
        <f t="shared" si="4"/>
        <v>#DIV/0!</v>
      </c>
      <c r="G47" s="2">
        <f t="shared" si="2"/>
        <v>0</v>
      </c>
      <c r="H47" s="2">
        <f t="shared" si="3"/>
        <v>0</v>
      </c>
      <c r="I47" s="29"/>
      <c r="J47" s="34"/>
      <c r="K47" s="20" t="e">
        <f t="shared" si="5"/>
        <v>#DIV/0!</v>
      </c>
      <c r="L47" s="4" t="e">
        <f t="shared" si="1"/>
        <v>#DIV/0!</v>
      </c>
      <c r="M47" s="104"/>
      <c r="N47" s="103"/>
      <c r="O47" s="34"/>
      <c r="P47" s="6"/>
      <c r="Q47" s="31"/>
    </row>
    <row r="48" spans="1:17">
      <c r="A48" s="13">
        <f t="shared" si="6"/>
        <v>46156</v>
      </c>
      <c r="B48" s="127"/>
      <c r="C48" s="127"/>
      <c r="D48" s="34"/>
      <c r="E48" s="34"/>
      <c r="F48" s="20" t="e">
        <f t="shared" si="4"/>
        <v>#DIV/0!</v>
      </c>
      <c r="G48" s="2">
        <f t="shared" si="2"/>
        <v>0</v>
      </c>
      <c r="H48" s="2">
        <f t="shared" si="3"/>
        <v>0</v>
      </c>
      <c r="I48" s="29"/>
      <c r="J48" s="34"/>
      <c r="K48" s="20" t="e">
        <f t="shared" si="5"/>
        <v>#DIV/0!</v>
      </c>
      <c r="L48" s="4" t="e">
        <f t="shared" si="1"/>
        <v>#DIV/0!</v>
      </c>
      <c r="M48" s="104"/>
      <c r="N48" s="103"/>
      <c r="O48" s="34"/>
      <c r="P48" s="6"/>
      <c r="Q48" s="32"/>
    </row>
    <row r="49" spans="1:17">
      <c r="A49" s="13">
        <f t="shared" si="6"/>
        <v>46157</v>
      </c>
      <c r="B49" s="127"/>
      <c r="C49" s="127"/>
      <c r="D49" s="34"/>
      <c r="E49" s="34"/>
      <c r="F49" s="20" t="e">
        <f t="shared" si="4"/>
        <v>#DIV/0!</v>
      </c>
      <c r="G49" s="2">
        <f t="shared" si="2"/>
        <v>0</v>
      </c>
      <c r="H49" s="2">
        <f t="shared" si="3"/>
        <v>0</v>
      </c>
      <c r="I49" s="29"/>
      <c r="J49" s="34"/>
      <c r="K49" s="20" t="e">
        <f t="shared" si="5"/>
        <v>#DIV/0!</v>
      </c>
      <c r="L49" s="4" t="e">
        <f t="shared" si="1"/>
        <v>#DIV/0!</v>
      </c>
      <c r="M49" s="104"/>
      <c r="N49" s="103"/>
      <c r="O49" s="34"/>
      <c r="P49" s="6"/>
      <c r="Q49" s="32"/>
    </row>
    <row r="50" spans="1:17">
      <c r="A50" s="13">
        <f t="shared" si="6"/>
        <v>46158</v>
      </c>
      <c r="B50" s="127"/>
      <c r="C50" s="127"/>
      <c r="D50" s="34"/>
      <c r="E50" s="34"/>
      <c r="F50" s="20" t="e">
        <f t="shared" si="4"/>
        <v>#DIV/0!</v>
      </c>
      <c r="G50" s="2">
        <f t="shared" si="2"/>
        <v>0</v>
      </c>
      <c r="H50" s="2">
        <f t="shared" si="3"/>
        <v>0</v>
      </c>
      <c r="I50" s="29"/>
      <c r="J50" s="34"/>
      <c r="K50" s="20" t="e">
        <f t="shared" si="5"/>
        <v>#DIV/0!</v>
      </c>
      <c r="L50" s="4" t="e">
        <f t="shared" si="1"/>
        <v>#DIV/0!</v>
      </c>
      <c r="M50" s="104"/>
      <c r="N50" s="103"/>
      <c r="O50" s="34"/>
      <c r="P50" s="6"/>
      <c r="Q50" s="32"/>
    </row>
    <row r="51" spans="1:17">
      <c r="A51" s="13">
        <f t="shared" si="6"/>
        <v>46159</v>
      </c>
      <c r="B51" s="127"/>
      <c r="C51" s="127"/>
      <c r="D51" s="34"/>
      <c r="E51" s="34"/>
      <c r="F51" s="20" t="e">
        <f t="shared" si="4"/>
        <v>#DIV/0!</v>
      </c>
      <c r="G51" s="2">
        <f t="shared" si="2"/>
        <v>0</v>
      </c>
      <c r="H51" s="2">
        <f t="shared" si="3"/>
        <v>0</v>
      </c>
      <c r="I51" s="29"/>
      <c r="J51" s="34"/>
      <c r="K51" s="20" t="e">
        <f t="shared" si="5"/>
        <v>#DIV/0!</v>
      </c>
      <c r="L51" s="4" t="e">
        <f t="shared" si="1"/>
        <v>#DIV/0!</v>
      </c>
      <c r="M51" s="103"/>
      <c r="N51" s="103"/>
      <c r="O51" s="34"/>
      <c r="P51" s="6"/>
      <c r="Q51" s="6"/>
    </row>
    <row r="52" spans="1:17">
      <c r="A52" s="13">
        <f t="shared" si="6"/>
        <v>46160</v>
      </c>
      <c r="B52" s="127"/>
      <c r="C52" s="127"/>
      <c r="D52" s="34"/>
      <c r="E52" s="34"/>
      <c r="F52" s="20" t="e">
        <f t="shared" si="4"/>
        <v>#DIV/0!</v>
      </c>
      <c r="G52" s="2">
        <f t="shared" si="2"/>
        <v>0</v>
      </c>
      <c r="H52" s="2">
        <f t="shared" si="3"/>
        <v>0</v>
      </c>
      <c r="I52" s="29"/>
      <c r="J52" s="34"/>
      <c r="K52" s="20" t="e">
        <f t="shared" si="5"/>
        <v>#DIV/0!</v>
      </c>
      <c r="L52" s="4" t="e">
        <f t="shared" si="1"/>
        <v>#DIV/0!</v>
      </c>
      <c r="M52" s="103"/>
      <c r="N52" s="103"/>
      <c r="O52" s="34"/>
      <c r="P52" s="6"/>
      <c r="Q52" s="14"/>
    </row>
    <row r="53" spans="1:17">
      <c r="A53" s="13">
        <f t="shared" si="6"/>
        <v>46161</v>
      </c>
      <c r="B53" s="127"/>
      <c r="C53" s="127"/>
      <c r="D53" s="34"/>
      <c r="E53" s="34"/>
      <c r="F53" s="20" t="e">
        <f t="shared" si="4"/>
        <v>#DIV/0!</v>
      </c>
      <c r="G53" s="2">
        <f t="shared" si="2"/>
        <v>0</v>
      </c>
      <c r="H53" s="2">
        <f t="shared" si="3"/>
        <v>0</v>
      </c>
      <c r="I53" s="29"/>
      <c r="J53" s="34"/>
      <c r="K53" s="20" t="e">
        <f t="shared" si="5"/>
        <v>#DIV/0!</v>
      </c>
      <c r="L53" s="4" t="e">
        <f t="shared" si="1"/>
        <v>#DIV/0!</v>
      </c>
      <c r="M53" s="103"/>
      <c r="N53" s="103"/>
      <c r="O53" s="34"/>
      <c r="P53" s="6"/>
      <c r="Q53" s="14"/>
    </row>
    <row r="54" spans="1:17">
      <c r="A54" s="13">
        <f t="shared" si="6"/>
        <v>46162</v>
      </c>
      <c r="B54" s="127"/>
      <c r="C54" s="127"/>
      <c r="D54" s="34"/>
      <c r="E54" s="34"/>
      <c r="F54" s="20" t="e">
        <f t="shared" si="4"/>
        <v>#DIV/0!</v>
      </c>
      <c r="G54" s="2">
        <f t="shared" si="2"/>
        <v>0</v>
      </c>
      <c r="H54" s="2">
        <f t="shared" si="3"/>
        <v>0</v>
      </c>
      <c r="I54" s="29"/>
      <c r="J54" s="34"/>
      <c r="K54" s="20" t="e">
        <f t="shared" si="5"/>
        <v>#DIV/0!</v>
      </c>
      <c r="L54" s="4" t="e">
        <f t="shared" si="1"/>
        <v>#DIV/0!</v>
      </c>
      <c r="M54" s="103"/>
      <c r="N54" s="103"/>
      <c r="O54" s="34"/>
      <c r="P54" s="6"/>
      <c r="Q54" s="14"/>
    </row>
    <row r="55" spans="1:17">
      <c r="A55" s="13">
        <f t="shared" si="6"/>
        <v>46163</v>
      </c>
      <c r="B55" s="127"/>
      <c r="C55" s="127"/>
      <c r="D55" s="34"/>
      <c r="E55" s="34"/>
      <c r="F55" s="20" t="e">
        <f>(IF(ISBLANK(E55),0,E55-C55))/C55</f>
        <v>#DIV/0!</v>
      </c>
      <c r="G55" s="2">
        <f t="shared" si="2"/>
        <v>0</v>
      </c>
      <c r="H55" s="2">
        <f t="shared" si="3"/>
        <v>0</v>
      </c>
      <c r="I55" s="29"/>
      <c r="J55" s="34"/>
      <c r="K55" s="20" t="e">
        <f>(IF(ISBLANK(J55),0,J55-I55))/I55</f>
        <v>#DIV/0!</v>
      </c>
      <c r="L55" s="4" t="e">
        <f t="shared" si="1"/>
        <v>#DIV/0!</v>
      </c>
      <c r="M55" s="103"/>
      <c r="N55" s="103"/>
      <c r="O55" s="34"/>
      <c r="P55" s="6"/>
      <c r="Q55" s="6"/>
    </row>
    <row r="56" spans="1:17">
      <c r="A56" s="13">
        <f t="shared" si="6"/>
        <v>46164</v>
      </c>
      <c r="B56" s="127"/>
      <c r="C56" s="127"/>
      <c r="D56" s="34"/>
      <c r="E56" s="34"/>
      <c r="F56" s="20" t="e">
        <f t="shared" ref="F56:F65" si="7">(IF(ISBLANK(E56),0,E56-C56))/C56</f>
        <v>#DIV/0!</v>
      </c>
      <c r="G56" s="2">
        <f t="shared" si="2"/>
        <v>0</v>
      </c>
      <c r="H56" s="2">
        <f t="shared" si="3"/>
        <v>0</v>
      </c>
      <c r="I56" s="29"/>
      <c r="J56" s="34"/>
      <c r="K56" s="20" t="e">
        <f t="shared" ref="K56:K65" si="8">(IF(ISBLANK(J56),0,J56-I56))/I56</f>
        <v>#DIV/0!</v>
      </c>
      <c r="L56" s="4" t="e">
        <f t="shared" si="1"/>
        <v>#DIV/0!</v>
      </c>
      <c r="M56" s="103"/>
      <c r="N56" s="103"/>
      <c r="O56" s="34"/>
      <c r="P56" s="6"/>
      <c r="Q56" s="6"/>
    </row>
    <row r="57" spans="1:17">
      <c r="A57" s="13">
        <f t="shared" si="6"/>
        <v>46165</v>
      </c>
      <c r="B57" s="127"/>
      <c r="C57" s="127"/>
      <c r="D57" s="14"/>
      <c r="E57" s="14"/>
      <c r="F57" s="20" t="e">
        <f t="shared" si="7"/>
        <v>#DIV/0!</v>
      </c>
      <c r="G57" s="2">
        <f t="shared" si="2"/>
        <v>0</v>
      </c>
      <c r="H57" s="2">
        <f t="shared" si="3"/>
        <v>0</v>
      </c>
      <c r="I57" s="29"/>
      <c r="J57" s="14"/>
      <c r="K57" s="20" t="e">
        <f t="shared" si="8"/>
        <v>#DIV/0!</v>
      </c>
      <c r="L57" s="4" t="e">
        <f t="shared" si="1"/>
        <v>#DIV/0!</v>
      </c>
      <c r="M57" s="103"/>
      <c r="N57" s="103"/>
      <c r="O57" s="34"/>
      <c r="P57" s="6"/>
      <c r="Q57" s="6"/>
    </row>
    <row r="58" spans="1:17">
      <c r="A58" s="13">
        <f t="shared" si="6"/>
        <v>46166</v>
      </c>
      <c r="B58" s="127"/>
      <c r="C58" s="127"/>
      <c r="D58" s="14"/>
      <c r="E58" s="14"/>
      <c r="F58" s="20" t="e">
        <f t="shared" si="7"/>
        <v>#DIV/0!</v>
      </c>
      <c r="G58" s="2">
        <f t="shared" ref="G58:G65" si="9">D58/($D$2*24)</f>
        <v>0</v>
      </c>
      <c r="H58" s="2">
        <f t="shared" si="3"/>
        <v>0</v>
      </c>
      <c r="I58" s="29"/>
      <c r="J58" s="14"/>
      <c r="K58" s="20" t="e">
        <f t="shared" si="8"/>
        <v>#DIV/0!</v>
      </c>
      <c r="L58" s="4" t="e">
        <f t="shared" si="1"/>
        <v>#DIV/0!</v>
      </c>
      <c r="M58" s="103"/>
      <c r="N58" s="103"/>
      <c r="O58" s="34"/>
      <c r="P58" s="6"/>
      <c r="Q58" s="288"/>
    </row>
    <row r="59" spans="1:17">
      <c r="A59" s="13">
        <f t="shared" si="6"/>
        <v>46167</v>
      </c>
      <c r="B59" s="1"/>
      <c r="C59" s="1"/>
      <c r="D59" s="14"/>
      <c r="E59" s="14"/>
      <c r="F59" s="20" t="e">
        <f t="shared" si="7"/>
        <v>#DIV/0!</v>
      </c>
      <c r="G59" s="2">
        <f t="shared" si="9"/>
        <v>0</v>
      </c>
      <c r="H59" s="2">
        <f t="shared" si="3"/>
        <v>0</v>
      </c>
      <c r="I59" s="29"/>
      <c r="J59" s="14"/>
      <c r="K59" s="20" t="e">
        <f t="shared" si="8"/>
        <v>#DIV/0!</v>
      </c>
      <c r="L59" s="4" t="e">
        <f t="shared" si="1"/>
        <v>#DIV/0!</v>
      </c>
      <c r="M59" s="103"/>
      <c r="N59" s="103"/>
      <c r="O59" s="34"/>
      <c r="P59" s="155"/>
      <c r="Q59" s="6"/>
    </row>
    <row r="60" spans="1:17">
      <c r="A60" s="13">
        <f t="shared" si="6"/>
        <v>46168</v>
      </c>
      <c r="B60" s="1"/>
      <c r="C60" s="1"/>
      <c r="D60" s="14"/>
      <c r="E60" s="14"/>
      <c r="F60" s="20" t="e">
        <f t="shared" si="7"/>
        <v>#DIV/0!</v>
      </c>
      <c r="G60" s="2">
        <f t="shared" si="9"/>
        <v>0</v>
      </c>
      <c r="H60" s="2">
        <f t="shared" si="3"/>
        <v>0</v>
      </c>
      <c r="I60" s="29"/>
      <c r="J60" s="14"/>
      <c r="K60" s="20" t="e">
        <f t="shared" si="8"/>
        <v>#DIV/0!</v>
      </c>
      <c r="L60" s="4" t="e">
        <f t="shared" si="1"/>
        <v>#DIV/0!</v>
      </c>
      <c r="M60" s="103"/>
      <c r="N60" s="103"/>
      <c r="O60" s="34"/>
      <c r="P60" s="6"/>
      <c r="Q60" s="123"/>
    </row>
    <row r="61" spans="1:17">
      <c r="A61" s="13">
        <f t="shared" si="6"/>
        <v>46169</v>
      </c>
      <c r="B61" s="1"/>
      <c r="C61" s="1"/>
      <c r="D61" s="14"/>
      <c r="E61" s="14"/>
      <c r="F61" s="20" t="e">
        <f t="shared" si="7"/>
        <v>#DIV/0!</v>
      </c>
      <c r="G61" s="2">
        <f t="shared" si="9"/>
        <v>0</v>
      </c>
      <c r="H61" s="2">
        <f t="shared" si="3"/>
        <v>0</v>
      </c>
      <c r="I61" s="29"/>
      <c r="J61" s="14"/>
      <c r="K61" s="20" t="e">
        <f t="shared" si="8"/>
        <v>#DIV/0!</v>
      </c>
      <c r="L61" s="4" t="e">
        <f t="shared" si="1"/>
        <v>#DIV/0!</v>
      </c>
      <c r="M61" s="103"/>
      <c r="N61" s="103"/>
      <c r="O61" s="34"/>
      <c r="P61" s="6"/>
      <c r="Q61" s="6"/>
    </row>
    <row r="62" spans="1:17">
      <c r="A62" s="13">
        <f t="shared" si="6"/>
        <v>46170</v>
      </c>
      <c r="B62" s="1"/>
      <c r="C62" s="1"/>
      <c r="D62" s="14"/>
      <c r="E62" s="14"/>
      <c r="F62" s="20" t="e">
        <f t="shared" si="7"/>
        <v>#DIV/0!</v>
      </c>
      <c r="G62" s="2">
        <f t="shared" si="9"/>
        <v>0</v>
      </c>
      <c r="H62" s="2">
        <f t="shared" ref="H62:H65" si="10">D62/($H$2*24)</f>
        <v>0</v>
      </c>
      <c r="I62" s="29"/>
      <c r="J62" s="14"/>
      <c r="K62" s="20" t="e">
        <f t="shared" si="8"/>
        <v>#DIV/0!</v>
      </c>
      <c r="L62" s="4" t="e">
        <f t="shared" si="1"/>
        <v>#DIV/0!</v>
      </c>
      <c r="M62" s="103"/>
      <c r="N62" s="103"/>
      <c r="O62" s="34"/>
      <c r="P62" s="6"/>
      <c r="Q62" s="6"/>
    </row>
    <row r="63" spans="1:17">
      <c r="A63" s="13">
        <f t="shared" si="6"/>
        <v>46171</v>
      </c>
      <c r="B63" s="1"/>
      <c r="C63" s="1"/>
      <c r="D63" s="14"/>
      <c r="E63" s="14"/>
      <c r="F63" s="20" t="e">
        <f t="shared" si="7"/>
        <v>#DIV/0!</v>
      </c>
      <c r="G63" s="2">
        <f t="shared" si="9"/>
        <v>0</v>
      </c>
      <c r="H63" s="2">
        <f t="shared" si="10"/>
        <v>0</v>
      </c>
      <c r="I63" s="29"/>
      <c r="J63" s="14"/>
      <c r="K63" s="20" t="e">
        <f t="shared" si="8"/>
        <v>#DIV/0!</v>
      </c>
      <c r="L63" s="4" t="e">
        <f t="shared" si="1"/>
        <v>#DIV/0!</v>
      </c>
      <c r="M63" s="103"/>
      <c r="N63" s="103"/>
      <c r="O63" s="34"/>
      <c r="P63" s="6"/>
      <c r="Q63" s="6"/>
    </row>
    <row r="64" spans="1:17">
      <c r="A64" s="13">
        <f t="shared" si="6"/>
        <v>46172</v>
      </c>
      <c r="B64" s="1"/>
      <c r="C64" s="1"/>
      <c r="D64" s="14"/>
      <c r="E64" s="14"/>
      <c r="F64" s="20" t="e">
        <f t="shared" si="7"/>
        <v>#DIV/0!</v>
      </c>
      <c r="G64" s="2">
        <f t="shared" si="9"/>
        <v>0</v>
      </c>
      <c r="H64" s="2">
        <f t="shared" si="10"/>
        <v>0</v>
      </c>
      <c r="I64" s="29"/>
      <c r="J64" s="14"/>
      <c r="K64" s="20" t="e">
        <f t="shared" si="8"/>
        <v>#DIV/0!</v>
      </c>
      <c r="L64" s="4" t="e">
        <f t="shared" si="1"/>
        <v>#DIV/0!</v>
      </c>
      <c r="M64" s="103"/>
      <c r="N64" s="103"/>
      <c r="O64" s="34"/>
      <c r="P64" s="6"/>
      <c r="Q64" s="6"/>
    </row>
    <row r="65" spans="1:17">
      <c r="A65" s="13">
        <f t="shared" si="6"/>
        <v>46173</v>
      </c>
      <c r="B65" s="1"/>
      <c r="C65" s="1"/>
      <c r="D65" s="14"/>
      <c r="E65" s="14"/>
      <c r="F65" s="20" t="e">
        <f t="shared" si="7"/>
        <v>#DIV/0!</v>
      </c>
      <c r="G65" s="2">
        <f t="shared" si="9"/>
        <v>0</v>
      </c>
      <c r="H65" s="2">
        <f t="shared" si="10"/>
        <v>0</v>
      </c>
      <c r="I65" s="29"/>
      <c r="J65" s="14"/>
      <c r="K65" s="20" t="e">
        <f t="shared" si="8"/>
        <v>#DIV/0!</v>
      </c>
      <c r="L65" s="4" t="e">
        <f t="shared" si="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3DEEA-8669-4E73-9267-B6B59E6FFA81}">
  <dimension ref="A1:FT66"/>
  <sheetViews>
    <sheetView topLeftCell="A37" workbookViewId="0">
      <selection activeCell="M40" sqref="M40"/>
    </sheetView>
  </sheetViews>
  <sheetFormatPr defaultRowHeight="14.5"/>
  <cols>
    <col min="1" max="1" width="11.26953125" bestFit="1" customWidth="1"/>
    <col min="11" max="11" width="10.1796875" bestFit="1" customWidth="1"/>
    <col min="17" max="17" width="52.1796875" bestFit="1" customWidth="1"/>
    <col min="170" max="170" width="10.54296875" customWidth="1"/>
    <col min="176" max="176" width="52.1796875" bestFit="1" customWidth="1"/>
  </cols>
  <sheetData>
    <row r="1" spans="1:176" ht="18.5">
      <c r="A1" s="405" t="s">
        <v>457</v>
      </c>
      <c r="B1" s="406"/>
      <c r="C1" s="406"/>
      <c r="D1" s="406"/>
      <c r="E1" s="406"/>
      <c r="F1" s="406"/>
      <c r="G1" s="406"/>
      <c r="H1" s="406"/>
      <c r="I1" s="406"/>
      <c r="J1" s="406"/>
      <c r="K1" s="406"/>
      <c r="L1" s="406"/>
      <c r="M1" s="406"/>
      <c r="N1" s="406"/>
      <c r="O1" s="406"/>
      <c r="P1" s="406"/>
      <c r="Q1" s="406"/>
      <c r="FD1" s="417" t="s">
        <v>458</v>
      </c>
      <c r="FE1" s="418"/>
      <c r="FF1" s="418"/>
      <c r="FG1" s="418"/>
      <c r="FH1" s="418"/>
      <c r="FI1" s="418"/>
      <c r="FJ1" s="418"/>
      <c r="FK1" s="418"/>
      <c r="FL1" s="418"/>
      <c r="FM1" s="418"/>
      <c r="FN1" s="418"/>
      <c r="FO1" s="418"/>
      <c r="FP1" s="418"/>
      <c r="FQ1" s="418"/>
      <c r="FR1" s="418"/>
      <c r="FS1" s="418"/>
      <c r="FT1" s="418"/>
    </row>
    <row r="2" spans="1:176" ht="18.5">
      <c r="A2" s="7">
        <v>46114</v>
      </c>
      <c r="B2" s="407" t="s">
        <v>172</v>
      </c>
      <c r="C2" s="408"/>
      <c r="D2" s="8">
        <v>4000</v>
      </c>
      <c r="E2" s="407" t="s">
        <v>173</v>
      </c>
      <c r="F2" s="407"/>
      <c r="G2" s="408"/>
      <c r="H2" s="8">
        <v>3008</v>
      </c>
      <c r="I2" s="409" t="s">
        <v>174</v>
      </c>
      <c r="J2" s="410"/>
      <c r="K2" s="9">
        <v>46007</v>
      </c>
      <c r="L2" s="10" t="s">
        <v>175</v>
      </c>
      <c r="M2" s="10" t="s">
        <v>175</v>
      </c>
      <c r="N2" s="10" t="s">
        <v>175</v>
      </c>
      <c r="O2" s="10" t="s">
        <v>175</v>
      </c>
      <c r="P2" s="10" t="s">
        <v>175</v>
      </c>
      <c r="Q2" s="11" t="s">
        <v>175</v>
      </c>
      <c r="FD2" s="69">
        <v>46138</v>
      </c>
      <c r="FE2" s="415" t="s">
        <v>172</v>
      </c>
      <c r="FF2" s="416"/>
      <c r="FG2" s="70">
        <v>4000</v>
      </c>
      <c r="FH2" s="415" t="s">
        <v>173</v>
      </c>
      <c r="FI2" s="415"/>
      <c r="FJ2" s="416"/>
      <c r="FK2" s="70">
        <v>3008</v>
      </c>
      <c r="FL2" s="415" t="s">
        <v>174</v>
      </c>
      <c r="FM2" s="416"/>
      <c r="FN2" s="71">
        <v>46006</v>
      </c>
      <c r="FO2" s="72" t="s">
        <v>175</v>
      </c>
      <c r="FP2" s="72" t="s">
        <v>175</v>
      </c>
      <c r="FQ2" s="72" t="s">
        <v>175</v>
      </c>
      <c r="FR2" s="72" t="s">
        <v>175</v>
      </c>
      <c r="FS2" s="72" t="s">
        <v>175</v>
      </c>
      <c r="FT2" s="73" t="s">
        <v>175</v>
      </c>
    </row>
    <row r="3" spans="1:176" ht="65.5">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c r="FD3" s="74" t="s">
        <v>189</v>
      </c>
      <c r="FE3" s="75" t="s">
        <v>3</v>
      </c>
      <c r="FF3" s="75" t="s">
        <v>4</v>
      </c>
      <c r="FG3" s="75" t="s">
        <v>5</v>
      </c>
      <c r="FH3" s="75" t="s">
        <v>6</v>
      </c>
      <c r="FI3" s="106" t="s">
        <v>7</v>
      </c>
      <c r="FJ3" s="75" t="s">
        <v>8</v>
      </c>
      <c r="FK3" s="75" t="s">
        <v>9</v>
      </c>
      <c r="FL3" s="75" t="s">
        <v>10</v>
      </c>
      <c r="FM3" s="75" t="s">
        <v>11</v>
      </c>
      <c r="FN3" s="106" t="s">
        <v>12</v>
      </c>
      <c r="FO3" s="75" t="s">
        <v>13</v>
      </c>
      <c r="FP3" s="75" t="s">
        <v>14</v>
      </c>
      <c r="FQ3" s="75" t="s">
        <v>15</v>
      </c>
      <c r="FR3" s="75" t="s">
        <v>16</v>
      </c>
      <c r="FS3" s="75" t="s">
        <v>17</v>
      </c>
      <c r="FT3" s="184" t="s">
        <v>156</v>
      </c>
    </row>
    <row r="4" spans="1:176" ht="17.25" customHeight="1">
      <c r="A4" s="13">
        <v>46113</v>
      </c>
      <c r="B4" s="35">
        <v>23413</v>
      </c>
      <c r="C4" s="36">
        <v>20717</v>
      </c>
      <c r="D4" s="37">
        <v>22797</v>
      </c>
      <c r="E4" s="37">
        <v>22700</v>
      </c>
      <c r="F4" s="20">
        <f>(IF(ISBLANK(E4),0,E4-C4))/C4</f>
        <v>9.5718492059661153E-2</v>
      </c>
      <c r="G4" s="2">
        <f t="shared" ref="G4:G33" si="0">D4/($D$2*24)</f>
        <v>0.23746875000000001</v>
      </c>
      <c r="H4" s="2">
        <f t="shared" ref="H4:H21" si="1">D4/($H$2*24)</f>
        <v>0.31578291223404253</v>
      </c>
      <c r="I4" s="35">
        <v>7.32</v>
      </c>
      <c r="J4" s="37">
        <v>9.1999999999999993</v>
      </c>
      <c r="K4" s="20">
        <f>(IF(ISBLANK(J4),0,J4-I4))/I4</f>
        <v>0.25683060109289602</v>
      </c>
      <c r="L4" s="4">
        <f t="shared" ref="L4:L35" si="2">D4/($D$2*J4)</f>
        <v>0.61948369565217387</v>
      </c>
      <c r="M4" s="362">
        <v>1</v>
      </c>
      <c r="N4" s="41">
        <v>0.99209999999999998</v>
      </c>
      <c r="O4" s="37">
        <v>278</v>
      </c>
      <c r="P4" s="37">
        <v>0</v>
      </c>
      <c r="Q4" s="37" t="s">
        <v>459</v>
      </c>
      <c r="FD4" s="76">
        <v>46113</v>
      </c>
      <c r="FE4" s="36">
        <v>23413</v>
      </c>
      <c r="FF4" s="36">
        <v>20717</v>
      </c>
      <c r="FG4" s="37">
        <v>22797</v>
      </c>
      <c r="FH4" s="37">
        <v>22700</v>
      </c>
      <c r="FI4" s="88">
        <v>9.1300000000000006E-2</v>
      </c>
      <c r="FJ4" s="38">
        <v>0.23749999999999999</v>
      </c>
      <c r="FK4" s="38">
        <v>0.31580000000000003</v>
      </c>
      <c r="FL4" s="36">
        <v>7.32</v>
      </c>
      <c r="FM4" s="37">
        <v>9.1999999999999993</v>
      </c>
      <c r="FN4" s="88">
        <v>0.20030000000000001</v>
      </c>
      <c r="FO4" s="40">
        <v>0.623</v>
      </c>
      <c r="FP4" s="41">
        <v>1</v>
      </c>
      <c r="FQ4" s="41">
        <v>0.99209999999999998</v>
      </c>
      <c r="FR4" s="37">
        <v>278</v>
      </c>
      <c r="FS4" s="37">
        <v>0</v>
      </c>
      <c r="FT4" s="37" t="s">
        <v>459</v>
      </c>
    </row>
    <row r="5" spans="1:176">
      <c r="A5" s="13">
        <f>A4+1</f>
        <v>46114</v>
      </c>
      <c r="B5" s="42">
        <v>23413</v>
      </c>
      <c r="C5" s="43">
        <v>20717</v>
      </c>
      <c r="D5" s="44">
        <v>19030</v>
      </c>
      <c r="E5" s="44">
        <v>18900</v>
      </c>
      <c r="F5" s="20">
        <f t="shared" ref="F5:F23" si="3">(IF(ISBLANK(E5),0,E5-C5))/C5</f>
        <v>-8.7705748901868025E-2</v>
      </c>
      <c r="G5" s="2">
        <f t="shared" si="0"/>
        <v>0.19822916666666668</v>
      </c>
      <c r="H5" s="2">
        <f t="shared" si="1"/>
        <v>0.26360261524822692</v>
      </c>
      <c r="I5" s="42">
        <v>7.32</v>
      </c>
      <c r="J5" s="44">
        <v>7.1</v>
      </c>
      <c r="K5" s="20">
        <f t="shared" ref="K5:K23" si="4">(IF(ISBLANK(J5),0,J5-I5))/I5</f>
        <v>-3.0054644808743255E-2</v>
      </c>
      <c r="L5" s="4">
        <f t="shared" si="2"/>
        <v>0.67007042253521132</v>
      </c>
      <c r="M5" s="363">
        <v>1</v>
      </c>
      <c r="N5" s="48">
        <v>0.97330000000000005</v>
      </c>
      <c r="O5" s="44">
        <v>798</v>
      </c>
      <c r="P5" s="44">
        <v>0</v>
      </c>
      <c r="Q5" s="44" t="s">
        <v>460</v>
      </c>
      <c r="FD5" s="79">
        <v>46114</v>
      </c>
      <c r="FE5" s="43">
        <v>23413</v>
      </c>
      <c r="FF5" s="43">
        <v>20717</v>
      </c>
      <c r="FG5" s="44">
        <v>19030</v>
      </c>
      <c r="FH5" s="44">
        <v>18900</v>
      </c>
      <c r="FI5" s="88">
        <v>-8.8599999999999998E-2</v>
      </c>
      <c r="FJ5" s="45">
        <v>0.19819999999999999</v>
      </c>
      <c r="FK5" s="45">
        <v>0.2636</v>
      </c>
      <c r="FL5" s="43">
        <v>7.32</v>
      </c>
      <c r="FM5" s="44">
        <v>7.1</v>
      </c>
      <c r="FN5" s="88">
        <v>-3.4700000000000002E-2</v>
      </c>
      <c r="FO5" s="47">
        <v>0.67200000000000004</v>
      </c>
      <c r="FP5" s="48">
        <v>1</v>
      </c>
      <c r="FQ5" s="48">
        <v>0.97330000000000005</v>
      </c>
      <c r="FR5" s="44">
        <v>798</v>
      </c>
      <c r="FS5" s="44">
        <v>0</v>
      </c>
      <c r="FT5" s="44" t="s">
        <v>460</v>
      </c>
    </row>
    <row r="6" spans="1:176">
      <c r="A6" s="13">
        <f t="shared" ref="A6:A33" si="5">A5+1</f>
        <v>46115</v>
      </c>
      <c r="B6" s="42">
        <v>23413</v>
      </c>
      <c r="C6" s="43">
        <v>20717</v>
      </c>
      <c r="D6" s="44">
        <v>16655</v>
      </c>
      <c r="E6" s="44">
        <v>16550</v>
      </c>
      <c r="F6" s="20">
        <f t="shared" si="3"/>
        <v>-0.2011391610754453</v>
      </c>
      <c r="G6" s="2">
        <f t="shared" si="0"/>
        <v>0.17348958333333334</v>
      </c>
      <c r="H6" s="2">
        <f t="shared" si="1"/>
        <v>0.23070423315602837</v>
      </c>
      <c r="I6" s="42">
        <v>7.32</v>
      </c>
      <c r="J6" s="44">
        <v>6.9</v>
      </c>
      <c r="K6" s="20">
        <f t="shared" si="4"/>
        <v>-5.7377049180327856E-2</v>
      </c>
      <c r="L6" s="4">
        <f t="shared" si="2"/>
        <v>0.60344202898550725</v>
      </c>
      <c r="M6" s="363">
        <v>1</v>
      </c>
      <c r="N6" s="48">
        <v>1</v>
      </c>
      <c r="O6" s="44">
        <v>0</v>
      </c>
      <c r="P6" s="44">
        <v>0</v>
      </c>
      <c r="Q6" s="44" t="s">
        <v>175</v>
      </c>
      <c r="FD6" s="79">
        <v>46115</v>
      </c>
      <c r="FE6" s="43">
        <v>23413</v>
      </c>
      <c r="FF6" s="43">
        <v>20717</v>
      </c>
      <c r="FG6" s="44">
        <v>16655</v>
      </c>
      <c r="FH6" s="44">
        <v>16550</v>
      </c>
      <c r="FI6" s="88">
        <v>-0.24390000000000001</v>
      </c>
      <c r="FJ6" s="45">
        <v>0.17349999999999999</v>
      </c>
      <c r="FK6" s="45">
        <v>0.23069999999999999</v>
      </c>
      <c r="FL6" s="43">
        <v>7.32</v>
      </c>
      <c r="FM6" s="44">
        <v>6.9</v>
      </c>
      <c r="FN6" s="88">
        <v>-6.1600000000000002E-2</v>
      </c>
      <c r="FO6" s="47">
        <v>0.60399999999999998</v>
      </c>
      <c r="FP6" s="48">
        <v>1</v>
      </c>
      <c r="FQ6" s="48">
        <v>1</v>
      </c>
      <c r="FR6" s="44">
        <v>0</v>
      </c>
      <c r="FS6" s="44">
        <v>0</v>
      </c>
      <c r="FT6" s="44" t="s">
        <v>175</v>
      </c>
    </row>
    <row r="7" spans="1:176">
      <c r="A7" s="13">
        <f t="shared" si="5"/>
        <v>46116</v>
      </c>
      <c r="B7" s="42">
        <v>23413</v>
      </c>
      <c r="C7" s="43">
        <v>20717</v>
      </c>
      <c r="D7" s="44">
        <v>20731</v>
      </c>
      <c r="E7" s="44">
        <v>20600</v>
      </c>
      <c r="F7" s="20">
        <f t="shared" si="3"/>
        <v>-5.6475358401312931E-3</v>
      </c>
      <c r="G7" s="2">
        <f t="shared" si="0"/>
        <v>0.21594791666666666</v>
      </c>
      <c r="H7" s="2">
        <f t="shared" si="1"/>
        <v>0.28716478280141844</v>
      </c>
      <c r="I7" s="42">
        <v>7.32</v>
      </c>
      <c r="J7" s="44">
        <v>10</v>
      </c>
      <c r="K7" s="20">
        <f t="shared" si="4"/>
        <v>0.36612021857923494</v>
      </c>
      <c r="L7" s="4">
        <f t="shared" si="2"/>
        <v>0.51827500000000004</v>
      </c>
      <c r="M7" s="363">
        <v>0.92110000000000003</v>
      </c>
      <c r="N7" s="48">
        <v>1</v>
      </c>
      <c r="O7" s="44">
        <v>0</v>
      </c>
      <c r="P7" s="44">
        <v>1899</v>
      </c>
      <c r="Q7" s="44" t="s">
        <v>461</v>
      </c>
      <c r="FD7" s="79">
        <v>46116</v>
      </c>
      <c r="FE7" s="43">
        <v>23413</v>
      </c>
      <c r="FF7" s="43">
        <v>20717</v>
      </c>
      <c r="FG7" s="44">
        <v>20731</v>
      </c>
      <c r="FH7" s="44">
        <v>20600</v>
      </c>
      <c r="FI7" s="88">
        <v>6.9999999999999999E-4</v>
      </c>
      <c r="FJ7" s="45">
        <v>0.21590000000000001</v>
      </c>
      <c r="FK7" s="45">
        <v>0.28720000000000001</v>
      </c>
      <c r="FL7" s="43">
        <v>7.32</v>
      </c>
      <c r="FM7" s="44">
        <v>10</v>
      </c>
      <c r="FN7" s="88">
        <v>0.27029999999999998</v>
      </c>
      <c r="FO7" s="47">
        <v>0.51700000000000002</v>
      </c>
      <c r="FP7" s="48">
        <v>0.92110000000000003</v>
      </c>
      <c r="FQ7" s="48">
        <v>1</v>
      </c>
      <c r="FR7" s="44">
        <v>0</v>
      </c>
      <c r="FS7" s="44">
        <v>1899</v>
      </c>
      <c r="FT7" s="44" t="s">
        <v>461</v>
      </c>
    </row>
    <row r="8" spans="1:176">
      <c r="A8" s="13">
        <f t="shared" si="5"/>
        <v>46117</v>
      </c>
      <c r="B8" s="42">
        <v>23413</v>
      </c>
      <c r="C8" s="43">
        <v>20717</v>
      </c>
      <c r="D8" s="44">
        <v>21148</v>
      </c>
      <c r="E8" s="44">
        <v>21000</v>
      </c>
      <c r="F8" s="20">
        <f t="shared" si="3"/>
        <v>1.3660278997924409E-2</v>
      </c>
      <c r="G8" s="2">
        <f t="shared" si="0"/>
        <v>0.22029166666666666</v>
      </c>
      <c r="H8" s="2">
        <f t="shared" si="1"/>
        <v>0.29294104609929078</v>
      </c>
      <c r="I8" s="42">
        <v>7.32</v>
      </c>
      <c r="J8" s="44">
        <v>6.9</v>
      </c>
      <c r="K8" s="20">
        <f t="shared" si="4"/>
        <v>-5.7377049180327856E-2</v>
      </c>
      <c r="L8" s="4">
        <f t="shared" si="2"/>
        <v>0.76623188405797105</v>
      </c>
      <c r="M8" s="363">
        <v>1</v>
      </c>
      <c r="N8" s="48">
        <v>0.97109999999999996</v>
      </c>
      <c r="O8" s="44">
        <v>665</v>
      </c>
      <c r="P8" s="44">
        <v>0</v>
      </c>
      <c r="Q8" s="44" t="s">
        <v>462</v>
      </c>
      <c r="FD8" s="79">
        <v>46117</v>
      </c>
      <c r="FE8" s="43">
        <v>23413</v>
      </c>
      <c r="FF8" s="43">
        <v>20717</v>
      </c>
      <c r="FG8" s="44">
        <v>21148</v>
      </c>
      <c r="FH8" s="44">
        <v>21000</v>
      </c>
      <c r="FI8" s="88">
        <v>2.0400000000000001E-2</v>
      </c>
      <c r="FJ8" s="45">
        <v>0.2203</v>
      </c>
      <c r="FK8" s="45">
        <v>0.29289999999999999</v>
      </c>
      <c r="FL8" s="43">
        <v>7.32</v>
      </c>
      <c r="FM8" s="44">
        <v>6.9</v>
      </c>
      <c r="FN8" s="88">
        <v>-6.2600000000000003E-2</v>
      </c>
      <c r="FO8" s="47">
        <v>0.76700000000000002</v>
      </c>
      <c r="FP8" s="48">
        <v>1</v>
      </c>
      <c r="FQ8" s="48">
        <v>0.97109999999999996</v>
      </c>
      <c r="FR8" s="44">
        <v>665</v>
      </c>
      <c r="FS8" s="44">
        <v>0</v>
      </c>
      <c r="FT8" s="44" t="s">
        <v>462</v>
      </c>
    </row>
    <row r="9" spans="1:176">
      <c r="A9" s="13">
        <f t="shared" si="5"/>
        <v>46118</v>
      </c>
      <c r="B9" s="42">
        <v>23413</v>
      </c>
      <c r="C9" s="43">
        <v>20717</v>
      </c>
      <c r="D9" s="44">
        <v>22490</v>
      </c>
      <c r="E9" s="44">
        <v>22300</v>
      </c>
      <c r="F9" s="20">
        <f t="shared" si="3"/>
        <v>7.6410677221605439E-2</v>
      </c>
      <c r="G9" s="2">
        <f t="shared" si="0"/>
        <v>0.23427083333333334</v>
      </c>
      <c r="H9" s="2">
        <f t="shared" si="1"/>
        <v>0.31153036347517732</v>
      </c>
      <c r="I9" s="42">
        <v>7.32</v>
      </c>
      <c r="J9" s="44">
        <v>11.1</v>
      </c>
      <c r="K9" s="20">
        <f t="shared" si="4"/>
        <v>0.51639344262295073</v>
      </c>
      <c r="L9" s="4">
        <f t="shared" si="2"/>
        <v>0.50653153153153152</v>
      </c>
      <c r="M9" s="363">
        <v>1</v>
      </c>
      <c r="N9" s="48">
        <v>0.91579999999999995</v>
      </c>
      <c r="O9" s="44">
        <v>2725</v>
      </c>
      <c r="P9" s="44">
        <v>0</v>
      </c>
      <c r="Q9" s="44" t="s">
        <v>462</v>
      </c>
      <c r="FD9" s="79">
        <v>46118</v>
      </c>
      <c r="FE9" s="43">
        <v>23413</v>
      </c>
      <c r="FF9" s="43">
        <v>20717</v>
      </c>
      <c r="FG9" s="44">
        <v>22490</v>
      </c>
      <c r="FH9" s="44">
        <v>22300</v>
      </c>
      <c r="FI9" s="88">
        <v>7.8899999999999998E-2</v>
      </c>
      <c r="FJ9" s="45">
        <v>0.23430000000000001</v>
      </c>
      <c r="FK9" s="45">
        <v>0.3115</v>
      </c>
      <c r="FL9" s="43">
        <v>7.32</v>
      </c>
      <c r="FM9" s="44">
        <v>11.1</v>
      </c>
      <c r="FN9" s="88">
        <v>0.34320000000000001</v>
      </c>
      <c r="FO9" s="47">
        <v>0.504</v>
      </c>
      <c r="FP9" s="48">
        <v>1</v>
      </c>
      <c r="FQ9" s="48">
        <v>0.91579999999999995</v>
      </c>
      <c r="FR9" s="44">
        <v>2725</v>
      </c>
      <c r="FS9" s="44">
        <v>0</v>
      </c>
      <c r="FT9" s="44" t="s">
        <v>462</v>
      </c>
    </row>
    <row r="10" spans="1:176">
      <c r="A10" s="13">
        <f t="shared" si="5"/>
        <v>46119</v>
      </c>
      <c r="B10" s="42">
        <v>23413</v>
      </c>
      <c r="C10" s="43">
        <v>20717</v>
      </c>
      <c r="D10" s="44">
        <v>16241</v>
      </c>
      <c r="E10" s="44">
        <v>16150</v>
      </c>
      <c r="F10" s="20">
        <f t="shared" si="3"/>
        <v>-0.22044697591350099</v>
      </c>
      <c r="G10" s="2">
        <f t="shared" si="0"/>
        <v>0.16917708333333334</v>
      </c>
      <c r="H10" s="2">
        <f t="shared" si="1"/>
        <v>0.22496952570921985</v>
      </c>
      <c r="I10" s="42">
        <v>7.32</v>
      </c>
      <c r="J10" s="44">
        <v>8.3000000000000007</v>
      </c>
      <c r="K10" s="20">
        <f t="shared" si="4"/>
        <v>0.13387978142076509</v>
      </c>
      <c r="L10" s="4">
        <f t="shared" si="2"/>
        <v>0.48918674698795178</v>
      </c>
      <c r="M10" s="363">
        <v>1</v>
      </c>
      <c r="N10" s="48">
        <v>0.90659999999999996</v>
      </c>
      <c r="O10" s="44">
        <v>2164</v>
      </c>
      <c r="P10" s="44">
        <v>0</v>
      </c>
      <c r="Q10" s="44" t="s">
        <v>463</v>
      </c>
      <c r="FD10" s="79">
        <v>46119</v>
      </c>
      <c r="FE10" s="43">
        <v>23413</v>
      </c>
      <c r="FF10" s="43">
        <v>20717</v>
      </c>
      <c r="FG10" s="44">
        <v>16241</v>
      </c>
      <c r="FH10" s="44">
        <v>16150</v>
      </c>
      <c r="FI10" s="88">
        <v>-0.27560000000000001</v>
      </c>
      <c r="FJ10" s="45">
        <v>0.16919999999999999</v>
      </c>
      <c r="FK10" s="45">
        <v>0.22500000000000001</v>
      </c>
      <c r="FL10" s="43">
        <v>7.32</v>
      </c>
      <c r="FM10" s="44">
        <v>8.3000000000000007</v>
      </c>
      <c r="FN10" s="88">
        <v>0.1138</v>
      </c>
      <c r="FO10" s="47">
        <v>0.49199999999999999</v>
      </c>
      <c r="FP10" s="48">
        <v>1</v>
      </c>
      <c r="FQ10" s="48">
        <v>0.90659999999999996</v>
      </c>
      <c r="FR10" s="44">
        <v>2164</v>
      </c>
      <c r="FS10" s="44">
        <v>0</v>
      </c>
      <c r="FT10" s="44" t="s">
        <v>463</v>
      </c>
    </row>
    <row r="11" spans="1:176">
      <c r="A11" s="13">
        <f t="shared" si="5"/>
        <v>46120</v>
      </c>
      <c r="B11" s="42">
        <v>23413</v>
      </c>
      <c r="C11" s="43">
        <v>20717</v>
      </c>
      <c r="D11" s="44">
        <v>17574</v>
      </c>
      <c r="E11" s="44">
        <v>17450</v>
      </c>
      <c r="F11" s="20">
        <f t="shared" si="3"/>
        <v>-0.15769657768981996</v>
      </c>
      <c r="G11" s="2">
        <f t="shared" si="0"/>
        <v>0.18306249999999999</v>
      </c>
      <c r="H11" s="2">
        <f t="shared" si="1"/>
        <v>0.2434341755319149</v>
      </c>
      <c r="I11" s="42">
        <v>7.32</v>
      </c>
      <c r="J11" s="44">
        <v>9.9</v>
      </c>
      <c r="K11" s="20">
        <f t="shared" si="4"/>
        <v>0.35245901639344263</v>
      </c>
      <c r="L11" s="4">
        <f t="shared" si="2"/>
        <v>0.44378787878787879</v>
      </c>
      <c r="M11" s="363">
        <v>1</v>
      </c>
      <c r="N11" s="48">
        <v>0.94079999999999997</v>
      </c>
      <c r="O11" s="44">
        <v>2075</v>
      </c>
      <c r="P11" s="44">
        <v>0</v>
      </c>
      <c r="Q11" s="44" t="s">
        <v>463</v>
      </c>
      <c r="FD11" s="79">
        <v>46120</v>
      </c>
      <c r="FE11" s="43">
        <v>23413</v>
      </c>
      <c r="FF11" s="43">
        <v>20717</v>
      </c>
      <c r="FG11" s="44">
        <v>17574</v>
      </c>
      <c r="FH11" s="44">
        <v>17450</v>
      </c>
      <c r="FI11" s="88">
        <v>-0.17879999999999999</v>
      </c>
      <c r="FJ11" s="45">
        <v>0.18310000000000001</v>
      </c>
      <c r="FK11" s="45">
        <v>0.24340000000000001</v>
      </c>
      <c r="FL11" s="43">
        <v>7.32</v>
      </c>
      <c r="FM11" s="44">
        <v>9.9</v>
      </c>
      <c r="FN11" s="88">
        <v>0.25740000000000002</v>
      </c>
      <c r="FO11" s="47">
        <v>0.44600000000000001</v>
      </c>
      <c r="FP11" s="48">
        <v>1</v>
      </c>
      <c r="FQ11" s="48">
        <v>0.94079999999999997</v>
      </c>
      <c r="FR11" s="44">
        <v>2075</v>
      </c>
      <c r="FS11" s="44">
        <v>0</v>
      </c>
      <c r="FT11" s="44" t="s">
        <v>463</v>
      </c>
    </row>
    <row r="12" spans="1:176">
      <c r="A12" s="13">
        <f t="shared" si="5"/>
        <v>46121</v>
      </c>
      <c r="B12" s="42">
        <v>23413</v>
      </c>
      <c r="C12" s="43">
        <v>20717</v>
      </c>
      <c r="D12" s="44">
        <v>22287</v>
      </c>
      <c r="E12" s="44">
        <v>22150</v>
      </c>
      <c r="F12" s="20">
        <f t="shared" si="3"/>
        <v>6.9170246657334553E-2</v>
      </c>
      <c r="G12" s="2">
        <f t="shared" si="0"/>
        <v>0.23215625000000001</v>
      </c>
      <c r="H12" s="2">
        <f t="shared" si="1"/>
        <v>0.30871841755319152</v>
      </c>
      <c r="I12" s="42">
        <v>7.32</v>
      </c>
      <c r="J12" s="44">
        <v>9.1999999999999993</v>
      </c>
      <c r="K12" s="20">
        <f t="shared" si="4"/>
        <v>0.25683060109289602</v>
      </c>
      <c r="L12" s="4">
        <f t="shared" si="2"/>
        <v>0.60562499999999997</v>
      </c>
      <c r="M12" s="363">
        <v>1</v>
      </c>
      <c r="N12" s="48">
        <v>0.94869999999999999</v>
      </c>
      <c r="O12" s="44">
        <v>1907</v>
      </c>
      <c r="P12" s="44">
        <v>0</v>
      </c>
      <c r="Q12" s="44" t="s">
        <v>462</v>
      </c>
      <c r="FD12" s="79">
        <v>46121</v>
      </c>
      <c r="FE12" s="43">
        <v>23413</v>
      </c>
      <c r="FF12" s="43">
        <v>20717</v>
      </c>
      <c r="FG12" s="44">
        <v>22287</v>
      </c>
      <c r="FH12" s="44">
        <v>22150</v>
      </c>
      <c r="FI12" s="88">
        <v>7.0499999999999993E-2</v>
      </c>
      <c r="FJ12" s="45">
        <v>0.23219999999999999</v>
      </c>
      <c r="FK12" s="45">
        <v>0.30869999999999997</v>
      </c>
      <c r="FL12" s="43">
        <v>7.32</v>
      </c>
      <c r="FM12" s="44">
        <v>9.1999999999999993</v>
      </c>
      <c r="FN12" s="88">
        <v>0.20419999999999999</v>
      </c>
      <c r="FO12" s="47">
        <v>0.60599999999999998</v>
      </c>
      <c r="FP12" s="48">
        <v>1</v>
      </c>
      <c r="FQ12" s="48">
        <v>0.94869999999999999</v>
      </c>
      <c r="FR12" s="44">
        <v>1907</v>
      </c>
      <c r="FS12" s="44">
        <v>0</v>
      </c>
      <c r="FT12" s="44" t="s">
        <v>462</v>
      </c>
    </row>
    <row r="13" spans="1:176">
      <c r="A13" s="13">
        <f t="shared" si="5"/>
        <v>46122</v>
      </c>
      <c r="B13" s="42">
        <v>23413</v>
      </c>
      <c r="C13" s="43">
        <v>20717</v>
      </c>
      <c r="D13" s="44">
        <v>23596</v>
      </c>
      <c r="E13" s="44">
        <v>23450</v>
      </c>
      <c r="F13" s="20">
        <f t="shared" si="3"/>
        <v>0.1319206448810156</v>
      </c>
      <c r="G13" s="2">
        <f t="shared" si="0"/>
        <v>0.24579166666666666</v>
      </c>
      <c r="H13" s="2">
        <f t="shared" si="1"/>
        <v>0.3268506205673759</v>
      </c>
      <c r="I13" s="42">
        <v>7.32</v>
      </c>
      <c r="J13" s="44">
        <v>10.3</v>
      </c>
      <c r="K13" s="20">
        <f t="shared" si="4"/>
        <v>0.40710382513661209</v>
      </c>
      <c r="L13" s="4">
        <f t="shared" si="2"/>
        <v>0.57271844660194171</v>
      </c>
      <c r="M13" s="363">
        <v>1</v>
      </c>
      <c r="N13" s="48">
        <v>0.99209999999999998</v>
      </c>
      <c r="O13" s="44">
        <v>381</v>
      </c>
      <c r="P13" s="44">
        <v>0</v>
      </c>
      <c r="Q13" s="44" t="s">
        <v>459</v>
      </c>
      <c r="FD13" s="79">
        <v>46122</v>
      </c>
      <c r="FE13" s="43">
        <v>23413</v>
      </c>
      <c r="FF13" s="43">
        <v>20717</v>
      </c>
      <c r="FG13" s="44">
        <v>23596</v>
      </c>
      <c r="FH13" s="44">
        <v>23450</v>
      </c>
      <c r="FI13" s="88">
        <v>0.122</v>
      </c>
      <c r="FJ13" s="45">
        <v>0.24579999999999999</v>
      </c>
      <c r="FK13" s="45">
        <v>0.32690000000000002</v>
      </c>
      <c r="FL13" s="43">
        <v>7.32</v>
      </c>
      <c r="FM13" s="44">
        <v>10.3</v>
      </c>
      <c r="FN13" s="88">
        <v>0.29120000000000001</v>
      </c>
      <c r="FO13" s="47">
        <v>0.57099999999999995</v>
      </c>
      <c r="FP13" s="48">
        <v>1</v>
      </c>
      <c r="FQ13" s="48">
        <v>0.99209999999999998</v>
      </c>
      <c r="FR13" s="44">
        <v>381</v>
      </c>
      <c r="FS13" s="44">
        <v>0</v>
      </c>
      <c r="FT13" s="44" t="s">
        <v>459</v>
      </c>
    </row>
    <row r="14" spans="1:176">
      <c r="A14" s="13">
        <f t="shared" si="5"/>
        <v>46123</v>
      </c>
      <c r="B14" s="42">
        <v>23413</v>
      </c>
      <c r="C14" s="43">
        <v>20717</v>
      </c>
      <c r="D14" s="44">
        <v>24046</v>
      </c>
      <c r="E14" s="44">
        <v>23900</v>
      </c>
      <c r="F14" s="20">
        <f t="shared" si="3"/>
        <v>0.15364193657382827</v>
      </c>
      <c r="G14" s="2">
        <f t="shared" si="0"/>
        <v>0.25047916666666664</v>
      </c>
      <c r="H14" s="2">
        <f t="shared" si="1"/>
        <v>0.33308399822695034</v>
      </c>
      <c r="I14" s="42">
        <v>7.32</v>
      </c>
      <c r="J14" s="44">
        <v>9.3000000000000007</v>
      </c>
      <c r="K14" s="20">
        <f t="shared" si="4"/>
        <v>0.27049180327868855</v>
      </c>
      <c r="L14" s="4">
        <f t="shared" si="2"/>
        <v>0.64639784946236556</v>
      </c>
      <c r="M14" s="363">
        <v>1</v>
      </c>
      <c r="N14" s="48">
        <v>1</v>
      </c>
      <c r="O14" s="44">
        <v>0</v>
      </c>
      <c r="P14" s="44">
        <v>0</v>
      </c>
      <c r="Q14" s="44" t="s">
        <v>175</v>
      </c>
      <c r="FD14" s="79">
        <v>46123</v>
      </c>
      <c r="FE14" s="43">
        <v>23413</v>
      </c>
      <c r="FF14" s="43">
        <v>20717</v>
      </c>
      <c r="FG14" s="44">
        <v>24046</v>
      </c>
      <c r="FH14" s="44">
        <v>23900</v>
      </c>
      <c r="FI14" s="88">
        <v>0.13850000000000001</v>
      </c>
      <c r="FJ14" s="45">
        <v>0.2505</v>
      </c>
      <c r="FK14" s="45">
        <v>0.33310000000000001</v>
      </c>
      <c r="FL14" s="43">
        <v>7.32</v>
      </c>
      <c r="FM14" s="44">
        <v>9.3000000000000007</v>
      </c>
      <c r="FN14" s="88">
        <v>0.20880000000000001</v>
      </c>
      <c r="FO14" s="47">
        <v>0.65</v>
      </c>
      <c r="FP14" s="48">
        <v>1</v>
      </c>
      <c r="FQ14" s="48">
        <v>1</v>
      </c>
      <c r="FR14" s="44">
        <v>0</v>
      </c>
      <c r="FS14" s="44">
        <v>0</v>
      </c>
      <c r="FT14" s="44" t="s">
        <v>175</v>
      </c>
    </row>
    <row r="15" spans="1:176">
      <c r="A15" s="13">
        <f t="shared" si="5"/>
        <v>46124</v>
      </c>
      <c r="B15" s="42">
        <v>23413</v>
      </c>
      <c r="C15" s="43">
        <v>20717</v>
      </c>
      <c r="D15" s="44">
        <v>24608</v>
      </c>
      <c r="E15" s="44">
        <v>24450</v>
      </c>
      <c r="F15" s="20">
        <f t="shared" si="3"/>
        <v>0.18019018197615486</v>
      </c>
      <c r="G15" s="2">
        <f t="shared" si="0"/>
        <v>0.25633333333333336</v>
      </c>
      <c r="H15" s="2">
        <f t="shared" si="1"/>
        <v>0.34086879432624112</v>
      </c>
      <c r="I15" s="42">
        <v>7.32</v>
      </c>
      <c r="J15" s="44">
        <v>10.5</v>
      </c>
      <c r="K15" s="20">
        <f t="shared" si="4"/>
        <v>0.43442622950819665</v>
      </c>
      <c r="L15" s="4">
        <f t="shared" si="2"/>
        <v>0.58590476190476193</v>
      </c>
      <c r="M15" s="363">
        <v>1</v>
      </c>
      <c r="N15" s="48">
        <v>1</v>
      </c>
      <c r="O15" s="44">
        <v>0</v>
      </c>
      <c r="P15" s="44">
        <v>0</v>
      </c>
      <c r="Q15" s="44" t="s">
        <v>175</v>
      </c>
      <c r="FD15" s="79">
        <v>46124</v>
      </c>
      <c r="FE15" s="43">
        <v>23413</v>
      </c>
      <c r="FF15" s="43">
        <v>20717</v>
      </c>
      <c r="FG15" s="44">
        <v>24608</v>
      </c>
      <c r="FH15" s="44">
        <v>24450</v>
      </c>
      <c r="FI15" s="88">
        <v>0.15809999999999999</v>
      </c>
      <c r="FJ15" s="45">
        <v>0.25629999999999997</v>
      </c>
      <c r="FK15" s="45">
        <v>0.34089999999999998</v>
      </c>
      <c r="FL15" s="43">
        <v>7.32</v>
      </c>
      <c r="FM15" s="44">
        <v>10.5</v>
      </c>
      <c r="FN15" s="88">
        <v>0.3034</v>
      </c>
      <c r="FO15" s="47">
        <v>0.58499999999999996</v>
      </c>
      <c r="FP15" s="48">
        <v>1</v>
      </c>
      <c r="FQ15" s="48">
        <v>1</v>
      </c>
      <c r="FR15" s="44">
        <v>0</v>
      </c>
      <c r="FS15" s="44">
        <v>0</v>
      </c>
      <c r="FT15" s="44" t="s">
        <v>175</v>
      </c>
    </row>
    <row r="16" spans="1:176">
      <c r="A16" s="13">
        <f t="shared" si="5"/>
        <v>46125</v>
      </c>
      <c r="B16" s="42">
        <v>23413</v>
      </c>
      <c r="C16" s="43">
        <v>20717</v>
      </c>
      <c r="D16" s="44">
        <v>24004</v>
      </c>
      <c r="E16" s="44">
        <v>23850</v>
      </c>
      <c r="F16" s="20">
        <f t="shared" si="3"/>
        <v>0.15122845971907128</v>
      </c>
      <c r="G16" s="2">
        <f t="shared" si="0"/>
        <v>0.25004166666666666</v>
      </c>
      <c r="H16" s="2">
        <f t="shared" si="1"/>
        <v>0.33250221631205673</v>
      </c>
      <c r="I16" s="42">
        <v>7.32</v>
      </c>
      <c r="J16" s="44">
        <v>10.3</v>
      </c>
      <c r="K16" s="20">
        <f t="shared" si="4"/>
        <v>0.40710382513661209</v>
      </c>
      <c r="L16" s="4">
        <f t="shared" si="2"/>
        <v>0.58262135922330094</v>
      </c>
      <c r="M16" s="363">
        <v>1</v>
      </c>
      <c r="N16" s="48">
        <v>1</v>
      </c>
      <c r="O16" s="44">
        <v>0</v>
      </c>
      <c r="P16" s="44">
        <v>0</v>
      </c>
      <c r="Q16" s="44" t="s">
        <v>175</v>
      </c>
      <c r="FD16" s="79">
        <v>46125</v>
      </c>
      <c r="FE16" s="43">
        <v>23413</v>
      </c>
      <c r="FF16" s="43">
        <v>20717</v>
      </c>
      <c r="FG16" s="44">
        <v>24004</v>
      </c>
      <c r="FH16" s="44">
        <v>23850</v>
      </c>
      <c r="FI16" s="88">
        <v>0.13700000000000001</v>
      </c>
      <c r="FJ16" s="45">
        <v>0.25</v>
      </c>
      <c r="FK16" s="45">
        <v>0.33250000000000002</v>
      </c>
      <c r="FL16" s="43">
        <v>7.32</v>
      </c>
      <c r="FM16" s="44">
        <v>10.3</v>
      </c>
      <c r="FN16" s="88">
        <v>0.29120000000000001</v>
      </c>
      <c r="FO16" s="47">
        <v>0.58099999999999996</v>
      </c>
      <c r="FP16" s="48">
        <v>1</v>
      </c>
      <c r="FQ16" s="48">
        <v>1</v>
      </c>
      <c r="FR16" s="44">
        <v>0</v>
      </c>
      <c r="FS16" s="44">
        <v>0</v>
      </c>
      <c r="FT16" s="44" t="s">
        <v>175</v>
      </c>
    </row>
    <row r="17" spans="1:176">
      <c r="A17" s="13">
        <f t="shared" si="5"/>
        <v>46126</v>
      </c>
      <c r="B17" s="42">
        <v>23413</v>
      </c>
      <c r="C17" s="43">
        <v>20717</v>
      </c>
      <c r="D17" s="44">
        <v>23764</v>
      </c>
      <c r="E17" s="44">
        <v>23650</v>
      </c>
      <c r="F17" s="20">
        <f t="shared" si="3"/>
        <v>0.14157455230004345</v>
      </c>
      <c r="G17" s="2">
        <f t="shared" si="0"/>
        <v>0.24754166666666666</v>
      </c>
      <c r="H17" s="2">
        <f t="shared" si="1"/>
        <v>0.32917774822695034</v>
      </c>
      <c r="I17" s="42">
        <v>7.32</v>
      </c>
      <c r="J17" s="44">
        <v>10.3</v>
      </c>
      <c r="K17" s="20">
        <f t="shared" si="4"/>
        <v>0.40710382513661209</v>
      </c>
      <c r="L17" s="4">
        <f t="shared" si="2"/>
        <v>0.57679611650485441</v>
      </c>
      <c r="M17" s="363">
        <v>1</v>
      </c>
      <c r="N17" s="48">
        <v>0.98550000000000004</v>
      </c>
      <c r="O17" s="44">
        <v>572</v>
      </c>
      <c r="P17" s="44">
        <v>0</v>
      </c>
      <c r="Q17" s="44" t="s">
        <v>464</v>
      </c>
      <c r="FD17" s="79">
        <v>46126</v>
      </c>
      <c r="FE17" s="43">
        <v>23413</v>
      </c>
      <c r="FF17" s="43">
        <v>20717</v>
      </c>
      <c r="FG17" s="44">
        <v>23764</v>
      </c>
      <c r="FH17" s="44">
        <v>23650</v>
      </c>
      <c r="FI17" s="88">
        <v>0.12820000000000001</v>
      </c>
      <c r="FJ17" s="45">
        <v>0.2475</v>
      </c>
      <c r="FK17" s="45">
        <v>0.32919999999999999</v>
      </c>
      <c r="FL17" s="43">
        <v>7.32</v>
      </c>
      <c r="FM17" s="44">
        <v>10.3</v>
      </c>
      <c r="FN17" s="88">
        <v>0.29189999999999999</v>
      </c>
      <c r="FO17" s="47">
        <v>0.57499999999999996</v>
      </c>
      <c r="FP17" s="48">
        <v>1</v>
      </c>
      <c r="FQ17" s="48">
        <v>0.98550000000000004</v>
      </c>
      <c r="FR17" s="44">
        <v>572</v>
      </c>
      <c r="FS17" s="44">
        <v>0</v>
      </c>
      <c r="FT17" s="44" t="s">
        <v>464</v>
      </c>
    </row>
    <row r="18" spans="1:176">
      <c r="A18" s="13">
        <f t="shared" si="5"/>
        <v>46127</v>
      </c>
      <c r="B18" s="42">
        <v>23413</v>
      </c>
      <c r="C18" s="43">
        <v>20717</v>
      </c>
      <c r="D18" s="44">
        <v>22869</v>
      </c>
      <c r="E18" s="44">
        <v>22700</v>
      </c>
      <c r="F18" s="20">
        <f t="shared" si="3"/>
        <v>9.5718492059661153E-2</v>
      </c>
      <c r="G18" s="2">
        <f t="shared" si="0"/>
        <v>0.23821875000000001</v>
      </c>
      <c r="H18" s="2">
        <f t="shared" si="1"/>
        <v>0.31678025265957449</v>
      </c>
      <c r="I18" s="42">
        <v>7.32</v>
      </c>
      <c r="J18" s="44">
        <v>10</v>
      </c>
      <c r="K18" s="20">
        <f t="shared" si="4"/>
        <v>0.36612021857923494</v>
      </c>
      <c r="L18" s="4">
        <f t="shared" si="2"/>
        <v>0.57172500000000004</v>
      </c>
      <c r="M18" s="363">
        <v>1</v>
      </c>
      <c r="N18" s="48">
        <v>0.98419999999999996</v>
      </c>
      <c r="O18" s="44">
        <v>571</v>
      </c>
      <c r="P18" s="44">
        <v>0</v>
      </c>
      <c r="Q18" s="44" t="s">
        <v>464</v>
      </c>
      <c r="FD18" s="79">
        <v>46127</v>
      </c>
      <c r="FE18" s="43">
        <v>23413</v>
      </c>
      <c r="FF18" s="43">
        <v>20717</v>
      </c>
      <c r="FG18" s="44">
        <v>22869</v>
      </c>
      <c r="FH18" s="44">
        <v>22700</v>
      </c>
      <c r="FI18" s="88">
        <v>9.4100000000000003E-2</v>
      </c>
      <c r="FJ18" s="45">
        <v>0.2382</v>
      </c>
      <c r="FK18" s="45">
        <v>0.31680000000000003</v>
      </c>
      <c r="FL18" s="43">
        <v>7.32</v>
      </c>
      <c r="FM18" s="44">
        <v>10</v>
      </c>
      <c r="FN18" s="88">
        <v>0.26860000000000001</v>
      </c>
      <c r="FO18" s="47">
        <v>0.57099999999999995</v>
      </c>
      <c r="FP18" s="48">
        <v>1</v>
      </c>
      <c r="FQ18" s="48">
        <v>0.98419999999999996</v>
      </c>
      <c r="FR18" s="44">
        <v>571</v>
      </c>
      <c r="FS18" s="44">
        <v>0</v>
      </c>
      <c r="FT18" s="44" t="s">
        <v>464</v>
      </c>
    </row>
    <row r="19" spans="1:176">
      <c r="A19" s="13">
        <f t="shared" si="5"/>
        <v>46128</v>
      </c>
      <c r="B19" s="42">
        <v>23413</v>
      </c>
      <c r="C19" s="43">
        <v>20717</v>
      </c>
      <c r="D19" s="44">
        <v>23340</v>
      </c>
      <c r="E19" s="44">
        <v>23200</v>
      </c>
      <c r="F19" s="20">
        <f t="shared" si="3"/>
        <v>0.11985326060723078</v>
      </c>
      <c r="G19" s="2">
        <f t="shared" si="0"/>
        <v>0.24312500000000001</v>
      </c>
      <c r="H19" s="2">
        <f t="shared" si="1"/>
        <v>0.32330452127659576</v>
      </c>
      <c r="I19" s="42">
        <v>7.32</v>
      </c>
      <c r="J19" s="44">
        <v>10.16</v>
      </c>
      <c r="K19" s="20">
        <f t="shared" si="4"/>
        <v>0.38797814207650272</v>
      </c>
      <c r="L19" s="4">
        <f t="shared" si="2"/>
        <v>0.57431102362204722</v>
      </c>
      <c r="M19" s="363">
        <v>1</v>
      </c>
      <c r="N19" s="48">
        <v>0.98950000000000005</v>
      </c>
      <c r="O19" s="44">
        <v>394</v>
      </c>
      <c r="P19" s="44">
        <v>0</v>
      </c>
      <c r="Q19" s="44" t="s">
        <v>464</v>
      </c>
      <c r="FD19" s="79">
        <v>46128</v>
      </c>
      <c r="FE19" s="43">
        <v>23413</v>
      </c>
      <c r="FF19" s="43">
        <v>20717</v>
      </c>
      <c r="FG19" s="44">
        <v>23340</v>
      </c>
      <c r="FH19" s="44">
        <v>23200</v>
      </c>
      <c r="FI19" s="88">
        <v>0.1124</v>
      </c>
      <c r="FJ19" s="45">
        <v>0.24310000000000001</v>
      </c>
      <c r="FK19" s="45">
        <v>0.32329999999999998</v>
      </c>
      <c r="FL19" s="43">
        <v>7.32</v>
      </c>
      <c r="FM19" s="44">
        <v>10.16</v>
      </c>
      <c r="FN19" s="88">
        <v>0.27950000000000003</v>
      </c>
      <c r="FO19" s="47">
        <v>0.57399999999999995</v>
      </c>
      <c r="FP19" s="48">
        <v>1</v>
      </c>
      <c r="FQ19" s="48">
        <v>0.98950000000000005</v>
      </c>
      <c r="FR19" s="44">
        <v>394</v>
      </c>
      <c r="FS19" s="44">
        <v>0</v>
      </c>
      <c r="FT19" s="44" t="s">
        <v>464</v>
      </c>
    </row>
    <row r="20" spans="1:176">
      <c r="A20" s="13">
        <f t="shared" si="5"/>
        <v>46129</v>
      </c>
      <c r="B20" s="42">
        <v>23413</v>
      </c>
      <c r="C20" s="43">
        <v>20717</v>
      </c>
      <c r="D20" s="44">
        <v>25140</v>
      </c>
      <c r="E20" s="44">
        <v>25000</v>
      </c>
      <c r="F20" s="20">
        <f t="shared" si="3"/>
        <v>0.20673842737848144</v>
      </c>
      <c r="G20" s="2">
        <f t="shared" si="0"/>
        <v>0.26187500000000002</v>
      </c>
      <c r="H20" s="2">
        <f t="shared" si="1"/>
        <v>0.34823803191489361</v>
      </c>
      <c r="I20" s="42">
        <v>7.32</v>
      </c>
      <c r="J20" s="44">
        <v>11.04</v>
      </c>
      <c r="K20" s="20">
        <f t="shared" si="4"/>
        <v>0.5081967213114752</v>
      </c>
      <c r="L20" s="4">
        <f t="shared" si="2"/>
        <v>0.56929347826086951</v>
      </c>
      <c r="M20" s="363">
        <v>1</v>
      </c>
      <c r="N20" s="48">
        <v>1</v>
      </c>
      <c r="O20" s="44">
        <v>0</v>
      </c>
      <c r="P20" s="44">
        <v>0</v>
      </c>
      <c r="Q20" s="44" t="s">
        <v>175</v>
      </c>
      <c r="FD20" s="79">
        <v>46129</v>
      </c>
      <c r="FE20" s="43">
        <v>23413</v>
      </c>
      <c r="FF20" s="43">
        <v>20717</v>
      </c>
      <c r="FG20" s="44">
        <v>25140</v>
      </c>
      <c r="FH20" s="44">
        <v>25000</v>
      </c>
      <c r="FI20" s="88">
        <v>0.17599999999999999</v>
      </c>
      <c r="FJ20" s="45">
        <v>0.26190000000000002</v>
      </c>
      <c r="FK20" s="45">
        <v>0.34820000000000001</v>
      </c>
      <c r="FL20" s="43">
        <v>7.32</v>
      </c>
      <c r="FM20" s="44">
        <v>11.04</v>
      </c>
      <c r="FN20" s="88">
        <v>0.33700000000000002</v>
      </c>
      <c r="FO20" s="47">
        <v>0.56899999999999995</v>
      </c>
      <c r="FP20" s="48">
        <v>1</v>
      </c>
      <c r="FQ20" s="48">
        <v>1</v>
      </c>
      <c r="FR20" s="44">
        <v>0</v>
      </c>
      <c r="FS20" s="44">
        <v>0</v>
      </c>
      <c r="FT20" s="44" t="s">
        <v>175</v>
      </c>
    </row>
    <row r="21" spans="1:176">
      <c r="A21" s="13">
        <f t="shared" si="5"/>
        <v>46130</v>
      </c>
      <c r="B21" s="42">
        <v>23413</v>
      </c>
      <c r="C21" s="43">
        <v>20717</v>
      </c>
      <c r="D21" s="44">
        <v>24798</v>
      </c>
      <c r="E21" s="44">
        <v>24650</v>
      </c>
      <c r="F21" s="20">
        <f t="shared" si="3"/>
        <v>0.18984408939518271</v>
      </c>
      <c r="G21" s="2">
        <f t="shared" si="0"/>
        <v>0.2583125</v>
      </c>
      <c r="H21" s="2">
        <f t="shared" si="1"/>
        <v>0.34350066489361702</v>
      </c>
      <c r="I21" s="42">
        <v>7.32</v>
      </c>
      <c r="J21" s="44">
        <v>10.210000000000001</v>
      </c>
      <c r="K21" s="20">
        <f t="shared" si="4"/>
        <v>0.39480874316939896</v>
      </c>
      <c r="L21" s="4">
        <f t="shared" si="2"/>
        <v>0.60719882468168462</v>
      </c>
      <c r="M21" s="363">
        <v>1</v>
      </c>
      <c r="N21" s="48">
        <v>1</v>
      </c>
      <c r="O21" s="44">
        <v>0</v>
      </c>
      <c r="P21" s="44">
        <v>0</v>
      </c>
      <c r="Q21" s="44" t="s">
        <v>175</v>
      </c>
      <c r="FD21" s="79">
        <v>46130</v>
      </c>
      <c r="FE21" s="43">
        <v>23413</v>
      </c>
      <c r="FF21" s="43">
        <v>20717</v>
      </c>
      <c r="FG21" s="44">
        <v>24798</v>
      </c>
      <c r="FH21" s="44">
        <v>24650</v>
      </c>
      <c r="FI21" s="88">
        <v>0.1646</v>
      </c>
      <c r="FJ21" s="45">
        <v>0.25829999999999997</v>
      </c>
      <c r="FK21" s="45">
        <v>0.34350000000000003</v>
      </c>
      <c r="FL21" s="43">
        <v>7.32</v>
      </c>
      <c r="FM21" s="44">
        <v>10.210000000000001</v>
      </c>
      <c r="FN21" s="88">
        <v>0.28310000000000002</v>
      </c>
      <c r="FO21" s="47">
        <v>0.60699999999999998</v>
      </c>
      <c r="FP21" s="48">
        <v>1</v>
      </c>
      <c r="FQ21" s="48">
        <v>1</v>
      </c>
      <c r="FR21" s="44">
        <v>0</v>
      </c>
      <c r="FS21" s="44">
        <v>0</v>
      </c>
      <c r="FT21" s="44" t="s">
        <v>175</v>
      </c>
    </row>
    <row r="22" spans="1:176">
      <c r="A22" s="13">
        <f t="shared" si="5"/>
        <v>46131</v>
      </c>
      <c r="B22" s="42">
        <v>23413</v>
      </c>
      <c r="C22" s="43">
        <v>20717</v>
      </c>
      <c r="D22" s="44">
        <v>25351</v>
      </c>
      <c r="E22" s="44">
        <v>25150</v>
      </c>
      <c r="F22" s="20">
        <f t="shared" si="3"/>
        <v>0.21397885794275232</v>
      </c>
      <c r="G22" s="2">
        <f t="shared" si="0"/>
        <v>0.26407291666666666</v>
      </c>
      <c r="H22" s="2">
        <f t="shared" ref="H22:H33" si="6">E22/($D$2*24)</f>
        <v>0.26197916666666665</v>
      </c>
      <c r="I22" s="42">
        <v>7.32</v>
      </c>
      <c r="J22" s="44">
        <v>9.98</v>
      </c>
      <c r="K22" s="20">
        <f t="shared" si="4"/>
        <v>0.36338797814207652</v>
      </c>
      <c r="L22" s="4">
        <f t="shared" si="2"/>
        <v>0.63504509018036071</v>
      </c>
      <c r="M22" s="363">
        <v>1</v>
      </c>
      <c r="N22" s="48">
        <v>1</v>
      </c>
      <c r="O22" s="44">
        <v>0</v>
      </c>
      <c r="P22" s="44">
        <v>0</v>
      </c>
      <c r="Q22" s="44" t="s">
        <v>175</v>
      </c>
      <c r="FD22" s="79">
        <v>46131</v>
      </c>
      <c r="FE22" s="43">
        <v>23413</v>
      </c>
      <c r="FF22" s="43">
        <v>20717</v>
      </c>
      <c r="FG22" s="44">
        <v>25351</v>
      </c>
      <c r="FH22" s="44">
        <v>25150</v>
      </c>
      <c r="FI22" s="88">
        <v>0.18279999999999999</v>
      </c>
      <c r="FJ22" s="45">
        <v>0.2641</v>
      </c>
      <c r="FK22" s="45">
        <v>0.35120000000000001</v>
      </c>
      <c r="FL22" s="43">
        <v>7.32</v>
      </c>
      <c r="FM22" s="44">
        <v>9.98</v>
      </c>
      <c r="FN22" s="88">
        <v>0.26650000000000001</v>
      </c>
      <c r="FO22" s="47">
        <v>0.63500000000000001</v>
      </c>
      <c r="FP22" s="48">
        <v>1</v>
      </c>
      <c r="FQ22" s="48">
        <v>1</v>
      </c>
      <c r="FR22" s="44">
        <v>0</v>
      </c>
      <c r="FS22" s="44">
        <v>0</v>
      </c>
      <c r="FT22" s="44" t="s">
        <v>175</v>
      </c>
    </row>
    <row r="23" spans="1:176">
      <c r="A23" s="13">
        <f t="shared" si="5"/>
        <v>46132</v>
      </c>
      <c r="B23" s="42">
        <v>23413</v>
      </c>
      <c r="C23" s="43">
        <v>20717</v>
      </c>
      <c r="D23" s="44">
        <v>24124</v>
      </c>
      <c r="E23" s="44">
        <v>24000</v>
      </c>
      <c r="F23" s="20">
        <f t="shared" si="3"/>
        <v>0.15846889028334218</v>
      </c>
      <c r="G23" s="2">
        <f t="shared" si="0"/>
        <v>0.25129166666666669</v>
      </c>
      <c r="H23" s="2">
        <f t="shared" si="6"/>
        <v>0.25</v>
      </c>
      <c r="I23" s="42">
        <v>7.32</v>
      </c>
      <c r="J23" s="44">
        <v>10.7</v>
      </c>
      <c r="K23" s="20">
        <f t="shared" si="4"/>
        <v>0.46174863387978127</v>
      </c>
      <c r="L23" s="4">
        <f t="shared" si="2"/>
        <v>0.5636448598130841</v>
      </c>
      <c r="M23" s="363">
        <v>1</v>
      </c>
      <c r="N23" s="48">
        <v>1</v>
      </c>
      <c r="O23" s="44">
        <v>0</v>
      </c>
      <c r="P23" s="44">
        <v>0</v>
      </c>
      <c r="Q23" s="44" t="s">
        <v>175</v>
      </c>
      <c r="FD23" s="79">
        <v>46132</v>
      </c>
      <c r="FE23" s="43">
        <v>23413</v>
      </c>
      <c r="FF23" s="43">
        <v>20717</v>
      </c>
      <c r="FG23" s="44">
        <v>24124</v>
      </c>
      <c r="FH23" s="44">
        <v>24000</v>
      </c>
      <c r="FI23" s="88">
        <v>0.14119999999999999</v>
      </c>
      <c r="FJ23" s="45">
        <v>0.25130000000000002</v>
      </c>
      <c r="FK23" s="45">
        <v>0.3342</v>
      </c>
      <c r="FL23" s="43">
        <v>7.32</v>
      </c>
      <c r="FM23" s="44">
        <v>10.7</v>
      </c>
      <c r="FN23" s="88">
        <v>0.31590000000000001</v>
      </c>
      <c r="FO23" s="47">
        <v>0.56399999999999995</v>
      </c>
      <c r="FP23" s="48">
        <v>1</v>
      </c>
      <c r="FQ23" s="48">
        <v>1</v>
      </c>
      <c r="FR23" s="44">
        <v>0</v>
      </c>
      <c r="FS23" s="44">
        <v>0</v>
      </c>
      <c r="FT23" s="44" t="s">
        <v>175</v>
      </c>
    </row>
    <row r="24" spans="1:176">
      <c r="A24" s="13">
        <f t="shared" si="5"/>
        <v>46133</v>
      </c>
      <c r="B24" s="42">
        <v>23413</v>
      </c>
      <c r="C24" s="43">
        <v>20717</v>
      </c>
      <c r="D24" s="44">
        <v>25249</v>
      </c>
      <c r="E24" s="44">
        <v>25050</v>
      </c>
      <c r="F24" s="20">
        <f>(IF(ISBLANK(E24),0,E24-C24))/C24</f>
        <v>0.2091519042332384</v>
      </c>
      <c r="G24" s="2">
        <f t="shared" si="0"/>
        <v>0.26301041666666669</v>
      </c>
      <c r="H24" s="2">
        <f t="shared" si="6"/>
        <v>0.26093749999999999</v>
      </c>
      <c r="I24" s="42">
        <v>7.32</v>
      </c>
      <c r="J24" s="44">
        <v>10.87</v>
      </c>
      <c r="K24" s="20">
        <f>(IF(ISBLANK(J24),0,J24-I24))/I24</f>
        <v>0.48497267759562823</v>
      </c>
      <c r="L24" s="4">
        <f t="shared" si="2"/>
        <v>0.58070377184912603</v>
      </c>
      <c r="M24" s="363">
        <v>1</v>
      </c>
      <c r="N24" s="48">
        <v>1</v>
      </c>
      <c r="O24" s="44">
        <v>0</v>
      </c>
      <c r="P24" s="44">
        <v>0</v>
      </c>
      <c r="Q24" s="44" t="s">
        <v>175</v>
      </c>
      <c r="FD24" s="79">
        <v>46133</v>
      </c>
      <c r="FE24" s="43">
        <v>23413</v>
      </c>
      <c r="FF24" s="43">
        <v>20717</v>
      </c>
      <c r="FG24" s="44">
        <v>25249</v>
      </c>
      <c r="FH24" s="44">
        <v>25050</v>
      </c>
      <c r="FI24" s="88">
        <v>0.17949999999999999</v>
      </c>
      <c r="FJ24" s="45">
        <v>0.26300000000000001</v>
      </c>
      <c r="FK24" s="45">
        <v>0.34970000000000001</v>
      </c>
      <c r="FL24" s="43">
        <v>7.32</v>
      </c>
      <c r="FM24" s="44">
        <v>10.87</v>
      </c>
      <c r="FN24" s="88">
        <v>0.3266</v>
      </c>
      <c r="FO24" s="47">
        <v>0.58099999999999996</v>
      </c>
      <c r="FP24" s="48">
        <v>1</v>
      </c>
      <c r="FQ24" s="48">
        <v>1</v>
      </c>
      <c r="FR24" s="44">
        <v>0</v>
      </c>
      <c r="FS24" s="44">
        <v>0</v>
      </c>
      <c r="FT24" s="44" t="s">
        <v>175</v>
      </c>
    </row>
    <row r="25" spans="1:176">
      <c r="A25" s="13">
        <f t="shared" si="5"/>
        <v>46134</v>
      </c>
      <c r="B25" s="42">
        <v>23413</v>
      </c>
      <c r="C25" s="43">
        <v>20717</v>
      </c>
      <c r="D25" s="44">
        <v>25167</v>
      </c>
      <c r="E25" s="44">
        <v>25000</v>
      </c>
      <c r="F25" s="20">
        <f t="shared" ref="F25:F33" si="7">(IF(ISBLANK(E25),0,E25-C25))/C25</f>
        <v>0.20673842737848144</v>
      </c>
      <c r="G25" s="2">
        <f t="shared" si="0"/>
        <v>0.26215624999999998</v>
      </c>
      <c r="H25" s="2">
        <f t="shared" si="6"/>
        <v>0.26041666666666669</v>
      </c>
      <c r="I25" s="42">
        <v>7.32</v>
      </c>
      <c r="J25" s="44">
        <v>10.68</v>
      </c>
      <c r="K25" s="20">
        <f t="shared" ref="K25:K34" si="8">(IF(ISBLANK(J25),0,J25-I25))/I25</f>
        <v>0.45901639344262285</v>
      </c>
      <c r="L25" s="4">
        <f t="shared" si="2"/>
        <v>0.58911516853932588</v>
      </c>
      <c r="M25" s="363">
        <v>1</v>
      </c>
      <c r="N25" s="48">
        <v>1</v>
      </c>
      <c r="O25" s="44">
        <v>0</v>
      </c>
      <c r="P25" s="44">
        <v>0</v>
      </c>
      <c r="Q25" s="44" t="s">
        <v>175</v>
      </c>
      <c r="FD25" s="79">
        <v>46134</v>
      </c>
      <c r="FE25" s="43">
        <v>23413</v>
      </c>
      <c r="FF25" s="43">
        <v>20717</v>
      </c>
      <c r="FG25" s="44">
        <v>25167</v>
      </c>
      <c r="FH25" s="44">
        <v>25000</v>
      </c>
      <c r="FI25" s="88">
        <v>0.17680000000000001</v>
      </c>
      <c r="FJ25" s="45">
        <v>0.26219999999999999</v>
      </c>
      <c r="FK25" s="45">
        <v>0.34860000000000002</v>
      </c>
      <c r="FL25" s="43">
        <v>7.32</v>
      </c>
      <c r="FM25" s="44">
        <v>10.68</v>
      </c>
      <c r="FN25" s="88">
        <v>0.31459999999999999</v>
      </c>
      <c r="FO25" s="47">
        <v>0.58899999999999997</v>
      </c>
      <c r="FP25" s="48">
        <v>1</v>
      </c>
      <c r="FQ25" s="48">
        <v>1</v>
      </c>
      <c r="FR25" s="44">
        <v>0</v>
      </c>
      <c r="FS25" s="44">
        <v>0</v>
      </c>
      <c r="FT25" s="44" t="s">
        <v>175</v>
      </c>
    </row>
    <row r="26" spans="1:176">
      <c r="A26" s="13">
        <f t="shared" si="5"/>
        <v>46135</v>
      </c>
      <c r="B26" s="42">
        <v>23413</v>
      </c>
      <c r="C26" s="43">
        <v>20717</v>
      </c>
      <c r="D26" s="44">
        <v>24632</v>
      </c>
      <c r="E26" s="44">
        <v>24500</v>
      </c>
      <c r="F26" s="20">
        <f t="shared" si="7"/>
        <v>0.18260365883091181</v>
      </c>
      <c r="G26" s="2">
        <f t="shared" si="0"/>
        <v>0.25658333333333333</v>
      </c>
      <c r="H26" s="2">
        <f t="shared" si="6"/>
        <v>0.25520833333333331</v>
      </c>
      <c r="I26" s="42">
        <v>7.32</v>
      </c>
      <c r="J26" s="44">
        <v>10.4</v>
      </c>
      <c r="K26" s="20">
        <f t="shared" si="8"/>
        <v>0.42076502732240434</v>
      </c>
      <c r="L26" s="4">
        <f t="shared" si="2"/>
        <v>0.5921153846153846</v>
      </c>
      <c r="M26" s="363">
        <v>1</v>
      </c>
      <c r="N26" s="48">
        <v>1</v>
      </c>
      <c r="O26" s="44">
        <v>0</v>
      </c>
      <c r="P26" s="44">
        <v>0</v>
      </c>
      <c r="Q26" s="44" t="s">
        <v>175</v>
      </c>
      <c r="FD26" s="79">
        <v>46135</v>
      </c>
      <c r="FE26" s="43">
        <v>23413</v>
      </c>
      <c r="FF26" s="43">
        <v>20717</v>
      </c>
      <c r="FG26" s="44">
        <v>24632</v>
      </c>
      <c r="FH26" s="44">
        <v>24500</v>
      </c>
      <c r="FI26" s="88">
        <v>0.159</v>
      </c>
      <c r="FJ26" s="45">
        <v>0.25659999999999999</v>
      </c>
      <c r="FK26" s="45">
        <v>0.3412</v>
      </c>
      <c r="FL26" s="43">
        <v>7.32</v>
      </c>
      <c r="FM26" s="44">
        <v>10.4</v>
      </c>
      <c r="FN26" s="88">
        <v>0.29620000000000002</v>
      </c>
      <c r="FO26" s="47">
        <v>0.59199999999999997</v>
      </c>
      <c r="FP26" s="48">
        <v>1</v>
      </c>
      <c r="FQ26" s="48">
        <v>1</v>
      </c>
      <c r="FR26" s="44">
        <v>0</v>
      </c>
      <c r="FS26" s="44">
        <v>0</v>
      </c>
      <c r="FT26" s="44" t="s">
        <v>175</v>
      </c>
    </row>
    <row r="27" spans="1:176">
      <c r="A27" s="13">
        <f t="shared" si="5"/>
        <v>46136</v>
      </c>
      <c r="B27" s="42">
        <v>23413</v>
      </c>
      <c r="C27" s="43">
        <v>20717</v>
      </c>
      <c r="D27" s="44">
        <v>23587</v>
      </c>
      <c r="E27" s="44">
        <v>23400</v>
      </c>
      <c r="F27" s="20">
        <f t="shared" si="7"/>
        <v>0.12950716802625864</v>
      </c>
      <c r="G27" s="2">
        <f t="shared" si="0"/>
        <v>0.24569791666666665</v>
      </c>
      <c r="H27" s="2">
        <f t="shared" si="6"/>
        <v>0.24374999999999999</v>
      </c>
      <c r="I27" s="42">
        <v>7.32</v>
      </c>
      <c r="J27" s="44">
        <v>10.210000000000001</v>
      </c>
      <c r="K27" s="20">
        <f t="shared" si="8"/>
        <v>0.39480874316939896</v>
      </c>
      <c r="L27" s="4">
        <f t="shared" si="2"/>
        <v>0.57754652301665033</v>
      </c>
      <c r="M27" s="363">
        <v>1</v>
      </c>
      <c r="N27" s="48">
        <v>1</v>
      </c>
      <c r="O27" s="44">
        <v>0</v>
      </c>
      <c r="P27" s="44">
        <v>0</v>
      </c>
      <c r="Q27" s="44" t="s">
        <v>175</v>
      </c>
      <c r="FD27" s="79">
        <v>46136</v>
      </c>
      <c r="FE27" s="43">
        <v>23413</v>
      </c>
      <c r="FF27" s="43">
        <v>20717</v>
      </c>
      <c r="FG27" s="44">
        <v>23587</v>
      </c>
      <c r="FH27" s="44">
        <v>23400</v>
      </c>
      <c r="FI27" s="88">
        <v>0.1217</v>
      </c>
      <c r="FJ27" s="45">
        <v>0.2457</v>
      </c>
      <c r="FK27" s="45">
        <v>0.32669999999999999</v>
      </c>
      <c r="FL27" s="43">
        <v>7.32</v>
      </c>
      <c r="FM27" s="44">
        <v>10.210000000000001</v>
      </c>
      <c r="FN27" s="88">
        <v>0.28310000000000002</v>
      </c>
      <c r="FO27" s="47">
        <v>0.57799999999999996</v>
      </c>
      <c r="FP27" s="48">
        <v>1</v>
      </c>
      <c r="FQ27" s="48">
        <v>1</v>
      </c>
      <c r="FR27" s="44">
        <v>0</v>
      </c>
      <c r="FS27" s="44">
        <v>0</v>
      </c>
      <c r="FT27" s="44" t="s">
        <v>175</v>
      </c>
    </row>
    <row r="28" spans="1:176">
      <c r="A28" s="13">
        <f t="shared" si="5"/>
        <v>46137</v>
      </c>
      <c r="B28" s="42">
        <v>23413</v>
      </c>
      <c r="C28" s="43">
        <v>20717</v>
      </c>
      <c r="D28" s="44">
        <v>23608</v>
      </c>
      <c r="E28" s="44">
        <v>23500</v>
      </c>
      <c r="F28" s="20">
        <f t="shared" si="7"/>
        <v>0.13433412173577255</v>
      </c>
      <c r="G28" s="2">
        <f t="shared" si="0"/>
        <v>0.24591666666666667</v>
      </c>
      <c r="H28" s="2">
        <f t="shared" si="6"/>
        <v>0.24479166666666666</v>
      </c>
      <c r="I28" s="42">
        <v>7.32</v>
      </c>
      <c r="J28" s="44">
        <v>10.02</v>
      </c>
      <c r="K28" s="20">
        <f t="shared" si="8"/>
        <v>0.36885245901639335</v>
      </c>
      <c r="L28" s="4">
        <f t="shared" si="2"/>
        <v>0.58902195608782437</v>
      </c>
      <c r="M28" s="363">
        <v>1</v>
      </c>
      <c r="N28" s="48">
        <v>1</v>
      </c>
      <c r="O28" s="44">
        <v>0</v>
      </c>
      <c r="P28" s="44">
        <v>0</v>
      </c>
      <c r="Q28" s="44" t="s">
        <v>175</v>
      </c>
      <c r="FD28" s="79">
        <v>46137</v>
      </c>
      <c r="FE28" s="43">
        <v>23413</v>
      </c>
      <c r="FF28" s="43">
        <v>20717</v>
      </c>
      <c r="FG28" s="44">
        <v>23608</v>
      </c>
      <c r="FH28" s="44">
        <v>23500</v>
      </c>
      <c r="FI28" s="88">
        <v>0.1225</v>
      </c>
      <c r="FJ28" s="45">
        <v>0.24590000000000001</v>
      </c>
      <c r="FK28" s="45">
        <v>0.32700000000000001</v>
      </c>
      <c r="FL28" s="43">
        <v>7.32</v>
      </c>
      <c r="FM28" s="44">
        <v>10.02</v>
      </c>
      <c r="FN28" s="88">
        <v>0.26950000000000002</v>
      </c>
      <c r="FO28" s="47">
        <v>0.58899999999999997</v>
      </c>
      <c r="FP28" s="48">
        <v>1</v>
      </c>
      <c r="FQ28" s="48">
        <v>1</v>
      </c>
      <c r="FR28" s="44">
        <v>0</v>
      </c>
      <c r="FS28" s="44">
        <v>0</v>
      </c>
      <c r="FT28" s="44" t="s">
        <v>175</v>
      </c>
    </row>
    <row r="29" spans="1:176">
      <c r="A29" s="13">
        <f t="shared" si="5"/>
        <v>46138</v>
      </c>
      <c r="B29" s="42">
        <v>23413</v>
      </c>
      <c r="C29" s="43">
        <v>20717</v>
      </c>
      <c r="D29" s="44">
        <v>24110</v>
      </c>
      <c r="E29" s="44">
        <v>23950</v>
      </c>
      <c r="F29" s="20">
        <f t="shared" si="7"/>
        <v>0.15605541342858523</v>
      </c>
      <c r="G29" s="2">
        <f t="shared" si="0"/>
        <v>0.25114583333333335</v>
      </c>
      <c r="H29" s="2">
        <f t="shared" si="6"/>
        <v>0.24947916666666667</v>
      </c>
      <c r="I29" s="42">
        <v>7.32</v>
      </c>
      <c r="J29" s="44">
        <v>10.39</v>
      </c>
      <c r="K29" s="20">
        <f t="shared" si="8"/>
        <v>0.41939890710382516</v>
      </c>
      <c r="L29" s="4">
        <f t="shared" si="2"/>
        <v>0.58012512030798846</v>
      </c>
      <c r="M29" s="363">
        <v>1</v>
      </c>
      <c r="N29" s="48">
        <v>1</v>
      </c>
      <c r="O29" s="44">
        <v>0</v>
      </c>
      <c r="P29" s="44">
        <v>0</v>
      </c>
      <c r="Q29" s="44" t="s">
        <v>175</v>
      </c>
      <c r="FD29" s="79">
        <v>46138</v>
      </c>
      <c r="FE29" s="43">
        <v>23413</v>
      </c>
      <c r="FF29" s="43">
        <v>20717</v>
      </c>
      <c r="FG29" s="44">
        <v>24110</v>
      </c>
      <c r="FH29" s="44">
        <v>23950</v>
      </c>
      <c r="FI29" s="88">
        <v>0.14080000000000001</v>
      </c>
      <c r="FJ29" s="45">
        <v>0.25109999999999999</v>
      </c>
      <c r="FK29" s="45">
        <v>0.33400000000000002</v>
      </c>
      <c r="FL29" s="43">
        <v>7.32</v>
      </c>
      <c r="FM29" s="44">
        <v>10.39</v>
      </c>
      <c r="FN29" s="88">
        <v>0.29549999999999998</v>
      </c>
      <c r="FO29" s="47">
        <v>0.57999999999999996</v>
      </c>
      <c r="FP29" s="48">
        <v>1</v>
      </c>
      <c r="FQ29" s="48">
        <v>1</v>
      </c>
      <c r="FR29" s="44">
        <v>0</v>
      </c>
      <c r="FS29" s="44">
        <v>0</v>
      </c>
      <c r="FT29" s="44" t="s">
        <v>175</v>
      </c>
    </row>
    <row r="30" spans="1:176">
      <c r="A30" s="13">
        <f t="shared" si="5"/>
        <v>46139</v>
      </c>
      <c r="B30" s="42">
        <v>23413</v>
      </c>
      <c r="C30" s="43">
        <v>20717</v>
      </c>
      <c r="D30" s="44">
        <v>23952</v>
      </c>
      <c r="E30" s="44">
        <v>23800</v>
      </c>
      <c r="F30" s="20">
        <f t="shared" si="7"/>
        <v>0.14881498286431433</v>
      </c>
      <c r="G30" s="2">
        <f t="shared" si="0"/>
        <v>0.2495</v>
      </c>
      <c r="H30" s="2">
        <f t="shared" si="6"/>
        <v>0.24791666666666667</v>
      </c>
      <c r="I30" s="42">
        <v>7.32</v>
      </c>
      <c r="J30" s="44">
        <v>10.45</v>
      </c>
      <c r="K30" s="20">
        <f t="shared" si="8"/>
        <v>0.42759562841530041</v>
      </c>
      <c r="L30" s="4">
        <f t="shared" si="2"/>
        <v>0.57301435406698564</v>
      </c>
      <c r="M30" s="363">
        <v>1</v>
      </c>
      <c r="N30" s="48">
        <v>1</v>
      </c>
      <c r="O30" s="44">
        <v>0</v>
      </c>
      <c r="P30" s="44">
        <v>0</v>
      </c>
      <c r="Q30" s="44" t="s">
        <v>175</v>
      </c>
      <c r="FD30" s="79">
        <v>46139</v>
      </c>
      <c r="FE30" s="43">
        <v>23413</v>
      </c>
      <c r="FF30" s="43">
        <v>20717</v>
      </c>
      <c r="FG30" s="44">
        <v>23952</v>
      </c>
      <c r="FH30" s="44">
        <v>23800</v>
      </c>
      <c r="FI30" s="88">
        <v>0.1351</v>
      </c>
      <c r="FJ30" s="45">
        <v>0.2495</v>
      </c>
      <c r="FK30" s="45">
        <v>0.33179999999999998</v>
      </c>
      <c r="FL30" s="43">
        <v>7.32</v>
      </c>
      <c r="FM30" s="44">
        <v>10.45</v>
      </c>
      <c r="FN30" s="88">
        <v>0.29949999999999999</v>
      </c>
      <c r="FO30" s="47">
        <v>0.57299999999999995</v>
      </c>
      <c r="FP30" s="48">
        <v>1</v>
      </c>
      <c r="FQ30" s="48">
        <v>1</v>
      </c>
      <c r="FR30" s="44">
        <v>0</v>
      </c>
      <c r="FS30" s="44">
        <v>0</v>
      </c>
      <c r="FT30" s="44" t="s">
        <v>175</v>
      </c>
    </row>
    <row r="31" spans="1:176">
      <c r="A31" s="13">
        <f t="shared" si="5"/>
        <v>46140</v>
      </c>
      <c r="B31" s="42">
        <v>23413</v>
      </c>
      <c r="C31" s="43">
        <v>20717</v>
      </c>
      <c r="D31" s="44">
        <v>23789</v>
      </c>
      <c r="E31" s="44">
        <v>23600</v>
      </c>
      <c r="F31" s="20">
        <f t="shared" si="7"/>
        <v>0.13916107544528647</v>
      </c>
      <c r="G31" s="2">
        <f t="shared" si="0"/>
        <v>0.24780208333333334</v>
      </c>
      <c r="H31" s="2">
        <f t="shared" si="6"/>
        <v>0.24583333333333332</v>
      </c>
      <c r="I31" s="42">
        <v>7.32</v>
      </c>
      <c r="J31" s="44">
        <v>10.3</v>
      </c>
      <c r="K31" s="20">
        <f t="shared" si="8"/>
        <v>0.40710382513661209</v>
      </c>
      <c r="L31" s="4">
        <f t="shared" si="2"/>
        <v>0.57740291262135923</v>
      </c>
      <c r="M31" s="363">
        <v>1</v>
      </c>
      <c r="N31" s="48">
        <v>1</v>
      </c>
      <c r="O31" s="44">
        <v>0</v>
      </c>
      <c r="P31" s="44">
        <v>0</v>
      </c>
      <c r="Q31" s="44" t="s">
        <v>175</v>
      </c>
      <c r="FD31" s="79">
        <v>46140</v>
      </c>
      <c r="FE31" s="43">
        <v>23413</v>
      </c>
      <c r="FF31" s="43">
        <v>20717</v>
      </c>
      <c r="FG31" s="44">
        <v>23789</v>
      </c>
      <c r="FH31" s="44">
        <v>23600</v>
      </c>
      <c r="FI31" s="88">
        <v>0.12920000000000001</v>
      </c>
      <c r="FJ31" s="45">
        <v>0.24779999999999999</v>
      </c>
      <c r="FK31" s="45">
        <v>0.32950000000000002</v>
      </c>
      <c r="FL31" s="43">
        <v>7.32</v>
      </c>
      <c r="FM31" s="44">
        <v>10.3</v>
      </c>
      <c r="FN31" s="88">
        <v>0.2893</v>
      </c>
      <c r="FO31" s="47">
        <v>0.57699999999999996</v>
      </c>
      <c r="FP31" s="48">
        <v>1</v>
      </c>
      <c r="FQ31" s="48">
        <v>1</v>
      </c>
      <c r="FR31" s="44">
        <v>0</v>
      </c>
      <c r="FS31" s="44">
        <v>0</v>
      </c>
      <c r="FT31" s="44" t="s">
        <v>175</v>
      </c>
    </row>
    <row r="32" spans="1:176">
      <c r="A32" s="13">
        <f t="shared" si="5"/>
        <v>46141</v>
      </c>
      <c r="B32" s="42">
        <v>23413</v>
      </c>
      <c r="C32" s="43">
        <v>20717</v>
      </c>
      <c r="D32" s="44">
        <v>23304</v>
      </c>
      <c r="E32" s="44">
        <v>23200</v>
      </c>
      <c r="F32" s="20">
        <f t="shared" si="7"/>
        <v>0.11985326060723078</v>
      </c>
      <c r="G32" s="2">
        <f t="shared" si="0"/>
        <v>0.24274999999999999</v>
      </c>
      <c r="H32" s="2">
        <f t="shared" si="6"/>
        <v>0.24166666666666667</v>
      </c>
      <c r="I32" s="42">
        <v>7.32</v>
      </c>
      <c r="J32" s="44">
        <v>9.5500000000000007</v>
      </c>
      <c r="K32" s="20">
        <f t="shared" si="8"/>
        <v>0.30464480874316946</v>
      </c>
      <c r="L32" s="4">
        <f t="shared" si="2"/>
        <v>0.61005235602094243</v>
      </c>
      <c r="M32" s="363">
        <v>1</v>
      </c>
      <c r="N32" s="48">
        <v>1</v>
      </c>
      <c r="O32" s="44">
        <v>0</v>
      </c>
      <c r="P32" s="44">
        <v>0</v>
      </c>
      <c r="Q32" s="44" t="s">
        <v>175</v>
      </c>
      <c r="FD32" s="79">
        <v>46141</v>
      </c>
      <c r="FE32" s="43">
        <v>23413</v>
      </c>
      <c r="FF32" s="43">
        <v>20717</v>
      </c>
      <c r="FG32" s="44">
        <v>23304</v>
      </c>
      <c r="FH32" s="44">
        <v>23200</v>
      </c>
      <c r="FI32" s="88">
        <v>0.111</v>
      </c>
      <c r="FJ32" s="45">
        <v>0.24279999999999999</v>
      </c>
      <c r="FK32" s="45">
        <v>0.32279999999999998</v>
      </c>
      <c r="FL32" s="43">
        <v>7.32</v>
      </c>
      <c r="FM32" s="44">
        <v>9.5500000000000007</v>
      </c>
      <c r="FN32" s="88">
        <v>0.23350000000000001</v>
      </c>
      <c r="FO32" s="47">
        <v>0.61</v>
      </c>
      <c r="FP32" s="48">
        <v>1</v>
      </c>
      <c r="FQ32" s="48">
        <v>1</v>
      </c>
      <c r="FR32" s="44">
        <v>0</v>
      </c>
      <c r="FS32" s="44">
        <v>0</v>
      </c>
      <c r="FT32" s="44" t="s">
        <v>175</v>
      </c>
    </row>
    <row r="33" spans="1:176">
      <c r="A33" s="13">
        <f t="shared" si="5"/>
        <v>46142</v>
      </c>
      <c r="B33" s="42">
        <v>23413</v>
      </c>
      <c r="C33" s="43">
        <v>20717</v>
      </c>
      <c r="D33" s="44">
        <v>21491</v>
      </c>
      <c r="E33" s="44">
        <v>21350</v>
      </c>
      <c r="F33" s="20">
        <f t="shared" si="7"/>
        <v>3.0554616981223151E-2</v>
      </c>
      <c r="G33" s="2">
        <f t="shared" si="0"/>
        <v>0.22386458333333334</v>
      </c>
      <c r="H33" s="2">
        <f t="shared" si="6"/>
        <v>0.22239583333333332</v>
      </c>
      <c r="I33" s="42">
        <v>7.32</v>
      </c>
      <c r="J33" s="44">
        <v>9.41</v>
      </c>
      <c r="K33" s="20">
        <f t="shared" si="8"/>
        <v>0.28551912568306009</v>
      </c>
      <c r="L33" s="4">
        <f t="shared" si="2"/>
        <v>0.57096174282678003</v>
      </c>
      <c r="M33" s="363">
        <v>1</v>
      </c>
      <c r="N33" s="48">
        <v>1</v>
      </c>
      <c r="O33" s="44">
        <v>0</v>
      </c>
      <c r="P33" s="44">
        <v>0</v>
      </c>
      <c r="Q33" s="44" t="s">
        <v>175</v>
      </c>
      <c r="FD33" s="79">
        <v>46142</v>
      </c>
      <c r="FE33" s="43">
        <v>23413</v>
      </c>
      <c r="FF33" s="43">
        <v>20717</v>
      </c>
      <c r="FG33" s="44">
        <v>21491</v>
      </c>
      <c r="FH33" s="44">
        <v>21350</v>
      </c>
      <c r="FI33" s="88">
        <v>3.5999999999999997E-2</v>
      </c>
      <c r="FJ33" s="45">
        <v>0.22389999999999999</v>
      </c>
      <c r="FK33" s="45">
        <v>0.29770000000000002</v>
      </c>
      <c r="FL33" s="43">
        <v>7.32</v>
      </c>
      <c r="FM33" s="44">
        <v>9.41</v>
      </c>
      <c r="FN33" s="88">
        <v>0.22209999999999999</v>
      </c>
      <c r="FO33" s="47">
        <v>0.57099999999999995</v>
      </c>
      <c r="FP33" s="48">
        <v>1</v>
      </c>
      <c r="FQ33" s="48">
        <v>1</v>
      </c>
      <c r="FR33" s="44">
        <v>0</v>
      </c>
      <c r="FS33" s="44">
        <v>0</v>
      </c>
      <c r="FT33" s="44" t="s">
        <v>175</v>
      </c>
    </row>
    <row r="34" spans="1:176">
      <c r="A34" s="349">
        <v>46114</v>
      </c>
      <c r="B34" s="17">
        <f>SUM(B4:B33)</f>
        <v>702390</v>
      </c>
      <c r="C34" s="17">
        <f>SUM(C4:C33)</f>
        <v>621510</v>
      </c>
      <c r="D34" s="17">
        <f>SUM(D4:D33)</f>
        <v>683482</v>
      </c>
      <c r="E34" s="17">
        <f>SUM(E4:E33)</f>
        <v>679150</v>
      </c>
      <c r="F34" s="18">
        <f>(IF(ISBLANK(E34),0,E34-C34))/C34</f>
        <v>9.2741870605460894E-2</v>
      </c>
      <c r="G34" s="18">
        <f>AVERAGE(G4:G33)</f>
        <v>0.23732013888888895</v>
      </c>
      <c r="H34" s="18">
        <f>AVERAGE(H4:H33)</f>
        <v>0.28191766400709217</v>
      </c>
      <c r="I34" s="17">
        <f>SUM(I4:I33)</f>
        <v>219.59999999999985</v>
      </c>
      <c r="J34" s="17">
        <f>SUM(J4:J33)</f>
        <v>293.67000000000007</v>
      </c>
      <c r="K34" s="364">
        <f t="shared" si="8"/>
        <v>0.33729508196721436</v>
      </c>
      <c r="L34" s="17">
        <f t="shared" si="2"/>
        <v>0.58184526849865481</v>
      </c>
      <c r="M34" s="18">
        <f>AVERAGE(M4:M33)</f>
        <v>0.99736999999999998</v>
      </c>
      <c r="N34" s="18">
        <f>AVERAGE(N4:N33)</f>
        <v>0.98665666666666663</v>
      </c>
      <c r="O34" s="17">
        <f>SUM(O4:O33)</f>
        <v>12530</v>
      </c>
      <c r="P34" s="17">
        <f>SUM(P4:P33)</f>
        <v>1899</v>
      </c>
      <c r="Q34" s="19"/>
    </row>
    <row r="35" spans="1:176">
      <c r="A35" s="13">
        <v>46143</v>
      </c>
      <c r="B35" s="35">
        <v>23077</v>
      </c>
      <c r="C35" s="36">
        <v>20419</v>
      </c>
      <c r="D35" s="37">
        <v>21538</v>
      </c>
      <c r="E35" s="37">
        <v>21450</v>
      </c>
      <c r="F35" s="20">
        <f>(IF(ISBLANK(E35),0,E35-C35))/C35</f>
        <v>5.0492188647828E-2</v>
      </c>
      <c r="G35" s="2">
        <f t="shared" ref="G35:G65" si="9">D35/($D$2*24)</f>
        <v>0.22435416666666666</v>
      </c>
      <c r="H35" s="2">
        <f t="shared" ref="H35:H52" si="10">D35/($H$2*24)</f>
        <v>0.29834330673758863</v>
      </c>
      <c r="I35" s="35">
        <v>7.22</v>
      </c>
      <c r="J35" s="37">
        <v>9.59</v>
      </c>
      <c r="K35" s="20">
        <f>(IF(ISBLANK(J35),0,J35-I35))/I35</f>
        <v>0.32825484764542939</v>
      </c>
      <c r="L35" s="4">
        <f t="shared" si="2"/>
        <v>0.56147028154327427</v>
      </c>
      <c r="M35" s="362">
        <v>1</v>
      </c>
      <c r="N35" s="41">
        <v>1</v>
      </c>
      <c r="O35" s="37">
        <v>0</v>
      </c>
      <c r="P35" s="37">
        <v>0</v>
      </c>
      <c r="Q35" s="6"/>
    </row>
    <row r="36" spans="1:176">
      <c r="A36" s="13">
        <f>A35+1</f>
        <v>46144</v>
      </c>
      <c r="B36" s="42">
        <v>23077</v>
      </c>
      <c r="C36" s="43">
        <v>20419</v>
      </c>
      <c r="D36" s="44">
        <v>20906</v>
      </c>
      <c r="E36" s="44">
        <v>20750</v>
      </c>
      <c r="F36" s="20">
        <f t="shared" ref="F36:F54" si="11">(IF(ISBLANK(E36),0,E36-C36))/C36</f>
        <v>1.6210392281698419E-2</v>
      </c>
      <c r="G36" s="2">
        <f t="shared" si="9"/>
        <v>0.21777083333333333</v>
      </c>
      <c r="H36" s="2">
        <f t="shared" si="10"/>
        <v>0.28958887411347517</v>
      </c>
      <c r="I36" s="42">
        <v>7.22</v>
      </c>
      <c r="J36" s="44">
        <v>9.56</v>
      </c>
      <c r="K36" s="20">
        <f t="shared" ref="K36:K54" si="12">(IF(ISBLANK(J36),0,J36-I36))/I36</f>
        <v>0.32409972299168988</v>
      </c>
      <c r="L36" s="4">
        <f t="shared" ref="L36:L66" si="13">D36/($D$2*J36)</f>
        <v>0.5467050209205021</v>
      </c>
      <c r="M36" s="363">
        <v>1</v>
      </c>
      <c r="N36" s="48">
        <v>1</v>
      </c>
      <c r="O36" s="44">
        <v>0</v>
      </c>
      <c r="P36" s="44">
        <v>0</v>
      </c>
      <c r="Q36" s="6"/>
    </row>
    <row r="37" spans="1:176">
      <c r="A37" s="13">
        <f t="shared" ref="A37:A65" si="14">A36+1</f>
        <v>46145</v>
      </c>
      <c r="B37" s="42">
        <v>23077</v>
      </c>
      <c r="C37" s="43">
        <v>20419</v>
      </c>
      <c r="D37" s="44">
        <v>21193</v>
      </c>
      <c r="E37" s="44">
        <v>21000</v>
      </c>
      <c r="F37" s="20">
        <f t="shared" si="11"/>
        <v>2.8453890983887557E-2</v>
      </c>
      <c r="G37" s="2">
        <f t="shared" si="9"/>
        <v>0.22076041666666665</v>
      </c>
      <c r="H37" s="2">
        <f t="shared" si="10"/>
        <v>0.29356438386524825</v>
      </c>
      <c r="I37" s="42">
        <v>7.22</v>
      </c>
      <c r="J37" s="44">
        <v>10.08</v>
      </c>
      <c r="K37" s="20">
        <f t="shared" si="12"/>
        <v>0.39612188365650974</v>
      </c>
      <c r="L37" s="4">
        <f t="shared" si="13"/>
        <v>0.52562003968253967</v>
      </c>
      <c r="M37" s="363">
        <v>1</v>
      </c>
      <c r="N37" s="48">
        <v>1</v>
      </c>
      <c r="O37" s="44">
        <v>0</v>
      </c>
      <c r="P37" s="44">
        <v>0</v>
      </c>
      <c r="Q37" s="6"/>
    </row>
    <row r="38" spans="1:176">
      <c r="A38" s="13">
        <f t="shared" si="14"/>
        <v>46146</v>
      </c>
      <c r="B38" s="42">
        <v>23077</v>
      </c>
      <c r="C38" s="43">
        <v>20419</v>
      </c>
      <c r="D38" s="200">
        <v>21036</v>
      </c>
      <c r="E38" s="200">
        <v>20950</v>
      </c>
      <c r="F38" s="20">
        <f t="shared" si="11"/>
        <v>2.600519124344973E-2</v>
      </c>
      <c r="G38" s="2">
        <f t="shared" si="9"/>
        <v>0.21912499999999999</v>
      </c>
      <c r="H38" s="2">
        <f t="shared" si="10"/>
        <v>0.29138962765957449</v>
      </c>
      <c r="I38" s="42">
        <v>7.22</v>
      </c>
      <c r="J38" s="201">
        <v>10.130000000000001</v>
      </c>
      <c r="K38" s="20">
        <f t="shared" si="12"/>
        <v>0.40304709141274253</v>
      </c>
      <c r="L38" s="4">
        <f t="shared" si="13"/>
        <v>0.5191510365251728</v>
      </c>
      <c r="M38" s="363">
        <v>1</v>
      </c>
      <c r="N38" s="48">
        <v>1</v>
      </c>
      <c r="O38" s="44">
        <v>0</v>
      </c>
      <c r="P38" s="44">
        <v>0</v>
      </c>
      <c r="Q38" s="14"/>
    </row>
    <row r="39" spans="1:176">
      <c r="A39" s="13">
        <f t="shared" si="14"/>
        <v>46147</v>
      </c>
      <c r="B39" s="42">
        <v>23077</v>
      </c>
      <c r="C39" s="43">
        <v>20419</v>
      </c>
      <c r="D39" s="200">
        <v>20061</v>
      </c>
      <c r="E39" s="200">
        <v>20050</v>
      </c>
      <c r="F39" s="20">
        <f t="shared" si="11"/>
        <v>-1.8071404084431166E-2</v>
      </c>
      <c r="G39" s="2">
        <f t="shared" si="9"/>
        <v>0.20896875000000001</v>
      </c>
      <c r="H39" s="2">
        <f t="shared" si="10"/>
        <v>0.27788397606382981</v>
      </c>
      <c r="I39" s="42">
        <v>7.22</v>
      </c>
      <c r="J39" s="201">
        <v>9.65</v>
      </c>
      <c r="K39" s="20">
        <f t="shared" si="12"/>
        <v>0.3365650969529087</v>
      </c>
      <c r="L39" s="4">
        <f t="shared" si="13"/>
        <v>0.51971502590673579</v>
      </c>
      <c r="M39" s="363">
        <v>1</v>
      </c>
      <c r="N39" s="48">
        <v>1</v>
      </c>
      <c r="O39" s="44">
        <v>0</v>
      </c>
      <c r="P39" s="44">
        <v>0</v>
      </c>
      <c r="Q39" s="14"/>
    </row>
    <row r="40" spans="1:176">
      <c r="A40" s="13">
        <f t="shared" si="14"/>
        <v>46148</v>
      </c>
      <c r="B40" s="42">
        <v>23077</v>
      </c>
      <c r="C40" s="43">
        <v>20419</v>
      </c>
      <c r="D40" s="200">
        <v>20219</v>
      </c>
      <c r="E40" s="200">
        <v>20100</v>
      </c>
      <c r="F40" s="20">
        <f t="shared" si="11"/>
        <v>-1.562270434399334E-2</v>
      </c>
      <c r="G40" s="2">
        <f t="shared" si="9"/>
        <v>0.21061458333333333</v>
      </c>
      <c r="H40" s="2">
        <f t="shared" si="10"/>
        <v>0.28007258421985815</v>
      </c>
      <c r="I40" s="400">
        <v>7.22</v>
      </c>
      <c r="J40" s="201">
        <v>9.6999999999999993</v>
      </c>
      <c r="K40" s="20">
        <f t="shared" si="12"/>
        <v>0.34349030470914121</v>
      </c>
      <c r="L40" s="4">
        <f t="shared" si="13"/>
        <v>0.52110824742268036</v>
      </c>
      <c r="M40" s="363">
        <v>1</v>
      </c>
      <c r="N40" s="48">
        <v>1</v>
      </c>
      <c r="O40" s="44">
        <v>0</v>
      </c>
      <c r="P40" s="44">
        <v>0</v>
      </c>
      <c r="Q40" s="14"/>
    </row>
    <row r="41" spans="1:176">
      <c r="A41" s="13">
        <f t="shared" si="14"/>
        <v>46149</v>
      </c>
      <c r="B41" s="1"/>
      <c r="C41" s="1"/>
      <c r="D41" s="200"/>
      <c r="E41" s="200"/>
      <c r="F41" s="20" t="e">
        <f t="shared" si="11"/>
        <v>#DIV/0!</v>
      </c>
      <c r="G41" s="2">
        <f t="shared" si="9"/>
        <v>0</v>
      </c>
      <c r="H41" s="2">
        <f t="shared" si="10"/>
        <v>0</v>
      </c>
      <c r="I41" s="3"/>
      <c r="J41" s="201"/>
      <c r="K41" s="20" t="e">
        <f t="shared" si="12"/>
        <v>#DIV/0!</v>
      </c>
      <c r="L41" s="4" t="e">
        <f t="shared" si="13"/>
        <v>#DIV/0!</v>
      </c>
      <c r="M41" s="5"/>
      <c r="N41" s="15"/>
      <c r="O41" s="6"/>
      <c r="P41" s="6"/>
      <c r="Q41" s="202"/>
    </row>
    <row r="42" spans="1:176">
      <c r="A42" s="13">
        <f t="shared" si="14"/>
        <v>46150</v>
      </c>
      <c r="B42" s="1"/>
      <c r="C42" s="1"/>
      <c r="D42" s="200"/>
      <c r="E42" s="200"/>
      <c r="F42" s="20" t="e">
        <f t="shared" si="11"/>
        <v>#DIV/0!</v>
      </c>
      <c r="G42" s="2">
        <f t="shared" si="9"/>
        <v>0</v>
      </c>
      <c r="H42" s="2">
        <f t="shared" si="10"/>
        <v>0</v>
      </c>
      <c r="I42" s="3"/>
      <c r="J42" s="201"/>
      <c r="K42" s="20" t="e">
        <f t="shared" si="12"/>
        <v>#DIV/0!</v>
      </c>
      <c r="L42" s="4" t="e">
        <f t="shared" si="13"/>
        <v>#DIV/0!</v>
      </c>
      <c r="M42" s="5"/>
      <c r="N42" s="15"/>
      <c r="O42" s="6"/>
      <c r="P42" s="6"/>
      <c r="Q42" s="14"/>
    </row>
    <row r="43" spans="1:176">
      <c r="A43" s="13">
        <f t="shared" si="14"/>
        <v>46151</v>
      </c>
      <c r="B43" s="1"/>
      <c r="C43" s="1"/>
      <c r="D43" s="200"/>
      <c r="E43" s="200"/>
      <c r="F43" s="20" t="e">
        <f t="shared" si="11"/>
        <v>#DIV/0!</v>
      </c>
      <c r="G43" s="2">
        <f t="shared" si="9"/>
        <v>0</v>
      </c>
      <c r="H43" s="2">
        <f t="shared" si="10"/>
        <v>0</v>
      </c>
      <c r="I43" s="3"/>
      <c r="J43" s="201"/>
      <c r="K43" s="20" t="e">
        <f t="shared" si="12"/>
        <v>#DIV/0!</v>
      </c>
      <c r="L43" s="4" t="e">
        <f t="shared" si="13"/>
        <v>#DIV/0!</v>
      </c>
      <c r="M43" s="5"/>
      <c r="N43" s="5"/>
      <c r="O43" s="6"/>
      <c r="P43" s="6"/>
      <c r="Q43" s="6"/>
    </row>
    <row r="44" spans="1:176">
      <c r="A44" s="13">
        <f t="shared" si="14"/>
        <v>46152</v>
      </c>
      <c r="B44" s="1"/>
      <c r="C44" s="1"/>
      <c r="D44" s="200"/>
      <c r="E44" s="200"/>
      <c r="F44" s="20" t="e">
        <f t="shared" si="11"/>
        <v>#DIV/0!</v>
      </c>
      <c r="G44" s="2">
        <f t="shared" si="9"/>
        <v>0</v>
      </c>
      <c r="H44" s="2">
        <f t="shared" si="10"/>
        <v>0</v>
      </c>
      <c r="I44" s="3"/>
      <c r="J44" s="201"/>
      <c r="K44" s="20" t="e">
        <f t="shared" si="12"/>
        <v>#DIV/0!</v>
      </c>
      <c r="L44" s="4" t="e">
        <f t="shared" si="13"/>
        <v>#DIV/0!</v>
      </c>
      <c r="M44" s="5"/>
      <c r="N44" s="15"/>
      <c r="O44" s="6"/>
      <c r="P44" s="6"/>
      <c r="Q44" s="16"/>
    </row>
    <row r="45" spans="1:176">
      <c r="A45" s="13">
        <f t="shared" si="14"/>
        <v>46153</v>
      </c>
      <c r="B45" s="1"/>
      <c r="C45" s="1"/>
      <c r="D45" s="200"/>
      <c r="E45" s="200"/>
      <c r="F45" s="20" t="e">
        <f t="shared" si="11"/>
        <v>#DIV/0!</v>
      </c>
      <c r="G45" s="2">
        <f t="shared" si="9"/>
        <v>0</v>
      </c>
      <c r="H45" s="2">
        <f t="shared" si="10"/>
        <v>0</v>
      </c>
      <c r="I45" s="3"/>
      <c r="J45" s="201"/>
      <c r="K45" s="20" t="e">
        <f t="shared" si="12"/>
        <v>#DIV/0!</v>
      </c>
      <c r="L45" s="4" t="e">
        <f t="shared" si="13"/>
        <v>#DIV/0!</v>
      </c>
      <c r="M45" s="5"/>
      <c r="N45" s="15"/>
      <c r="O45" s="6"/>
      <c r="P45" s="6"/>
      <c r="Q45" s="6"/>
    </row>
    <row r="46" spans="1:176">
      <c r="A46" s="13">
        <f t="shared" si="14"/>
        <v>46154</v>
      </c>
      <c r="B46" s="1"/>
      <c r="C46" s="1"/>
      <c r="D46" s="200"/>
      <c r="E46" s="200"/>
      <c r="F46" s="20" t="e">
        <f t="shared" si="11"/>
        <v>#DIV/0!</v>
      </c>
      <c r="G46" s="2">
        <f t="shared" si="9"/>
        <v>0</v>
      </c>
      <c r="H46" s="2">
        <f t="shared" si="10"/>
        <v>0</v>
      </c>
      <c r="I46" s="3"/>
      <c r="J46" s="201"/>
      <c r="K46" s="20" t="e">
        <f t="shared" si="12"/>
        <v>#DIV/0!</v>
      </c>
      <c r="L46" s="4" t="e">
        <f t="shared" si="13"/>
        <v>#DIV/0!</v>
      </c>
      <c r="M46" s="5"/>
      <c r="N46" s="15"/>
      <c r="O46" s="6"/>
      <c r="P46" s="6"/>
      <c r="Q46" s="6"/>
    </row>
    <row r="47" spans="1:176">
      <c r="A47" s="13">
        <f t="shared" si="14"/>
        <v>46155</v>
      </c>
      <c r="B47" s="1"/>
      <c r="C47" s="1"/>
      <c r="D47" s="200"/>
      <c r="E47" s="200"/>
      <c r="F47" s="20" t="e">
        <f t="shared" si="11"/>
        <v>#DIV/0!</v>
      </c>
      <c r="G47" s="2">
        <f t="shared" si="9"/>
        <v>0</v>
      </c>
      <c r="H47" s="2">
        <f t="shared" si="10"/>
        <v>0</v>
      </c>
      <c r="I47" s="3"/>
      <c r="J47" s="201"/>
      <c r="K47" s="20" t="e">
        <f t="shared" si="12"/>
        <v>#DIV/0!</v>
      </c>
      <c r="L47" s="4" t="e">
        <f t="shared" si="13"/>
        <v>#DIV/0!</v>
      </c>
      <c r="M47" s="5"/>
      <c r="N47" s="15"/>
      <c r="O47" s="6"/>
      <c r="P47" s="6"/>
      <c r="Q47" s="14"/>
    </row>
    <row r="48" spans="1:176">
      <c r="A48" s="13">
        <f t="shared" si="14"/>
        <v>46156</v>
      </c>
      <c r="B48" s="1"/>
      <c r="C48" s="1"/>
      <c r="D48" s="200"/>
      <c r="E48" s="200"/>
      <c r="F48" s="20" t="e">
        <f t="shared" si="11"/>
        <v>#DIV/0!</v>
      </c>
      <c r="G48" s="2">
        <f t="shared" si="9"/>
        <v>0</v>
      </c>
      <c r="H48" s="2">
        <f t="shared" si="10"/>
        <v>0</v>
      </c>
      <c r="I48" s="3"/>
      <c r="J48" s="201"/>
      <c r="K48" s="20" t="e">
        <f t="shared" si="12"/>
        <v>#DIV/0!</v>
      </c>
      <c r="L48" s="4" t="e">
        <f t="shared" si="13"/>
        <v>#DIV/0!</v>
      </c>
      <c r="M48" s="5"/>
      <c r="N48" s="15"/>
      <c r="O48" s="6"/>
      <c r="P48" s="6"/>
      <c r="Q48" s="203"/>
    </row>
    <row r="49" spans="1:17">
      <c r="A49" s="13">
        <f t="shared" si="14"/>
        <v>46157</v>
      </c>
      <c r="B49" s="1"/>
      <c r="C49" s="1"/>
      <c r="D49" s="200"/>
      <c r="E49" s="200"/>
      <c r="F49" s="20" t="e">
        <f t="shared" si="11"/>
        <v>#DIV/0!</v>
      </c>
      <c r="G49" s="2">
        <f t="shared" si="9"/>
        <v>0</v>
      </c>
      <c r="H49" s="2">
        <f t="shared" si="10"/>
        <v>0</v>
      </c>
      <c r="I49" s="3"/>
      <c r="J49" s="201"/>
      <c r="K49" s="20" t="e">
        <f t="shared" si="12"/>
        <v>#DIV/0!</v>
      </c>
      <c r="L49" s="4" t="e">
        <f t="shared" si="13"/>
        <v>#DIV/0!</v>
      </c>
      <c r="M49" s="5"/>
      <c r="N49" s="15"/>
      <c r="O49" s="6"/>
      <c r="P49" s="6"/>
      <c r="Q49" s="14"/>
    </row>
    <row r="50" spans="1:17">
      <c r="A50" s="13">
        <f t="shared" si="14"/>
        <v>46158</v>
      </c>
      <c r="B50" s="1"/>
      <c r="C50" s="1"/>
      <c r="D50" s="200"/>
      <c r="E50" s="200"/>
      <c r="F50" s="20" t="e">
        <f t="shared" si="11"/>
        <v>#DIV/0!</v>
      </c>
      <c r="G50" s="2">
        <f t="shared" si="9"/>
        <v>0</v>
      </c>
      <c r="H50" s="2">
        <f t="shared" si="10"/>
        <v>0</v>
      </c>
      <c r="I50" s="3"/>
      <c r="J50" s="201"/>
      <c r="K50" s="20" t="e">
        <f t="shared" si="12"/>
        <v>#DIV/0!</v>
      </c>
      <c r="L50" s="4" t="e">
        <f t="shared" si="13"/>
        <v>#DIV/0!</v>
      </c>
      <c r="M50" s="5"/>
      <c r="N50" s="15"/>
      <c r="O50" s="6"/>
      <c r="P50" s="6"/>
      <c r="Q50" s="14"/>
    </row>
    <row r="51" spans="1:17">
      <c r="A51" s="13">
        <f t="shared" si="14"/>
        <v>46159</v>
      </c>
      <c r="B51" s="1"/>
      <c r="C51" s="1"/>
      <c r="D51" s="200"/>
      <c r="E51" s="200"/>
      <c r="F51" s="20" t="e">
        <f t="shared" si="11"/>
        <v>#DIV/0!</v>
      </c>
      <c r="G51" s="2">
        <f t="shared" si="9"/>
        <v>0</v>
      </c>
      <c r="H51" s="2">
        <f t="shared" si="10"/>
        <v>0</v>
      </c>
      <c r="I51" s="3"/>
      <c r="J51" s="201"/>
      <c r="K51" s="20" t="e">
        <f t="shared" si="12"/>
        <v>#DIV/0!</v>
      </c>
      <c r="L51" s="4" t="e">
        <f t="shared" si="13"/>
        <v>#DIV/0!</v>
      </c>
      <c r="M51" s="5"/>
      <c r="N51" s="15"/>
      <c r="O51" s="6"/>
      <c r="P51" s="6"/>
      <c r="Q51" s="6"/>
    </row>
    <row r="52" spans="1:17">
      <c r="A52" s="13">
        <f t="shared" si="14"/>
        <v>46160</v>
      </c>
      <c r="B52" s="1"/>
      <c r="C52" s="1"/>
      <c r="D52" s="200"/>
      <c r="E52" s="200"/>
      <c r="F52" s="20" t="e">
        <f t="shared" si="11"/>
        <v>#DIV/0!</v>
      </c>
      <c r="G52" s="2">
        <f t="shared" si="9"/>
        <v>0</v>
      </c>
      <c r="H52" s="2">
        <f t="shared" si="10"/>
        <v>0</v>
      </c>
      <c r="I52" s="3"/>
      <c r="J52" s="201"/>
      <c r="K52" s="20" t="e">
        <f t="shared" si="12"/>
        <v>#DIV/0!</v>
      </c>
      <c r="L52" s="4" t="e">
        <f t="shared" si="13"/>
        <v>#DIV/0!</v>
      </c>
      <c r="M52" s="5"/>
      <c r="N52" s="15"/>
      <c r="O52" s="6"/>
      <c r="P52" s="6"/>
      <c r="Q52" s="14"/>
    </row>
    <row r="53" spans="1:17">
      <c r="A53" s="13">
        <f t="shared" si="14"/>
        <v>46161</v>
      </c>
      <c r="B53" s="1"/>
      <c r="C53" s="1"/>
      <c r="D53" s="200"/>
      <c r="E53" s="200"/>
      <c r="F53" s="20" t="e">
        <f t="shared" si="11"/>
        <v>#DIV/0!</v>
      </c>
      <c r="G53" s="2">
        <f t="shared" si="9"/>
        <v>0</v>
      </c>
      <c r="H53" s="2">
        <f t="shared" ref="H53:H65" si="15">E53/($D$2*24)</f>
        <v>0</v>
      </c>
      <c r="I53" s="3"/>
      <c r="J53" s="201"/>
      <c r="K53" s="20" t="e">
        <f t="shared" si="12"/>
        <v>#DIV/0!</v>
      </c>
      <c r="L53" s="4" t="e">
        <f t="shared" si="13"/>
        <v>#DIV/0!</v>
      </c>
      <c r="M53" s="5"/>
      <c r="N53" s="15"/>
      <c r="O53" s="6"/>
      <c r="P53" s="6"/>
      <c r="Q53" s="14"/>
    </row>
    <row r="54" spans="1:17">
      <c r="A54" s="13">
        <f t="shared" si="14"/>
        <v>46162</v>
      </c>
      <c r="B54" s="1"/>
      <c r="C54" s="1"/>
      <c r="D54" s="200"/>
      <c r="E54" s="200"/>
      <c r="F54" s="20" t="e">
        <f t="shared" si="11"/>
        <v>#DIV/0!</v>
      </c>
      <c r="G54" s="2">
        <f t="shared" si="9"/>
        <v>0</v>
      </c>
      <c r="H54" s="2">
        <f t="shared" si="15"/>
        <v>0</v>
      </c>
      <c r="I54" s="3"/>
      <c r="J54" s="201"/>
      <c r="K54" s="20" t="e">
        <f t="shared" si="12"/>
        <v>#DIV/0!</v>
      </c>
      <c r="L54" s="4" t="e">
        <f t="shared" si="13"/>
        <v>#DIV/0!</v>
      </c>
      <c r="M54" s="5"/>
      <c r="N54" s="15"/>
      <c r="O54" s="6"/>
      <c r="P54" s="6"/>
      <c r="Q54" s="14"/>
    </row>
    <row r="55" spans="1:17">
      <c r="A55" s="13">
        <f t="shared" si="14"/>
        <v>46163</v>
      </c>
      <c r="B55" s="1"/>
      <c r="C55" s="1"/>
      <c r="D55" s="14"/>
      <c r="E55" s="14"/>
      <c r="F55" s="20" t="e">
        <f>(IF(ISBLANK(E55),0,E55-C55))/C55</f>
        <v>#DIV/0!</v>
      </c>
      <c r="G55" s="2">
        <f t="shared" si="9"/>
        <v>0</v>
      </c>
      <c r="H55" s="2">
        <f t="shared" si="15"/>
        <v>0</v>
      </c>
      <c r="I55" s="3"/>
      <c r="J55" s="14"/>
      <c r="K55" s="20" t="e">
        <f>(IF(ISBLANK(J55),0,J55-I55))/I55</f>
        <v>#DIV/0!</v>
      </c>
      <c r="L55" s="4" t="e">
        <f t="shared" si="13"/>
        <v>#DIV/0!</v>
      </c>
      <c r="M55" s="15"/>
      <c r="N55" s="15"/>
      <c r="O55" s="6"/>
      <c r="P55" s="6"/>
      <c r="Q55" s="14"/>
    </row>
    <row r="56" spans="1:17">
      <c r="A56" s="13">
        <f t="shared" si="14"/>
        <v>46164</v>
      </c>
      <c r="B56" s="1"/>
      <c r="C56" s="1"/>
      <c r="D56" s="14"/>
      <c r="E56" s="14"/>
      <c r="F56" s="20" t="e">
        <f t="shared" ref="F56:F65" si="16">(IF(ISBLANK(E56),0,E56-C56))/C56</f>
        <v>#DIV/0!</v>
      </c>
      <c r="G56" s="2">
        <f t="shared" si="9"/>
        <v>0</v>
      </c>
      <c r="H56" s="2">
        <f t="shared" si="15"/>
        <v>0</v>
      </c>
      <c r="I56" s="3"/>
      <c r="J56" s="14"/>
      <c r="K56" s="20" t="e">
        <f t="shared" ref="K56:K66" si="17">(IF(ISBLANK(J56),0,J56-I56))/I56</f>
        <v>#DIV/0!</v>
      </c>
      <c r="L56" s="4" t="e">
        <f t="shared" si="13"/>
        <v>#DIV/0!</v>
      </c>
      <c r="M56" s="15"/>
      <c r="N56" s="15"/>
      <c r="O56" s="6"/>
      <c r="P56" s="6"/>
      <c r="Q56" s="14"/>
    </row>
    <row r="57" spans="1:17">
      <c r="A57" s="13">
        <f t="shared" si="14"/>
        <v>46165</v>
      </c>
      <c r="B57" s="1"/>
      <c r="C57" s="1"/>
      <c r="D57" s="14"/>
      <c r="E57" s="14"/>
      <c r="F57" s="20" t="e">
        <f t="shared" si="16"/>
        <v>#DIV/0!</v>
      </c>
      <c r="G57" s="2">
        <f t="shared" si="9"/>
        <v>0</v>
      </c>
      <c r="H57" s="2">
        <f t="shared" si="15"/>
        <v>0</v>
      </c>
      <c r="I57" s="3"/>
      <c r="J57" s="14"/>
      <c r="K57" s="20" t="e">
        <f t="shared" si="17"/>
        <v>#DIV/0!</v>
      </c>
      <c r="L57" s="4" t="e">
        <f t="shared" si="13"/>
        <v>#DIV/0!</v>
      </c>
      <c r="M57" s="15"/>
      <c r="N57" s="15"/>
      <c r="O57" s="6"/>
      <c r="P57" s="6"/>
      <c r="Q57" s="14"/>
    </row>
    <row r="58" spans="1:17">
      <c r="A58" s="13">
        <f t="shared" si="14"/>
        <v>46166</v>
      </c>
      <c r="B58" s="1"/>
      <c r="C58" s="1"/>
      <c r="D58" s="14"/>
      <c r="E58" s="14"/>
      <c r="F58" s="20" t="e">
        <f t="shared" si="16"/>
        <v>#DIV/0!</v>
      </c>
      <c r="G58" s="2">
        <f t="shared" si="9"/>
        <v>0</v>
      </c>
      <c r="H58" s="2">
        <f t="shared" si="15"/>
        <v>0</v>
      </c>
      <c r="I58" s="3"/>
      <c r="J58" s="14"/>
      <c r="K58" s="20" t="e">
        <f t="shared" si="17"/>
        <v>#DIV/0!</v>
      </c>
      <c r="L58" s="4" t="e">
        <f t="shared" si="13"/>
        <v>#DIV/0!</v>
      </c>
      <c r="M58" s="15"/>
      <c r="N58" s="15"/>
      <c r="O58" s="6"/>
      <c r="P58" s="6"/>
      <c r="Q58" s="14"/>
    </row>
    <row r="59" spans="1:17">
      <c r="A59" s="13">
        <f t="shared" si="14"/>
        <v>46167</v>
      </c>
      <c r="B59" s="1"/>
      <c r="C59" s="1"/>
      <c r="D59" s="14"/>
      <c r="E59" s="14"/>
      <c r="F59" s="20" t="e">
        <f t="shared" si="16"/>
        <v>#DIV/0!</v>
      </c>
      <c r="G59" s="2">
        <f t="shared" si="9"/>
        <v>0</v>
      </c>
      <c r="H59" s="2">
        <f t="shared" si="15"/>
        <v>0</v>
      </c>
      <c r="I59" s="3"/>
      <c r="J59" s="14"/>
      <c r="K59" s="20" t="e">
        <f t="shared" si="17"/>
        <v>#DIV/0!</v>
      </c>
      <c r="L59" s="4" t="e">
        <f t="shared" si="13"/>
        <v>#DIV/0!</v>
      </c>
      <c r="M59" s="15"/>
      <c r="N59" s="15"/>
      <c r="O59" s="6"/>
      <c r="P59" s="14"/>
      <c r="Q59" s="14"/>
    </row>
    <row r="60" spans="1:17">
      <c r="A60" s="13">
        <f t="shared" si="14"/>
        <v>46168</v>
      </c>
      <c r="B60" s="1"/>
      <c r="C60" s="1"/>
      <c r="D60" s="14"/>
      <c r="E60" s="14"/>
      <c r="F60" s="20" t="e">
        <f t="shared" si="16"/>
        <v>#DIV/0!</v>
      </c>
      <c r="G60" s="2">
        <f t="shared" si="9"/>
        <v>0</v>
      </c>
      <c r="H60" s="2">
        <f t="shared" si="15"/>
        <v>0</v>
      </c>
      <c r="I60" s="3"/>
      <c r="J60" s="14"/>
      <c r="K60" s="20" t="e">
        <f t="shared" si="17"/>
        <v>#DIV/0!</v>
      </c>
      <c r="L60" s="4" t="e">
        <f t="shared" si="13"/>
        <v>#DIV/0!</v>
      </c>
      <c r="M60" s="15"/>
      <c r="N60" s="15"/>
      <c r="O60" s="6"/>
      <c r="P60" s="14"/>
      <c r="Q60" s="14"/>
    </row>
    <row r="61" spans="1:17">
      <c r="A61" s="13">
        <f t="shared" si="14"/>
        <v>46169</v>
      </c>
      <c r="B61" s="1"/>
      <c r="C61" s="1"/>
      <c r="D61" s="14"/>
      <c r="E61" s="14"/>
      <c r="F61" s="20" t="e">
        <f t="shared" si="16"/>
        <v>#DIV/0!</v>
      </c>
      <c r="G61" s="2">
        <f t="shared" si="9"/>
        <v>0</v>
      </c>
      <c r="H61" s="2">
        <f t="shared" si="15"/>
        <v>0</v>
      </c>
      <c r="I61" s="3"/>
      <c r="J61" s="14"/>
      <c r="K61" s="20" t="e">
        <f t="shared" si="17"/>
        <v>#DIV/0!</v>
      </c>
      <c r="L61" s="4" t="e">
        <f t="shared" si="13"/>
        <v>#DIV/0!</v>
      </c>
      <c r="M61" s="15"/>
      <c r="N61" s="15"/>
      <c r="O61" s="6"/>
      <c r="P61" s="14"/>
      <c r="Q61" s="14"/>
    </row>
    <row r="62" spans="1:17">
      <c r="A62" s="13">
        <f t="shared" si="14"/>
        <v>46170</v>
      </c>
      <c r="B62" s="1"/>
      <c r="C62" s="1"/>
      <c r="D62" s="14"/>
      <c r="E62" s="14"/>
      <c r="F62" s="20" t="e">
        <f t="shared" si="16"/>
        <v>#DIV/0!</v>
      </c>
      <c r="G62" s="2">
        <f t="shared" si="9"/>
        <v>0</v>
      </c>
      <c r="H62" s="2">
        <f t="shared" si="15"/>
        <v>0</v>
      </c>
      <c r="I62" s="3"/>
      <c r="J62" s="14"/>
      <c r="K62" s="20" t="e">
        <f t="shared" si="17"/>
        <v>#DIV/0!</v>
      </c>
      <c r="L62" s="4" t="e">
        <f t="shared" si="13"/>
        <v>#DIV/0!</v>
      </c>
      <c r="M62" s="15"/>
      <c r="N62" s="15"/>
      <c r="O62" s="14"/>
      <c r="P62" s="6"/>
      <c r="Q62" s="14"/>
    </row>
    <row r="63" spans="1:17">
      <c r="A63" s="13">
        <f t="shared" si="14"/>
        <v>46171</v>
      </c>
      <c r="B63" s="1"/>
      <c r="C63" s="1"/>
      <c r="D63" s="14"/>
      <c r="E63" s="14"/>
      <c r="F63" s="20" t="e">
        <f t="shared" si="16"/>
        <v>#DIV/0!</v>
      </c>
      <c r="G63" s="2">
        <f t="shared" si="9"/>
        <v>0</v>
      </c>
      <c r="H63" s="2">
        <f t="shared" si="15"/>
        <v>0</v>
      </c>
      <c r="I63" s="3"/>
      <c r="J63" s="14"/>
      <c r="K63" s="20" t="e">
        <f t="shared" si="17"/>
        <v>#DIV/0!</v>
      </c>
      <c r="L63" s="4" t="e">
        <f t="shared" si="13"/>
        <v>#DIV/0!</v>
      </c>
      <c r="M63" s="25"/>
      <c r="N63" s="25"/>
      <c r="O63" s="6"/>
      <c r="P63" s="6"/>
      <c r="Q63" s="14"/>
    </row>
    <row r="64" spans="1:17">
      <c r="A64" s="13">
        <f t="shared" si="14"/>
        <v>46172</v>
      </c>
      <c r="B64" s="1"/>
      <c r="C64" s="1"/>
      <c r="D64" s="14"/>
      <c r="E64" s="14"/>
      <c r="F64" s="20" t="e">
        <f t="shared" si="16"/>
        <v>#DIV/0!</v>
      </c>
      <c r="G64" s="2">
        <f t="shared" si="9"/>
        <v>0</v>
      </c>
      <c r="H64" s="2">
        <f t="shared" si="15"/>
        <v>0</v>
      </c>
      <c r="I64" s="3"/>
      <c r="J64" s="14"/>
      <c r="K64" s="20" t="e">
        <f t="shared" si="17"/>
        <v>#DIV/0!</v>
      </c>
      <c r="L64" s="4" t="e">
        <f t="shared" si="13"/>
        <v>#DIV/0!</v>
      </c>
      <c r="M64" s="25"/>
      <c r="N64" s="25"/>
      <c r="O64" s="6"/>
      <c r="P64" s="6"/>
      <c r="Q64" s="6"/>
    </row>
    <row r="65" spans="1:17">
      <c r="A65" s="13">
        <f t="shared" si="14"/>
        <v>46173</v>
      </c>
      <c r="B65" s="1"/>
      <c r="D65" s="14"/>
      <c r="E65" s="14"/>
      <c r="F65" s="20" t="e">
        <f t="shared" si="16"/>
        <v>#DIV/0!</v>
      </c>
      <c r="G65" s="2">
        <f t="shared" si="9"/>
        <v>0</v>
      </c>
      <c r="H65" s="2">
        <f t="shared" si="15"/>
        <v>0</v>
      </c>
      <c r="I65" s="3"/>
      <c r="J65" s="14"/>
      <c r="K65" s="20" t="e">
        <f t="shared" si="17"/>
        <v>#DIV/0!</v>
      </c>
      <c r="L65" s="4" t="e">
        <f t="shared" si="13"/>
        <v>#DIV/0!</v>
      </c>
      <c r="M65" s="25"/>
      <c r="N65" s="25"/>
      <c r="O65" s="6"/>
      <c r="P65" s="6"/>
      <c r="Q65" s="6"/>
    </row>
    <row r="66" spans="1:17">
      <c r="A66" s="349">
        <v>46143</v>
      </c>
      <c r="B66" s="17">
        <f>SUM(B35:B65)</f>
        <v>138462</v>
      </c>
      <c r="C66" s="17">
        <f>SUM(C35:C65)</f>
        <v>122514</v>
      </c>
      <c r="D66" s="17">
        <f>SUM(D35:D65)</f>
        <v>124953</v>
      </c>
      <c r="E66" s="17">
        <f>SUM(E35:E65)</f>
        <v>124300</v>
      </c>
      <c r="F66" s="18">
        <f>(IF(ISBLANK(E66),0,E66-C66))/C66</f>
        <v>1.4577925788073199E-2</v>
      </c>
      <c r="G66" s="18">
        <f>AVERAGE(G35:G65)</f>
        <v>4.1986895161290318E-2</v>
      </c>
      <c r="H66" s="18">
        <f>AVERAGE(H35:H65)</f>
        <v>5.5833637182566918E-2</v>
      </c>
      <c r="I66" s="17">
        <f>SUM(I35:I65)</f>
        <v>43.32</v>
      </c>
      <c r="J66" s="17">
        <f>SUM(J35:J65)</f>
        <v>58.709999999999994</v>
      </c>
      <c r="K66" s="364">
        <f t="shared" si="17"/>
        <v>0.35526315789473667</v>
      </c>
      <c r="L66" s="364">
        <f t="shared" si="13"/>
        <v>0.53207715891670937</v>
      </c>
      <c r="M66" s="18">
        <f>AVERAGE(M35:M65)</f>
        <v>1</v>
      </c>
      <c r="N66" s="18">
        <f>AVERAGE(N35:N65)</f>
        <v>1</v>
      </c>
      <c r="O66" s="17">
        <f>SUM(O35:O65)</f>
        <v>0</v>
      </c>
      <c r="P66" s="17">
        <f>SUM(P35:P65)</f>
        <v>0</v>
      </c>
      <c r="Q66" s="19"/>
    </row>
  </sheetData>
  <mergeCells count="8">
    <mergeCell ref="FD1:FT1"/>
    <mergeCell ref="FE2:FF2"/>
    <mergeCell ref="FH2:FJ2"/>
    <mergeCell ref="FL2:FM2"/>
    <mergeCell ref="A1:Q1"/>
    <mergeCell ref="B2:C2"/>
    <mergeCell ref="E2:G2"/>
    <mergeCell ref="I2:J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43ED-C3AE-4B8D-A1CC-ACF7760C3853}">
  <dimension ref="A1:Q66"/>
  <sheetViews>
    <sheetView workbookViewId="0">
      <pane ySplit="3" topLeftCell="A4" activePane="bottomLeft" state="frozen"/>
      <selection pane="bottomLeft" activeCell="F8" sqref="F8"/>
    </sheetView>
  </sheetViews>
  <sheetFormatPr defaultRowHeight="14.5"/>
  <cols>
    <col min="1" max="1" width="11.26953125" bestFit="1" customWidth="1"/>
    <col min="2" max="2" width="10.26953125" customWidth="1"/>
    <col min="3" max="3" width="11.453125" customWidth="1"/>
    <col min="4" max="4" width="10" customWidth="1"/>
    <col min="5" max="5" width="11.1796875" customWidth="1"/>
    <col min="11" max="11" width="12.1796875" customWidth="1"/>
    <col min="17" max="17" width="34.54296875" bestFit="1" customWidth="1"/>
    <col min="16351" max="16367" width="9.1796875" bestFit="1" customWidth="1"/>
  </cols>
  <sheetData>
    <row r="1" spans="1:17" ht="18.5">
      <c r="A1" s="420" t="s">
        <v>465</v>
      </c>
      <c r="B1" s="421"/>
      <c r="C1" s="421"/>
      <c r="D1" s="421"/>
      <c r="E1" s="421"/>
      <c r="F1" s="421"/>
      <c r="G1" s="421"/>
      <c r="H1" s="421"/>
      <c r="I1" s="421"/>
      <c r="J1" s="421"/>
      <c r="K1" s="421"/>
      <c r="L1" s="421"/>
      <c r="M1" s="421"/>
      <c r="N1" s="421"/>
      <c r="O1" s="421"/>
      <c r="P1" s="421"/>
      <c r="Q1" s="421"/>
    </row>
    <row r="2" spans="1:17" ht="18" customHeight="1">
      <c r="A2" s="69">
        <v>46138</v>
      </c>
      <c r="B2" s="415" t="s">
        <v>172</v>
      </c>
      <c r="C2" s="416"/>
      <c r="D2" s="70">
        <v>3998</v>
      </c>
      <c r="E2" s="415" t="s">
        <v>173</v>
      </c>
      <c r="F2" s="415"/>
      <c r="G2" s="416"/>
      <c r="H2" s="70">
        <v>3200</v>
      </c>
      <c r="I2" s="415" t="s">
        <v>174</v>
      </c>
      <c r="J2" s="416"/>
      <c r="K2" s="105" t="s">
        <v>466</v>
      </c>
      <c r="L2" s="72" t="s">
        <v>175</v>
      </c>
      <c r="M2" s="72" t="s">
        <v>175</v>
      </c>
      <c r="N2" s="72" t="s">
        <v>175</v>
      </c>
      <c r="O2" s="72" t="s">
        <v>175</v>
      </c>
      <c r="P2" s="72" t="s">
        <v>175</v>
      </c>
      <c r="Q2" s="73" t="s">
        <v>175</v>
      </c>
    </row>
    <row r="3" spans="1:17" s="379" customFormat="1" ht="48">
      <c r="A3" s="374" t="s">
        <v>189</v>
      </c>
      <c r="B3" s="375" t="s">
        <v>3</v>
      </c>
      <c r="C3" s="375" t="s">
        <v>4</v>
      </c>
      <c r="D3" s="375" t="s">
        <v>5</v>
      </c>
      <c r="E3" s="375" t="s">
        <v>6</v>
      </c>
      <c r="F3" s="376" t="s">
        <v>7</v>
      </c>
      <c r="G3" s="375" t="s">
        <v>8</v>
      </c>
      <c r="H3" s="375" t="s">
        <v>9</v>
      </c>
      <c r="I3" s="375" t="s">
        <v>10</v>
      </c>
      <c r="J3" s="375" t="s">
        <v>11</v>
      </c>
      <c r="K3" s="376" t="s">
        <v>12</v>
      </c>
      <c r="L3" s="375" t="s">
        <v>13</v>
      </c>
      <c r="M3" s="375" t="s">
        <v>14</v>
      </c>
      <c r="N3" s="375" t="s">
        <v>15</v>
      </c>
      <c r="O3" s="375" t="s">
        <v>16</v>
      </c>
      <c r="P3" s="375" t="s">
        <v>17</v>
      </c>
      <c r="Q3" s="377" t="s">
        <v>156</v>
      </c>
    </row>
    <row r="4" spans="1:17">
      <c r="A4" s="76">
        <v>46113</v>
      </c>
      <c r="B4" s="39">
        <v>17200.36</v>
      </c>
      <c r="C4" s="39">
        <v>17821.96</v>
      </c>
      <c r="D4" s="49">
        <v>17601</v>
      </c>
      <c r="E4" s="49">
        <v>17320</v>
      </c>
      <c r="F4" s="21">
        <f t="shared" ref="F4:F34" si="0">(IF(ISBLANK(D4),0,D4-C4))/C4</f>
        <v>-1.239818740475229E-2</v>
      </c>
      <c r="G4" s="2">
        <f t="shared" ref="G4:G29" si="1">D4/($D$2*24)</f>
        <v>0.18343546773386693</v>
      </c>
      <c r="H4" s="2">
        <f t="shared" ref="H4:H29" si="2">D4/($H$2*24)</f>
        <v>0.22917968750000001</v>
      </c>
      <c r="I4" s="39">
        <v>7.15</v>
      </c>
      <c r="J4" s="182">
        <v>5.0199999999999996</v>
      </c>
      <c r="K4" s="21">
        <f t="shared" ref="K4:K29" si="3">(IF(ISBLANK(J4),0,J4-I4))/I4</f>
        <v>-0.29790209790209798</v>
      </c>
      <c r="L4" s="22">
        <f t="shared" ref="L4:L29" si="4">D4/($D$2*J4)</f>
        <v>0.87698231585912478</v>
      </c>
      <c r="M4" s="62">
        <v>0.94</v>
      </c>
      <c r="N4" s="62">
        <v>1</v>
      </c>
      <c r="O4" s="49">
        <v>0</v>
      </c>
      <c r="P4" s="49">
        <v>1367</v>
      </c>
      <c r="Q4" s="49" t="s">
        <v>467</v>
      </c>
    </row>
    <row r="5" spans="1:17">
      <c r="A5" s="79">
        <v>46114</v>
      </c>
      <c r="B5" s="39">
        <v>17200.36</v>
      </c>
      <c r="C5" s="39">
        <v>17821.96</v>
      </c>
      <c r="D5" s="50">
        <v>18430</v>
      </c>
      <c r="E5" s="50">
        <v>18240</v>
      </c>
      <c r="F5" s="21">
        <f t="shared" si="0"/>
        <v>3.4117459583569987E-2</v>
      </c>
      <c r="G5" s="2">
        <f t="shared" si="1"/>
        <v>0.19207520426880106</v>
      </c>
      <c r="H5" s="2">
        <f t="shared" si="2"/>
        <v>0.23997395833333332</v>
      </c>
      <c r="I5" s="46">
        <v>7.15</v>
      </c>
      <c r="J5" s="183">
        <v>5.22</v>
      </c>
      <c r="K5" s="21">
        <f t="shared" si="3"/>
        <v>-0.26993006993007002</v>
      </c>
      <c r="L5" s="22">
        <f t="shared" si="4"/>
        <v>0.88310438744276365</v>
      </c>
      <c r="M5" s="64">
        <v>1</v>
      </c>
      <c r="N5" s="64">
        <v>1</v>
      </c>
      <c r="O5" s="50">
        <v>0</v>
      </c>
      <c r="P5" s="50">
        <v>0</v>
      </c>
      <c r="Q5" s="50" t="s">
        <v>175</v>
      </c>
    </row>
    <row r="6" spans="1:17">
      <c r="A6" s="79">
        <v>46115</v>
      </c>
      <c r="B6" s="39">
        <v>17200.36</v>
      </c>
      <c r="C6" s="39">
        <v>17821.96</v>
      </c>
      <c r="D6" s="50">
        <v>13678</v>
      </c>
      <c r="E6" s="50">
        <v>13560</v>
      </c>
      <c r="F6" s="21">
        <f t="shared" si="0"/>
        <v>-0.23251987996830872</v>
      </c>
      <c r="G6" s="2">
        <f t="shared" si="1"/>
        <v>0.14255044188761049</v>
      </c>
      <c r="H6" s="2">
        <f t="shared" si="2"/>
        <v>0.17809895833333333</v>
      </c>
      <c r="I6" s="46">
        <v>7.15</v>
      </c>
      <c r="J6" s="183">
        <v>3.87</v>
      </c>
      <c r="K6" s="21">
        <f t="shared" si="3"/>
        <v>-0.45874125874125876</v>
      </c>
      <c r="L6" s="22">
        <f t="shared" si="4"/>
        <v>0.88403374814021995</v>
      </c>
      <c r="M6" s="64">
        <v>0.96</v>
      </c>
      <c r="N6" s="64">
        <v>1</v>
      </c>
      <c r="O6" s="50">
        <v>0</v>
      </c>
      <c r="P6" s="50">
        <v>878</v>
      </c>
      <c r="Q6" s="50" t="s">
        <v>467</v>
      </c>
    </row>
    <row r="7" spans="1:17">
      <c r="A7" s="79">
        <v>46116</v>
      </c>
      <c r="B7" s="39">
        <v>17200.36</v>
      </c>
      <c r="C7" s="39">
        <v>17821.96</v>
      </c>
      <c r="D7" s="50">
        <v>22144</v>
      </c>
      <c r="E7" s="50">
        <v>21840</v>
      </c>
      <c r="F7" s="21">
        <f t="shared" si="0"/>
        <v>0.24251204693535397</v>
      </c>
      <c r="G7" s="2">
        <f t="shared" si="1"/>
        <v>0.23078205769551444</v>
      </c>
      <c r="H7" s="2">
        <f t="shared" si="2"/>
        <v>0.28833333333333333</v>
      </c>
      <c r="I7" s="46">
        <v>7.15</v>
      </c>
      <c r="J7" s="183">
        <v>6.29</v>
      </c>
      <c r="K7" s="21">
        <f t="shared" si="3"/>
        <v>-0.12027972027972032</v>
      </c>
      <c r="L7" s="22">
        <f t="shared" si="4"/>
        <v>0.88056746974441114</v>
      </c>
      <c r="M7" s="64">
        <v>1</v>
      </c>
      <c r="N7" s="64">
        <v>1</v>
      </c>
      <c r="O7" s="50">
        <v>0</v>
      </c>
      <c r="P7" s="50">
        <v>0</v>
      </c>
      <c r="Q7" s="50" t="s">
        <v>175</v>
      </c>
    </row>
    <row r="8" spans="1:17">
      <c r="A8" s="79">
        <v>46117</v>
      </c>
      <c r="B8" s="39">
        <v>17200.36</v>
      </c>
      <c r="C8" s="39">
        <v>17821.96</v>
      </c>
      <c r="D8" s="50">
        <v>18798</v>
      </c>
      <c r="E8" s="50">
        <v>18560</v>
      </c>
      <c r="F8" s="21">
        <f t="shared" si="0"/>
        <v>5.4766142444489886E-2</v>
      </c>
      <c r="G8" s="2">
        <f t="shared" si="1"/>
        <v>0.1959104552276138</v>
      </c>
      <c r="H8" s="2">
        <f t="shared" si="2"/>
        <v>0.24476562499999999</v>
      </c>
      <c r="I8" s="46">
        <v>7.15</v>
      </c>
      <c r="J8" s="183">
        <v>5.32</v>
      </c>
      <c r="K8" s="21">
        <f t="shared" si="3"/>
        <v>-0.25594405594405595</v>
      </c>
      <c r="L8" s="22">
        <f t="shared" si="4"/>
        <v>0.88380656493660359</v>
      </c>
      <c r="M8" s="64">
        <v>0.95</v>
      </c>
      <c r="N8" s="64">
        <v>1</v>
      </c>
      <c r="O8" s="50">
        <v>0</v>
      </c>
      <c r="P8" s="50">
        <v>2169</v>
      </c>
      <c r="Q8" s="50" t="s">
        <v>467</v>
      </c>
    </row>
    <row r="9" spans="1:17">
      <c r="A9" s="79">
        <v>46118</v>
      </c>
      <c r="B9" s="39">
        <v>17200.36</v>
      </c>
      <c r="C9" s="39">
        <v>17821.96</v>
      </c>
      <c r="D9" s="50">
        <v>21854</v>
      </c>
      <c r="E9" s="50">
        <v>21680</v>
      </c>
      <c r="F9" s="21">
        <f t="shared" si="0"/>
        <v>0.22623998707212906</v>
      </c>
      <c r="G9" s="2">
        <f t="shared" si="1"/>
        <v>0.2277597131899283</v>
      </c>
      <c r="H9" s="2">
        <f t="shared" si="2"/>
        <v>0.28455729166666666</v>
      </c>
      <c r="I9" s="46">
        <v>7.15</v>
      </c>
      <c r="J9" s="183">
        <v>6.21</v>
      </c>
      <c r="K9" s="21">
        <f t="shared" si="3"/>
        <v>-0.13146853146853152</v>
      </c>
      <c r="L9" s="22">
        <f t="shared" si="4"/>
        <v>0.88023077561324947</v>
      </c>
      <c r="M9" s="64">
        <v>1</v>
      </c>
      <c r="N9" s="64">
        <v>1</v>
      </c>
      <c r="O9" s="50">
        <v>0</v>
      </c>
      <c r="P9" s="50">
        <v>0</v>
      </c>
      <c r="Q9" s="50" t="s">
        <v>175</v>
      </c>
    </row>
    <row r="10" spans="1:17">
      <c r="A10" s="79">
        <v>46119</v>
      </c>
      <c r="B10" s="39">
        <v>17200.36</v>
      </c>
      <c r="C10" s="39">
        <v>17821.96</v>
      </c>
      <c r="D10" s="50">
        <v>17955</v>
      </c>
      <c r="E10" s="50">
        <v>17280</v>
      </c>
      <c r="F10" s="21">
        <f t="shared" si="0"/>
        <v>7.464947738632613E-3</v>
      </c>
      <c r="G10" s="2">
        <f t="shared" si="1"/>
        <v>0.1871248124062031</v>
      </c>
      <c r="H10" s="2">
        <f t="shared" si="2"/>
        <v>0.23378906250000001</v>
      </c>
      <c r="I10" s="46">
        <v>7.15</v>
      </c>
      <c r="J10" s="183">
        <v>5.07</v>
      </c>
      <c r="K10" s="21">
        <f t="shared" si="3"/>
        <v>-0.29090909090909089</v>
      </c>
      <c r="L10" s="22">
        <f t="shared" si="4"/>
        <v>0.88579792855007378</v>
      </c>
      <c r="M10" s="64">
        <v>1</v>
      </c>
      <c r="N10" s="64">
        <v>1</v>
      </c>
      <c r="O10" s="50">
        <v>0</v>
      </c>
      <c r="P10" s="50">
        <v>0</v>
      </c>
      <c r="Q10" s="50" t="s">
        <v>175</v>
      </c>
    </row>
    <row r="11" spans="1:17">
      <c r="A11" s="79">
        <v>46120</v>
      </c>
      <c r="B11" s="39">
        <v>17200.36</v>
      </c>
      <c r="C11" s="39">
        <v>17821.96</v>
      </c>
      <c r="D11" s="50">
        <v>20876</v>
      </c>
      <c r="E11" s="50">
        <v>20360</v>
      </c>
      <c r="F11" s="21">
        <f t="shared" si="0"/>
        <v>0.17136386794718431</v>
      </c>
      <c r="G11" s="2">
        <f t="shared" si="1"/>
        <v>0.21756711689177921</v>
      </c>
      <c r="H11" s="2">
        <f t="shared" si="2"/>
        <v>0.27182291666666669</v>
      </c>
      <c r="I11" s="46">
        <v>7.15</v>
      </c>
      <c r="J11" s="183">
        <v>5.92075</v>
      </c>
      <c r="K11" s="21">
        <f t="shared" si="3"/>
        <v>-0.17192307692307698</v>
      </c>
      <c r="L11" s="22">
        <f t="shared" si="4"/>
        <v>0.88191712289873769</v>
      </c>
      <c r="M11" s="64">
        <v>1</v>
      </c>
      <c r="N11" s="64">
        <v>1</v>
      </c>
      <c r="O11" s="50">
        <v>0</v>
      </c>
      <c r="P11" s="50">
        <v>0</v>
      </c>
      <c r="Q11" s="50" t="s">
        <v>175</v>
      </c>
    </row>
    <row r="12" spans="1:17">
      <c r="A12" s="79">
        <v>46121</v>
      </c>
      <c r="B12" s="39">
        <v>17200.36</v>
      </c>
      <c r="C12" s="39">
        <v>17821.96</v>
      </c>
      <c r="D12" s="50">
        <v>20953.900000000001</v>
      </c>
      <c r="E12" s="50">
        <v>20400</v>
      </c>
      <c r="F12" s="21">
        <f t="shared" si="0"/>
        <v>0.17573487988975414</v>
      </c>
      <c r="G12" s="2">
        <f t="shared" si="1"/>
        <v>0.2183789811572453</v>
      </c>
      <c r="H12" s="2">
        <f t="shared" si="2"/>
        <v>0.27283723958333334</v>
      </c>
      <c r="I12" s="46">
        <v>7.15</v>
      </c>
      <c r="J12" s="183">
        <v>5.93</v>
      </c>
      <c r="K12" s="21">
        <f t="shared" si="3"/>
        <v>-0.1706293706293707</v>
      </c>
      <c r="L12" s="22">
        <f t="shared" si="4"/>
        <v>0.88382724245765387</v>
      </c>
      <c r="M12" s="64">
        <v>1</v>
      </c>
      <c r="N12" s="64">
        <v>1</v>
      </c>
      <c r="O12" s="50">
        <v>0</v>
      </c>
      <c r="P12" s="50">
        <v>0</v>
      </c>
      <c r="Q12" s="50" t="s">
        <v>175</v>
      </c>
    </row>
    <row r="13" spans="1:17">
      <c r="A13" s="79">
        <v>46122</v>
      </c>
      <c r="B13" s="39">
        <v>17200.36</v>
      </c>
      <c r="C13" s="39">
        <v>17821.96</v>
      </c>
      <c r="D13" s="50">
        <v>21600.3</v>
      </c>
      <c r="E13" s="50">
        <v>21400</v>
      </c>
      <c r="F13" s="21">
        <f t="shared" si="0"/>
        <v>0.21200474021936982</v>
      </c>
      <c r="G13" s="2">
        <f t="shared" si="1"/>
        <v>0.22511568284142069</v>
      </c>
      <c r="H13" s="2">
        <f t="shared" si="2"/>
        <v>0.28125390624999996</v>
      </c>
      <c r="I13" s="46">
        <v>7.15</v>
      </c>
      <c r="J13" s="183">
        <v>6.1345000000000001</v>
      </c>
      <c r="K13" s="21">
        <f t="shared" si="3"/>
        <v>-0.14202797202797207</v>
      </c>
      <c r="L13" s="22">
        <f t="shared" si="4"/>
        <v>0.88071992635000362</v>
      </c>
      <c r="M13" s="64">
        <v>1</v>
      </c>
      <c r="N13" s="64">
        <v>1</v>
      </c>
      <c r="O13" s="50">
        <v>0</v>
      </c>
      <c r="P13" s="50">
        <v>0</v>
      </c>
      <c r="Q13" s="50" t="s">
        <v>175</v>
      </c>
    </row>
    <row r="14" spans="1:17">
      <c r="A14" s="79">
        <v>46123</v>
      </c>
      <c r="B14" s="39">
        <v>17200.36</v>
      </c>
      <c r="C14" s="39">
        <v>17821.96</v>
      </c>
      <c r="D14" s="50">
        <v>20835</v>
      </c>
      <c r="E14" s="50">
        <v>19640</v>
      </c>
      <c r="F14" s="21">
        <f t="shared" si="0"/>
        <v>0.16906333534583182</v>
      </c>
      <c r="G14" s="2">
        <f t="shared" si="1"/>
        <v>0.21713981990995498</v>
      </c>
      <c r="H14" s="2">
        <f t="shared" si="2"/>
        <v>0.27128906250000001</v>
      </c>
      <c r="I14" s="46">
        <v>7.15</v>
      </c>
      <c r="J14" s="183">
        <v>5.9059999999999997</v>
      </c>
      <c r="K14" s="21">
        <f t="shared" si="3"/>
        <v>-0.17398601398601407</v>
      </c>
      <c r="L14" s="22">
        <f t="shared" si="4"/>
        <v>0.88238328442921099</v>
      </c>
      <c r="M14" s="64">
        <v>1</v>
      </c>
      <c r="N14" s="64">
        <v>1</v>
      </c>
      <c r="O14" s="50">
        <v>0</v>
      </c>
      <c r="P14" s="50">
        <v>0</v>
      </c>
      <c r="Q14" s="50" t="s">
        <v>175</v>
      </c>
    </row>
    <row r="15" spans="1:17">
      <c r="A15" s="79">
        <v>46124</v>
      </c>
      <c r="B15" s="39">
        <v>17200.36</v>
      </c>
      <c r="C15" s="39">
        <v>17821.96</v>
      </c>
      <c r="D15" s="50">
        <v>21592.2</v>
      </c>
      <c r="E15" s="50">
        <v>21400</v>
      </c>
      <c r="F15" s="21">
        <f t="shared" si="0"/>
        <v>0.21155024475422465</v>
      </c>
      <c r="G15" s="2">
        <f t="shared" si="1"/>
        <v>0.22503126563281642</v>
      </c>
      <c r="H15" s="2">
        <f t="shared" si="2"/>
        <v>0.28114843750000001</v>
      </c>
      <c r="I15" s="46">
        <v>7.15</v>
      </c>
      <c r="J15" s="183">
        <v>6.0837500000000002</v>
      </c>
      <c r="K15" s="21">
        <f t="shared" si="3"/>
        <v>-0.14912587412587414</v>
      </c>
      <c r="L15" s="22">
        <f t="shared" si="4"/>
        <v>0.88773377853915658</v>
      </c>
      <c r="M15" s="64">
        <v>1</v>
      </c>
      <c r="N15" s="64">
        <v>1</v>
      </c>
      <c r="O15" s="50">
        <v>0</v>
      </c>
      <c r="P15" s="50">
        <v>0</v>
      </c>
      <c r="Q15" s="50" t="s">
        <v>175</v>
      </c>
    </row>
    <row r="16" spans="1:17">
      <c r="A16" s="79">
        <v>46125</v>
      </c>
      <c r="B16" s="39">
        <v>17200.36</v>
      </c>
      <c r="C16" s="39">
        <v>17821.96</v>
      </c>
      <c r="D16" s="50">
        <v>21014.3</v>
      </c>
      <c r="E16" s="50">
        <v>20800</v>
      </c>
      <c r="F16" s="21">
        <f t="shared" si="0"/>
        <v>0.179123957185405</v>
      </c>
      <c r="G16" s="2">
        <f t="shared" si="1"/>
        <v>0.21900846256461565</v>
      </c>
      <c r="H16" s="2">
        <f t="shared" si="2"/>
        <v>0.27362369791666663</v>
      </c>
      <c r="I16" s="46">
        <v>7.15</v>
      </c>
      <c r="J16" s="183">
        <v>6.0002500000000003</v>
      </c>
      <c r="K16" s="21">
        <f t="shared" si="3"/>
        <v>-0.1608041958041958</v>
      </c>
      <c r="L16" s="22">
        <f t="shared" si="4"/>
        <v>0.87599735036886373</v>
      </c>
      <c r="M16" s="64">
        <v>1</v>
      </c>
      <c r="N16" s="64">
        <v>1</v>
      </c>
      <c r="O16" s="50">
        <v>0</v>
      </c>
      <c r="P16" s="50">
        <v>0</v>
      </c>
      <c r="Q16" s="50" t="s">
        <v>175</v>
      </c>
    </row>
    <row r="17" spans="1:17">
      <c r="A17" s="79">
        <v>46126</v>
      </c>
      <c r="B17" s="39">
        <v>17200.36</v>
      </c>
      <c r="C17" s="39">
        <v>17821.96</v>
      </c>
      <c r="D17" s="50">
        <v>21542.799999999999</v>
      </c>
      <c r="E17" s="50">
        <v>21240</v>
      </c>
      <c r="F17" s="21">
        <f t="shared" si="0"/>
        <v>0.20877838352235109</v>
      </c>
      <c r="G17" s="2">
        <f t="shared" si="1"/>
        <v>0.22451642487910622</v>
      </c>
      <c r="H17" s="2">
        <f t="shared" si="2"/>
        <v>0.28050520833333331</v>
      </c>
      <c r="I17" s="46">
        <v>7.15</v>
      </c>
      <c r="J17" s="183">
        <v>6.3315000000000001</v>
      </c>
      <c r="K17" s="21">
        <f t="shared" si="3"/>
        <v>-0.1144755244755245</v>
      </c>
      <c r="L17" s="22">
        <f t="shared" si="4"/>
        <v>0.85104543901106355</v>
      </c>
      <c r="M17" s="64">
        <v>1</v>
      </c>
      <c r="N17" s="64">
        <v>1</v>
      </c>
      <c r="O17" s="50">
        <v>0</v>
      </c>
      <c r="P17" s="50">
        <v>0</v>
      </c>
      <c r="Q17" s="50" t="s">
        <v>175</v>
      </c>
    </row>
    <row r="18" spans="1:17">
      <c r="A18" s="79">
        <v>46127</v>
      </c>
      <c r="B18" s="39">
        <v>17200.36</v>
      </c>
      <c r="C18" s="39">
        <v>17821.96</v>
      </c>
      <c r="D18" s="50">
        <v>20459.8</v>
      </c>
      <c r="E18" s="50">
        <v>20280</v>
      </c>
      <c r="F18" s="21">
        <f t="shared" si="0"/>
        <v>0.1480106565158939</v>
      </c>
      <c r="G18" s="2">
        <f t="shared" si="1"/>
        <v>0.21322953143238285</v>
      </c>
      <c r="H18" s="2">
        <f t="shared" si="2"/>
        <v>0.26640364583333331</v>
      </c>
      <c r="I18" s="46">
        <v>7.15</v>
      </c>
      <c r="J18" s="183">
        <v>6.2432499999999997</v>
      </c>
      <c r="K18" s="21">
        <f t="shared" si="3"/>
        <v>-0.12681818181818189</v>
      </c>
      <c r="L18" s="22">
        <f t="shared" si="4"/>
        <v>0.81968666229562948</v>
      </c>
      <c r="M18" s="64">
        <v>1</v>
      </c>
      <c r="N18" s="64">
        <v>1</v>
      </c>
      <c r="O18" s="50">
        <v>0</v>
      </c>
      <c r="P18" s="50">
        <v>0</v>
      </c>
      <c r="Q18" s="50" t="s">
        <v>175</v>
      </c>
    </row>
    <row r="19" spans="1:17">
      <c r="A19" s="79">
        <v>46128</v>
      </c>
      <c r="B19" s="39">
        <v>17200.36</v>
      </c>
      <c r="C19" s="39">
        <v>17821.96</v>
      </c>
      <c r="D19" s="50">
        <v>20745.599999999999</v>
      </c>
      <c r="E19" s="50">
        <v>20480</v>
      </c>
      <c r="F19" s="21">
        <f t="shared" si="0"/>
        <v>0.16404705206385828</v>
      </c>
      <c r="G19" s="2">
        <f t="shared" si="1"/>
        <v>0.21620810405202601</v>
      </c>
      <c r="H19" s="2">
        <f t="shared" si="2"/>
        <v>0.270125</v>
      </c>
      <c r="I19" s="46">
        <v>7.15</v>
      </c>
      <c r="J19" s="183">
        <v>6.3612500000000001</v>
      </c>
      <c r="K19" s="21">
        <f t="shared" si="3"/>
        <v>-0.11031468531468534</v>
      </c>
      <c r="L19" s="22">
        <f t="shared" si="4"/>
        <v>0.81571931573961465</v>
      </c>
      <c r="M19" s="64">
        <v>1</v>
      </c>
      <c r="N19" s="64">
        <v>1</v>
      </c>
      <c r="O19" s="50">
        <v>0</v>
      </c>
      <c r="P19" s="50">
        <v>0</v>
      </c>
      <c r="Q19" s="50" t="s">
        <v>175</v>
      </c>
    </row>
    <row r="20" spans="1:17">
      <c r="A20" s="79">
        <v>46129</v>
      </c>
      <c r="B20" s="39">
        <v>17200.36</v>
      </c>
      <c r="C20" s="39">
        <v>17821.96</v>
      </c>
      <c r="D20" s="50">
        <v>22023.1</v>
      </c>
      <c r="E20" s="50">
        <v>21720</v>
      </c>
      <c r="F20" s="21">
        <f t="shared" si="0"/>
        <v>0.23572828128892667</v>
      </c>
      <c r="G20" s="2">
        <f t="shared" si="1"/>
        <v>0.22952205269301315</v>
      </c>
      <c r="H20" s="2">
        <f t="shared" si="2"/>
        <v>0.28675911458333331</v>
      </c>
      <c r="I20" s="46">
        <v>7.15</v>
      </c>
      <c r="J20" s="183">
        <v>7.5952500000000001</v>
      </c>
      <c r="K20" s="21">
        <f t="shared" si="3"/>
        <v>6.227272727272723E-2</v>
      </c>
      <c r="L20" s="22">
        <f t="shared" si="4"/>
        <v>0.72525976954442783</v>
      </c>
      <c r="M20" s="64">
        <v>1</v>
      </c>
      <c r="N20" s="64">
        <v>1</v>
      </c>
      <c r="O20" s="50">
        <v>0</v>
      </c>
      <c r="P20" s="50">
        <v>0</v>
      </c>
      <c r="Q20" s="50" t="s">
        <v>175</v>
      </c>
    </row>
    <row r="21" spans="1:17">
      <c r="A21" s="79">
        <v>46130</v>
      </c>
      <c r="B21" s="39">
        <v>17200.36</v>
      </c>
      <c r="C21" s="39">
        <v>17821.96</v>
      </c>
      <c r="D21" s="50">
        <v>22570.6</v>
      </c>
      <c r="E21" s="50">
        <v>22280</v>
      </c>
      <c r="F21" s="21">
        <f t="shared" si="0"/>
        <v>0.26644880809967025</v>
      </c>
      <c r="G21" s="2">
        <f t="shared" si="1"/>
        <v>0.23522803068200765</v>
      </c>
      <c r="H21" s="2">
        <f t="shared" si="2"/>
        <v>0.29388802083333332</v>
      </c>
      <c r="I21" s="46">
        <v>7.15</v>
      </c>
      <c r="J21" s="183">
        <v>7.7865000000000002</v>
      </c>
      <c r="K21" s="21">
        <f t="shared" si="3"/>
        <v>8.9020979020978996E-2</v>
      </c>
      <c r="L21" s="22">
        <f t="shared" si="4"/>
        <v>0.72503342148181904</v>
      </c>
      <c r="M21" s="64">
        <v>1</v>
      </c>
      <c r="N21" s="64">
        <v>1</v>
      </c>
      <c r="O21" s="50">
        <v>0</v>
      </c>
      <c r="P21" s="50">
        <v>0</v>
      </c>
      <c r="Q21" s="50" t="s">
        <v>175</v>
      </c>
    </row>
    <row r="22" spans="1:17">
      <c r="A22" s="79">
        <v>46131</v>
      </c>
      <c r="B22" s="39">
        <v>17200.36</v>
      </c>
      <c r="C22" s="39">
        <v>17821.96</v>
      </c>
      <c r="D22" s="50">
        <v>22810.9</v>
      </c>
      <c r="E22" s="50">
        <v>22560</v>
      </c>
      <c r="F22" s="21">
        <f t="shared" si="0"/>
        <v>0.27993217356564615</v>
      </c>
      <c r="G22" s="2">
        <f t="shared" si="1"/>
        <v>0.23773240787060199</v>
      </c>
      <c r="H22" s="2">
        <f t="shared" si="2"/>
        <v>0.29701692708333333</v>
      </c>
      <c r="I22" s="46">
        <v>7.15</v>
      </c>
      <c r="J22" s="183">
        <v>7.6604999999999999</v>
      </c>
      <c r="K22" s="21">
        <f t="shared" si="3"/>
        <v>7.1398601398601325E-2</v>
      </c>
      <c r="L22" s="22">
        <f t="shared" si="4"/>
        <v>0.74480488073813034</v>
      </c>
      <c r="M22" s="64">
        <v>1</v>
      </c>
      <c r="N22" s="64">
        <v>1</v>
      </c>
      <c r="O22" s="50">
        <v>0</v>
      </c>
      <c r="P22" s="50">
        <v>0</v>
      </c>
      <c r="Q22" s="50" t="s">
        <v>175</v>
      </c>
    </row>
    <row r="23" spans="1:17">
      <c r="A23" s="79">
        <v>46132</v>
      </c>
      <c r="B23" s="39">
        <v>17200.36</v>
      </c>
      <c r="C23" s="39">
        <v>17821.96</v>
      </c>
      <c r="D23" s="50">
        <v>22160.799999999999</v>
      </c>
      <c r="E23" s="50">
        <v>21920</v>
      </c>
      <c r="F23" s="21">
        <f t="shared" si="0"/>
        <v>0.24345470419639592</v>
      </c>
      <c r="G23" s="2">
        <f t="shared" si="1"/>
        <v>0.23095714523928632</v>
      </c>
      <c r="H23" s="2">
        <f t="shared" si="2"/>
        <v>0.28855208333333332</v>
      </c>
      <c r="I23" s="46">
        <v>7.15</v>
      </c>
      <c r="J23" s="183">
        <v>7.4969999999999999</v>
      </c>
      <c r="K23" s="21">
        <f t="shared" si="3"/>
        <v>4.8531468531468461E-2</v>
      </c>
      <c r="L23" s="22">
        <f t="shared" si="4"/>
        <v>0.73935860820899979</v>
      </c>
      <c r="M23" s="64">
        <v>1</v>
      </c>
      <c r="N23" s="64">
        <v>1</v>
      </c>
      <c r="O23" s="50">
        <v>0</v>
      </c>
      <c r="P23" s="50">
        <v>0</v>
      </c>
      <c r="Q23" s="50" t="s">
        <v>175</v>
      </c>
    </row>
    <row r="24" spans="1:17">
      <c r="A24" s="79">
        <v>46133</v>
      </c>
      <c r="B24" s="39">
        <v>17200.36</v>
      </c>
      <c r="C24" s="39">
        <v>17821.96</v>
      </c>
      <c r="D24" s="50">
        <v>23055.02</v>
      </c>
      <c r="E24" s="50">
        <v>23040</v>
      </c>
      <c r="F24" s="21">
        <f t="shared" si="0"/>
        <v>0.29362988133740631</v>
      </c>
      <c r="G24" s="2">
        <f t="shared" si="1"/>
        <v>0.24027659663164916</v>
      </c>
      <c r="H24" s="2">
        <f t="shared" si="2"/>
        <v>0.30019557291666665</v>
      </c>
      <c r="I24" s="46">
        <v>7.15</v>
      </c>
      <c r="J24" s="183">
        <v>7.7089999999999996</v>
      </c>
      <c r="K24" s="21">
        <f t="shared" si="3"/>
        <v>7.8181818181818075E-2</v>
      </c>
      <c r="L24" s="22">
        <f t="shared" si="4"/>
        <v>0.74803973526521994</v>
      </c>
      <c r="M24" s="64">
        <v>1</v>
      </c>
      <c r="N24" s="64">
        <v>1</v>
      </c>
      <c r="O24" s="50">
        <v>0</v>
      </c>
      <c r="P24" s="50">
        <v>0</v>
      </c>
      <c r="Q24" s="50" t="s">
        <v>175</v>
      </c>
    </row>
    <row r="25" spans="1:17">
      <c r="A25" s="79">
        <v>46134</v>
      </c>
      <c r="B25" s="39">
        <v>17200.36</v>
      </c>
      <c r="C25" s="39">
        <v>17821.96</v>
      </c>
      <c r="D25" s="50">
        <v>22683.1</v>
      </c>
      <c r="E25" s="50">
        <v>22280</v>
      </c>
      <c r="F25" s="21">
        <f t="shared" si="0"/>
        <v>0.27276124511557648</v>
      </c>
      <c r="G25" s="2">
        <f t="shared" si="1"/>
        <v>0.23640049191262297</v>
      </c>
      <c r="H25" s="2">
        <f t="shared" si="2"/>
        <v>0.29535286458333332</v>
      </c>
      <c r="I25" s="46">
        <v>7.15</v>
      </c>
      <c r="J25" s="183">
        <v>7.4729999999999999</v>
      </c>
      <c r="K25" s="21">
        <f t="shared" si="3"/>
        <v>4.5174825174825101E-2</v>
      </c>
      <c r="L25" s="22">
        <f t="shared" si="4"/>
        <v>0.75921474721035076</v>
      </c>
      <c r="M25" s="64">
        <v>1</v>
      </c>
      <c r="N25" s="64">
        <v>1</v>
      </c>
      <c r="O25" s="50">
        <v>0</v>
      </c>
      <c r="P25" s="50">
        <v>0</v>
      </c>
      <c r="Q25" s="50" t="s">
        <v>175</v>
      </c>
    </row>
    <row r="26" spans="1:17">
      <c r="A26" s="79">
        <v>46135</v>
      </c>
      <c r="B26" s="39">
        <v>17200.36</v>
      </c>
      <c r="C26" s="39">
        <v>17821.96</v>
      </c>
      <c r="D26" s="50">
        <v>21946.6</v>
      </c>
      <c r="E26" s="50">
        <v>21680</v>
      </c>
      <c r="F26" s="21">
        <f t="shared" si="0"/>
        <v>0.23143582411811045</v>
      </c>
      <c r="G26" s="2">
        <f t="shared" si="1"/>
        <v>0.22872477905619476</v>
      </c>
      <c r="H26" s="2">
        <f t="shared" si="2"/>
        <v>0.28576302083333333</v>
      </c>
      <c r="I26" s="46">
        <v>7.15</v>
      </c>
      <c r="J26" s="183">
        <v>7.0852500000000003</v>
      </c>
      <c r="K26" s="21">
        <f t="shared" si="3"/>
        <v>-9.0559440559440669E-3</v>
      </c>
      <c r="L26" s="22">
        <f t="shared" si="4"/>
        <v>0.7747637270877773</v>
      </c>
      <c r="M26" s="64">
        <v>1</v>
      </c>
      <c r="N26" s="64">
        <v>1</v>
      </c>
      <c r="O26" s="50">
        <v>0</v>
      </c>
      <c r="P26" s="50">
        <v>0</v>
      </c>
      <c r="Q26" s="50" t="s">
        <v>175</v>
      </c>
    </row>
    <row r="27" spans="1:17">
      <c r="A27" s="79">
        <v>46136</v>
      </c>
      <c r="B27" s="39">
        <v>17200.36</v>
      </c>
      <c r="C27" s="39">
        <v>17821.96</v>
      </c>
      <c r="D27" s="50">
        <v>22079.8</v>
      </c>
      <c r="E27" s="50">
        <v>21920</v>
      </c>
      <c r="F27" s="21">
        <f t="shared" si="0"/>
        <v>0.23890974954494346</v>
      </c>
      <c r="G27" s="2">
        <f t="shared" si="1"/>
        <v>0.23011297315324328</v>
      </c>
      <c r="H27" s="2">
        <f t="shared" si="2"/>
        <v>0.28749739583333334</v>
      </c>
      <c r="I27" s="46">
        <v>7.15</v>
      </c>
      <c r="J27" s="183">
        <v>7.1437499999999998</v>
      </c>
      <c r="K27" s="21">
        <f t="shared" si="3"/>
        <v>-8.7412587412594861E-4</v>
      </c>
      <c r="L27" s="22">
        <f t="shared" si="4"/>
        <v>0.77308295442559427</v>
      </c>
      <c r="M27" s="64">
        <v>1</v>
      </c>
      <c r="N27" s="64">
        <v>1</v>
      </c>
      <c r="O27" s="50">
        <v>0</v>
      </c>
      <c r="P27" s="50">
        <v>0</v>
      </c>
      <c r="Q27" s="50" t="s">
        <v>175</v>
      </c>
    </row>
    <row r="28" spans="1:17">
      <c r="A28" s="79">
        <v>46137</v>
      </c>
      <c r="B28" s="39">
        <v>17200.36</v>
      </c>
      <c r="C28" s="39">
        <v>17821.96</v>
      </c>
      <c r="D28" s="50">
        <v>21835</v>
      </c>
      <c r="E28" s="50">
        <v>21520</v>
      </c>
      <c r="F28" s="21">
        <f t="shared" si="0"/>
        <v>0.22517388659833157</v>
      </c>
      <c r="G28" s="2">
        <f t="shared" si="1"/>
        <v>0.22756169751542438</v>
      </c>
      <c r="H28" s="2">
        <f t="shared" si="2"/>
        <v>0.28430989583333333</v>
      </c>
      <c r="I28" s="46">
        <v>7.15</v>
      </c>
      <c r="J28" s="183">
        <v>7.1760000000000002</v>
      </c>
      <c r="K28" s="21">
        <f t="shared" si="3"/>
        <v>3.6363636363636082E-3</v>
      </c>
      <c r="L28" s="22">
        <f t="shared" si="4"/>
        <v>0.76107591142282394</v>
      </c>
      <c r="M28" s="64">
        <v>1</v>
      </c>
      <c r="N28" s="64">
        <v>1</v>
      </c>
      <c r="O28" s="50">
        <v>0</v>
      </c>
      <c r="P28" s="50">
        <v>0</v>
      </c>
      <c r="Q28" s="50" t="s">
        <v>175</v>
      </c>
    </row>
    <row r="29" spans="1:17">
      <c r="A29" s="79">
        <v>46138</v>
      </c>
      <c r="B29" s="39">
        <v>17200.36</v>
      </c>
      <c r="C29" s="39">
        <v>17821.96</v>
      </c>
      <c r="D29" s="50">
        <v>22594.2</v>
      </c>
      <c r="E29" s="50">
        <v>22440</v>
      </c>
      <c r="F29" s="21">
        <f t="shared" si="0"/>
        <v>0.26777301710922941</v>
      </c>
      <c r="G29" s="2">
        <f t="shared" si="1"/>
        <v>0.23547398699349675</v>
      </c>
      <c r="H29" s="2">
        <f t="shared" si="2"/>
        <v>0.29419531250000003</v>
      </c>
      <c r="I29" s="46">
        <v>7.15</v>
      </c>
      <c r="J29" s="183">
        <v>7.3952499999999999</v>
      </c>
      <c r="K29" s="21">
        <f t="shared" si="3"/>
        <v>3.4300699300699233E-2</v>
      </c>
      <c r="L29" s="22">
        <f t="shared" si="4"/>
        <v>0.76418994460551326</v>
      </c>
      <c r="M29" s="64">
        <v>1</v>
      </c>
      <c r="N29" s="64">
        <v>1</v>
      </c>
      <c r="O29" s="50">
        <v>0</v>
      </c>
      <c r="P29" s="50">
        <v>0</v>
      </c>
      <c r="Q29" s="50" t="s">
        <v>175</v>
      </c>
    </row>
    <row r="30" spans="1:17">
      <c r="A30" s="79">
        <v>46139</v>
      </c>
      <c r="B30" s="39">
        <v>17200.36</v>
      </c>
      <c r="C30" s="39">
        <v>17821.96</v>
      </c>
      <c r="D30" s="50">
        <v>22379.599999999999</v>
      </c>
      <c r="E30" s="50">
        <v>22160</v>
      </c>
      <c r="F30" s="21">
        <f t="shared" si="0"/>
        <v>0.25573169281044283</v>
      </c>
      <c r="G30" s="2">
        <f t="shared" ref="G30:G33" si="5">D30/($D$2*24)</f>
        <v>0.233237452059363</v>
      </c>
      <c r="H30" s="2">
        <f t="shared" ref="H30:H33" si="6">D30/($H$2*24)</f>
        <v>0.29140104166666664</v>
      </c>
      <c r="I30" s="46">
        <v>7.15</v>
      </c>
      <c r="J30" s="50">
        <v>7.1832500000000001</v>
      </c>
      <c r="K30" s="21">
        <f t="shared" ref="K30:K33" si="7">(IF(ISBLANK(J30),0,J30-I30))/I30</f>
        <v>4.6503496503496194E-3</v>
      </c>
      <c r="L30" s="22">
        <f t="shared" ref="L30:L33" si="8">D30/($D$2*J30)</f>
        <v>0.77927106106911381</v>
      </c>
      <c r="M30" s="64">
        <v>1</v>
      </c>
      <c r="N30" s="64">
        <v>1</v>
      </c>
      <c r="O30" s="50">
        <v>0</v>
      </c>
      <c r="P30" s="50">
        <v>0</v>
      </c>
      <c r="Q30" s="50" t="s">
        <v>175</v>
      </c>
    </row>
    <row r="31" spans="1:17">
      <c r="A31" s="79">
        <v>46140</v>
      </c>
      <c r="B31" s="39">
        <v>17200.36</v>
      </c>
      <c r="C31" s="39">
        <v>17821.96</v>
      </c>
      <c r="D31" s="50">
        <v>21717.5</v>
      </c>
      <c r="E31" s="50">
        <v>21360</v>
      </c>
      <c r="F31" s="21">
        <f t="shared" si="0"/>
        <v>0.21858089682616283</v>
      </c>
      <c r="G31" s="2">
        <f t="shared" si="5"/>
        <v>0.22633712689678173</v>
      </c>
      <c r="H31" s="2">
        <f t="shared" si="6"/>
        <v>0.28277994791666666</v>
      </c>
      <c r="I31" s="46">
        <v>7.15</v>
      </c>
      <c r="J31" s="50">
        <v>7.0529999999999999</v>
      </c>
      <c r="K31" s="21">
        <f t="shared" si="7"/>
        <v>-1.3566433566433625E-2</v>
      </c>
      <c r="L31" s="22">
        <f t="shared" si="8"/>
        <v>0.77018163129487616</v>
      </c>
      <c r="M31" s="64">
        <v>1</v>
      </c>
      <c r="N31" s="64">
        <v>1</v>
      </c>
      <c r="O31" s="50">
        <v>0</v>
      </c>
      <c r="P31" s="50">
        <v>0</v>
      </c>
      <c r="Q31" s="50" t="s">
        <v>175</v>
      </c>
    </row>
    <row r="32" spans="1:17">
      <c r="A32" s="79">
        <v>46141</v>
      </c>
      <c r="B32" s="39">
        <v>17200.36</v>
      </c>
      <c r="C32" s="39">
        <v>17821.96</v>
      </c>
      <c r="D32" s="50">
        <v>21389.1</v>
      </c>
      <c r="E32" s="50">
        <v>21040</v>
      </c>
      <c r="F32" s="21">
        <f t="shared" si="0"/>
        <v>0.20015419179484184</v>
      </c>
      <c r="G32" s="2">
        <f t="shared" si="5"/>
        <v>0.22291458229114555</v>
      </c>
      <c r="H32" s="2">
        <f t="shared" si="6"/>
        <v>0.27850390624999999</v>
      </c>
      <c r="I32" s="46">
        <v>7.15</v>
      </c>
      <c r="J32" s="50">
        <v>7.0404999999999998</v>
      </c>
      <c r="K32" s="21">
        <f t="shared" si="7"/>
        <v>-1.5314685314685397E-2</v>
      </c>
      <c r="L32" s="22">
        <f t="shared" si="8"/>
        <v>0.75988210709289028</v>
      </c>
      <c r="M32" s="64">
        <v>1</v>
      </c>
      <c r="N32" s="64">
        <v>1</v>
      </c>
      <c r="O32" s="50">
        <v>0</v>
      </c>
      <c r="P32" s="50">
        <v>0</v>
      </c>
      <c r="Q32" s="50" t="s">
        <v>175</v>
      </c>
    </row>
    <row r="33" spans="1:17">
      <c r="A33" s="79">
        <v>46142</v>
      </c>
      <c r="B33" s="39">
        <v>17200.36</v>
      </c>
      <c r="C33" s="39">
        <v>17821.96</v>
      </c>
      <c r="D33" s="50">
        <v>19720.900000000001</v>
      </c>
      <c r="E33" s="50">
        <v>19600</v>
      </c>
      <c r="F33" s="21">
        <f t="shared" si="0"/>
        <v>0.10655057019542197</v>
      </c>
      <c r="G33" s="2">
        <f t="shared" si="5"/>
        <v>0.20552880606970153</v>
      </c>
      <c r="H33" s="2">
        <f t="shared" si="6"/>
        <v>0.25678255208333334</v>
      </c>
      <c r="I33" s="46">
        <v>7.15</v>
      </c>
      <c r="J33" s="50">
        <v>6.6859999999999999</v>
      </c>
      <c r="K33" s="21">
        <f t="shared" si="7"/>
        <v>-6.4895104895104944E-2</v>
      </c>
      <c r="L33" s="22">
        <f t="shared" si="8"/>
        <v>0.73776418571235969</v>
      </c>
      <c r="M33" s="64">
        <v>1</v>
      </c>
      <c r="N33" s="64">
        <v>1</v>
      </c>
      <c r="O33" s="50">
        <v>0</v>
      </c>
      <c r="P33" s="50">
        <v>0</v>
      </c>
      <c r="Q33" s="50" t="s">
        <v>175</v>
      </c>
    </row>
    <row r="34" spans="1:17">
      <c r="A34" s="349">
        <v>46113</v>
      </c>
      <c r="B34" s="319">
        <f>SUM(B4:B33)</f>
        <v>516010.7999999997</v>
      </c>
      <c r="C34" s="319">
        <f>SUM(C4:C33)</f>
        <v>534658.80000000016</v>
      </c>
      <c r="D34" s="319">
        <f>SUM(D4:D33)</f>
        <v>629046.11999999988</v>
      </c>
      <c r="E34" s="84">
        <f>SUM(E4:E33)</f>
        <v>620000</v>
      </c>
      <c r="F34" s="160">
        <f t="shared" si="0"/>
        <v>0.17653748521486917</v>
      </c>
      <c r="G34" s="167">
        <f>AVERAGE(G4:G33)</f>
        <v>0.21852805569451397</v>
      </c>
      <c r="H34" s="167">
        <f>AVERAGE(H4:H33)</f>
        <v>0.27302348958333333</v>
      </c>
      <c r="I34" s="84">
        <f>SUM(I4:I33)</f>
        <v>214.50000000000011</v>
      </c>
      <c r="J34" s="84">
        <f>SUM(J4:J33)</f>
        <v>194.3955</v>
      </c>
      <c r="K34" s="160">
        <f>(IF(ISBLANK(J34),0,J34-I34))/I34</f>
        <v>-9.3727272727273214E-2</v>
      </c>
      <c r="L34" s="161">
        <f t="shared" ref="L34:L66" si="9">D34/($D$2*J34)</f>
        <v>0.809381904931184</v>
      </c>
      <c r="M34" s="167">
        <f>AVERAGE(M4:M33)</f>
        <v>0.995</v>
      </c>
      <c r="N34" s="167">
        <f>AVERAGE(N4:N33)</f>
        <v>1</v>
      </c>
      <c r="O34" s="84">
        <f>SUM(O4:O33)</f>
        <v>0</v>
      </c>
      <c r="P34" s="84">
        <f>SUM(P4:P33)</f>
        <v>4414</v>
      </c>
      <c r="Q34" s="84" t="s">
        <v>175</v>
      </c>
    </row>
    <row r="35" spans="1:17">
      <c r="A35" s="13">
        <v>46143</v>
      </c>
      <c r="B35" s="26">
        <v>17353.97</v>
      </c>
      <c r="C35" s="39">
        <v>17972.97</v>
      </c>
      <c r="D35" s="33">
        <v>20310</v>
      </c>
      <c r="E35" s="33">
        <v>20120</v>
      </c>
      <c r="F35" s="20">
        <f>(IF(ISBLANK(E35),0,E35-C35))/C35</f>
        <v>0.11945883179018263</v>
      </c>
      <c r="G35" s="2">
        <f t="shared" ref="G35:G57" si="10">D35/($D$2*24)</f>
        <v>0.21166833416708355</v>
      </c>
      <c r="H35" s="2">
        <f t="shared" ref="H35:H61" si="11">D35/($H$2*24)</f>
        <v>0.26445312500000001</v>
      </c>
      <c r="I35" s="28">
        <v>7.25</v>
      </c>
      <c r="J35" s="33">
        <v>6.7809999999999997</v>
      </c>
      <c r="K35" s="20">
        <f>(IF(ISBLANK(J35),0,J35-I35))/I35</f>
        <v>-6.4689655172413832E-2</v>
      </c>
      <c r="L35" s="4">
        <f t="shared" si="9"/>
        <v>0.74915794425748494</v>
      </c>
      <c r="M35" s="103"/>
      <c r="N35" s="103"/>
      <c r="O35" s="33"/>
      <c r="P35" s="6"/>
      <c r="Q35" s="6"/>
    </row>
    <row r="36" spans="1:17">
      <c r="A36" s="13">
        <f>A35+1</f>
        <v>46144</v>
      </c>
      <c r="B36" s="26">
        <v>17353.97</v>
      </c>
      <c r="C36" s="39">
        <v>17972.97</v>
      </c>
      <c r="D36" s="34">
        <v>18500</v>
      </c>
      <c r="E36" s="34">
        <v>18320</v>
      </c>
      <c r="F36" s="20">
        <f t="shared" ref="F36:F54" si="12">(IF(ISBLANK(E36),0,E36-C36))/C36</f>
        <v>1.9308439284102672E-2</v>
      </c>
      <c r="G36" s="2">
        <f t="shared" si="10"/>
        <v>0.19280473570118392</v>
      </c>
      <c r="H36" s="2">
        <f t="shared" si="11"/>
        <v>0.24088541666666666</v>
      </c>
      <c r="I36" s="28">
        <v>7.25</v>
      </c>
      <c r="J36" s="34">
        <v>6.0049999999999999</v>
      </c>
      <c r="K36" s="20">
        <f t="shared" ref="K36:K54" si="13">(IF(ISBLANK(J36),0,J36-I36))/I36</f>
        <v>-0.1717241379310345</v>
      </c>
      <c r="L36" s="4">
        <f t="shared" si="9"/>
        <v>0.7705767954751731</v>
      </c>
      <c r="M36" s="103"/>
      <c r="N36" s="103"/>
      <c r="O36" s="34"/>
      <c r="P36" s="6"/>
      <c r="Q36" s="6"/>
    </row>
    <row r="37" spans="1:17">
      <c r="A37" s="13">
        <f t="shared" ref="A37:A65" si="14">A36+1</f>
        <v>46145</v>
      </c>
      <c r="B37" s="26">
        <v>17353.97</v>
      </c>
      <c r="C37" s="39">
        <v>17972.97</v>
      </c>
      <c r="D37" s="34">
        <v>18283</v>
      </c>
      <c r="E37" s="34">
        <v>18120</v>
      </c>
      <c r="F37" s="20">
        <f t="shared" si="12"/>
        <v>8.1806178945382328E-3</v>
      </c>
      <c r="G37" s="2">
        <f t="shared" si="10"/>
        <v>0.19054318826079705</v>
      </c>
      <c r="H37" s="2">
        <f t="shared" si="11"/>
        <v>0.23805989583333334</v>
      </c>
      <c r="I37" s="28">
        <v>7.25</v>
      </c>
      <c r="J37" s="34">
        <v>5.9660000000000002</v>
      </c>
      <c r="K37" s="20">
        <f t="shared" si="13"/>
        <v>-0.17710344827586205</v>
      </c>
      <c r="L37" s="4">
        <f t="shared" si="9"/>
        <v>0.76651634566864391</v>
      </c>
      <c r="M37" s="103"/>
      <c r="N37" s="104"/>
      <c r="O37" s="34"/>
      <c r="P37" s="6"/>
      <c r="Q37" s="6"/>
    </row>
    <row r="38" spans="1:17">
      <c r="A38" s="13">
        <f t="shared" si="14"/>
        <v>46146</v>
      </c>
      <c r="B38" s="26">
        <v>17353.97</v>
      </c>
      <c r="C38" s="39">
        <v>17972.97</v>
      </c>
      <c r="D38" s="34">
        <v>18139</v>
      </c>
      <c r="E38" s="34">
        <v>18040</v>
      </c>
      <c r="F38" s="20">
        <f t="shared" si="12"/>
        <v>3.7294893387124573E-3</v>
      </c>
      <c r="G38" s="2">
        <f t="shared" si="10"/>
        <v>0.18904243788560948</v>
      </c>
      <c r="H38" s="2">
        <f t="shared" si="11"/>
        <v>0.23618489583333332</v>
      </c>
      <c r="I38" s="28">
        <v>7.25</v>
      </c>
      <c r="J38" s="34">
        <v>6.181</v>
      </c>
      <c r="K38" s="20">
        <f t="shared" si="13"/>
        <v>-0.14744827586206896</v>
      </c>
      <c r="L38" s="4">
        <f t="shared" si="9"/>
        <v>0.73402661531380475</v>
      </c>
      <c r="M38" s="103"/>
      <c r="N38" s="103"/>
      <c r="O38" s="34"/>
      <c r="P38" s="6"/>
      <c r="Q38" s="14"/>
    </row>
    <row r="39" spans="1:17">
      <c r="A39" s="13">
        <f t="shared" si="14"/>
        <v>46147</v>
      </c>
      <c r="B39" s="26">
        <v>17353.97</v>
      </c>
      <c r="C39" s="39">
        <v>17972.97</v>
      </c>
      <c r="D39" s="34">
        <v>17603</v>
      </c>
      <c r="E39" s="34">
        <v>17320</v>
      </c>
      <c r="F39" s="20">
        <f t="shared" si="12"/>
        <v>-3.6330667663719528E-2</v>
      </c>
      <c r="G39" s="2">
        <f t="shared" si="10"/>
        <v>0.18345631148907787</v>
      </c>
      <c r="H39" s="2">
        <f t="shared" si="11"/>
        <v>0.22920572916666668</v>
      </c>
      <c r="I39" s="28">
        <v>7.25</v>
      </c>
      <c r="J39" s="34">
        <v>5.9950000000000001</v>
      </c>
      <c r="K39" s="20">
        <f t="shared" si="13"/>
        <v>-0.17310344827586205</v>
      </c>
      <c r="L39" s="4">
        <f t="shared" si="9"/>
        <v>0.73443727702049522</v>
      </c>
      <c r="M39" s="103"/>
      <c r="N39" s="103"/>
      <c r="O39" s="34"/>
      <c r="P39" s="6"/>
      <c r="Q39" s="14"/>
    </row>
    <row r="40" spans="1:17">
      <c r="A40" s="13">
        <f t="shared" si="14"/>
        <v>46148</v>
      </c>
      <c r="B40" s="26">
        <v>17353.97</v>
      </c>
      <c r="C40" s="39">
        <v>17972.97</v>
      </c>
      <c r="D40" s="34"/>
      <c r="E40" s="34"/>
      <c r="F40" s="20">
        <f t="shared" si="12"/>
        <v>0</v>
      </c>
      <c r="G40" s="2">
        <f t="shared" si="10"/>
        <v>0</v>
      </c>
      <c r="H40" s="2">
        <f t="shared" si="11"/>
        <v>0</v>
      </c>
      <c r="I40" s="28">
        <v>7.25</v>
      </c>
      <c r="J40" s="34"/>
      <c r="K40" s="20">
        <f t="shared" si="13"/>
        <v>0</v>
      </c>
      <c r="L40" s="4" t="e">
        <f t="shared" si="9"/>
        <v>#DIV/0!</v>
      </c>
      <c r="M40" s="103"/>
      <c r="N40" s="103"/>
      <c r="O40" s="34"/>
      <c r="P40" s="6"/>
      <c r="Q40" s="14"/>
    </row>
    <row r="41" spans="1:17">
      <c r="A41" s="13">
        <f t="shared" si="14"/>
        <v>46149</v>
      </c>
      <c r="B41" s="26">
        <v>17353.97</v>
      </c>
      <c r="C41" s="39">
        <v>17972.97</v>
      </c>
      <c r="D41" s="34"/>
      <c r="E41" s="34"/>
      <c r="F41" s="20">
        <f t="shared" si="12"/>
        <v>0</v>
      </c>
      <c r="G41" s="2">
        <f t="shared" si="10"/>
        <v>0</v>
      </c>
      <c r="H41" s="2">
        <f t="shared" si="11"/>
        <v>0</v>
      </c>
      <c r="I41" s="28">
        <v>7.25</v>
      </c>
      <c r="J41" s="34"/>
      <c r="K41" s="20">
        <f t="shared" si="13"/>
        <v>0</v>
      </c>
      <c r="L41" s="4" t="e">
        <f t="shared" si="9"/>
        <v>#DIV/0!</v>
      </c>
      <c r="M41" s="103"/>
      <c r="N41" s="103"/>
      <c r="O41" s="34"/>
      <c r="P41" s="6"/>
      <c r="Q41" s="202"/>
    </row>
    <row r="42" spans="1:17">
      <c r="A42" s="13">
        <f t="shared" si="14"/>
        <v>46150</v>
      </c>
      <c r="B42" s="127"/>
      <c r="C42" s="127"/>
      <c r="D42" s="34"/>
      <c r="E42" s="34"/>
      <c r="F42" s="20" t="e">
        <f t="shared" si="12"/>
        <v>#DIV/0!</v>
      </c>
      <c r="G42" s="2">
        <f t="shared" si="10"/>
        <v>0</v>
      </c>
      <c r="H42" s="2">
        <f t="shared" si="11"/>
        <v>0</v>
      </c>
      <c r="I42" s="29"/>
      <c r="J42" s="34"/>
      <c r="K42" s="20" t="e">
        <f t="shared" si="13"/>
        <v>#DIV/0!</v>
      </c>
      <c r="L42" s="4" t="e">
        <f t="shared" si="9"/>
        <v>#DIV/0!</v>
      </c>
      <c r="M42" s="103"/>
      <c r="N42" s="103"/>
      <c r="O42" s="34"/>
      <c r="P42" s="6"/>
      <c r="Q42" s="14"/>
    </row>
    <row r="43" spans="1:17">
      <c r="A43" s="13">
        <f t="shared" si="14"/>
        <v>46151</v>
      </c>
      <c r="B43" s="127"/>
      <c r="C43" s="127"/>
      <c r="D43" s="34"/>
      <c r="E43" s="34"/>
      <c r="F43" s="20" t="e">
        <f t="shared" si="12"/>
        <v>#DIV/0!</v>
      </c>
      <c r="G43" s="2">
        <f t="shared" si="10"/>
        <v>0</v>
      </c>
      <c r="H43" s="2">
        <f t="shared" si="11"/>
        <v>0</v>
      </c>
      <c r="I43" s="29"/>
      <c r="J43" s="34"/>
      <c r="K43" s="20" t="e">
        <f t="shared" si="13"/>
        <v>#DIV/0!</v>
      </c>
      <c r="L43" s="4" t="e">
        <f t="shared" si="9"/>
        <v>#DIV/0!</v>
      </c>
      <c r="M43" s="103"/>
      <c r="N43" s="103"/>
      <c r="O43" s="34"/>
      <c r="P43" s="6"/>
      <c r="Q43" s="6"/>
    </row>
    <row r="44" spans="1:17">
      <c r="A44" s="13">
        <f t="shared" si="14"/>
        <v>46152</v>
      </c>
      <c r="B44" s="127"/>
      <c r="C44" s="127"/>
      <c r="D44" s="34"/>
      <c r="E44" s="34"/>
      <c r="F44" s="20" t="e">
        <f t="shared" si="12"/>
        <v>#DIV/0!</v>
      </c>
      <c r="G44" s="2">
        <f t="shared" si="10"/>
        <v>0</v>
      </c>
      <c r="H44" s="2">
        <f t="shared" si="11"/>
        <v>0</v>
      </c>
      <c r="I44" s="29"/>
      <c r="J44" s="34"/>
      <c r="K44" s="20" t="e">
        <f t="shared" si="13"/>
        <v>#DIV/0!</v>
      </c>
      <c r="L44" s="4" t="e">
        <f t="shared" si="9"/>
        <v>#DIV/0!</v>
      </c>
      <c r="M44" s="103"/>
      <c r="N44" s="103"/>
      <c r="O44" s="34"/>
      <c r="P44" s="6"/>
      <c r="Q44" s="16"/>
    </row>
    <row r="45" spans="1:17">
      <c r="A45" s="13">
        <f t="shared" si="14"/>
        <v>46153</v>
      </c>
      <c r="B45" s="127"/>
      <c r="C45" s="127"/>
      <c r="D45" s="34"/>
      <c r="E45" s="34"/>
      <c r="F45" s="20" t="e">
        <f t="shared" si="12"/>
        <v>#DIV/0!</v>
      </c>
      <c r="G45" s="2">
        <f t="shared" si="10"/>
        <v>0</v>
      </c>
      <c r="H45" s="2">
        <f t="shared" si="11"/>
        <v>0</v>
      </c>
      <c r="I45" s="29"/>
      <c r="J45" s="34"/>
      <c r="K45" s="20" t="e">
        <f t="shared" si="13"/>
        <v>#DIV/0!</v>
      </c>
      <c r="L45" s="4" t="e">
        <f t="shared" si="9"/>
        <v>#DIV/0!</v>
      </c>
      <c r="M45" s="103"/>
      <c r="N45" s="103"/>
      <c r="O45" s="34"/>
      <c r="P45" s="6"/>
      <c r="Q45" s="6"/>
    </row>
    <row r="46" spans="1:17">
      <c r="A46" s="13">
        <f t="shared" si="14"/>
        <v>46154</v>
      </c>
      <c r="B46" s="127"/>
      <c r="C46" s="127"/>
      <c r="D46" s="34"/>
      <c r="E46" s="34"/>
      <c r="F46" s="20" t="e">
        <f t="shared" si="12"/>
        <v>#DIV/0!</v>
      </c>
      <c r="G46" s="2">
        <f t="shared" si="10"/>
        <v>0</v>
      </c>
      <c r="H46" s="2">
        <f t="shared" si="11"/>
        <v>0</v>
      </c>
      <c r="I46" s="29"/>
      <c r="J46" s="34"/>
      <c r="K46" s="20" t="e">
        <f t="shared" si="13"/>
        <v>#DIV/0!</v>
      </c>
      <c r="L46" s="4" t="e">
        <f t="shared" si="9"/>
        <v>#DIV/0!</v>
      </c>
      <c r="M46" s="104"/>
      <c r="N46" s="103"/>
      <c r="O46" s="34"/>
      <c r="P46" s="6"/>
      <c r="Q46" s="6"/>
    </row>
    <row r="47" spans="1:17">
      <c r="A47" s="13">
        <f t="shared" si="14"/>
        <v>46155</v>
      </c>
      <c r="B47" s="127"/>
      <c r="C47" s="127"/>
      <c r="D47" s="34"/>
      <c r="E47" s="34"/>
      <c r="F47" s="20" t="e">
        <f t="shared" si="12"/>
        <v>#DIV/0!</v>
      </c>
      <c r="G47" s="2">
        <f t="shared" si="10"/>
        <v>0</v>
      </c>
      <c r="H47" s="2">
        <f t="shared" si="11"/>
        <v>0</v>
      </c>
      <c r="I47" s="29"/>
      <c r="J47" s="34"/>
      <c r="K47" s="20" t="e">
        <f t="shared" si="13"/>
        <v>#DIV/0!</v>
      </c>
      <c r="L47" s="4" t="e">
        <f t="shared" si="9"/>
        <v>#DIV/0!</v>
      </c>
      <c r="M47" s="104"/>
      <c r="N47" s="103"/>
      <c r="O47" s="34"/>
      <c r="P47" s="6"/>
      <c r="Q47" s="31"/>
    </row>
    <row r="48" spans="1:17">
      <c r="A48" s="13">
        <f t="shared" si="14"/>
        <v>46156</v>
      </c>
      <c r="B48" s="127"/>
      <c r="C48" s="127"/>
      <c r="D48" s="34"/>
      <c r="E48" s="34"/>
      <c r="F48" s="20" t="e">
        <f t="shared" si="12"/>
        <v>#DIV/0!</v>
      </c>
      <c r="G48" s="2">
        <f t="shared" si="10"/>
        <v>0</v>
      </c>
      <c r="H48" s="2">
        <f t="shared" si="11"/>
        <v>0</v>
      </c>
      <c r="I48" s="29"/>
      <c r="J48" s="34"/>
      <c r="K48" s="20" t="e">
        <f t="shared" si="13"/>
        <v>#DIV/0!</v>
      </c>
      <c r="L48" s="4" t="e">
        <f t="shared" si="9"/>
        <v>#DIV/0!</v>
      </c>
      <c r="M48" s="104"/>
      <c r="N48" s="103"/>
      <c r="O48" s="34"/>
      <c r="P48" s="6"/>
      <c r="Q48" s="32"/>
    </row>
    <row r="49" spans="1:17">
      <c r="A49" s="13">
        <f t="shared" si="14"/>
        <v>46157</v>
      </c>
      <c r="B49" s="127"/>
      <c r="C49" s="127"/>
      <c r="D49" s="34"/>
      <c r="E49" s="34"/>
      <c r="F49" s="20" t="e">
        <f t="shared" si="12"/>
        <v>#DIV/0!</v>
      </c>
      <c r="G49" s="2">
        <f t="shared" si="10"/>
        <v>0</v>
      </c>
      <c r="H49" s="2">
        <f t="shared" si="11"/>
        <v>0</v>
      </c>
      <c r="I49" s="29"/>
      <c r="J49" s="34"/>
      <c r="K49" s="20" t="e">
        <f t="shared" si="13"/>
        <v>#DIV/0!</v>
      </c>
      <c r="L49" s="4" t="e">
        <f t="shared" si="9"/>
        <v>#DIV/0!</v>
      </c>
      <c r="M49" s="104"/>
      <c r="N49" s="103"/>
      <c r="O49" s="34"/>
      <c r="P49" s="6"/>
      <c r="Q49" s="32"/>
    </row>
    <row r="50" spans="1:17">
      <c r="A50" s="13">
        <f t="shared" si="14"/>
        <v>46158</v>
      </c>
      <c r="B50" s="127"/>
      <c r="C50" s="127"/>
      <c r="D50" s="34"/>
      <c r="E50" s="34"/>
      <c r="F50" s="20" t="e">
        <f t="shared" si="12"/>
        <v>#DIV/0!</v>
      </c>
      <c r="G50" s="2">
        <f t="shared" si="10"/>
        <v>0</v>
      </c>
      <c r="H50" s="2">
        <f t="shared" si="11"/>
        <v>0</v>
      </c>
      <c r="I50" s="29"/>
      <c r="J50" s="34"/>
      <c r="K50" s="20" t="e">
        <f t="shared" si="13"/>
        <v>#DIV/0!</v>
      </c>
      <c r="L50" s="4" t="e">
        <f t="shared" si="9"/>
        <v>#DIV/0!</v>
      </c>
      <c r="M50" s="104"/>
      <c r="N50" s="103"/>
      <c r="O50" s="34"/>
      <c r="P50" s="6"/>
      <c r="Q50" s="32"/>
    </row>
    <row r="51" spans="1:17">
      <c r="A51" s="13">
        <f t="shared" si="14"/>
        <v>46159</v>
      </c>
      <c r="B51" s="127"/>
      <c r="C51" s="127"/>
      <c r="D51" s="34"/>
      <c r="E51" s="34"/>
      <c r="F51" s="20" t="e">
        <f t="shared" si="12"/>
        <v>#DIV/0!</v>
      </c>
      <c r="G51" s="2">
        <f t="shared" si="10"/>
        <v>0</v>
      </c>
      <c r="H51" s="2">
        <f t="shared" si="11"/>
        <v>0</v>
      </c>
      <c r="I51" s="29"/>
      <c r="J51" s="34"/>
      <c r="K51" s="20" t="e">
        <f t="shared" si="13"/>
        <v>#DIV/0!</v>
      </c>
      <c r="L51" s="4" t="e">
        <f t="shared" si="9"/>
        <v>#DIV/0!</v>
      </c>
      <c r="M51" s="103"/>
      <c r="N51" s="103"/>
      <c r="O51" s="34"/>
      <c r="P51" s="6"/>
      <c r="Q51" s="6"/>
    </row>
    <row r="52" spans="1:17">
      <c r="A52" s="13">
        <f t="shared" si="14"/>
        <v>46160</v>
      </c>
      <c r="B52" s="127"/>
      <c r="C52" s="127"/>
      <c r="D52" s="34"/>
      <c r="E52" s="34"/>
      <c r="F52" s="20" t="e">
        <f t="shared" si="12"/>
        <v>#DIV/0!</v>
      </c>
      <c r="G52" s="2">
        <f t="shared" si="10"/>
        <v>0</v>
      </c>
      <c r="H52" s="2">
        <f t="shared" si="11"/>
        <v>0</v>
      </c>
      <c r="I52" s="29"/>
      <c r="J52" s="34"/>
      <c r="K52" s="20" t="e">
        <f t="shared" si="13"/>
        <v>#DIV/0!</v>
      </c>
      <c r="L52" s="4" t="e">
        <f t="shared" si="9"/>
        <v>#DIV/0!</v>
      </c>
      <c r="M52" s="103"/>
      <c r="N52" s="103"/>
      <c r="O52" s="34"/>
      <c r="P52" s="6"/>
      <c r="Q52" s="14"/>
    </row>
    <row r="53" spans="1:17">
      <c r="A53" s="13">
        <f t="shared" si="14"/>
        <v>46161</v>
      </c>
      <c r="B53" s="127"/>
      <c r="C53" s="127"/>
      <c r="D53" s="34"/>
      <c r="E53" s="34"/>
      <c r="F53" s="20" t="e">
        <f t="shared" si="12"/>
        <v>#DIV/0!</v>
      </c>
      <c r="G53" s="2">
        <f t="shared" si="10"/>
        <v>0</v>
      </c>
      <c r="H53" s="2">
        <f t="shared" si="11"/>
        <v>0</v>
      </c>
      <c r="I53" s="29"/>
      <c r="J53" s="34"/>
      <c r="K53" s="20" t="e">
        <f t="shared" si="13"/>
        <v>#DIV/0!</v>
      </c>
      <c r="L53" s="4" t="e">
        <f t="shared" si="9"/>
        <v>#DIV/0!</v>
      </c>
      <c r="M53" s="103"/>
      <c r="N53" s="103"/>
      <c r="O53" s="34"/>
      <c r="P53" s="6"/>
      <c r="Q53" s="14"/>
    </row>
    <row r="54" spans="1:17">
      <c r="A54" s="13">
        <f t="shared" si="14"/>
        <v>46162</v>
      </c>
      <c r="B54" s="127"/>
      <c r="C54" s="127"/>
      <c r="D54" s="34"/>
      <c r="E54" s="34"/>
      <c r="F54" s="20" t="e">
        <f t="shared" si="12"/>
        <v>#DIV/0!</v>
      </c>
      <c r="G54" s="2">
        <f t="shared" si="10"/>
        <v>0</v>
      </c>
      <c r="H54" s="2">
        <f t="shared" si="11"/>
        <v>0</v>
      </c>
      <c r="I54" s="29"/>
      <c r="J54" s="34"/>
      <c r="K54" s="20" t="e">
        <f t="shared" si="13"/>
        <v>#DIV/0!</v>
      </c>
      <c r="L54" s="4" t="e">
        <f t="shared" si="9"/>
        <v>#DIV/0!</v>
      </c>
      <c r="M54" s="103"/>
      <c r="N54" s="103"/>
      <c r="O54" s="34"/>
      <c r="P54" s="6"/>
      <c r="Q54" s="14"/>
    </row>
    <row r="55" spans="1:17">
      <c r="A55" s="13">
        <f t="shared" si="14"/>
        <v>46163</v>
      </c>
      <c r="B55" s="127"/>
      <c r="C55" s="127"/>
      <c r="D55" s="34"/>
      <c r="E55" s="34"/>
      <c r="F55" s="20" t="e">
        <f>(IF(ISBLANK(E55),0,E55-C55))/C55</f>
        <v>#DIV/0!</v>
      </c>
      <c r="G55" s="2">
        <f t="shared" si="10"/>
        <v>0</v>
      </c>
      <c r="H55" s="2">
        <f t="shared" si="11"/>
        <v>0</v>
      </c>
      <c r="I55" s="29"/>
      <c r="J55" s="34"/>
      <c r="K55" s="20" t="e">
        <f>(IF(ISBLANK(J55),0,J55-I55))/I55</f>
        <v>#DIV/0!</v>
      </c>
      <c r="L55" s="4" t="e">
        <f t="shared" si="9"/>
        <v>#DIV/0!</v>
      </c>
      <c r="M55" s="103"/>
      <c r="N55" s="103"/>
      <c r="O55" s="34"/>
      <c r="P55" s="6"/>
      <c r="Q55" s="6"/>
    </row>
    <row r="56" spans="1:17">
      <c r="A56" s="13">
        <f t="shared" si="14"/>
        <v>46164</v>
      </c>
      <c r="B56" s="127"/>
      <c r="C56" s="127"/>
      <c r="D56" s="34"/>
      <c r="E56" s="34"/>
      <c r="F56" s="20" t="e">
        <f t="shared" ref="F56:F65" si="15">(IF(ISBLANK(E56),0,E56-C56))/C56</f>
        <v>#DIV/0!</v>
      </c>
      <c r="G56" s="2">
        <f t="shared" si="10"/>
        <v>0</v>
      </c>
      <c r="H56" s="2">
        <f t="shared" si="11"/>
        <v>0</v>
      </c>
      <c r="I56" s="29"/>
      <c r="J56" s="34"/>
      <c r="K56" s="20" t="e">
        <f t="shared" ref="K56:K65" si="16">(IF(ISBLANK(J56),0,J56-I56))/I56</f>
        <v>#DIV/0!</v>
      </c>
      <c r="L56" s="4" t="e">
        <f t="shared" si="9"/>
        <v>#DIV/0!</v>
      </c>
      <c r="M56" s="103"/>
      <c r="N56" s="103"/>
      <c r="O56" s="34"/>
      <c r="P56" s="6"/>
      <c r="Q56" s="6"/>
    </row>
    <row r="57" spans="1:17">
      <c r="A57" s="13">
        <f t="shared" si="14"/>
        <v>46165</v>
      </c>
      <c r="B57" s="127"/>
      <c r="C57" s="127"/>
      <c r="D57" s="14"/>
      <c r="E57" s="14"/>
      <c r="F57" s="20" t="e">
        <f t="shared" si="15"/>
        <v>#DIV/0!</v>
      </c>
      <c r="G57" s="2">
        <f t="shared" si="10"/>
        <v>0</v>
      </c>
      <c r="H57" s="2">
        <f t="shared" si="11"/>
        <v>0</v>
      </c>
      <c r="I57" s="29"/>
      <c r="J57" s="14"/>
      <c r="K57" s="20" t="e">
        <f t="shared" si="16"/>
        <v>#DIV/0!</v>
      </c>
      <c r="L57" s="4" t="e">
        <f t="shared" si="9"/>
        <v>#DIV/0!</v>
      </c>
      <c r="M57" s="103"/>
      <c r="N57" s="103"/>
      <c r="O57" s="34"/>
      <c r="P57" s="6"/>
      <c r="Q57" s="6"/>
    </row>
    <row r="58" spans="1:17">
      <c r="A58" s="13">
        <f t="shared" si="14"/>
        <v>46166</v>
      </c>
      <c r="B58" s="127"/>
      <c r="C58" s="127"/>
      <c r="D58" s="14"/>
      <c r="E58" s="14"/>
      <c r="F58" s="20" t="e">
        <f t="shared" si="15"/>
        <v>#DIV/0!</v>
      </c>
      <c r="G58" s="2">
        <f t="shared" ref="G58:G65" si="17">D58/($D$2*24)</f>
        <v>0</v>
      </c>
      <c r="H58" s="2">
        <f t="shared" si="11"/>
        <v>0</v>
      </c>
      <c r="I58" s="29"/>
      <c r="J58" s="14"/>
      <c r="K58" s="20" t="e">
        <f t="shared" si="16"/>
        <v>#DIV/0!</v>
      </c>
      <c r="L58" s="4" t="e">
        <f t="shared" si="9"/>
        <v>#DIV/0!</v>
      </c>
      <c r="M58" s="103"/>
      <c r="N58" s="103"/>
      <c r="O58" s="34"/>
      <c r="P58" s="6"/>
      <c r="Q58" s="288"/>
    </row>
    <row r="59" spans="1:17">
      <c r="A59" s="13">
        <f t="shared" si="14"/>
        <v>46167</v>
      </c>
      <c r="B59" s="1"/>
      <c r="C59" s="1"/>
      <c r="D59" s="14"/>
      <c r="E59" s="14"/>
      <c r="F59" s="20" t="e">
        <f t="shared" si="15"/>
        <v>#DIV/0!</v>
      </c>
      <c r="G59" s="2">
        <f t="shared" si="17"/>
        <v>0</v>
      </c>
      <c r="H59" s="2">
        <f t="shared" si="11"/>
        <v>0</v>
      </c>
      <c r="I59" s="29"/>
      <c r="J59" s="14"/>
      <c r="K59" s="20" t="e">
        <f t="shared" si="16"/>
        <v>#DIV/0!</v>
      </c>
      <c r="L59" s="4" t="e">
        <f t="shared" si="9"/>
        <v>#DIV/0!</v>
      </c>
      <c r="M59" s="103"/>
      <c r="N59" s="103"/>
      <c r="O59" s="34"/>
      <c r="P59" s="155"/>
      <c r="Q59" s="6"/>
    </row>
    <row r="60" spans="1:17">
      <c r="A60" s="13">
        <f t="shared" si="14"/>
        <v>46168</v>
      </c>
      <c r="B60" s="1"/>
      <c r="C60" s="1"/>
      <c r="D60" s="14"/>
      <c r="E60" s="14"/>
      <c r="F60" s="20" t="e">
        <f t="shared" si="15"/>
        <v>#DIV/0!</v>
      </c>
      <c r="G60" s="2">
        <f t="shared" si="17"/>
        <v>0</v>
      </c>
      <c r="H60" s="2">
        <f t="shared" si="11"/>
        <v>0</v>
      </c>
      <c r="I60" s="29"/>
      <c r="J60" s="14"/>
      <c r="K60" s="20" t="e">
        <f t="shared" si="16"/>
        <v>#DIV/0!</v>
      </c>
      <c r="L60" s="4" t="e">
        <f t="shared" si="9"/>
        <v>#DIV/0!</v>
      </c>
      <c r="M60" s="103"/>
      <c r="N60" s="103"/>
      <c r="O60" s="34"/>
      <c r="P60" s="6"/>
      <c r="Q60" s="123"/>
    </row>
    <row r="61" spans="1:17">
      <c r="A61" s="13">
        <f t="shared" si="14"/>
        <v>46169</v>
      </c>
      <c r="B61" s="1"/>
      <c r="C61" s="1"/>
      <c r="D61" s="14"/>
      <c r="E61" s="14"/>
      <c r="F61" s="20" t="e">
        <f t="shared" si="15"/>
        <v>#DIV/0!</v>
      </c>
      <c r="G61" s="2">
        <f t="shared" si="17"/>
        <v>0</v>
      </c>
      <c r="H61" s="2">
        <f t="shared" si="11"/>
        <v>0</v>
      </c>
      <c r="I61" s="29"/>
      <c r="J61" s="14"/>
      <c r="K61" s="20" t="e">
        <f t="shared" si="16"/>
        <v>#DIV/0!</v>
      </c>
      <c r="L61" s="4" t="e">
        <f t="shared" si="9"/>
        <v>#DIV/0!</v>
      </c>
      <c r="M61" s="103"/>
      <c r="N61" s="103"/>
      <c r="O61" s="34"/>
      <c r="P61" s="6"/>
      <c r="Q61" s="6"/>
    </row>
    <row r="62" spans="1:17">
      <c r="A62" s="13">
        <f t="shared" si="14"/>
        <v>46170</v>
      </c>
      <c r="B62" s="1"/>
      <c r="C62" s="1"/>
      <c r="D62" s="14"/>
      <c r="E62" s="14"/>
      <c r="F62" s="20" t="e">
        <f t="shared" si="15"/>
        <v>#DIV/0!</v>
      </c>
      <c r="G62" s="2">
        <f t="shared" si="17"/>
        <v>0</v>
      </c>
      <c r="H62" s="2">
        <f t="shared" ref="H62:H65" si="18">D62/($H$2*24)</f>
        <v>0</v>
      </c>
      <c r="I62" s="29"/>
      <c r="J62" s="14"/>
      <c r="K62" s="20" t="e">
        <f t="shared" si="16"/>
        <v>#DIV/0!</v>
      </c>
      <c r="L62" s="4" t="e">
        <f t="shared" si="9"/>
        <v>#DIV/0!</v>
      </c>
      <c r="M62" s="103"/>
      <c r="N62" s="103"/>
      <c r="O62" s="34"/>
      <c r="P62" s="6"/>
      <c r="Q62" s="6"/>
    </row>
    <row r="63" spans="1:17">
      <c r="A63" s="13">
        <f t="shared" si="14"/>
        <v>46171</v>
      </c>
      <c r="B63" s="1"/>
      <c r="C63" s="1"/>
      <c r="D63" s="14"/>
      <c r="E63" s="14"/>
      <c r="F63" s="20" t="e">
        <f t="shared" si="15"/>
        <v>#DIV/0!</v>
      </c>
      <c r="G63" s="2">
        <f t="shared" si="17"/>
        <v>0</v>
      </c>
      <c r="H63" s="2">
        <f t="shared" si="18"/>
        <v>0</v>
      </c>
      <c r="I63" s="29"/>
      <c r="J63" s="14"/>
      <c r="K63" s="20" t="e">
        <f t="shared" si="16"/>
        <v>#DIV/0!</v>
      </c>
      <c r="L63" s="4" t="e">
        <f t="shared" si="9"/>
        <v>#DIV/0!</v>
      </c>
      <c r="M63" s="103"/>
      <c r="N63" s="103"/>
      <c r="O63" s="34"/>
      <c r="P63" s="6"/>
      <c r="Q63" s="6"/>
    </row>
    <row r="64" spans="1:17">
      <c r="A64" s="13">
        <f t="shared" si="14"/>
        <v>46172</v>
      </c>
      <c r="B64" s="1"/>
      <c r="C64" s="1"/>
      <c r="D64" s="14"/>
      <c r="E64" s="14"/>
      <c r="F64" s="20" t="e">
        <f t="shared" si="15"/>
        <v>#DIV/0!</v>
      </c>
      <c r="G64" s="2">
        <f t="shared" si="17"/>
        <v>0</v>
      </c>
      <c r="H64" s="2">
        <f t="shared" si="18"/>
        <v>0</v>
      </c>
      <c r="I64" s="29"/>
      <c r="J64" s="14"/>
      <c r="K64" s="20" t="e">
        <f t="shared" si="16"/>
        <v>#DIV/0!</v>
      </c>
      <c r="L64" s="4" t="e">
        <f t="shared" si="9"/>
        <v>#DIV/0!</v>
      </c>
      <c r="M64" s="103"/>
      <c r="N64" s="103"/>
      <c r="O64" s="34"/>
      <c r="P64" s="6"/>
      <c r="Q64" s="6"/>
    </row>
    <row r="65" spans="1:17">
      <c r="A65" s="13">
        <f t="shared" si="14"/>
        <v>46173</v>
      </c>
      <c r="B65" s="1"/>
      <c r="C65" s="1"/>
      <c r="D65" s="14"/>
      <c r="E65" s="14"/>
      <c r="F65" s="20" t="e">
        <f t="shared" si="15"/>
        <v>#DIV/0!</v>
      </c>
      <c r="G65" s="2">
        <f t="shared" si="17"/>
        <v>0</v>
      </c>
      <c r="H65" s="2">
        <f t="shared" si="18"/>
        <v>0</v>
      </c>
      <c r="I65" s="29"/>
      <c r="J65" s="14"/>
      <c r="K65" s="20" t="e">
        <f t="shared" si="16"/>
        <v>#DIV/0!</v>
      </c>
      <c r="L65" s="4" t="e">
        <f t="shared" si="9"/>
        <v>#DIV/0!</v>
      </c>
      <c r="M65" s="103"/>
      <c r="N65" s="103"/>
      <c r="O65" s="34"/>
      <c r="P65" s="6"/>
      <c r="Q65" s="6"/>
    </row>
    <row r="66" spans="1:17">
      <c r="A66" s="349">
        <v>46143</v>
      </c>
      <c r="B66" s="89">
        <f>SUM(B35:B65)</f>
        <v>121477.79000000001</v>
      </c>
      <c r="C66" s="89">
        <f>SUM(C35:C65)</f>
        <v>125810.79000000001</v>
      </c>
      <c r="D66" s="89">
        <f>SUM(D35:D65)</f>
        <v>92835</v>
      </c>
      <c r="E66" s="89">
        <f>SUM(E35:E65)</f>
        <v>91920</v>
      </c>
      <c r="F66" s="160">
        <f>(IF(ISBLANK(E66),0,E66-C66))/C66</f>
        <v>-0.26937904133659762</v>
      </c>
      <c r="G66" s="90">
        <f>AVERAGE(G35:G65)</f>
        <v>3.1210161532379096E-2</v>
      </c>
      <c r="H66" s="90">
        <f>AVERAGE(H35:H65)</f>
        <v>3.899319556451613E-2</v>
      </c>
      <c r="I66" s="89">
        <f>SUM(I35:I65)</f>
        <v>50.75</v>
      </c>
      <c r="J66" s="89">
        <f>SUM(J35:J65)</f>
        <v>30.928000000000001</v>
      </c>
      <c r="K66" s="160">
        <f>(IF(ISBLANK(J66),0,J66-I66))/I66</f>
        <v>-0.39058128078817733</v>
      </c>
      <c r="L66" s="161">
        <f t="shared" si="9"/>
        <v>0.75078764162215617</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663C-8161-4107-BA0F-26F99E5CB60E}">
  <dimension ref="A1:Q66"/>
  <sheetViews>
    <sheetView workbookViewId="0">
      <pane ySplit="3" topLeftCell="A35" activePane="bottomLeft" state="frozen"/>
      <selection pane="bottomLeft" activeCell="D35" sqref="D35:D39"/>
    </sheetView>
  </sheetViews>
  <sheetFormatPr defaultRowHeight="14.5"/>
  <cols>
    <col min="1" max="1" width="11.26953125" bestFit="1" customWidth="1"/>
    <col min="11" max="11" width="11.1796875" bestFit="1" customWidth="1"/>
  </cols>
  <sheetData>
    <row r="1" spans="1:17" ht="18.5">
      <c r="A1" s="417" t="s">
        <v>468</v>
      </c>
      <c r="B1" s="418"/>
      <c r="C1" s="418"/>
      <c r="D1" s="418"/>
      <c r="E1" s="418"/>
      <c r="F1" s="418"/>
      <c r="G1" s="418"/>
      <c r="H1" s="418"/>
      <c r="I1" s="418"/>
      <c r="J1" s="418"/>
      <c r="K1" s="418"/>
      <c r="L1" s="418"/>
      <c r="M1" s="418"/>
      <c r="N1" s="418"/>
      <c r="O1" s="418"/>
      <c r="P1" s="418"/>
      <c r="Q1" s="418"/>
    </row>
    <row r="2" spans="1:17" ht="18.5">
      <c r="A2" s="69">
        <v>46138</v>
      </c>
      <c r="B2" s="415" t="s">
        <v>172</v>
      </c>
      <c r="C2" s="416"/>
      <c r="D2" s="70">
        <v>2005</v>
      </c>
      <c r="E2" s="415" t="s">
        <v>173</v>
      </c>
      <c r="F2" s="415"/>
      <c r="G2" s="416"/>
      <c r="H2" s="70">
        <v>1600</v>
      </c>
      <c r="I2" s="415" t="s">
        <v>174</v>
      </c>
      <c r="J2" s="416"/>
      <c r="K2" s="105" t="s">
        <v>469</v>
      </c>
      <c r="L2" s="72" t="s">
        <v>175</v>
      </c>
      <c r="M2" s="72" t="s">
        <v>175</v>
      </c>
      <c r="N2" s="72" t="s">
        <v>175</v>
      </c>
      <c r="O2" s="72" t="s">
        <v>175</v>
      </c>
      <c r="P2" s="72" t="s">
        <v>175</v>
      </c>
      <c r="Q2" s="73" t="s">
        <v>175</v>
      </c>
    </row>
    <row r="3" spans="1:17" s="378" customFormat="1" ht="48">
      <c r="A3" s="374" t="s">
        <v>189</v>
      </c>
      <c r="B3" s="375" t="s">
        <v>3</v>
      </c>
      <c r="C3" s="375" t="s">
        <v>4</v>
      </c>
      <c r="D3" s="375" t="s">
        <v>5</v>
      </c>
      <c r="E3" s="375" t="s">
        <v>6</v>
      </c>
      <c r="F3" s="376" t="s">
        <v>7</v>
      </c>
      <c r="G3" s="375" t="s">
        <v>8</v>
      </c>
      <c r="H3" s="375" t="s">
        <v>9</v>
      </c>
      <c r="I3" s="375" t="s">
        <v>10</v>
      </c>
      <c r="J3" s="375" t="s">
        <v>11</v>
      </c>
      <c r="K3" s="376" t="s">
        <v>12</v>
      </c>
      <c r="L3" s="375" t="s">
        <v>13</v>
      </c>
      <c r="M3" s="375" t="s">
        <v>14</v>
      </c>
      <c r="N3" s="375" t="s">
        <v>15</v>
      </c>
      <c r="O3" s="375" t="s">
        <v>16</v>
      </c>
      <c r="P3" s="375" t="s">
        <v>17</v>
      </c>
      <c r="Q3" s="377" t="s">
        <v>156</v>
      </c>
    </row>
    <row r="4" spans="1:17">
      <c r="A4" s="76">
        <v>46113</v>
      </c>
      <c r="B4" s="36">
        <v>10577</v>
      </c>
      <c r="C4" s="36">
        <v>8943</v>
      </c>
      <c r="D4" s="37">
        <v>10027.200000000001</v>
      </c>
      <c r="E4" s="37">
        <v>9880</v>
      </c>
      <c r="F4" s="21">
        <f t="shared" ref="F4:F29" si="0">(IF(ISBLANK(D4),0,D4-C4))/C4</f>
        <v>0.12123448507212353</v>
      </c>
      <c r="G4" s="2">
        <f t="shared" ref="G4:G29" si="1">D4/($D$2*24)</f>
        <v>0.20837905236907733</v>
      </c>
      <c r="H4" s="2">
        <f t="shared" ref="H4:H29" si="2">D4/($H$2*24)</f>
        <v>0.261125</v>
      </c>
      <c r="I4" s="36">
        <v>7.15</v>
      </c>
      <c r="J4" s="37">
        <v>5.71</v>
      </c>
      <c r="K4" s="21">
        <f t="shared" ref="K4:K29" si="3">(IF(ISBLANK(J4),0,J4-I4))/I4</f>
        <v>-0.20139860139860144</v>
      </c>
      <c r="L4" s="22">
        <f t="shared" ref="L4:L29" si="4">D4/($D$2*J4)</f>
        <v>0.8758489066300974</v>
      </c>
      <c r="M4" s="41">
        <v>1</v>
      </c>
      <c r="N4" s="41">
        <v>1</v>
      </c>
      <c r="O4" s="37">
        <v>0</v>
      </c>
      <c r="P4" s="37">
        <v>0</v>
      </c>
      <c r="Q4" s="37" t="s">
        <v>175</v>
      </c>
    </row>
    <row r="5" spans="1:17">
      <c r="A5" s="79">
        <v>46114</v>
      </c>
      <c r="B5" s="43">
        <v>10577</v>
      </c>
      <c r="C5" s="43">
        <v>8943</v>
      </c>
      <c r="D5" s="44">
        <v>9175.1</v>
      </c>
      <c r="E5" s="44">
        <v>9100</v>
      </c>
      <c r="F5" s="21">
        <f t="shared" si="0"/>
        <v>2.5953259532595366E-2</v>
      </c>
      <c r="G5" s="2">
        <f t="shared" si="1"/>
        <v>0.19067123857024107</v>
      </c>
      <c r="H5" s="2">
        <f t="shared" si="2"/>
        <v>0.23893489583333336</v>
      </c>
      <c r="I5" s="43">
        <v>7.15</v>
      </c>
      <c r="J5" s="44">
        <v>5.16</v>
      </c>
      <c r="K5" s="21">
        <f t="shared" si="3"/>
        <v>-0.27832167832167831</v>
      </c>
      <c r="L5" s="22">
        <f t="shared" si="4"/>
        <v>0.88684297009414448</v>
      </c>
      <c r="M5" s="48">
        <v>1</v>
      </c>
      <c r="N5" s="48">
        <v>1</v>
      </c>
      <c r="O5" s="44">
        <v>0</v>
      </c>
      <c r="P5" s="44">
        <v>0</v>
      </c>
      <c r="Q5" s="44" t="s">
        <v>175</v>
      </c>
    </row>
    <row r="6" spans="1:17">
      <c r="A6" s="79">
        <v>46115</v>
      </c>
      <c r="B6" s="43">
        <v>10577</v>
      </c>
      <c r="C6" s="43">
        <v>8943</v>
      </c>
      <c r="D6" s="44">
        <v>7199.8</v>
      </c>
      <c r="E6" s="44">
        <v>6940</v>
      </c>
      <c r="F6" s="21">
        <f t="shared" si="0"/>
        <v>-0.19492340377949233</v>
      </c>
      <c r="G6" s="2">
        <f t="shared" si="1"/>
        <v>0.14962177888611805</v>
      </c>
      <c r="H6" s="2">
        <f t="shared" si="2"/>
        <v>0.18749479166666666</v>
      </c>
      <c r="I6" s="43">
        <v>7.15</v>
      </c>
      <c r="J6" s="44">
        <v>4.0599999999999996</v>
      </c>
      <c r="K6" s="21">
        <f t="shared" si="3"/>
        <v>-0.43216783216783228</v>
      </c>
      <c r="L6" s="22">
        <f t="shared" si="4"/>
        <v>0.88446371755340725</v>
      </c>
      <c r="M6" s="48">
        <v>1</v>
      </c>
      <c r="N6" s="48">
        <v>1</v>
      </c>
      <c r="O6" s="44">
        <v>0</v>
      </c>
      <c r="P6" s="44">
        <v>0</v>
      </c>
      <c r="Q6" s="44" t="s">
        <v>175</v>
      </c>
    </row>
    <row r="7" spans="1:17">
      <c r="A7" s="79">
        <v>46116</v>
      </c>
      <c r="B7" s="43">
        <v>10577</v>
      </c>
      <c r="C7" s="43">
        <v>8943</v>
      </c>
      <c r="D7" s="44">
        <v>10896.7</v>
      </c>
      <c r="E7" s="44">
        <v>10860</v>
      </c>
      <c r="F7" s="21">
        <f t="shared" si="0"/>
        <v>0.21846136643184622</v>
      </c>
      <c r="G7" s="2">
        <f t="shared" si="1"/>
        <v>0.22644846217788864</v>
      </c>
      <c r="H7" s="2">
        <f t="shared" si="2"/>
        <v>0.28376822916666666</v>
      </c>
      <c r="I7" s="43">
        <v>7.15</v>
      </c>
      <c r="J7" s="44">
        <v>6.16</v>
      </c>
      <c r="K7" s="21">
        <f t="shared" si="3"/>
        <v>-0.1384615384615385</v>
      </c>
      <c r="L7" s="22">
        <f t="shared" si="4"/>
        <v>0.88226673575800751</v>
      </c>
      <c r="M7" s="48">
        <v>1</v>
      </c>
      <c r="N7" s="48">
        <v>1</v>
      </c>
      <c r="O7" s="44">
        <v>0</v>
      </c>
      <c r="P7" s="44">
        <v>0</v>
      </c>
      <c r="Q7" s="44" t="s">
        <v>175</v>
      </c>
    </row>
    <row r="8" spans="1:17">
      <c r="A8" s="79">
        <v>46117</v>
      </c>
      <c r="B8" s="43">
        <v>10577</v>
      </c>
      <c r="C8" s="43">
        <v>8943</v>
      </c>
      <c r="D8" s="44">
        <v>10592.3</v>
      </c>
      <c r="E8" s="44">
        <v>10440</v>
      </c>
      <c r="F8" s="21">
        <f t="shared" si="0"/>
        <v>0.18442357150844227</v>
      </c>
      <c r="G8" s="2">
        <f t="shared" si="1"/>
        <v>0.22012261014131337</v>
      </c>
      <c r="H8" s="2">
        <f t="shared" si="2"/>
        <v>0.2758411458333333</v>
      </c>
      <c r="I8" s="43">
        <v>7.15</v>
      </c>
      <c r="J8" s="44">
        <v>5.99</v>
      </c>
      <c r="K8" s="21">
        <f t="shared" si="3"/>
        <v>-0.16223776223776226</v>
      </c>
      <c r="L8" s="22">
        <f t="shared" si="4"/>
        <v>0.88196037452279141</v>
      </c>
      <c r="M8" s="48">
        <v>1</v>
      </c>
      <c r="N8" s="48">
        <v>1</v>
      </c>
      <c r="O8" s="44">
        <v>0</v>
      </c>
      <c r="P8" s="44">
        <v>0</v>
      </c>
      <c r="Q8" s="44" t="s">
        <v>175</v>
      </c>
    </row>
    <row r="9" spans="1:17">
      <c r="A9" s="79">
        <v>46118</v>
      </c>
      <c r="B9" s="43">
        <v>10577</v>
      </c>
      <c r="C9" s="43">
        <v>8943</v>
      </c>
      <c r="D9" s="44">
        <v>10878.8</v>
      </c>
      <c r="E9" s="44">
        <v>10760</v>
      </c>
      <c r="F9" s="21">
        <f t="shared" si="0"/>
        <v>0.21645980096164591</v>
      </c>
      <c r="G9" s="2">
        <f t="shared" si="1"/>
        <v>0.22607647547797172</v>
      </c>
      <c r="H9" s="2">
        <f t="shared" si="2"/>
        <v>0.28330208333333329</v>
      </c>
      <c r="I9" s="43">
        <v>7.15</v>
      </c>
      <c r="J9" s="44">
        <v>6.1</v>
      </c>
      <c r="K9" s="21">
        <f t="shared" si="3"/>
        <v>-0.14685314685314693</v>
      </c>
      <c r="L9" s="22">
        <f t="shared" si="4"/>
        <v>0.88948121499529853</v>
      </c>
      <c r="M9" s="48">
        <v>1</v>
      </c>
      <c r="N9" s="48">
        <v>1</v>
      </c>
      <c r="O9" s="44">
        <v>0</v>
      </c>
      <c r="P9" s="44">
        <v>0</v>
      </c>
      <c r="Q9" s="44" t="s">
        <v>175</v>
      </c>
    </row>
    <row r="10" spans="1:17">
      <c r="A10" s="79">
        <v>46119</v>
      </c>
      <c r="B10" s="43">
        <v>10577</v>
      </c>
      <c r="C10" s="43">
        <v>8943</v>
      </c>
      <c r="D10" s="44">
        <v>8936.7000000000007</v>
      </c>
      <c r="E10" s="44">
        <v>8780</v>
      </c>
      <c r="F10" s="21">
        <f t="shared" si="0"/>
        <v>-7.0446159007036483E-4</v>
      </c>
      <c r="G10" s="2">
        <f t="shared" si="1"/>
        <v>0.18571695760598506</v>
      </c>
      <c r="H10" s="2">
        <f t="shared" si="2"/>
        <v>0.23272656250000001</v>
      </c>
      <c r="I10" s="43">
        <v>7.15</v>
      </c>
      <c r="J10" s="44">
        <v>5.03</v>
      </c>
      <c r="K10" s="21">
        <f t="shared" si="3"/>
        <v>-0.2965034965034965</v>
      </c>
      <c r="L10" s="22">
        <f t="shared" si="4"/>
        <v>0.88612464861702611</v>
      </c>
      <c r="M10" s="48">
        <v>1</v>
      </c>
      <c r="N10" s="48">
        <v>1</v>
      </c>
      <c r="O10" s="44">
        <v>0</v>
      </c>
      <c r="P10" s="44">
        <v>0</v>
      </c>
      <c r="Q10" s="44" t="s">
        <v>175</v>
      </c>
    </row>
    <row r="11" spans="1:17">
      <c r="A11" s="79">
        <v>46120</v>
      </c>
      <c r="B11" s="43">
        <v>10577</v>
      </c>
      <c r="C11" s="43">
        <v>8943</v>
      </c>
      <c r="D11" s="44">
        <v>10445.82</v>
      </c>
      <c r="E11" s="44">
        <v>10340</v>
      </c>
      <c r="F11" s="21">
        <f t="shared" si="0"/>
        <v>0.16804428044280439</v>
      </c>
      <c r="G11" s="2">
        <f t="shared" si="1"/>
        <v>0.2170785536159601</v>
      </c>
      <c r="H11" s="2">
        <f t="shared" si="2"/>
        <v>0.27202656250000001</v>
      </c>
      <c r="I11" s="43">
        <v>7.15</v>
      </c>
      <c r="J11" s="44">
        <v>5.87</v>
      </c>
      <c r="K11" s="21">
        <f t="shared" si="3"/>
        <v>-0.17902097902097905</v>
      </c>
      <c r="L11" s="22">
        <f t="shared" si="4"/>
        <v>0.88754434187104636</v>
      </c>
      <c r="M11" s="48">
        <v>1</v>
      </c>
      <c r="N11" s="48">
        <v>1</v>
      </c>
      <c r="O11" s="44">
        <v>0</v>
      </c>
      <c r="P11" s="44">
        <v>0</v>
      </c>
      <c r="Q11" s="44" t="s">
        <v>175</v>
      </c>
    </row>
    <row r="12" spans="1:17">
      <c r="A12" s="79">
        <v>46121</v>
      </c>
      <c r="B12" s="43">
        <v>10577</v>
      </c>
      <c r="C12" s="43">
        <v>8943</v>
      </c>
      <c r="D12" s="44">
        <v>10486.5</v>
      </c>
      <c r="E12" s="44">
        <v>10180</v>
      </c>
      <c r="F12" s="21">
        <f t="shared" si="0"/>
        <v>0.1725930895672593</v>
      </c>
      <c r="G12" s="2">
        <f t="shared" si="1"/>
        <v>0.21792394014962593</v>
      </c>
      <c r="H12" s="2">
        <f t="shared" si="2"/>
        <v>0.27308593749999999</v>
      </c>
      <c r="I12" s="43">
        <v>7.15</v>
      </c>
      <c r="J12" s="44">
        <v>5.93</v>
      </c>
      <c r="K12" s="21">
        <f t="shared" si="3"/>
        <v>-0.1706293706293707</v>
      </c>
      <c r="L12" s="22">
        <f t="shared" si="4"/>
        <v>0.88198559251113362</v>
      </c>
      <c r="M12" s="48">
        <v>1</v>
      </c>
      <c r="N12" s="48">
        <v>1</v>
      </c>
      <c r="O12" s="44">
        <v>0</v>
      </c>
      <c r="P12" s="44">
        <v>0</v>
      </c>
      <c r="Q12" s="44" t="s">
        <v>175</v>
      </c>
    </row>
    <row r="13" spans="1:17">
      <c r="A13" s="79">
        <v>46122</v>
      </c>
      <c r="B13" s="43">
        <v>10577</v>
      </c>
      <c r="C13" s="43">
        <v>8943</v>
      </c>
      <c r="D13" s="44">
        <v>10830.92</v>
      </c>
      <c r="E13" s="44">
        <v>10640</v>
      </c>
      <c r="F13" s="21">
        <f t="shared" si="0"/>
        <v>0.2111058928771106</v>
      </c>
      <c r="G13" s="2">
        <f t="shared" si="1"/>
        <v>0.22508146300914381</v>
      </c>
      <c r="H13" s="2">
        <f t="shared" si="2"/>
        <v>0.28205520833333336</v>
      </c>
      <c r="I13" s="43">
        <v>7.15</v>
      </c>
      <c r="J13" s="44">
        <v>6.09</v>
      </c>
      <c r="K13" s="21">
        <f t="shared" si="3"/>
        <v>-0.14825174825174831</v>
      </c>
      <c r="L13" s="22">
        <f t="shared" si="4"/>
        <v>0.88702054387839935</v>
      </c>
      <c r="M13" s="48">
        <v>1</v>
      </c>
      <c r="N13" s="48">
        <v>1</v>
      </c>
      <c r="O13" s="44">
        <v>0</v>
      </c>
      <c r="P13" s="44">
        <v>0</v>
      </c>
      <c r="Q13" s="44" t="s">
        <v>175</v>
      </c>
    </row>
    <row r="14" spans="1:17">
      <c r="A14" s="79">
        <v>46123</v>
      </c>
      <c r="B14" s="43">
        <v>10577</v>
      </c>
      <c r="C14" s="43">
        <v>8943</v>
      </c>
      <c r="D14" s="44">
        <v>10486.6</v>
      </c>
      <c r="E14" s="44">
        <v>10320</v>
      </c>
      <c r="F14" s="21">
        <f t="shared" si="0"/>
        <v>0.17260427149726046</v>
      </c>
      <c r="G14" s="2">
        <f t="shared" si="1"/>
        <v>0.21792601828761429</v>
      </c>
      <c r="H14" s="2">
        <f t="shared" si="2"/>
        <v>0.27308854166666668</v>
      </c>
      <c r="I14" s="43">
        <v>7.15</v>
      </c>
      <c r="J14" s="44">
        <v>5.91</v>
      </c>
      <c r="K14" s="21">
        <f t="shared" si="3"/>
        <v>-0.17342657342657344</v>
      </c>
      <c r="L14" s="22">
        <f t="shared" si="4"/>
        <v>0.88497875446746921</v>
      </c>
      <c r="M14" s="48">
        <v>1</v>
      </c>
      <c r="N14" s="48">
        <v>1</v>
      </c>
      <c r="O14" s="44">
        <v>0</v>
      </c>
      <c r="P14" s="44">
        <v>0</v>
      </c>
      <c r="Q14" s="44" t="s">
        <v>175</v>
      </c>
    </row>
    <row r="15" spans="1:17">
      <c r="A15" s="79">
        <v>46124</v>
      </c>
      <c r="B15" s="43">
        <v>10577</v>
      </c>
      <c r="C15" s="43">
        <v>8943</v>
      </c>
      <c r="D15" s="44">
        <v>10853.9</v>
      </c>
      <c r="E15" s="44">
        <v>10760</v>
      </c>
      <c r="F15" s="21">
        <f t="shared" si="0"/>
        <v>0.21367550039136751</v>
      </c>
      <c r="G15" s="2">
        <f t="shared" si="1"/>
        <v>0.2255590191188695</v>
      </c>
      <c r="H15" s="2">
        <f t="shared" si="2"/>
        <v>0.2826536458333333</v>
      </c>
      <c r="I15" s="43">
        <v>7.15</v>
      </c>
      <c r="J15" s="44">
        <v>6.1</v>
      </c>
      <c r="K15" s="21">
        <f t="shared" si="3"/>
        <v>-0.14685314685314693</v>
      </c>
      <c r="L15" s="22">
        <f t="shared" si="4"/>
        <v>0.88744532112342089</v>
      </c>
      <c r="M15" s="48">
        <v>1</v>
      </c>
      <c r="N15" s="48">
        <v>1</v>
      </c>
      <c r="O15" s="44">
        <v>0</v>
      </c>
      <c r="P15" s="44">
        <v>0</v>
      </c>
      <c r="Q15" s="44" t="s">
        <v>175</v>
      </c>
    </row>
    <row r="16" spans="1:17">
      <c r="A16" s="79">
        <v>46125</v>
      </c>
      <c r="B16" s="43">
        <v>10577</v>
      </c>
      <c r="C16" s="43">
        <v>8943</v>
      </c>
      <c r="D16" s="44">
        <v>10675.5</v>
      </c>
      <c r="E16" s="44">
        <v>10580</v>
      </c>
      <c r="F16" s="21">
        <f t="shared" si="0"/>
        <v>0.19372693726937271</v>
      </c>
      <c r="G16" s="2">
        <f t="shared" si="1"/>
        <v>0.22185162094763092</v>
      </c>
      <c r="H16" s="2">
        <f t="shared" si="2"/>
        <v>0.27800781250000001</v>
      </c>
      <c r="I16" s="43">
        <v>7.15</v>
      </c>
      <c r="J16" s="44">
        <v>6.09</v>
      </c>
      <c r="K16" s="21">
        <f t="shared" si="3"/>
        <v>-0.14825174825174831</v>
      </c>
      <c r="L16" s="22">
        <f t="shared" si="4"/>
        <v>0.87429210225667364</v>
      </c>
      <c r="M16" s="48">
        <v>1</v>
      </c>
      <c r="N16" s="48">
        <v>1</v>
      </c>
      <c r="O16" s="44">
        <v>0</v>
      </c>
      <c r="P16" s="44">
        <v>0</v>
      </c>
      <c r="Q16" s="44" t="s">
        <v>175</v>
      </c>
    </row>
    <row r="17" spans="1:17">
      <c r="A17" s="79">
        <v>46126</v>
      </c>
      <c r="B17" s="43">
        <v>10577</v>
      </c>
      <c r="C17" s="43">
        <v>8943</v>
      </c>
      <c r="D17" s="44">
        <v>10832.5</v>
      </c>
      <c r="E17" s="44">
        <v>10480</v>
      </c>
      <c r="F17" s="21">
        <f t="shared" si="0"/>
        <v>0.21128256737112824</v>
      </c>
      <c r="G17" s="2">
        <f t="shared" si="1"/>
        <v>0.22511429758935994</v>
      </c>
      <c r="H17" s="2">
        <f t="shared" si="2"/>
        <v>0.28209635416666667</v>
      </c>
      <c r="I17" s="43">
        <v>7.15</v>
      </c>
      <c r="J17" s="44">
        <v>6.27</v>
      </c>
      <c r="K17" s="21">
        <f t="shared" si="3"/>
        <v>-0.12307692307692318</v>
      </c>
      <c r="L17" s="22">
        <f t="shared" si="4"/>
        <v>0.86168152187314817</v>
      </c>
      <c r="M17" s="48">
        <v>1</v>
      </c>
      <c r="N17" s="48">
        <v>1</v>
      </c>
      <c r="O17" s="44">
        <v>0</v>
      </c>
      <c r="P17" s="44">
        <v>0</v>
      </c>
      <c r="Q17" s="44" t="s">
        <v>175</v>
      </c>
    </row>
    <row r="18" spans="1:17">
      <c r="A18" s="79">
        <v>46127</v>
      </c>
      <c r="B18" s="43">
        <v>10577</v>
      </c>
      <c r="C18" s="43">
        <v>8943</v>
      </c>
      <c r="D18" s="44">
        <v>10333.200000000001</v>
      </c>
      <c r="E18" s="44">
        <v>10200</v>
      </c>
      <c r="F18" s="21">
        <f t="shared" si="0"/>
        <v>0.15545119087554521</v>
      </c>
      <c r="G18" s="2">
        <f t="shared" si="1"/>
        <v>0.21473815461346635</v>
      </c>
      <c r="H18" s="2">
        <f t="shared" si="2"/>
        <v>0.26909375000000002</v>
      </c>
      <c r="I18" s="43">
        <v>7.15</v>
      </c>
      <c r="J18" s="44">
        <v>6.26</v>
      </c>
      <c r="K18" s="21">
        <f t="shared" si="3"/>
        <v>-0.12447552447552455</v>
      </c>
      <c r="L18" s="22">
        <f t="shared" si="4"/>
        <v>0.8232772700835771</v>
      </c>
      <c r="M18" s="48">
        <v>1</v>
      </c>
      <c r="N18" s="48">
        <v>1</v>
      </c>
      <c r="O18" s="44">
        <v>0</v>
      </c>
      <c r="P18" s="44">
        <v>0</v>
      </c>
      <c r="Q18" s="44" t="s">
        <v>175</v>
      </c>
    </row>
    <row r="19" spans="1:17">
      <c r="A19" s="79">
        <v>46128</v>
      </c>
      <c r="B19" s="43">
        <v>10577</v>
      </c>
      <c r="C19" s="43">
        <v>8943</v>
      </c>
      <c r="D19" s="44">
        <v>10476</v>
      </c>
      <c r="E19" s="44">
        <v>10260</v>
      </c>
      <c r="F19" s="21">
        <f t="shared" si="0"/>
        <v>0.17141898691714189</v>
      </c>
      <c r="G19" s="2">
        <f t="shared" si="1"/>
        <v>0.21770573566084789</v>
      </c>
      <c r="H19" s="2">
        <f t="shared" si="2"/>
        <v>0.27281250000000001</v>
      </c>
      <c r="I19" s="43">
        <v>7.15</v>
      </c>
      <c r="J19" s="44">
        <v>6.3</v>
      </c>
      <c r="K19" s="21">
        <f t="shared" si="3"/>
        <v>-0.11888111888111895</v>
      </c>
      <c r="L19" s="22">
        <f t="shared" si="4"/>
        <v>0.82935518346989667</v>
      </c>
      <c r="M19" s="48">
        <v>1</v>
      </c>
      <c r="N19" s="48">
        <v>1</v>
      </c>
      <c r="O19" s="44">
        <v>0</v>
      </c>
      <c r="P19" s="44">
        <v>0</v>
      </c>
      <c r="Q19" s="44" t="s">
        <v>175</v>
      </c>
    </row>
    <row r="20" spans="1:17">
      <c r="A20" s="79">
        <v>46129</v>
      </c>
      <c r="B20" s="43">
        <v>10577</v>
      </c>
      <c r="C20" s="43">
        <v>8943</v>
      </c>
      <c r="D20" s="44">
        <v>11147.6</v>
      </c>
      <c r="E20" s="44">
        <v>11020</v>
      </c>
      <c r="F20" s="21">
        <f t="shared" si="0"/>
        <v>0.24651682880465173</v>
      </c>
      <c r="G20" s="2">
        <f t="shared" si="1"/>
        <v>0.23166251039068994</v>
      </c>
      <c r="H20" s="2">
        <f t="shared" si="2"/>
        <v>0.29030208333333335</v>
      </c>
      <c r="I20" s="43">
        <v>7.15</v>
      </c>
      <c r="J20" s="44">
        <v>6.82</v>
      </c>
      <c r="K20" s="21">
        <f t="shared" si="3"/>
        <v>-4.6153846153846163E-2</v>
      </c>
      <c r="L20" s="22">
        <f t="shared" si="4"/>
        <v>0.81523464067104967</v>
      </c>
      <c r="M20" s="48">
        <v>1</v>
      </c>
      <c r="N20" s="48">
        <v>1</v>
      </c>
      <c r="O20" s="44">
        <v>0</v>
      </c>
      <c r="P20" s="44">
        <v>0</v>
      </c>
      <c r="Q20" s="44" t="s">
        <v>175</v>
      </c>
    </row>
    <row r="21" spans="1:17">
      <c r="A21" s="79">
        <v>46130</v>
      </c>
      <c r="B21" s="43">
        <v>10577</v>
      </c>
      <c r="C21" s="43">
        <v>8943</v>
      </c>
      <c r="D21" s="44">
        <v>11256.7</v>
      </c>
      <c r="E21" s="44">
        <v>11080</v>
      </c>
      <c r="F21" s="21">
        <f t="shared" si="0"/>
        <v>0.25871631443587173</v>
      </c>
      <c r="G21" s="2">
        <f t="shared" si="1"/>
        <v>0.23392975893599335</v>
      </c>
      <c r="H21" s="2">
        <f t="shared" si="2"/>
        <v>0.29314322916666669</v>
      </c>
      <c r="I21" s="43">
        <v>7.15</v>
      </c>
      <c r="J21" s="44">
        <v>6.92</v>
      </c>
      <c r="K21" s="21">
        <f t="shared" si="3"/>
        <v>-3.2167832167832228E-2</v>
      </c>
      <c r="L21" s="22">
        <f t="shared" si="4"/>
        <v>0.81131708301500582</v>
      </c>
      <c r="M21" s="48">
        <v>1</v>
      </c>
      <c r="N21" s="48">
        <v>1</v>
      </c>
      <c r="O21" s="44">
        <v>0</v>
      </c>
      <c r="P21" s="44">
        <v>0</v>
      </c>
      <c r="Q21" s="44" t="s">
        <v>175</v>
      </c>
    </row>
    <row r="22" spans="1:17">
      <c r="A22" s="79">
        <v>46131</v>
      </c>
      <c r="B22" s="43">
        <v>10577</v>
      </c>
      <c r="C22" s="43">
        <v>8943</v>
      </c>
      <c r="D22" s="44">
        <v>11288.8</v>
      </c>
      <c r="E22" s="44">
        <v>11100</v>
      </c>
      <c r="F22" s="21">
        <f t="shared" si="0"/>
        <v>0.26230571396623048</v>
      </c>
      <c r="G22" s="2">
        <f t="shared" si="1"/>
        <v>0.23459684123025767</v>
      </c>
      <c r="H22" s="2">
        <f t="shared" si="2"/>
        <v>0.29397916666666662</v>
      </c>
      <c r="I22" s="43">
        <v>7.15</v>
      </c>
      <c r="J22" s="44">
        <v>6.82</v>
      </c>
      <c r="K22" s="21">
        <f t="shared" si="3"/>
        <v>-4.6153846153846163E-2</v>
      </c>
      <c r="L22" s="22">
        <f t="shared" si="4"/>
        <v>0.82556073160207977</v>
      </c>
      <c r="M22" s="48">
        <v>1</v>
      </c>
      <c r="N22" s="48">
        <v>1</v>
      </c>
      <c r="O22" s="44">
        <v>0</v>
      </c>
      <c r="P22" s="44">
        <v>0</v>
      </c>
      <c r="Q22" s="44" t="s">
        <v>175</v>
      </c>
    </row>
    <row r="23" spans="1:17">
      <c r="A23" s="79">
        <v>46132</v>
      </c>
      <c r="B23" s="43">
        <v>10577</v>
      </c>
      <c r="C23" s="43">
        <v>8943</v>
      </c>
      <c r="D23" s="44">
        <v>10946.9</v>
      </c>
      <c r="E23" s="44">
        <v>10820</v>
      </c>
      <c r="F23" s="21">
        <f t="shared" si="0"/>
        <v>0.22407469529240742</v>
      </c>
      <c r="G23" s="2">
        <f t="shared" si="1"/>
        <v>0.22749168744804654</v>
      </c>
      <c r="H23" s="2">
        <f t="shared" si="2"/>
        <v>0.28507552083333332</v>
      </c>
      <c r="I23" s="43">
        <v>7.15</v>
      </c>
      <c r="J23" s="44">
        <v>6.7</v>
      </c>
      <c r="K23" s="21">
        <f t="shared" si="3"/>
        <v>-6.2937062937062957E-2</v>
      </c>
      <c r="L23" s="22">
        <f t="shared" si="4"/>
        <v>0.8148955968288234</v>
      </c>
      <c r="M23" s="48">
        <v>1</v>
      </c>
      <c r="N23" s="48">
        <v>1</v>
      </c>
      <c r="O23" s="44">
        <v>0</v>
      </c>
      <c r="P23" s="44">
        <v>0</v>
      </c>
      <c r="Q23" s="44" t="s">
        <v>175</v>
      </c>
    </row>
    <row r="24" spans="1:17">
      <c r="A24" s="79">
        <v>46133</v>
      </c>
      <c r="B24" s="43">
        <v>10577</v>
      </c>
      <c r="C24" s="43">
        <v>8943</v>
      </c>
      <c r="D24" s="44">
        <v>11322.5</v>
      </c>
      <c r="E24" s="44">
        <v>11160</v>
      </c>
      <c r="F24" s="21">
        <f t="shared" si="0"/>
        <v>0.26607402437660738</v>
      </c>
      <c r="G24" s="2">
        <f t="shared" si="1"/>
        <v>0.23529717373233583</v>
      </c>
      <c r="H24" s="2">
        <f t="shared" si="2"/>
        <v>0.29485677083333334</v>
      </c>
      <c r="I24" s="43">
        <v>7.15</v>
      </c>
      <c r="J24" s="44">
        <v>6.95</v>
      </c>
      <c r="K24" s="21">
        <f t="shared" si="3"/>
        <v>-2.7972027972027996E-2</v>
      </c>
      <c r="L24" s="22">
        <f t="shared" si="4"/>
        <v>0.81253700281669927</v>
      </c>
      <c r="M24" s="48">
        <v>1</v>
      </c>
      <c r="N24" s="48">
        <v>1</v>
      </c>
      <c r="O24" s="44">
        <v>0</v>
      </c>
      <c r="P24" s="44">
        <v>0</v>
      </c>
      <c r="Q24" s="44" t="s">
        <v>175</v>
      </c>
    </row>
    <row r="25" spans="1:17">
      <c r="A25" s="79">
        <v>46134</v>
      </c>
      <c r="B25" s="43">
        <v>10577</v>
      </c>
      <c r="C25" s="43">
        <v>8943</v>
      </c>
      <c r="D25" s="44">
        <v>11070.5</v>
      </c>
      <c r="E25" s="44">
        <v>10900</v>
      </c>
      <c r="F25" s="21">
        <f t="shared" si="0"/>
        <v>0.23789556077378957</v>
      </c>
      <c r="G25" s="2">
        <f t="shared" si="1"/>
        <v>0.23006026600166252</v>
      </c>
      <c r="H25" s="2">
        <f t="shared" si="2"/>
        <v>0.28829427083333331</v>
      </c>
      <c r="I25" s="43">
        <v>7.15</v>
      </c>
      <c r="J25" s="44">
        <v>6.8</v>
      </c>
      <c r="K25" s="21">
        <f t="shared" si="3"/>
        <v>-4.8951048951049021E-2</v>
      </c>
      <c r="L25" s="22">
        <f t="shared" si="4"/>
        <v>0.81197740941763241</v>
      </c>
      <c r="M25" s="48">
        <v>1</v>
      </c>
      <c r="N25" s="48">
        <v>1</v>
      </c>
      <c r="O25" s="44">
        <v>0</v>
      </c>
      <c r="P25" s="44">
        <v>0</v>
      </c>
      <c r="Q25" s="44" t="s">
        <v>175</v>
      </c>
    </row>
    <row r="26" spans="1:17">
      <c r="A26" s="79">
        <v>46135</v>
      </c>
      <c r="B26" s="43">
        <v>10577</v>
      </c>
      <c r="C26" s="43">
        <v>8943</v>
      </c>
      <c r="D26" s="44">
        <v>10691.9</v>
      </c>
      <c r="E26" s="44">
        <v>10580</v>
      </c>
      <c r="F26" s="21">
        <f t="shared" si="0"/>
        <v>0.19556077378955602</v>
      </c>
      <c r="G26" s="2">
        <f t="shared" si="1"/>
        <v>0.22219243557772236</v>
      </c>
      <c r="H26" s="2">
        <f t="shared" si="2"/>
        <v>0.27843489583333331</v>
      </c>
      <c r="I26" s="43">
        <v>7.15</v>
      </c>
      <c r="J26" s="44">
        <v>6.6</v>
      </c>
      <c r="K26" s="21">
        <f t="shared" si="3"/>
        <v>-7.6923076923077024E-2</v>
      </c>
      <c r="L26" s="22">
        <f t="shared" si="4"/>
        <v>0.80797249300989948</v>
      </c>
      <c r="M26" s="48">
        <v>1</v>
      </c>
      <c r="N26" s="48">
        <v>1</v>
      </c>
      <c r="O26" s="44">
        <v>0</v>
      </c>
      <c r="P26" s="44">
        <v>0</v>
      </c>
      <c r="Q26" s="44" t="s">
        <v>175</v>
      </c>
    </row>
    <row r="27" spans="1:17">
      <c r="A27" s="79">
        <v>46136</v>
      </c>
      <c r="B27" s="43">
        <v>10577</v>
      </c>
      <c r="C27" s="43">
        <v>8943</v>
      </c>
      <c r="D27" s="44">
        <v>10709.4</v>
      </c>
      <c r="E27" s="44">
        <v>10460</v>
      </c>
      <c r="F27" s="21">
        <f t="shared" si="0"/>
        <v>0.19751761153975173</v>
      </c>
      <c r="G27" s="2">
        <f t="shared" si="1"/>
        <v>0.22255610972568579</v>
      </c>
      <c r="H27" s="2">
        <f t="shared" si="2"/>
        <v>0.278890625</v>
      </c>
      <c r="I27" s="43">
        <v>7.15</v>
      </c>
      <c r="J27" s="44">
        <v>6.53</v>
      </c>
      <c r="K27" s="21">
        <f t="shared" si="3"/>
        <v>-8.6713286713286722E-2</v>
      </c>
      <c r="L27" s="22">
        <f t="shared" si="4"/>
        <v>0.81797038796576704</v>
      </c>
      <c r="M27" s="48">
        <v>1</v>
      </c>
      <c r="N27" s="48">
        <v>1</v>
      </c>
      <c r="O27" s="44">
        <v>0</v>
      </c>
      <c r="P27" s="44">
        <v>0</v>
      </c>
      <c r="Q27" s="44" t="s">
        <v>175</v>
      </c>
    </row>
    <row r="28" spans="1:17">
      <c r="A28" s="79">
        <v>46137</v>
      </c>
      <c r="B28" s="43">
        <v>10577</v>
      </c>
      <c r="C28" s="43">
        <v>8943</v>
      </c>
      <c r="D28" s="44">
        <v>10427.200000000001</v>
      </c>
      <c r="E28" s="44">
        <v>10300</v>
      </c>
      <c r="F28" s="21">
        <f t="shared" si="0"/>
        <v>0.16596220507659631</v>
      </c>
      <c r="G28" s="2">
        <f t="shared" si="1"/>
        <v>0.21669160432252704</v>
      </c>
      <c r="H28" s="2">
        <f t="shared" si="2"/>
        <v>0.27154166666666668</v>
      </c>
      <c r="I28" s="43">
        <v>7.15</v>
      </c>
      <c r="J28" s="44">
        <v>6.44</v>
      </c>
      <c r="K28" s="21">
        <f t="shared" si="3"/>
        <v>-9.9300699300699291E-2</v>
      </c>
      <c r="L28" s="22">
        <f t="shared" si="4"/>
        <v>0.80754635151252308</v>
      </c>
      <c r="M28" s="48">
        <v>1</v>
      </c>
      <c r="N28" s="48">
        <v>1</v>
      </c>
      <c r="O28" s="44">
        <v>0</v>
      </c>
      <c r="P28" s="44">
        <v>0</v>
      </c>
      <c r="Q28" s="44" t="s">
        <v>175</v>
      </c>
    </row>
    <row r="29" spans="1:17">
      <c r="A29" s="79">
        <v>46138</v>
      </c>
      <c r="B29" s="43">
        <v>10577</v>
      </c>
      <c r="C29" s="43">
        <v>8943</v>
      </c>
      <c r="D29" s="44">
        <v>10818.8</v>
      </c>
      <c r="E29" s="44">
        <v>10660</v>
      </c>
      <c r="F29" s="21">
        <f t="shared" si="0"/>
        <v>0.20975064296097498</v>
      </c>
      <c r="G29" s="2">
        <f t="shared" si="1"/>
        <v>0.22482959268495425</v>
      </c>
      <c r="H29" s="2">
        <f t="shared" si="2"/>
        <v>0.28173958333333332</v>
      </c>
      <c r="I29" s="43">
        <v>7.15</v>
      </c>
      <c r="J29" s="44">
        <v>6.57</v>
      </c>
      <c r="K29" s="21">
        <f t="shared" si="3"/>
        <v>-8.1118881118881131E-2</v>
      </c>
      <c r="L29" s="22">
        <f t="shared" si="4"/>
        <v>0.82129531574412518</v>
      </c>
      <c r="M29" s="48">
        <v>1</v>
      </c>
      <c r="N29" s="48">
        <v>1</v>
      </c>
      <c r="O29" s="44">
        <v>0</v>
      </c>
      <c r="P29" s="44">
        <v>0</v>
      </c>
      <c r="Q29" s="44" t="s">
        <v>175</v>
      </c>
    </row>
    <row r="30" spans="1:17">
      <c r="A30" s="79">
        <v>46139</v>
      </c>
      <c r="B30" s="43">
        <v>10577</v>
      </c>
      <c r="C30" s="43">
        <v>8943</v>
      </c>
      <c r="D30" s="44">
        <v>10721.5</v>
      </c>
      <c r="E30" s="44">
        <v>10560</v>
      </c>
      <c r="F30" s="21">
        <f t="shared" ref="F30:F33" si="5">(IF(ISBLANK(D30),0,D30-C30))/C30</f>
        <v>0.19887062506988706</v>
      </c>
      <c r="G30" s="2">
        <f t="shared" ref="G30:G33" si="6">D30/($D$2*24)</f>
        <v>0.22280756442227764</v>
      </c>
      <c r="H30" s="2">
        <f t="shared" ref="H30:H33" si="7">D30/($H$2*24)</f>
        <v>0.27920572916666669</v>
      </c>
      <c r="I30" s="43">
        <v>7.15</v>
      </c>
      <c r="J30" s="44">
        <v>6.56175</v>
      </c>
      <c r="K30" s="21">
        <f t="shared" ref="K30:K33" si="8">(IF(ISBLANK(J30),0,J30-I30))/I30</f>
        <v>-8.2272727272727317E-2</v>
      </c>
      <c r="L30" s="22">
        <f t="shared" ref="L30:L33" si="9">D30/($D$2*J30)</f>
        <v>0.81493222785608466</v>
      </c>
      <c r="M30" s="48">
        <v>1</v>
      </c>
      <c r="N30" s="48">
        <v>1</v>
      </c>
      <c r="O30" s="44">
        <v>0</v>
      </c>
      <c r="P30" s="44">
        <v>0</v>
      </c>
      <c r="Q30" s="44" t="s">
        <v>175</v>
      </c>
    </row>
    <row r="31" spans="1:17">
      <c r="A31" s="79">
        <v>46140</v>
      </c>
      <c r="B31" s="43">
        <v>10577</v>
      </c>
      <c r="C31" s="43">
        <v>8943</v>
      </c>
      <c r="D31" s="44">
        <v>10375.9</v>
      </c>
      <c r="E31" s="44">
        <v>10260</v>
      </c>
      <c r="F31" s="21">
        <f t="shared" si="5"/>
        <v>0.16022587498602256</v>
      </c>
      <c r="G31" s="2">
        <f t="shared" si="6"/>
        <v>0.21562551953449707</v>
      </c>
      <c r="H31" s="2">
        <f t="shared" si="7"/>
        <v>0.27020572916666663</v>
      </c>
      <c r="I31" s="43">
        <v>7.15</v>
      </c>
      <c r="J31" s="44">
        <v>6.37425</v>
      </c>
      <c r="K31" s="21">
        <f t="shared" si="8"/>
        <v>-0.10849650349650354</v>
      </c>
      <c r="L31" s="22">
        <f t="shared" si="9"/>
        <v>0.81186217497398594</v>
      </c>
      <c r="M31" s="48">
        <v>1</v>
      </c>
      <c r="N31" s="48">
        <v>1</v>
      </c>
      <c r="O31" s="44">
        <v>0</v>
      </c>
      <c r="P31" s="44">
        <v>0</v>
      </c>
      <c r="Q31" s="44" t="s">
        <v>175</v>
      </c>
    </row>
    <row r="32" spans="1:17">
      <c r="A32" s="79">
        <v>46141</v>
      </c>
      <c r="B32" s="43">
        <v>10577</v>
      </c>
      <c r="C32" s="43">
        <v>8943</v>
      </c>
      <c r="D32" s="44">
        <v>10112.5</v>
      </c>
      <c r="E32" s="44">
        <v>9800</v>
      </c>
      <c r="F32" s="21">
        <f t="shared" si="5"/>
        <v>0.13077267136307727</v>
      </c>
      <c r="G32" s="2">
        <f t="shared" si="6"/>
        <v>0.21015170407315045</v>
      </c>
      <c r="H32" s="2">
        <f t="shared" si="7"/>
        <v>0.26334635416666669</v>
      </c>
      <c r="I32" s="43">
        <v>7.15</v>
      </c>
      <c r="J32" s="44">
        <v>6.1207500000000001</v>
      </c>
      <c r="K32" s="21">
        <f t="shared" si="8"/>
        <v>-0.14395104895104899</v>
      </c>
      <c r="L32" s="22">
        <f t="shared" si="9"/>
        <v>0.82402334644538833</v>
      </c>
      <c r="M32" s="48">
        <v>1</v>
      </c>
      <c r="N32" s="48">
        <v>1</v>
      </c>
      <c r="O32" s="44">
        <v>0</v>
      </c>
      <c r="P32" s="44">
        <v>0</v>
      </c>
      <c r="Q32" s="44" t="s">
        <v>175</v>
      </c>
    </row>
    <row r="33" spans="1:17">
      <c r="A33" s="79">
        <v>46142</v>
      </c>
      <c r="B33" s="43">
        <v>10577</v>
      </c>
      <c r="C33" s="43">
        <v>8943</v>
      </c>
      <c r="D33" s="44">
        <v>9236.9</v>
      </c>
      <c r="E33" s="44">
        <v>9120</v>
      </c>
      <c r="F33" s="21">
        <f t="shared" si="5"/>
        <v>3.2863692273286331E-2</v>
      </c>
      <c r="G33" s="2">
        <f t="shared" si="6"/>
        <v>0.19195552784704903</v>
      </c>
      <c r="H33" s="2">
        <f t="shared" si="7"/>
        <v>0.24054427083333332</v>
      </c>
      <c r="I33" s="43">
        <v>7.15</v>
      </c>
      <c r="J33" s="44">
        <v>5.7462499999999999</v>
      </c>
      <c r="K33" s="21">
        <f t="shared" si="8"/>
        <v>-0.19632867132867138</v>
      </c>
      <c r="L33" s="22">
        <f t="shared" si="9"/>
        <v>0.80172854789283055</v>
      </c>
      <c r="M33" s="48">
        <v>1</v>
      </c>
      <c r="N33" s="48">
        <v>1</v>
      </c>
      <c r="O33" s="44">
        <v>0</v>
      </c>
      <c r="P33" s="44">
        <v>0</v>
      </c>
      <c r="Q33" s="44" t="s">
        <v>175</v>
      </c>
    </row>
    <row r="34" spans="1:17">
      <c r="A34" s="349">
        <v>46113</v>
      </c>
      <c r="B34" s="80">
        <f>SUM(B4:B33)</f>
        <v>317310</v>
      </c>
      <c r="C34" s="80">
        <f>SUM(C4:C33)</f>
        <v>268290</v>
      </c>
      <c r="D34" s="80">
        <f>SUM(D4:D33)</f>
        <v>313254.64000000007</v>
      </c>
      <c r="E34" s="80">
        <f>SUM(E4:E33)</f>
        <v>308340</v>
      </c>
      <c r="F34" s="160">
        <f>(IF(ISBLANK(D34),0,D34-C34))/C34</f>
        <v>0.16759715233515998</v>
      </c>
      <c r="G34" s="81">
        <f>AVERAGE(G4:G33)</f>
        <v>0.21699545580493212</v>
      </c>
      <c r="H34" s="81">
        <f>AVERAGE(H4:H33)</f>
        <v>0.27192243055555554</v>
      </c>
      <c r="I34" s="80">
        <f>SUM(I4:I33)</f>
        <v>214.50000000000011</v>
      </c>
      <c r="J34" s="80">
        <f>SUM(J4:J33)</f>
        <v>184.98299999999998</v>
      </c>
      <c r="K34" s="160">
        <f>(IF(ISBLANK(J34),0,J34-I34))/I34</f>
        <v>-0.13760839160839217</v>
      </c>
      <c r="L34" s="161">
        <f t="shared" ref="L34:L66" si="10">D34/($D$2*J34)</f>
        <v>0.84460046695940261</v>
      </c>
      <c r="M34" s="81">
        <f>AVERAGE(M4:M33)</f>
        <v>1</v>
      </c>
      <c r="N34" s="81">
        <f>AVERAGE(N4:N33)</f>
        <v>1</v>
      </c>
      <c r="O34" s="80">
        <f>SUM(O4:O33)</f>
        <v>0</v>
      </c>
      <c r="P34" s="80">
        <f>SUM(P4:P33)</f>
        <v>0</v>
      </c>
      <c r="Q34" s="80" t="s">
        <v>175</v>
      </c>
    </row>
    <row r="35" spans="1:17">
      <c r="A35" s="13">
        <v>46143</v>
      </c>
      <c r="B35" s="127">
        <v>10627.97</v>
      </c>
      <c r="C35" s="127">
        <v>9015.0300000000007</v>
      </c>
      <c r="D35" s="33">
        <v>9434</v>
      </c>
      <c r="E35" s="33">
        <v>9300</v>
      </c>
      <c r="F35" s="20">
        <f>(IF(ISBLANK(E35),0,E35-C35))/C35</f>
        <v>3.1610543725311989E-2</v>
      </c>
      <c r="G35" s="2">
        <f t="shared" ref="G35:G57" si="11">D35/($D$2*24)</f>
        <v>0.19605153782211138</v>
      </c>
      <c r="H35" s="2">
        <f t="shared" ref="H35:H61" si="12">D35/($H$2*24)</f>
        <v>0.24567708333333332</v>
      </c>
      <c r="I35" s="28">
        <v>7.24</v>
      </c>
      <c r="J35" s="33">
        <v>5.8010000000000002</v>
      </c>
      <c r="K35" s="20">
        <f>(IF(ISBLANK(J35),0,J35-I35))/I35</f>
        <v>-0.19875690607734806</v>
      </c>
      <c r="L35" s="4">
        <f t="shared" si="10"/>
        <v>0.81110789652312931</v>
      </c>
      <c r="M35" s="48">
        <v>1</v>
      </c>
      <c r="N35" s="48">
        <v>1</v>
      </c>
      <c r="O35" s="44">
        <v>0</v>
      </c>
      <c r="P35" s="44">
        <v>0</v>
      </c>
      <c r="Q35" s="6"/>
    </row>
    <row r="36" spans="1:17">
      <c r="A36" s="13">
        <f>A35+1</f>
        <v>46144</v>
      </c>
      <c r="B36" s="127">
        <v>10627.97</v>
      </c>
      <c r="C36" s="127">
        <v>9015.0300000000007</v>
      </c>
      <c r="D36" s="34">
        <v>8429</v>
      </c>
      <c r="E36" s="34">
        <v>8320</v>
      </c>
      <c r="F36" s="20">
        <f t="shared" ref="F36:F54" si="13">(IF(ISBLANK(E36),0,E36-C36))/C36</f>
        <v>-7.7096803893054219E-2</v>
      </c>
      <c r="G36" s="2">
        <f t="shared" si="11"/>
        <v>0.17516625103906899</v>
      </c>
      <c r="H36" s="2">
        <f t="shared" si="12"/>
        <v>0.21950520833333334</v>
      </c>
      <c r="I36" s="28">
        <v>7.24</v>
      </c>
      <c r="J36" s="34">
        <v>5.2649999999999997</v>
      </c>
      <c r="K36" s="20">
        <f t="shared" ref="K36:K54" si="14">(IF(ISBLANK(J36),0,J36-I36))/I36</f>
        <v>-0.27279005524861882</v>
      </c>
      <c r="L36" s="4">
        <f t="shared" si="10"/>
        <v>0.79847863721512935</v>
      </c>
      <c r="M36" s="48">
        <v>1</v>
      </c>
      <c r="N36" s="48">
        <v>1</v>
      </c>
      <c r="O36" s="44">
        <v>0</v>
      </c>
      <c r="P36" s="44">
        <v>0</v>
      </c>
      <c r="Q36" s="6"/>
    </row>
    <row r="37" spans="1:17">
      <c r="A37" s="13">
        <f t="shared" ref="A37:A65" si="15">A36+1</f>
        <v>46145</v>
      </c>
      <c r="B37" s="127">
        <v>10627.97</v>
      </c>
      <c r="C37" s="127">
        <v>9015.0300000000007</v>
      </c>
      <c r="D37" s="34">
        <v>8211</v>
      </c>
      <c r="E37" s="34">
        <v>8120</v>
      </c>
      <c r="F37" s="20">
        <f t="shared" si="13"/>
        <v>-9.9281976876394271E-2</v>
      </c>
      <c r="G37" s="2">
        <f t="shared" si="11"/>
        <v>0.17063591022443891</v>
      </c>
      <c r="H37" s="2">
        <f t="shared" si="12"/>
        <v>0.21382812500000001</v>
      </c>
      <c r="I37" s="28">
        <v>7.24</v>
      </c>
      <c r="J37" s="34">
        <v>5.056</v>
      </c>
      <c r="K37" s="20">
        <f t="shared" si="14"/>
        <v>-0.30165745856353593</v>
      </c>
      <c r="L37" s="4">
        <f t="shared" si="10"/>
        <v>0.80998058650841243</v>
      </c>
      <c r="M37" s="48">
        <v>1</v>
      </c>
      <c r="N37" s="48">
        <v>1</v>
      </c>
      <c r="O37" s="44">
        <v>0</v>
      </c>
      <c r="P37" s="44">
        <v>0</v>
      </c>
      <c r="Q37" s="6"/>
    </row>
    <row r="38" spans="1:17">
      <c r="A38" s="13">
        <f t="shared" si="15"/>
        <v>46146</v>
      </c>
      <c r="B38" s="127">
        <v>10627.97</v>
      </c>
      <c r="C38" s="127">
        <v>9015.0300000000007</v>
      </c>
      <c r="D38" s="34">
        <v>7946</v>
      </c>
      <c r="E38" s="34">
        <v>7860</v>
      </c>
      <c r="F38" s="20">
        <f t="shared" si="13"/>
        <v>-0.12812270175473631</v>
      </c>
      <c r="G38" s="2">
        <f t="shared" si="11"/>
        <v>0.16512884455527846</v>
      </c>
      <c r="H38" s="2">
        <f t="shared" si="12"/>
        <v>0.20692708333333334</v>
      </c>
      <c r="I38" s="28">
        <v>7.24</v>
      </c>
      <c r="J38" s="34">
        <v>4.899</v>
      </c>
      <c r="K38" s="20">
        <f t="shared" si="14"/>
        <v>-0.32334254143646413</v>
      </c>
      <c r="L38" s="4">
        <f t="shared" si="10"/>
        <v>0.80895943444104568</v>
      </c>
      <c r="M38" s="48">
        <v>1</v>
      </c>
      <c r="N38" s="48">
        <v>1</v>
      </c>
      <c r="O38" s="44">
        <v>0</v>
      </c>
      <c r="P38" s="44">
        <v>0</v>
      </c>
      <c r="Q38" s="14"/>
    </row>
    <row r="39" spans="1:17">
      <c r="A39" s="13">
        <f t="shared" si="15"/>
        <v>46147</v>
      </c>
      <c r="B39" s="127">
        <v>10627.97</v>
      </c>
      <c r="C39" s="127">
        <v>9015.0300000000007</v>
      </c>
      <c r="D39" s="34">
        <v>7300</v>
      </c>
      <c r="E39" s="34">
        <v>7240</v>
      </c>
      <c r="F39" s="20">
        <f t="shared" si="13"/>
        <v>-0.19689673800309046</v>
      </c>
      <c r="G39" s="2">
        <f t="shared" si="11"/>
        <v>0.1517040731504572</v>
      </c>
      <c r="H39" s="2">
        <f t="shared" si="12"/>
        <v>0.19010416666666666</v>
      </c>
      <c r="I39" s="28">
        <v>7.24</v>
      </c>
      <c r="J39" s="34">
        <v>4.5359999999999996</v>
      </c>
      <c r="K39" s="20">
        <f t="shared" si="14"/>
        <v>-0.37348066298342547</v>
      </c>
      <c r="L39" s="4">
        <f t="shared" si="10"/>
        <v>0.80266705370612279</v>
      </c>
      <c r="M39" s="48">
        <v>1</v>
      </c>
      <c r="N39" s="48">
        <v>1</v>
      </c>
      <c r="O39" s="44">
        <v>0</v>
      </c>
      <c r="P39" s="44">
        <v>0</v>
      </c>
      <c r="Q39" s="14"/>
    </row>
    <row r="40" spans="1:17">
      <c r="A40" s="13">
        <f t="shared" si="15"/>
        <v>46148</v>
      </c>
      <c r="B40" s="127">
        <v>10627.97</v>
      </c>
      <c r="C40" s="127">
        <v>9015.0300000000007</v>
      </c>
      <c r="D40" s="34"/>
      <c r="E40" s="34"/>
      <c r="F40" s="20">
        <f t="shared" si="13"/>
        <v>0</v>
      </c>
      <c r="G40" s="2">
        <f t="shared" si="11"/>
        <v>0</v>
      </c>
      <c r="H40" s="2">
        <f t="shared" si="12"/>
        <v>0</v>
      </c>
      <c r="I40" s="28">
        <v>7.24</v>
      </c>
      <c r="J40" s="34"/>
      <c r="K40" s="20">
        <f t="shared" si="14"/>
        <v>0</v>
      </c>
      <c r="L40" s="4" t="e">
        <f t="shared" si="10"/>
        <v>#DIV/0!</v>
      </c>
      <c r="M40" s="103"/>
      <c r="N40" s="103"/>
      <c r="O40" s="34"/>
      <c r="P40" s="6"/>
      <c r="Q40" s="14"/>
    </row>
    <row r="41" spans="1:17">
      <c r="A41" s="13">
        <f t="shared" si="15"/>
        <v>46149</v>
      </c>
      <c r="B41" s="127">
        <v>10627.97</v>
      </c>
      <c r="C41" s="127">
        <v>9015.0300000000007</v>
      </c>
      <c r="D41" s="34"/>
      <c r="E41" s="34"/>
      <c r="F41" s="20">
        <f t="shared" si="13"/>
        <v>0</v>
      </c>
      <c r="G41" s="2">
        <f t="shared" si="11"/>
        <v>0</v>
      </c>
      <c r="H41" s="2">
        <f t="shared" si="12"/>
        <v>0</v>
      </c>
      <c r="I41" s="28">
        <v>7.24</v>
      </c>
      <c r="J41" s="34"/>
      <c r="K41" s="20">
        <f t="shared" si="14"/>
        <v>0</v>
      </c>
      <c r="L41" s="4" t="e">
        <f t="shared" si="10"/>
        <v>#DIV/0!</v>
      </c>
      <c r="M41" s="103"/>
      <c r="N41" s="103"/>
      <c r="O41" s="34"/>
      <c r="P41" s="6"/>
      <c r="Q41" s="202"/>
    </row>
    <row r="42" spans="1:17">
      <c r="A42" s="13">
        <f t="shared" si="15"/>
        <v>46150</v>
      </c>
      <c r="B42" s="127"/>
      <c r="C42" s="127"/>
      <c r="D42" s="34"/>
      <c r="E42" s="34"/>
      <c r="F42" s="20" t="e">
        <f t="shared" si="13"/>
        <v>#DIV/0!</v>
      </c>
      <c r="G42" s="2">
        <f t="shared" si="11"/>
        <v>0</v>
      </c>
      <c r="H42" s="2">
        <f t="shared" si="12"/>
        <v>0</v>
      </c>
      <c r="I42" s="29"/>
      <c r="J42" s="34"/>
      <c r="K42" s="20" t="e">
        <f t="shared" si="14"/>
        <v>#DIV/0!</v>
      </c>
      <c r="L42" s="4" t="e">
        <f t="shared" si="10"/>
        <v>#DIV/0!</v>
      </c>
      <c r="M42" s="103"/>
      <c r="N42" s="103"/>
      <c r="O42" s="34"/>
      <c r="P42" s="6"/>
      <c r="Q42" s="14"/>
    </row>
    <row r="43" spans="1:17">
      <c r="A43" s="13">
        <f t="shared" si="15"/>
        <v>46151</v>
      </c>
      <c r="B43" s="127"/>
      <c r="C43" s="127"/>
      <c r="D43" s="34"/>
      <c r="E43" s="34"/>
      <c r="F43" s="20" t="e">
        <f t="shared" si="13"/>
        <v>#DIV/0!</v>
      </c>
      <c r="G43" s="2">
        <f t="shared" si="11"/>
        <v>0</v>
      </c>
      <c r="H43" s="2">
        <f t="shared" si="12"/>
        <v>0</v>
      </c>
      <c r="I43" s="29"/>
      <c r="J43" s="34"/>
      <c r="K43" s="20" t="e">
        <f t="shared" si="14"/>
        <v>#DIV/0!</v>
      </c>
      <c r="L43" s="4" t="e">
        <f t="shared" si="10"/>
        <v>#DIV/0!</v>
      </c>
      <c r="M43" s="103"/>
      <c r="N43" s="103"/>
      <c r="O43" s="34"/>
      <c r="P43" s="6"/>
      <c r="Q43" s="6"/>
    </row>
    <row r="44" spans="1:17">
      <c r="A44" s="13">
        <f t="shared" si="15"/>
        <v>46152</v>
      </c>
      <c r="B44" s="127"/>
      <c r="C44" s="127"/>
      <c r="D44" s="34"/>
      <c r="E44" s="34"/>
      <c r="F44" s="20" t="e">
        <f t="shared" si="13"/>
        <v>#DIV/0!</v>
      </c>
      <c r="G44" s="2">
        <f t="shared" si="11"/>
        <v>0</v>
      </c>
      <c r="H44" s="2">
        <f t="shared" si="12"/>
        <v>0</v>
      </c>
      <c r="I44" s="29"/>
      <c r="J44" s="34"/>
      <c r="K44" s="20" t="e">
        <f t="shared" si="14"/>
        <v>#DIV/0!</v>
      </c>
      <c r="L44" s="4" t="e">
        <f t="shared" si="10"/>
        <v>#DIV/0!</v>
      </c>
      <c r="M44" s="103"/>
      <c r="N44" s="103"/>
      <c r="O44" s="34"/>
      <c r="P44" s="6"/>
      <c r="Q44" s="16"/>
    </row>
    <row r="45" spans="1:17">
      <c r="A45" s="13">
        <f t="shared" si="15"/>
        <v>46153</v>
      </c>
      <c r="B45" s="127"/>
      <c r="C45" s="127"/>
      <c r="D45" s="34"/>
      <c r="E45" s="34"/>
      <c r="F45" s="20" t="e">
        <f t="shared" si="13"/>
        <v>#DIV/0!</v>
      </c>
      <c r="G45" s="2">
        <f t="shared" si="11"/>
        <v>0</v>
      </c>
      <c r="H45" s="2">
        <f t="shared" si="12"/>
        <v>0</v>
      </c>
      <c r="I45" s="29"/>
      <c r="J45" s="34"/>
      <c r="K45" s="20" t="e">
        <f t="shared" si="14"/>
        <v>#DIV/0!</v>
      </c>
      <c r="L45" s="4" t="e">
        <f t="shared" si="10"/>
        <v>#DIV/0!</v>
      </c>
      <c r="M45" s="103"/>
      <c r="N45" s="103"/>
      <c r="O45" s="34"/>
      <c r="P45" s="6"/>
      <c r="Q45" s="6"/>
    </row>
    <row r="46" spans="1:17">
      <c r="A46" s="13">
        <f t="shared" si="15"/>
        <v>46154</v>
      </c>
      <c r="B46" s="127"/>
      <c r="C46" s="127"/>
      <c r="D46" s="34"/>
      <c r="E46" s="34"/>
      <c r="F46" s="20" t="e">
        <f t="shared" si="13"/>
        <v>#DIV/0!</v>
      </c>
      <c r="G46" s="2">
        <f t="shared" si="11"/>
        <v>0</v>
      </c>
      <c r="H46" s="2">
        <f t="shared" si="12"/>
        <v>0</v>
      </c>
      <c r="I46" s="29"/>
      <c r="J46" s="34"/>
      <c r="K46" s="20" t="e">
        <f t="shared" si="14"/>
        <v>#DIV/0!</v>
      </c>
      <c r="L46" s="4" t="e">
        <f t="shared" si="10"/>
        <v>#DIV/0!</v>
      </c>
      <c r="M46" s="104"/>
      <c r="N46" s="103"/>
      <c r="O46" s="34"/>
      <c r="P46" s="6"/>
      <c r="Q46" s="6"/>
    </row>
    <row r="47" spans="1:17">
      <c r="A47" s="13">
        <f t="shared" si="15"/>
        <v>46155</v>
      </c>
      <c r="B47" s="127"/>
      <c r="C47" s="127"/>
      <c r="D47" s="34"/>
      <c r="E47" s="34"/>
      <c r="F47" s="20" t="e">
        <f t="shared" si="13"/>
        <v>#DIV/0!</v>
      </c>
      <c r="G47" s="2">
        <f t="shared" si="11"/>
        <v>0</v>
      </c>
      <c r="H47" s="2">
        <f t="shared" si="12"/>
        <v>0</v>
      </c>
      <c r="I47" s="29"/>
      <c r="J47" s="34"/>
      <c r="K47" s="20" t="e">
        <f t="shared" si="14"/>
        <v>#DIV/0!</v>
      </c>
      <c r="L47" s="4" t="e">
        <f t="shared" si="10"/>
        <v>#DIV/0!</v>
      </c>
      <c r="M47" s="104"/>
      <c r="N47" s="103"/>
      <c r="O47" s="34"/>
      <c r="P47" s="6"/>
      <c r="Q47" s="31"/>
    </row>
    <row r="48" spans="1:17">
      <c r="A48" s="13">
        <f t="shared" si="15"/>
        <v>46156</v>
      </c>
      <c r="B48" s="127"/>
      <c r="C48" s="127"/>
      <c r="D48" s="34"/>
      <c r="E48" s="34"/>
      <c r="F48" s="20" t="e">
        <f t="shared" si="13"/>
        <v>#DIV/0!</v>
      </c>
      <c r="G48" s="2">
        <f t="shared" si="11"/>
        <v>0</v>
      </c>
      <c r="H48" s="2">
        <f t="shared" si="12"/>
        <v>0</v>
      </c>
      <c r="I48" s="29"/>
      <c r="J48" s="34"/>
      <c r="K48" s="20" t="e">
        <f t="shared" si="14"/>
        <v>#DIV/0!</v>
      </c>
      <c r="L48" s="4" t="e">
        <f t="shared" si="10"/>
        <v>#DIV/0!</v>
      </c>
      <c r="M48" s="104"/>
      <c r="N48" s="103"/>
      <c r="O48" s="34"/>
      <c r="P48" s="6"/>
      <c r="Q48" s="32"/>
    </row>
    <row r="49" spans="1:17">
      <c r="A49" s="13">
        <f t="shared" si="15"/>
        <v>46157</v>
      </c>
      <c r="B49" s="127"/>
      <c r="C49" s="127"/>
      <c r="D49" s="34"/>
      <c r="E49" s="34"/>
      <c r="F49" s="20" t="e">
        <f t="shared" si="13"/>
        <v>#DIV/0!</v>
      </c>
      <c r="G49" s="2">
        <f t="shared" si="11"/>
        <v>0</v>
      </c>
      <c r="H49" s="2">
        <f t="shared" si="12"/>
        <v>0</v>
      </c>
      <c r="I49" s="29"/>
      <c r="J49" s="34"/>
      <c r="K49" s="20" t="e">
        <f t="shared" si="14"/>
        <v>#DIV/0!</v>
      </c>
      <c r="L49" s="4" t="e">
        <f t="shared" si="10"/>
        <v>#DIV/0!</v>
      </c>
      <c r="M49" s="104"/>
      <c r="N49" s="103"/>
      <c r="O49" s="34"/>
      <c r="P49" s="6"/>
      <c r="Q49" s="32"/>
    </row>
    <row r="50" spans="1:17">
      <c r="A50" s="13">
        <f t="shared" si="15"/>
        <v>46158</v>
      </c>
      <c r="B50" s="127"/>
      <c r="C50" s="127"/>
      <c r="D50" s="34"/>
      <c r="E50" s="34"/>
      <c r="F50" s="20" t="e">
        <f t="shared" si="13"/>
        <v>#DIV/0!</v>
      </c>
      <c r="G50" s="2">
        <f t="shared" si="11"/>
        <v>0</v>
      </c>
      <c r="H50" s="2">
        <f t="shared" si="12"/>
        <v>0</v>
      </c>
      <c r="I50" s="29"/>
      <c r="J50" s="34"/>
      <c r="K50" s="20" t="e">
        <f t="shared" si="14"/>
        <v>#DIV/0!</v>
      </c>
      <c r="L50" s="4" t="e">
        <f t="shared" si="10"/>
        <v>#DIV/0!</v>
      </c>
      <c r="M50" s="104"/>
      <c r="N50" s="103"/>
      <c r="O50" s="34"/>
      <c r="P50" s="6"/>
      <c r="Q50" s="32"/>
    </row>
    <row r="51" spans="1:17">
      <c r="A51" s="13">
        <f t="shared" si="15"/>
        <v>46159</v>
      </c>
      <c r="B51" s="127"/>
      <c r="C51" s="127"/>
      <c r="D51" s="34"/>
      <c r="E51" s="34"/>
      <c r="F51" s="20" t="e">
        <f t="shared" si="13"/>
        <v>#DIV/0!</v>
      </c>
      <c r="G51" s="2">
        <f t="shared" si="11"/>
        <v>0</v>
      </c>
      <c r="H51" s="2">
        <f t="shared" si="12"/>
        <v>0</v>
      </c>
      <c r="I51" s="29"/>
      <c r="J51" s="34"/>
      <c r="K51" s="20" t="e">
        <f t="shared" si="14"/>
        <v>#DIV/0!</v>
      </c>
      <c r="L51" s="4" t="e">
        <f t="shared" si="10"/>
        <v>#DIV/0!</v>
      </c>
      <c r="M51" s="103"/>
      <c r="N51" s="103"/>
      <c r="O51" s="34"/>
      <c r="P51" s="6"/>
      <c r="Q51" s="6"/>
    </row>
    <row r="52" spans="1:17">
      <c r="A52" s="13">
        <f t="shared" si="15"/>
        <v>46160</v>
      </c>
      <c r="B52" s="127"/>
      <c r="C52" s="127"/>
      <c r="D52" s="34"/>
      <c r="E52" s="34"/>
      <c r="F52" s="20" t="e">
        <f t="shared" si="13"/>
        <v>#DIV/0!</v>
      </c>
      <c r="G52" s="2">
        <f t="shared" si="11"/>
        <v>0</v>
      </c>
      <c r="H52" s="2">
        <f t="shared" si="12"/>
        <v>0</v>
      </c>
      <c r="I52" s="29"/>
      <c r="J52" s="34"/>
      <c r="K52" s="20" t="e">
        <f t="shared" si="14"/>
        <v>#DIV/0!</v>
      </c>
      <c r="L52" s="4" t="e">
        <f t="shared" si="10"/>
        <v>#DIV/0!</v>
      </c>
      <c r="M52" s="103"/>
      <c r="N52" s="103"/>
      <c r="O52" s="34"/>
      <c r="P52" s="6"/>
      <c r="Q52" s="14"/>
    </row>
    <row r="53" spans="1:17">
      <c r="A53" s="13">
        <f t="shared" si="15"/>
        <v>46161</v>
      </c>
      <c r="B53" s="127"/>
      <c r="C53" s="127"/>
      <c r="D53" s="34"/>
      <c r="E53" s="34"/>
      <c r="F53" s="20" t="e">
        <f t="shared" si="13"/>
        <v>#DIV/0!</v>
      </c>
      <c r="G53" s="2">
        <f t="shared" si="11"/>
        <v>0</v>
      </c>
      <c r="H53" s="2">
        <f t="shared" si="12"/>
        <v>0</v>
      </c>
      <c r="I53" s="29"/>
      <c r="J53" s="34"/>
      <c r="K53" s="20" t="e">
        <f t="shared" si="14"/>
        <v>#DIV/0!</v>
      </c>
      <c r="L53" s="4" t="e">
        <f t="shared" si="10"/>
        <v>#DIV/0!</v>
      </c>
      <c r="M53" s="103"/>
      <c r="N53" s="103"/>
      <c r="O53" s="34"/>
      <c r="P53" s="6"/>
      <c r="Q53" s="14"/>
    </row>
    <row r="54" spans="1:17">
      <c r="A54" s="13">
        <f t="shared" si="15"/>
        <v>46162</v>
      </c>
      <c r="B54" s="127"/>
      <c r="C54" s="127"/>
      <c r="D54" s="34"/>
      <c r="E54" s="34"/>
      <c r="F54" s="20" t="e">
        <f t="shared" si="13"/>
        <v>#DIV/0!</v>
      </c>
      <c r="G54" s="2">
        <f t="shared" si="11"/>
        <v>0</v>
      </c>
      <c r="H54" s="2">
        <f t="shared" si="12"/>
        <v>0</v>
      </c>
      <c r="I54" s="29"/>
      <c r="J54" s="34"/>
      <c r="K54" s="20" t="e">
        <f t="shared" si="14"/>
        <v>#DIV/0!</v>
      </c>
      <c r="L54" s="4" t="e">
        <f t="shared" si="10"/>
        <v>#DIV/0!</v>
      </c>
      <c r="M54" s="103"/>
      <c r="N54" s="103"/>
      <c r="O54" s="34"/>
      <c r="P54" s="6"/>
      <c r="Q54" s="14"/>
    </row>
    <row r="55" spans="1:17">
      <c r="A55" s="13">
        <f t="shared" si="15"/>
        <v>46163</v>
      </c>
      <c r="B55" s="127"/>
      <c r="C55" s="127"/>
      <c r="D55" s="34"/>
      <c r="E55" s="34"/>
      <c r="F55" s="20" t="e">
        <f>(IF(ISBLANK(E55),0,E55-C55))/C55</f>
        <v>#DIV/0!</v>
      </c>
      <c r="G55" s="2">
        <f t="shared" si="11"/>
        <v>0</v>
      </c>
      <c r="H55" s="2">
        <f t="shared" si="12"/>
        <v>0</v>
      </c>
      <c r="I55" s="29"/>
      <c r="J55" s="34"/>
      <c r="K55" s="20" t="e">
        <f>(IF(ISBLANK(J55),0,J55-I55))/I55</f>
        <v>#DIV/0!</v>
      </c>
      <c r="L55" s="4" t="e">
        <f t="shared" si="10"/>
        <v>#DIV/0!</v>
      </c>
      <c r="M55" s="103"/>
      <c r="N55" s="103"/>
      <c r="O55" s="34"/>
      <c r="P55" s="6"/>
      <c r="Q55" s="6"/>
    </row>
    <row r="56" spans="1:17">
      <c r="A56" s="13">
        <f t="shared" si="15"/>
        <v>46164</v>
      </c>
      <c r="B56" s="127"/>
      <c r="C56" s="127"/>
      <c r="D56" s="34"/>
      <c r="E56" s="34"/>
      <c r="F56" s="20" t="e">
        <f t="shared" ref="F56:F65" si="16">(IF(ISBLANK(E56),0,E56-C56))/C56</f>
        <v>#DIV/0!</v>
      </c>
      <c r="G56" s="2">
        <f t="shared" si="11"/>
        <v>0</v>
      </c>
      <c r="H56" s="2">
        <f t="shared" si="12"/>
        <v>0</v>
      </c>
      <c r="I56" s="29"/>
      <c r="J56" s="34"/>
      <c r="K56" s="20" t="e">
        <f t="shared" ref="K56:K65" si="17">(IF(ISBLANK(J56),0,J56-I56))/I56</f>
        <v>#DIV/0!</v>
      </c>
      <c r="L56" s="4" t="e">
        <f t="shared" si="10"/>
        <v>#DIV/0!</v>
      </c>
      <c r="M56" s="103"/>
      <c r="N56" s="103"/>
      <c r="O56" s="34"/>
      <c r="P56" s="6"/>
      <c r="Q56" s="6"/>
    </row>
    <row r="57" spans="1:17">
      <c r="A57" s="13">
        <f t="shared" si="15"/>
        <v>46165</v>
      </c>
      <c r="B57" s="127"/>
      <c r="C57" s="127"/>
      <c r="D57" s="14"/>
      <c r="E57" s="14"/>
      <c r="F57" s="20" t="e">
        <f t="shared" si="16"/>
        <v>#DIV/0!</v>
      </c>
      <c r="G57" s="2">
        <f t="shared" si="11"/>
        <v>0</v>
      </c>
      <c r="H57" s="2">
        <f t="shared" si="12"/>
        <v>0</v>
      </c>
      <c r="I57" s="29"/>
      <c r="J57" s="14"/>
      <c r="K57" s="20" t="e">
        <f t="shared" si="17"/>
        <v>#DIV/0!</v>
      </c>
      <c r="L57" s="4" t="e">
        <f t="shared" si="10"/>
        <v>#DIV/0!</v>
      </c>
      <c r="M57" s="103"/>
      <c r="N57" s="103"/>
      <c r="O57" s="34"/>
      <c r="P57" s="6"/>
      <c r="Q57" s="6"/>
    </row>
    <row r="58" spans="1:17">
      <c r="A58" s="13">
        <f t="shared" si="15"/>
        <v>46166</v>
      </c>
      <c r="B58" s="127"/>
      <c r="C58" s="127"/>
      <c r="D58" s="14"/>
      <c r="E58" s="14"/>
      <c r="F58" s="20" t="e">
        <f t="shared" si="16"/>
        <v>#DIV/0!</v>
      </c>
      <c r="G58" s="2">
        <f t="shared" ref="G58:G65" si="18">D58/($D$2*24)</f>
        <v>0</v>
      </c>
      <c r="H58" s="2">
        <f t="shared" si="12"/>
        <v>0</v>
      </c>
      <c r="I58" s="29"/>
      <c r="J58" s="14"/>
      <c r="K58" s="20" t="e">
        <f t="shared" si="17"/>
        <v>#DIV/0!</v>
      </c>
      <c r="L58" s="4" t="e">
        <f t="shared" si="10"/>
        <v>#DIV/0!</v>
      </c>
      <c r="M58" s="103"/>
      <c r="N58" s="103"/>
      <c r="O58" s="34"/>
      <c r="P58" s="6"/>
      <c r="Q58" s="288"/>
    </row>
    <row r="59" spans="1:17">
      <c r="A59" s="13">
        <f t="shared" si="15"/>
        <v>46167</v>
      </c>
      <c r="B59" s="1"/>
      <c r="C59" s="1"/>
      <c r="D59" s="14"/>
      <c r="E59" s="14"/>
      <c r="F59" s="20" t="e">
        <f t="shared" si="16"/>
        <v>#DIV/0!</v>
      </c>
      <c r="G59" s="2">
        <f t="shared" si="18"/>
        <v>0</v>
      </c>
      <c r="H59" s="2">
        <f t="shared" si="12"/>
        <v>0</v>
      </c>
      <c r="I59" s="29"/>
      <c r="J59" s="14"/>
      <c r="K59" s="20" t="e">
        <f t="shared" si="17"/>
        <v>#DIV/0!</v>
      </c>
      <c r="L59" s="4" t="e">
        <f t="shared" si="10"/>
        <v>#DIV/0!</v>
      </c>
      <c r="M59" s="103"/>
      <c r="N59" s="103"/>
      <c r="O59" s="34"/>
      <c r="P59" s="155"/>
      <c r="Q59" s="6"/>
    </row>
    <row r="60" spans="1:17">
      <c r="A60" s="13">
        <f t="shared" si="15"/>
        <v>46168</v>
      </c>
      <c r="B60" s="1"/>
      <c r="C60" s="1"/>
      <c r="D60" s="14"/>
      <c r="E60" s="14"/>
      <c r="F60" s="20" t="e">
        <f t="shared" si="16"/>
        <v>#DIV/0!</v>
      </c>
      <c r="G60" s="2">
        <f t="shared" si="18"/>
        <v>0</v>
      </c>
      <c r="H60" s="2">
        <f t="shared" si="12"/>
        <v>0</v>
      </c>
      <c r="I60" s="29"/>
      <c r="J60" s="14"/>
      <c r="K60" s="20" t="e">
        <f t="shared" si="17"/>
        <v>#DIV/0!</v>
      </c>
      <c r="L60" s="4" t="e">
        <f t="shared" si="10"/>
        <v>#DIV/0!</v>
      </c>
      <c r="M60" s="103"/>
      <c r="N60" s="103"/>
      <c r="O60" s="34"/>
      <c r="P60" s="6"/>
      <c r="Q60" s="123"/>
    </row>
    <row r="61" spans="1:17">
      <c r="A61" s="13">
        <f t="shared" si="15"/>
        <v>46169</v>
      </c>
      <c r="B61" s="1"/>
      <c r="C61" s="1"/>
      <c r="D61" s="14"/>
      <c r="E61" s="14"/>
      <c r="F61" s="20" t="e">
        <f t="shared" si="16"/>
        <v>#DIV/0!</v>
      </c>
      <c r="G61" s="2">
        <f t="shared" si="18"/>
        <v>0</v>
      </c>
      <c r="H61" s="2">
        <f t="shared" si="12"/>
        <v>0</v>
      </c>
      <c r="I61" s="29"/>
      <c r="J61" s="14"/>
      <c r="K61" s="20" t="e">
        <f t="shared" si="17"/>
        <v>#DIV/0!</v>
      </c>
      <c r="L61" s="4" t="e">
        <f t="shared" si="10"/>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0"/>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0"/>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0"/>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0"/>
        <v>#DIV/0!</v>
      </c>
      <c r="M65" s="103"/>
      <c r="N65" s="103"/>
      <c r="O65" s="34"/>
      <c r="P65" s="6"/>
      <c r="Q65" s="6"/>
    </row>
    <row r="66" spans="1:17">
      <c r="A66" s="349">
        <v>46143</v>
      </c>
      <c r="B66" s="89">
        <f>SUM(B35:B65)</f>
        <v>74395.789999999994</v>
      </c>
      <c r="C66" s="89">
        <f>SUM(C35:C65)</f>
        <v>63105.21</v>
      </c>
      <c r="D66" s="89">
        <f>SUM(D35:D65)</f>
        <v>41320</v>
      </c>
      <c r="E66" s="89">
        <f>SUM(E35:E65)</f>
        <v>40840</v>
      </c>
      <c r="F66" s="160">
        <f>(IF(ISBLANK(E66),0,E66-C66))/C66</f>
        <v>-0.35282681097170898</v>
      </c>
      <c r="G66" s="90">
        <f>AVERAGE(G35:G65)</f>
        <v>2.7699568283592095E-2</v>
      </c>
      <c r="H66" s="90">
        <f>AVERAGE(H35:H65)</f>
        <v>3.4711021505376347E-2</v>
      </c>
      <c r="I66" s="89">
        <f>SUM(I35:I65)</f>
        <v>50.680000000000007</v>
      </c>
      <c r="J66" s="89">
        <f>SUM(J35:J65)</f>
        <v>25.557000000000002</v>
      </c>
      <c r="K66" s="160">
        <f>(IF(ISBLANK(J66),0,J66-I66))/I66</f>
        <v>-0.4957182320441989</v>
      </c>
      <c r="L66" s="161">
        <f t="shared" si="10"/>
        <v>0.80637315815598531</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79DBF-9BFD-4B58-92FE-DE090EBE01FA}">
  <dimension ref="A1:Q66"/>
  <sheetViews>
    <sheetView workbookViewId="0">
      <pane ySplit="3" topLeftCell="A34" activePane="bottomLeft" state="frozen"/>
      <selection pane="bottomLeft" activeCell="P11" sqref="P11"/>
    </sheetView>
  </sheetViews>
  <sheetFormatPr defaultRowHeight="14.5"/>
  <cols>
    <col min="1" max="1" width="11.26953125" bestFit="1" customWidth="1"/>
    <col min="11" max="11" width="11.1796875" bestFit="1" customWidth="1"/>
    <col min="17" max="17" width="45" bestFit="1" customWidth="1"/>
  </cols>
  <sheetData>
    <row r="1" spans="1:17" ht="18.5">
      <c r="A1" s="417" t="s">
        <v>470</v>
      </c>
      <c r="B1" s="418"/>
      <c r="C1" s="418"/>
      <c r="D1" s="418"/>
      <c r="E1" s="418"/>
      <c r="F1" s="418"/>
      <c r="G1" s="418"/>
      <c r="H1" s="418"/>
      <c r="I1" s="418"/>
      <c r="J1" s="418"/>
      <c r="K1" s="418"/>
      <c r="L1" s="418"/>
      <c r="M1" s="418"/>
      <c r="N1" s="418"/>
      <c r="O1" s="418"/>
      <c r="P1" s="418"/>
      <c r="Q1" s="418"/>
    </row>
    <row r="2" spans="1:17" ht="18.5">
      <c r="A2" s="69">
        <v>46138</v>
      </c>
      <c r="B2" s="415" t="s">
        <v>172</v>
      </c>
      <c r="C2" s="416"/>
      <c r="D2" s="70">
        <v>4004</v>
      </c>
      <c r="E2" s="415" t="s">
        <v>173</v>
      </c>
      <c r="F2" s="415"/>
      <c r="G2" s="416"/>
      <c r="H2" s="70">
        <v>3300</v>
      </c>
      <c r="I2" s="415" t="s">
        <v>174</v>
      </c>
      <c r="J2" s="416"/>
      <c r="K2" s="105" t="s">
        <v>181</v>
      </c>
      <c r="L2" s="72" t="s">
        <v>175</v>
      </c>
      <c r="M2" s="72" t="s">
        <v>175</v>
      </c>
      <c r="N2" s="72" t="s">
        <v>175</v>
      </c>
      <c r="O2" s="72" t="s">
        <v>175</v>
      </c>
      <c r="P2" s="72" t="s">
        <v>175</v>
      </c>
      <c r="Q2" s="73" t="s">
        <v>175</v>
      </c>
    </row>
    <row r="3" spans="1:17" s="378" customFormat="1" ht="48">
      <c r="A3" s="374" t="s">
        <v>189</v>
      </c>
      <c r="B3" s="375" t="s">
        <v>3</v>
      </c>
      <c r="C3" s="375" t="s">
        <v>4</v>
      </c>
      <c r="D3" s="375" t="s">
        <v>5</v>
      </c>
      <c r="E3" s="375" t="s">
        <v>6</v>
      </c>
      <c r="F3" s="376" t="s">
        <v>7</v>
      </c>
      <c r="G3" s="375" t="s">
        <v>8</v>
      </c>
      <c r="H3" s="375" t="s">
        <v>9</v>
      </c>
      <c r="I3" s="375" t="s">
        <v>10</v>
      </c>
      <c r="J3" s="375" t="s">
        <v>11</v>
      </c>
      <c r="K3" s="376" t="s">
        <v>12</v>
      </c>
      <c r="L3" s="375" t="s">
        <v>13</v>
      </c>
      <c r="M3" s="375" t="s">
        <v>14</v>
      </c>
      <c r="N3" s="375" t="s">
        <v>15</v>
      </c>
      <c r="O3" s="375" t="s">
        <v>16</v>
      </c>
      <c r="P3" s="375" t="s">
        <v>17</v>
      </c>
      <c r="Q3" s="377" t="s">
        <v>156</v>
      </c>
    </row>
    <row r="4" spans="1:17">
      <c r="A4" s="76">
        <v>46113</v>
      </c>
      <c r="B4" s="36">
        <v>21963</v>
      </c>
      <c r="C4" s="36">
        <v>20355</v>
      </c>
      <c r="D4" s="37">
        <v>22090.13</v>
      </c>
      <c r="E4" s="37">
        <v>21760</v>
      </c>
      <c r="F4" s="21">
        <f t="shared" ref="F4:F29" si="0">(IF(ISBLANK(D4),0,D4-C4))/C4</f>
        <v>8.5243429132891235E-2</v>
      </c>
      <c r="G4" s="2">
        <f t="shared" ref="G4:G29" si="1">D4/($D$2*24)</f>
        <v>0.22987564518814521</v>
      </c>
      <c r="H4" s="2">
        <f t="shared" ref="H4:H29" si="2">D4/($H$2*24)</f>
        <v>0.27891578282828283</v>
      </c>
      <c r="I4" s="36">
        <v>6.54</v>
      </c>
      <c r="J4" s="37">
        <v>6.25</v>
      </c>
      <c r="K4" s="21">
        <f t="shared" ref="K4:K29" si="3">(IF(ISBLANK(J4),0,J4-I4))/I4</f>
        <v>-4.4342507645259946E-2</v>
      </c>
      <c r="L4" s="22">
        <f t="shared" ref="L4:L29" si="4">D4/($D$2*J4)</f>
        <v>0.88272247752247757</v>
      </c>
      <c r="M4" s="41">
        <v>1</v>
      </c>
      <c r="N4" s="41">
        <v>1</v>
      </c>
      <c r="O4" s="37">
        <v>0</v>
      </c>
      <c r="P4" s="37">
        <v>0</v>
      </c>
      <c r="Q4" s="37" t="s">
        <v>175</v>
      </c>
    </row>
    <row r="5" spans="1:17">
      <c r="A5" s="79">
        <v>46114</v>
      </c>
      <c r="B5" s="43">
        <v>21963</v>
      </c>
      <c r="C5" s="43">
        <v>20355</v>
      </c>
      <c r="D5" s="44">
        <v>20330.66</v>
      </c>
      <c r="E5" s="44">
        <v>20040</v>
      </c>
      <c r="F5" s="21">
        <f t="shared" si="0"/>
        <v>-1.1957749938590098E-3</v>
      </c>
      <c r="G5" s="2">
        <f t="shared" si="1"/>
        <v>0.2115661421911422</v>
      </c>
      <c r="H5" s="2">
        <f t="shared" si="2"/>
        <v>0.25670025252525253</v>
      </c>
      <c r="I5" s="43">
        <v>6.54</v>
      </c>
      <c r="J5" s="44">
        <v>5.74</v>
      </c>
      <c r="K5" s="21">
        <f t="shared" si="3"/>
        <v>-0.1223241590214067</v>
      </c>
      <c r="L5" s="22">
        <f t="shared" si="4"/>
        <v>0.88459711020686638</v>
      </c>
      <c r="M5" s="48">
        <v>1</v>
      </c>
      <c r="N5" s="48">
        <v>1</v>
      </c>
      <c r="O5" s="44">
        <v>0</v>
      </c>
      <c r="P5" s="44">
        <v>0</v>
      </c>
      <c r="Q5" s="44" t="s">
        <v>175</v>
      </c>
    </row>
    <row r="6" spans="1:17">
      <c r="A6" s="79">
        <v>46115</v>
      </c>
      <c r="B6" s="43">
        <v>21963</v>
      </c>
      <c r="C6" s="43">
        <v>20355</v>
      </c>
      <c r="D6" s="44">
        <v>15998.37</v>
      </c>
      <c r="E6" s="44">
        <v>15760</v>
      </c>
      <c r="F6" s="21">
        <f t="shared" si="0"/>
        <v>-0.2140324244657332</v>
      </c>
      <c r="G6" s="2">
        <f t="shared" si="1"/>
        <v>0.16648320429570432</v>
      </c>
      <c r="H6" s="2">
        <f t="shared" si="2"/>
        <v>0.20199962121212123</v>
      </c>
      <c r="I6" s="43">
        <v>6.54</v>
      </c>
      <c r="J6" s="44">
        <v>4.53</v>
      </c>
      <c r="K6" s="21">
        <f t="shared" si="3"/>
        <v>-0.30733944954128439</v>
      </c>
      <c r="L6" s="22">
        <f t="shared" si="4"/>
        <v>0.88203022143419485</v>
      </c>
      <c r="M6" s="48">
        <v>1</v>
      </c>
      <c r="N6" s="48">
        <v>1</v>
      </c>
      <c r="O6" s="44">
        <v>0</v>
      </c>
      <c r="P6" s="44">
        <v>0</v>
      </c>
      <c r="Q6" s="44" t="s">
        <v>175</v>
      </c>
    </row>
    <row r="7" spans="1:17">
      <c r="A7" s="79">
        <v>46116</v>
      </c>
      <c r="B7" s="43">
        <v>21963</v>
      </c>
      <c r="C7" s="43">
        <v>20355</v>
      </c>
      <c r="D7" s="44">
        <v>24406.55</v>
      </c>
      <c r="E7" s="44">
        <v>24000</v>
      </c>
      <c r="F7" s="21">
        <f t="shared" si="0"/>
        <v>0.1990444608204372</v>
      </c>
      <c r="G7" s="2">
        <f t="shared" si="1"/>
        <v>0.2539809149184149</v>
      </c>
      <c r="H7" s="2">
        <f t="shared" si="2"/>
        <v>0.30816351010101012</v>
      </c>
      <c r="I7" s="43">
        <v>6.54</v>
      </c>
      <c r="J7" s="44">
        <v>6.85</v>
      </c>
      <c r="K7" s="21">
        <f t="shared" si="3"/>
        <v>4.740061162079505E-2</v>
      </c>
      <c r="L7" s="22">
        <f t="shared" si="4"/>
        <v>0.8898601398601399</v>
      </c>
      <c r="M7" s="48">
        <v>1</v>
      </c>
      <c r="N7" s="48">
        <v>1</v>
      </c>
      <c r="O7" s="44">
        <v>0</v>
      </c>
      <c r="P7" s="44">
        <v>0</v>
      </c>
      <c r="Q7" s="44" t="s">
        <v>175</v>
      </c>
    </row>
    <row r="8" spans="1:17">
      <c r="A8" s="79">
        <v>46117</v>
      </c>
      <c r="B8" s="43">
        <v>21963</v>
      </c>
      <c r="C8" s="43">
        <v>20355</v>
      </c>
      <c r="D8" s="44">
        <v>23768.79</v>
      </c>
      <c r="E8" s="44">
        <v>23400</v>
      </c>
      <c r="F8" s="21">
        <f t="shared" si="0"/>
        <v>0.16771260132645546</v>
      </c>
      <c r="G8" s="2">
        <f t="shared" si="1"/>
        <v>0.24734421828171829</v>
      </c>
      <c r="H8" s="2">
        <f t="shared" si="2"/>
        <v>0.30011098484848486</v>
      </c>
      <c r="I8" s="43">
        <v>6.54</v>
      </c>
      <c r="J8" s="44">
        <v>6.64</v>
      </c>
      <c r="K8" s="21">
        <f t="shared" si="3"/>
        <v>1.5290519877675787E-2</v>
      </c>
      <c r="L8" s="22">
        <f t="shared" si="4"/>
        <v>0.89401524680139144</v>
      </c>
      <c r="M8" s="48">
        <v>1</v>
      </c>
      <c r="N8" s="48">
        <v>1</v>
      </c>
      <c r="O8" s="44">
        <v>0</v>
      </c>
      <c r="P8" s="44">
        <v>0</v>
      </c>
      <c r="Q8" s="44" t="s">
        <v>175</v>
      </c>
    </row>
    <row r="9" spans="1:17">
      <c r="A9" s="79">
        <v>46118</v>
      </c>
      <c r="B9" s="43">
        <v>21963</v>
      </c>
      <c r="C9" s="43">
        <v>20355</v>
      </c>
      <c r="D9" s="44">
        <v>24037.47</v>
      </c>
      <c r="E9" s="44">
        <v>23680</v>
      </c>
      <c r="F9" s="21">
        <f t="shared" si="0"/>
        <v>0.18091230655858517</v>
      </c>
      <c r="G9" s="2">
        <f t="shared" si="1"/>
        <v>0.25014017232767233</v>
      </c>
      <c r="H9" s="2">
        <f t="shared" si="2"/>
        <v>0.30350340909090912</v>
      </c>
      <c r="I9" s="43">
        <v>6.54</v>
      </c>
      <c r="J9" s="44">
        <v>6.8</v>
      </c>
      <c r="K9" s="21">
        <f t="shared" si="3"/>
        <v>3.9755351681957152E-2</v>
      </c>
      <c r="L9" s="22">
        <f t="shared" si="4"/>
        <v>0.88284766703884354</v>
      </c>
      <c r="M9" s="48">
        <v>1</v>
      </c>
      <c r="N9" s="48">
        <v>1</v>
      </c>
      <c r="O9" s="44">
        <v>0</v>
      </c>
      <c r="P9" s="44">
        <v>0</v>
      </c>
      <c r="Q9" s="44" t="s">
        <v>175</v>
      </c>
    </row>
    <row r="10" spans="1:17">
      <c r="A10" s="79">
        <v>46119</v>
      </c>
      <c r="B10" s="43">
        <v>21963</v>
      </c>
      <c r="C10" s="43">
        <v>20355</v>
      </c>
      <c r="D10" s="44">
        <v>19479.91</v>
      </c>
      <c r="E10" s="44">
        <v>19200</v>
      </c>
      <c r="F10" s="21">
        <f t="shared" si="0"/>
        <v>-4.2991402603782862E-2</v>
      </c>
      <c r="G10" s="2">
        <f t="shared" si="1"/>
        <v>0.20271301615051615</v>
      </c>
      <c r="H10" s="2">
        <f t="shared" si="2"/>
        <v>0.24595845959595961</v>
      </c>
      <c r="I10" s="43">
        <v>6.54</v>
      </c>
      <c r="J10" s="44">
        <v>5.46</v>
      </c>
      <c r="K10" s="21">
        <f t="shared" si="3"/>
        <v>-0.16513761467889909</v>
      </c>
      <c r="L10" s="22">
        <f t="shared" si="4"/>
        <v>0.89104622483743356</v>
      </c>
      <c r="M10" s="48">
        <v>1</v>
      </c>
      <c r="N10" s="48">
        <v>1</v>
      </c>
      <c r="O10" s="44">
        <v>0</v>
      </c>
      <c r="P10" s="44">
        <v>0</v>
      </c>
      <c r="Q10" s="44" t="s">
        <v>175</v>
      </c>
    </row>
    <row r="11" spans="1:17">
      <c r="A11" s="79">
        <v>46120</v>
      </c>
      <c r="B11" s="43">
        <v>21963</v>
      </c>
      <c r="C11" s="43">
        <v>20355</v>
      </c>
      <c r="D11" s="44">
        <v>23190.2</v>
      </c>
      <c r="E11" s="44">
        <v>22800</v>
      </c>
      <c r="F11" s="21">
        <f t="shared" si="0"/>
        <v>0.13928764431343654</v>
      </c>
      <c r="G11" s="2">
        <f t="shared" si="1"/>
        <v>0.24132326007326008</v>
      </c>
      <c r="H11" s="2">
        <f t="shared" si="2"/>
        <v>0.29280555555555554</v>
      </c>
      <c r="I11" s="43">
        <v>6.54</v>
      </c>
      <c r="J11" s="44">
        <v>6.5587499999999999</v>
      </c>
      <c r="K11" s="21">
        <f t="shared" si="3"/>
        <v>2.866972477064193E-3</v>
      </c>
      <c r="L11" s="22">
        <f t="shared" si="4"/>
        <v>0.88305824154880763</v>
      </c>
      <c r="M11" s="48">
        <v>1</v>
      </c>
      <c r="N11" s="48">
        <v>1</v>
      </c>
      <c r="O11" s="44">
        <v>0</v>
      </c>
      <c r="P11" s="44">
        <v>0</v>
      </c>
      <c r="Q11" s="44" t="s">
        <v>175</v>
      </c>
    </row>
    <row r="12" spans="1:17">
      <c r="A12" s="79">
        <v>46121</v>
      </c>
      <c r="B12" s="43">
        <v>21963</v>
      </c>
      <c r="C12" s="43">
        <v>20355</v>
      </c>
      <c r="D12" s="44">
        <v>23176.73</v>
      </c>
      <c r="E12" s="44">
        <v>22600</v>
      </c>
      <c r="F12" s="21">
        <f t="shared" si="0"/>
        <v>0.13862589044460819</v>
      </c>
      <c r="G12" s="2">
        <f t="shared" si="1"/>
        <v>0.24118308774558775</v>
      </c>
      <c r="H12" s="2">
        <f t="shared" si="2"/>
        <v>0.29263547979797977</v>
      </c>
      <c r="I12" s="43">
        <v>6.54</v>
      </c>
      <c r="J12" s="44">
        <v>6.53</v>
      </c>
      <c r="K12" s="21">
        <f t="shared" si="3"/>
        <v>-1.5290519877675516E-3</v>
      </c>
      <c r="L12" s="22">
        <f t="shared" si="4"/>
        <v>0.88643095036663178</v>
      </c>
      <c r="M12" s="48">
        <v>1</v>
      </c>
      <c r="N12" s="48">
        <v>1</v>
      </c>
      <c r="O12" s="44">
        <v>0</v>
      </c>
      <c r="P12" s="44">
        <v>0</v>
      </c>
      <c r="Q12" s="44" t="s">
        <v>175</v>
      </c>
    </row>
    <row r="13" spans="1:17">
      <c r="A13" s="79">
        <v>46122</v>
      </c>
      <c r="B13" s="43">
        <v>21963</v>
      </c>
      <c r="C13" s="43">
        <v>20355</v>
      </c>
      <c r="D13" s="44">
        <v>22950.07</v>
      </c>
      <c r="E13" s="44">
        <v>22640</v>
      </c>
      <c r="F13" s="21">
        <f t="shared" si="0"/>
        <v>0.12749054286416112</v>
      </c>
      <c r="G13" s="2">
        <f t="shared" si="1"/>
        <v>0.23882440476190475</v>
      </c>
      <c r="H13" s="2">
        <f t="shared" si="2"/>
        <v>0.28977361111111111</v>
      </c>
      <c r="I13" s="43">
        <v>6.54</v>
      </c>
      <c r="J13" s="44">
        <v>6.4470000000000001</v>
      </c>
      <c r="K13" s="21">
        <f t="shared" si="3"/>
        <v>-1.4220183486238528E-2</v>
      </c>
      <c r="L13" s="22">
        <f t="shared" si="4"/>
        <v>0.88906246537703026</v>
      </c>
      <c r="M13" s="48">
        <v>0.96399999999999997</v>
      </c>
      <c r="N13" s="48">
        <v>1</v>
      </c>
      <c r="O13" s="44">
        <v>0</v>
      </c>
      <c r="P13" s="44">
        <v>914</v>
      </c>
      <c r="Q13" s="44" t="s">
        <v>471</v>
      </c>
    </row>
    <row r="14" spans="1:17">
      <c r="A14" s="79">
        <v>46123</v>
      </c>
      <c r="B14" s="43">
        <v>21963</v>
      </c>
      <c r="C14" s="43">
        <v>20355</v>
      </c>
      <c r="D14" s="44">
        <v>23141.3</v>
      </c>
      <c r="E14" s="44">
        <v>22800</v>
      </c>
      <c r="F14" s="21">
        <f t="shared" si="0"/>
        <v>0.13688528617047405</v>
      </c>
      <c r="G14" s="2">
        <f t="shared" si="1"/>
        <v>0.24081439393939394</v>
      </c>
      <c r="H14" s="2">
        <f t="shared" si="2"/>
        <v>0.29218813131313132</v>
      </c>
      <c r="I14" s="43">
        <v>6.54</v>
      </c>
      <c r="J14" s="44">
        <v>6.5019999999999998</v>
      </c>
      <c r="K14" s="21">
        <f t="shared" si="3"/>
        <v>-5.8103975535168583E-3</v>
      </c>
      <c r="L14" s="22">
        <f t="shared" si="4"/>
        <v>0.88888733536534215</v>
      </c>
      <c r="M14" s="48">
        <v>1</v>
      </c>
      <c r="N14" s="48">
        <v>1</v>
      </c>
      <c r="O14" s="44">
        <v>0</v>
      </c>
      <c r="P14" s="44">
        <v>0</v>
      </c>
      <c r="Q14" s="44" t="s">
        <v>175</v>
      </c>
    </row>
    <row r="15" spans="1:17">
      <c r="A15" s="79">
        <v>46124</v>
      </c>
      <c r="B15" s="43">
        <v>21963</v>
      </c>
      <c r="C15" s="43">
        <v>20355</v>
      </c>
      <c r="D15" s="44">
        <v>20053.310000000001</v>
      </c>
      <c r="E15" s="44">
        <v>19840</v>
      </c>
      <c r="F15" s="21">
        <f t="shared" si="0"/>
        <v>-1.4821419798575224E-2</v>
      </c>
      <c r="G15" s="2">
        <f t="shared" si="1"/>
        <v>0.20867996586746587</v>
      </c>
      <c r="H15" s="2">
        <f t="shared" si="2"/>
        <v>0.2531983585858586</v>
      </c>
      <c r="I15" s="43">
        <v>6.54</v>
      </c>
      <c r="J15" s="44">
        <v>5.7300750000000003</v>
      </c>
      <c r="K15" s="21">
        <f t="shared" si="3"/>
        <v>-0.12384174311926602</v>
      </c>
      <c r="L15" s="22">
        <f t="shared" si="4"/>
        <v>0.87404077273319825</v>
      </c>
      <c r="M15" s="48">
        <v>0.96399999999999997</v>
      </c>
      <c r="N15" s="48">
        <v>1</v>
      </c>
      <c r="O15" s="44">
        <v>0</v>
      </c>
      <c r="P15" s="44">
        <v>1526</v>
      </c>
      <c r="Q15" s="44" t="s">
        <v>472</v>
      </c>
    </row>
    <row r="16" spans="1:17">
      <c r="A16" s="79">
        <v>46125</v>
      </c>
      <c r="B16" s="43">
        <v>21963</v>
      </c>
      <c r="C16" s="43">
        <v>20355</v>
      </c>
      <c r="D16" s="44">
        <v>22476.13</v>
      </c>
      <c r="E16" s="44">
        <v>22040</v>
      </c>
      <c r="F16" s="21">
        <f t="shared" si="0"/>
        <v>0.10420682878899538</v>
      </c>
      <c r="G16" s="2">
        <f t="shared" si="1"/>
        <v>0.23389246170496172</v>
      </c>
      <c r="H16" s="2">
        <f t="shared" si="2"/>
        <v>0.2837895202020202</v>
      </c>
      <c r="I16" s="43">
        <v>6.54</v>
      </c>
      <c r="J16" s="44">
        <v>6.5172499999999998</v>
      </c>
      <c r="K16" s="21">
        <f t="shared" si="3"/>
        <v>-3.4785932721712949E-3</v>
      </c>
      <c r="L16" s="22">
        <f t="shared" si="4"/>
        <v>0.86131713236703844</v>
      </c>
      <c r="M16" s="48">
        <v>0.97119999999999995</v>
      </c>
      <c r="N16" s="48">
        <v>1</v>
      </c>
      <c r="O16" s="44">
        <v>0</v>
      </c>
      <c r="P16" s="44">
        <v>1129</v>
      </c>
      <c r="Q16" s="44" t="s">
        <v>472</v>
      </c>
    </row>
    <row r="17" spans="1:17">
      <c r="A17" s="79">
        <v>46126</v>
      </c>
      <c r="B17" s="43">
        <v>21963</v>
      </c>
      <c r="C17" s="43">
        <v>20355</v>
      </c>
      <c r="D17" s="44">
        <v>21858.86</v>
      </c>
      <c r="E17" s="44">
        <v>21600</v>
      </c>
      <c r="F17" s="21">
        <f t="shared" si="0"/>
        <v>7.3881601572095335E-2</v>
      </c>
      <c r="G17" s="2">
        <f t="shared" si="1"/>
        <v>0.22746898934398935</v>
      </c>
      <c r="H17" s="2">
        <f t="shared" si="2"/>
        <v>0.27599570707070709</v>
      </c>
      <c r="I17" s="43">
        <v>6.54</v>
      </c>
      <c r="J17" s="44">
        <v>6.3657500000000002</v>
      </c>
      <c r="K17" s="21">
        <f t="shared" si="3"/>
        <v>-2.6643730886850122E-2</v>
      </c>
      <c r="L17" s="22">
        <f t="shared" si="4"/>
        <v>0.85759820040933821</v>
      </c>
      <c r="M17" s="48">
        <v>0.96399999999999997</v>
      </c>
      <c r="N17" s="48">
        <v>1</v>
      </c>
      <c r="O17" s="44">
        <v>0</v>
      </c>
      <c r="P17" s="44">
        <v>1826</v>
      </c>
      <c r="Q17" s="44" t="s">
        <v>473</v>
      </c>
    </row>
    <row r="18" spans="1:17">
      <c r="A18" s="79">
        <v>46127</v>
      </c>
      <c r="B18" s="43">
        <v>21963</v>
      </c>
      <c r="C18" s="43">
        <v>20355</v>
      </c>
      <c r="D18" s="44">
        <v>22840.06</v>
      </c>
      <c r="E18" s="44">
        <v>22520</v>
      </c>
      <c r="F18" s="21">
        <f t="shared" si="0"/>
        <v>0.12208597396217152</v>
      </c>
      <c r="G18" s="2">
        <f t="shared" si="1"/>
        <v>0.23767961205461208</v>
      </c>
      <c r="H18" s="2">
        <f t="shared" si="2"/>
        <v>0.28838459595959598</v>
      </c>
      <c r="I18" s="43">
        <v>6.54</v>
      </c>
      <c r="J18" s="44">
        <v>7.0722500000000004</v>
      </c>
      <c r="K18" s="21">
        <f t="shared" si="3"/>
        <v>8.1383792048929718E-2</v>
      </c>
      <c r="L18" s="22">
        <f t="shared" si="4"/>
        <v>0.80657650525797153</v>
      </c>
      <c r="M18" s="48">
        <v>1</v>
      </c>
      <c r="N18" s="48">
        <v>1</v>
      </c>
      <c r="O18" s="44">
        <v>0</v>
      </c>
      <c r="P18" s="44">
        <v>0</v>
      </c>
      <c r="Q18" s="44" t="s">
        <v>175</v>
      </c>
    </row>
    <row r="19" spans="1:17">
      <c r="A19" s="79">
        <v>46128</v>
      </c>
      <c r="B19" s="43">
        <v>21963</v>
      </c>
      <c r="C19" s="43">
        <v>20355</v>
      </c>
      <c r="D19" s="44">
        <v>23345.66</v>
      </c>
      <c r="E19" s="44">
        <v>22960</v>
      </c>
      <c r="F19" s="21">
        <f t="shared" si="0"/>
        <v>0.14692507983296488</v>
      </c>
      <c r="G19" s="2">
        <f t="shared" si="1"/>
        <v>0.2429410173160173</v>
      </c>
      <c r="H19" s="2">
        <f t="shared" si="2"/>
        <v>0.29476843434343436</v>
      </c>
      <c r="I19" s="43">
        <v>6.54</v>
      </c>
      <c r="J19" s="44">
        <v>7.2337499999999997</v>
      </c>
      <c r="K19" s="21">
        <f t="shared" si="3"/>
        <v>0.10607798165137609</v>
      </c>
      <c r="L19" s="22">
        <f t="shared" si="4"/>
        <v>0.80602514817133797</v>
      </c>
      <c r="M19" s="48">
        <v>1</v>
      </c>
      <c r="N19" s="48">
        <v>1</v>
      </c>
      <c r="O19" s="44">
        <v>0</v>
      </c>
      <c r="P19" s="44">
        <v>0</v>
      </c>
      <c r="Q19" s="44" t="s">
        <v>175</v>
      </c>
    </row>
    <row r="20" spans="1:17">
      <c r="A20" s="79">
        <v>46129</v>
      </c>
      <c r="B20" s="43">
        <v>21963</v>
      </c>
      <c r="C20" s="43">
        <v>20355</v>
      </c>
      <c r="D20" s="44">
        <v>24787.34</v>
      </c>
      <c r="E20" s="44">
        <v>24440</v>
      </c>
      <c r="F20" s="21">
        <f t="shared" si="0"/>
        <v>0.21775190370916236</v>
      </c>
      <c r="G20" s="2">
        <f t="shared" si="1"/>
        <v>0.2579435148185148</v>
      </c>
      <c r="H20" s="2">
        <f t="shared" si="2"/>
        <v>0.31297146464646464</v>
      </c>
      <c r="I20" s="43">
        <v>6.54</v>
      </c>
      <c r="J20" s="44">
        <v>7.5952500000000001</v>
      </c>
      <c r="K20" s="21">
        <f t="shared" si="3"/>
        <v>0.16135321100917432</v>
      </c>
      <c r="L20" s="22">
        <f t="shared" si="4"/>
        <v>0.81506788527623919</v>
      </c>
      <c r="M20" s="48">
        <v>1</v>
      </c>
      <c r="N20" s="48">
        <v>1</v>
      </c>
      <c r="O20" s="44">
        <v>0</v>
      </c>
      <c r="P20" s="44">
        <v>0</v>
      </c>
      <c r="Q20" s="44" t="s">
        <v>175</v>
      </c>
    </row>
    <row r="21" spans="1:17">
      <c r="A21" s="79">
        <v>46130</v>
      </c>
      <c r="B21" s="43">
        <v>21963</v>
      </c>
      <c r="C21" s="43">
        <v>20355</v>
      </c>
      <c r="D21" s="44">
        <v>25306.31</v>
      </c>
      <c r="E21" s="44">
        <v>24880</v>
      </c>
      <c r="F21" s="21">
        <f t="shared" si="0"/>
        <v>0.24324785065094578</v>
      </c>
      <c r="G21" s="2">
        <f t="shared" si="1"/>
        <v>0.26334405178155179</v>
      </c>
      <c r="H21" s="2">
        <f t="shared" si="2"/>
        <v>0.31952411616161619</v>
      </c>
      <c r="I21" s="43">
        <v>6.54</v>
      </c>
      <c r="J21" s="44">
        <v>7.7865000000000002</v>
      </c>
      <c r="K21" s="21">
        <f t="shared" si="3"/>
        <v>0.19059633027522938</v>
      </c>
      <c r="L21" s="22">
        <f t="shared" si="4"/>
        <v>0.8116942455220244</v>
      </c>
      <c r="M21" s="48">
        <v>1</v>
      </c>
      <c r="N21" s="48">
        <v>1</v>
      </c>
      <c r="O21" s="44">
        <v>0</v>
      </c>
      <c r="P21" s="44">
        <v>0</v>
      </c>
      <c r="Q21" s="44" t="s">
        <v>175</v>
      </c>
    </row>
    <row r="22" spans="1:17">
      <c r="A22" s="79">
        <v>46131</v>
      </c>
      <c r="B22" s="43">
        <v>21963</v>
      </c>
      <c r="C22" s="43">
        <v>20355</v>
      </c>
      <c r="D22" s="44">
        <v>25462.73</v>
      </c>
      <c r="E22" s="44">
        <v>25080</v>
      </c>
      <c r="F22" s="21">
        <f t="shared" si="0"/>
        <v>0.25093244902972239</v>
      </c>
      <c r="G22" s="2">
        <f t="shared" si="1"/>
        <v>0.26497179903429902</v>
      </c>
      <c r="H22" s="2">
        <f t="shared" si="2"/>
        <v>0.32149911616161614</v>
      </c>
      <c r="I22" s="43">
        <v>6.54</v>
      </c>
      <c r="J22" s="44">
        <v>7.6604999999999999</v>
      </c>
      <c r="K22" s="21">
        <f t="shared" si="3"/>
        <v>0.17133027522935776</v>
      </c>
      <c r="L22" s="22">
        <f t="shared" si="4"/>
        <v>0.83014466116091334</v>
      </c>
      <c r="M22" s="48">
        <v>1</v>
      </c>
      <c r="N22" s="48">
        <v>1</v>
      </c>
      <c r="O22" s="44">
        <v>0</v>
      </c>
      <c r="P22" s="44">
        <v>0</v>
      </c>
      <c r="Q22" s="44" t="s">
        <v>175</v>
      </c>
    </row>
    <row r="23" spans="1:17">
      <c r="A23" s="79">
        <v>46132</v>
      </c>
      <c r="B23" s="43">
        <v>21963</v>
      </c>
      <c r="C23" s="43">
        <v>20355</v>
      </c>
      <c r="D23" s="44">
        <v>24572.15</v>
      </c>
      <c r="E23" s="44">
        <v>24200</v>
      </c>
      <c r="F23" s="21">
        <f t="shared" si="0"/>
        <v>0.2071800540407763</v>
      </c>
      <c r="G23" s="2">
        <f t="shared" si="1"/>
        <v>0.25570419164169167</v>
      </c>
      <c r="H23" s="2">
        <f t="shared" si="2"/>
        <v>0.31025441919191921</v>
      </c>
      <c r="I23" s="43">
        <v>6.54</v>
      </c>
      <c r="J23" s="44">
        <v>7.4969999999999999</v>
      </c>
      <c r="K23" s="21">
        <f t="shared" si="3"/>
        <v>0.14633027522935776</v>
      </c>
      <c r="L23" s="22">
        <f t="shared" si="4"/>
        <v>0.8185808455916499</v>
      </c>
      <c r="M23" s="48">
        <v>1</v>
      </c>
      <c r="N23" s="48">
        <v>1</v>
      </c>
      <c r="O23" s="44">
        <v>0</v>
      </c>
      <c r="P23" s="44">
        <v>0</v>
      </c>
      <c r="Q23" s="44" t="s">
        <v>175</v>
      </c>
    </row>
    <row r="24" spans="1:17">
      <c r="A24" s="79">
        <v>46133</v>
      </c>
      <c r="B24" s="43">
        <v>21963</v>
      </c>
      <c r="C24" s="43">
        <v>20355</v>
      </c>
      <c r="D24" s="44">
        <v>25591.9</v>
      </c>
      <c r="E24" s="44">
        <v>25200</v>
      </c>
      <c r="F24" s="21">
        <f t="shared" si="0"/>
        <v>0.2572783099975437</v>
      </c>
      <c r="G24" s="2">
        <f t="shared" si="1"/>
        <v>0.2663159756909757</v>
      </c>
      <c r="H24" s="2">
        <f t="shared" si="2"/>
        <v>0.3231300505050505</v>
      </c>
      <c r="I24" s="43">
        <v>6.54</v>
      </c>
      <c r="J24" s="44">
        <v>7.7089999999999996</v>
      </c>
      <c r="K24" s="21">
        <f t="shared" si="3"/>
        <v>0.17874617737003051</v>
      </c>
      <c r="L24" s="22">
        <f t="shared" si="4"/>
        <v>0.82910668265448395</v>
      </c>
      <c r="M24" s="48">
        <v>1</v>
      </c>
      <c r="N24" s="48">
        <v>1</v>
      </c>
      <c r="O24" s="44">
        <v>0</v>
      </c>
      <c r="P24" s="44">
        <v>0</v>
      </c>
      <c r="Q24" s="44" t="s">
        <v>175</v>
      </c>
    </row>
    <row r="25" spans="1:17">
      <c r="A25" s="79">
        <v>46134</v>
      </c>
      <c r="B25" s="43">
        <v>21963</v>
      </c>
      <c r="C25" s="43">
        <v>20355</v>
      </c>
      <c r="D25" s="44">
        <v>25216.49</v>
      </c>
      <c r="E25" s="44">
        <v>24880</v>
      </c>
      <c r="F25" s="21">
        <f t="shared" si="0"/>
        <v>0.23883517563252279</v>
      </c>
      <c r="G25" s="2">
        <f t="shared" si="1"/>
        <v>0.2624093614718615</v>
      </c>
      <c r="H25" s="2">
        <f t="shared" si="2"/>
        <v>0.3183900252525253</v>
      </c>
      <c r="I25" s="43">
        <v>6.54</v>
      </c>
      <c r="J25" s="44">
        <v>7.4729999999999999</v>
      </c>
      <c r="K25" s="21">
        <f t="shared" si="3"/>
        <v>0.14266055045871556</v>
      </c>
      <c r="L25" s="22">
        <f t="shared" si="4"/>
        <v>0.84274383451420787</v>
      </c>
      <c r="M25" s="48">
        <v>1</v>
      </c>
      <c r="N25" s="48">
        <v>1</v>
      </c>
      <c r="O25" s="44">
        <v>0</v>
      </c>
      <c r="P25" s="44">
        <v>0</v>
      </c>
      <c r="Q25" s="44" t="s">
        <v>175</v>
      </c>
    </row>
    <row r="26" spans="1:17">
      <c r="A26" s="79">
        <v>46135</v>
      </c>
      <c r="B26" s="43">
        <v>21963</v>
      </c>
      <c r="C26" s="43">
        <v>20355</v>
      </c>
      <c r="D26" s="44">
        <v>24600.05</v>
      </c>
      <c r="E26" s="44">
        <v>24240</v>
      </c>
      <c r="F26" s="21">
        <f t="shared" si="0"/>
        <v>0.20855072463768112</v>
      </c>
      <c r="G26" s="2">
        <f t="shared" si="1"/>
        <v>0.25599452630702629</v>
      </c>
      <c r="H26" s="2">
        <f t="shared" si="2"/>
        <v>0.31060669191919194</v>
      </c>
      <c r="I26" s="43">
        <v>6.54</v>
      </c>
      <c r="J26" s="44">
        <v>7.0852500000000003</v>
      </c>
      <c r="K26" s="21">
        <f t="shared" si="3"/>
        <v>8.3371559633027559E-2</v>
      </c>
      <c r="L26" s="22">
        <f t="shared" si="4"/>
        <v>0.86713505259075274</v>
      </c>
      <c r="M26" s="48">
        <v>1</v>
      </c>
      <c r="N26" s="48">
        <v>1</v>
      </c>
      <c r="O26" s="44">
        <v>0</v>
      </c>
      <c r="P26" s="44">
        <v>0</v>
      </c>
      <c r="Q26" s="44" t="s">
        <v>175</v>
      </c>
    </row>
    <row r="27" spans="1:17">
      <c r="A27" s="79">
        <v>46136</v>
      </c>
      <c r="B27" s="43">
        <v>21963</v>
      </c>
      <c r="C27" s="43">
        <v>20355</v>
      </c>
      <c r="D27" s="44">
        <v>24320.639999999999</v>
      </c>
      <c r="E27" s="44">
        <v>24000</v>
      </c>
      <c r="F27" s="21">
        <f t="shared" si="0"/>
        <v>0.19482387619749444</v>
      </c>
      <c r="G27" s="2">
        <f t="shared" si="1"/>
        <v>0.25308691308691306</v>
      </c>
      <c r="H27" s="2">
        <f t="shared" si="2"/>
        <v>0.3070787878787879</v>
      </c>
      <c r="I27" s="43">
        <v>6.54</v>
      </c>
      <c r="J27" s="44">
        <v>7.1287500000000001</v>
      </c>
      <c r="K27" s="21">
        <f t="shared" si="3"/>
        <v>9.0022935779816529E-2</v>
      </c>
      <c r="L27" s="22">
        <f t="shared" si="4"/>
        <v>0.85205483627366851</v>
      </c>
      <c r="M27" s="48">
        <v>1</v>
      </c>
      <c r="N27" s="48">
        <v>1</v>
      </c>
      <c r="O27" s="44">
        <v>0</v>
      </c>
      <c r="P27" s="44">
        <v>0</v>
      </c>
      <c r="Q27" s="44" t="s">
        <v>175</v>
      </c>
    </row>
    <row r="28" spans="1:17">
      <c r="A28" s="79">
        <v>46137</v>
      </c>
      <c r="B28" s="43">
        <v>21963</v>
      </c>
      <c r="C28" s="43">
        <v>20355</v>
      </c>
      <c r="D28" s="44">
        <v>23925.7</v>
      </c>
      <c r="E28" s="44">
        <v>23600</v>
      </c>
      <c r="F28" s="21">
        <f t="shared" si="0"/>
        <v>0.17542127241464017</v>
      </c>
      <c r="G28" s="2">
        <f t="shared" si="1"/>
        <v>0.24897706460206462</v>
      </c>
      <c r="H28" s="2">
        <f t="shared" si="2"/>
        <v>0.30209217171717173</v>
      </c>
      <c r="I28" s="43">
        <v>6.54</v>
      </c>
      <c r="J28" s="44">
        <v>7.1760000000000002</v>
      </c>
      <c r="K28" s="21">
        <f t="shared" si="3"/>
        <v>9.7247706422018368E-2</v>
      </c>
      <c r="L28" s="22">
        <f t="shared" si="4"/>
        <v>0.83269921271593506</v>
      </c>
      <c r="M28" s="48">
        <v>1</v>
      </c>
      <c r="N28" s="48">
        <v>1</v>
      </c>
      <c r="O28" s="44">
        <v>0</v>
      </c>
      <c r="P28" s="44">
        <v>0</v>
      </c>
      <c r="Q28" s="44" t="s">
        <v>175</v>
      </c>
    </row>
    <row r="29" spans="1:17">
      <c r="A29" s="79">
        <v>46138</v>
      </c>
      <c r="B29" s="43">
        <v>21963</v>
      </c>
      <c r="C29" s="43">
        <v>20355</v>
      </c>
      <c r="D29" s="44">
        <v>24623.88</v>
      </c>
      <c r="E29" s="44">
        <v>24320</v>
      </c>
      <c r="F29" s="21">
        <f t="shared" si="0"/>
        <v>0.20972144436256454</v>
      </c>
      <c r="G29" s="2">
        <f t="shared" si="1"/>
        <v>0.25624250749250749</v>
      </c>
      <c r="H29" s="2">
        <f t="shared" si="2"/>
        <v>0.31090757575757577</v>
      </c>
      <c r="I29" s="43">
        <v>6.54</v>
      </c>
      <c r="J29" s="44">
        <v>7.3952499999999999</v>
      </c>
      <c r="K29" s="21">
        <f t="shared" si="3"/>
        <v>0.13077217125382259</v>
      </c>
      <c r="L29" s="22">
        <f t="shared" si="4"/>
        <v>0.83159057230251587</v>
      </c>
      <c r="M29" s="48">
        <v>1</v>
      </c>
      <c r="N29" s="48">
        <v>1</v>
      </c>
      <c r="O29" s="44">
        <v>0</v>
      </c>
      <c r="P29" s="44">
        <v>0</v>
      </c>
      <c r="Q29" s="44" t="s">
        <v>175</v>
      </c>
    </row>
    <row r="30" spans="1:17">
      <c r="A30" s="79">
        <v>46139</v>
      </c>
      <c r="B30" s="43">
        <v>21963</v>
      </c>
      <c r="C30" s="43">
        <v>20355</v>
      </c>
      <c r="D30" s="44">
        <v>24315.63</v>
      </c>
      <c r="E30" s="44">
        <v>23920</v>
      </c>
      <c r="F30" s="21">
        <f t="shared" ref="F30:F33" si="5">(IF(ISBLANK(D30),0,D30-C30))/C30</f>
        <v>0.19457774502579223</v>
      </c>
      <c r="G30" s="2">
        <f t="shared" ref="G30:G33" si="6">D30/($D$2*24)</f>
        <v>0.25303477772227773</v>
      </c>
      <c r="H30" s="2">
        <f t="shared" ref="H30:H33" si="7">D30/($H$2*24)</f>
        <v>0.3070155303030303</v>
      </c>
      <c r="I30" s="43">
        <v>6.54</v>
      </c>
      <c r="J30" s="44">
        <v>7.1832500000000001</v>
      </c>
      <c r="K30" s="21">
        <f t="shared" ref="K30:K33" si="8">(IF(ISBLANK(J30),0,J30-I30))/I30</f>
        <v>9.8356269113149861E-2</v>
      </c>
      <c r="L30" s="22">
        <f t="shared" ref="L30:L33" si="9">D30/($D$2*J30)</f>
        <v>0.84541602552252326</v>
      </c>
      <c r="M30" s="48">
        <v>1</v>
      </c>
      <c r="N30" s="48">
        <v>1</v>
      </c>
      <c r="O30" s="44">
        <v>0</v>
      </c>
      <c r="P30" s="44">
        <v>0</v>
      </c>
      <c r="Q30" s="44" t="s">
        <v>175</v>
      </c>
    </row>
    <row r="31" spans="1:17">
      <c r="A31" s="79">
        <v>46140</v>
      </c>
      <c r="B31" s="43">
        <v>21963</v>
      </c>
      <c r="C31" s="43">
        <v>20355</v>
      </c>
      <c r="D31" s="44">
        <v>23876.45</v>
      </c>
      <c r="E31" s="44">
        <v>23520</v>
      </c>
      <c r="F31" s="21">
        <f t="shared" si="5"/>
        <v>0.17300171947924348</v>
      </c>
      <c r="G31" s="2">
        <f t="shared" si="6"/>
        <v>0.2484645562770563</v>
      </c>
      <c r="H31" s="2">
        <f t="shared" si="7"/>
        <v>0.30147032828282827</v>
      </c>
      <c r="I31" s="43">
        <v>6.54</v>
      </c>
      <c r="J31" s="44">
        <v>7.0529999999999999</v>
      </c>
      <c r="K31" s="21">
        <f t="shared" si="8"/>
        <v>7.8440366972477055E-2</v>
      </c>
      <c r="L31" s="22">
        <f t="shared" si="9"/>
        <v>0.84547700987513841</v>
      </c>
      <c r="M31" s="48">
        <v>1</v>
      </c>
      <c r="N31" s="48">
        <v>1</v>
      </c>
      <c r="O31" s="44">
        <v>0</v>
      </c>
      <c r="P31" s="44">
        <v>0</v>
      </c>
      <c r="Q31" s="44" t="s">
        <v>175</v>
      </c>
    </row>
    <row r="32" spans="1:17">
      <c r="A32" s="79">
        <v>46141</v>
      </c>
      <c r="B32" s="43">
        <v>21963</v>
      </c>
      <c r="C32" s="43">
        <v>20355</v>
      </c>
      <c r="D32" s="44">
        <v>23267.48</v>
      </c>
      <c r="E32" s="44">
        <v>22920</v>
      </c>
      <c r="F32" s="21">
        <f t="shared" si="5"/>
        <v>0.143084254482928</v>
      </c>
      <c r="G32" s="2">
        <f t="shared" si="6"/>
        <v>0.24212745587745588</v>
      </c>
      <c r="H32" s="2">
        <f t="shared" si="7"/>
        <v>0.29378131313131312</v>
      </c>
      <c r="I32" s="43">
        <v>6.54</v>
      </c>
      <c r="J32" s="44">
        <v>7.0404999999999998</v>
      </c>
      <c r="K32" s="21">
        <f t="shared" si="8"/>
        <v>7.6529051987767535E-2</v>
      </c>
      <c r="L32" s="22">
        <f t="shared" si="9"/>
        <v>0.82537588822653807</v>
      </c>
      <c r="M32" s="48">
        <v>1</v>
      </c>
      <c r="N32" s="48">
        <v>1</v>
      </c>
      <c r="O32" s="44">
        <v>0</v>
      </c>
      <c r="P32" s="44">
        <v>0</v>
      </c>
      <c r="Q32" s="44" t="s">
        <v>175</v>
      </c>
    </row>
    <row r="33" spans="1:17">
      <c r="A33" s="79">
        <v>46142</v>
      </c>
      <c r="B33" s="43">
        <v>21963</v>
      </c>
      <c r="C33" s="43">
        <v>20355</v>
      </c>
      <c r="D33" s="44">
        <v>21786.91</v>
      </c>
      <c r="E33" s="44">
        <v>21480</v>
      </c>
      <c r="F33" s="21">
        <f t="shared" si="5"/>
        <v>7.0346843527388847E-2</v>
      </c>
      <c r="G33" s="2">
        <f t="shared" si="6"/>
        <v>0.2267202589077589</v>
      </c>
      <c r="H33" s="2">
        <f t="shared" si="7"/>
        <v>0.2750872474747475</v>
      </c>
      <c r="I33" s="43">
        <v>6.54</v>
      </c>
      <c r="J33" s="44">
        <v>6.6859999999999999</v>
      </c>
      <c r="K33" s="21">
        <f t="shared" si="8"/>
        <v>2.2324159021406713E-2</v>
      </c>
      <c r="L33" s="22">
        <f t="shared" si="9"/>
        <v>0.81383281689892517</v>
      </c>
      <c r="M33" s="48">
        <v>1</v>
      </c>
      <c r="N33" s="48">
        <v>1</v>
      </c>
      <c r="O33" s="44">
        <v>0</v>
      </c>
      <c r="P33" s="44">
        <v>0</v>
      </c>
      <c r="Q33" s="44" t="s">
        <v>175</v>
      </c>
    </row>
    <row r="34" spans="1:17">
      <c r="A34" s="349">
        <v>46113</v>
      </c>
      <c r="B34" s="80">
        <f>SUM(B4:B33)</f>
        <v>658890</v>
      </c>
      <c r="C34" s="80">
        <f>SUM(C4:C33)</f>
        <v>610650</v>
      </c>
      <c r="D34" s="80">
        <f>SUM(D4:D33)</f>
        <v>694797.86</v>
      </c>
      <c r="E34" s="80">
        <f>SUM(E4:E33)</f>
        <v>684320</v>
      </c>
      <c r="F34" s="160">
        <f>(IF(ISBLANK(D34),0,D34-C34))/C34</f>
        <v>0.13780047490379102</v>
      </c>
      <c r="G34" s="81">
        <f>AVERAGE(G4:G33)</f>
        <v>0.24100824869574874</v>
      </c>
      <c r="H34" s="81">
        <f>AVERAGE(H4:H33)</f>
        <v>0.29242334175084184</v>
      </c>
      <c r="I34" s="80">
        <f>SUM(I4:I33)</f>
        <v>196.2</v>
      </c>
      <c r="J34" s="80">
        <f>SUM(J4:J33)</f>
        <v>203.69607500000001</v>
      </c>
      <c r="K34" s="160">
        <f>(IF(ISBLANK(J34),0,J34-I34))/I34</f>
        <v>3.8206294597349741E-2</v>
      </c>
      <c r="L34" s="81">
        <f>AVERAGE(L4:L33)</f>
        <v>0.85403451361411908</v>
      </c>
      <c r="M34" s="81">
        <f>AVERAGE(M4:M33)</f>
        <v>0.99543999999999999</v>
      </c>
      <c r="N34" s="81">
        <f>AVERAGE(N4:N33)</f>
        <v>1</v>
      </c>
      <c r="O34" s="80">
        <f>SUM(O4:O33)</f>
        <v>0</v>
      </c>
      <c r="P34" s="80">
        <f>SUM(P4:P33)</f>
        <v>5395</v>
      </c>
      <c r="Q34" s="80" t="s">
        <v>175</v>
      </c>
    </row>
    <row r="35" spans="1:17">
      <c r="A35" s="13">
        <v>46143</v>
      </c>
      <c r="B35" s="127">
        <v>21451.86</v>
      </c>
      <c r="C35" s="127">
        <v>19860.650000000001</v>
      </c>
      <c r="D35" s="33">
        <v>22316</v>
      </c>
      <c r="E35" s="33">
        <v>21920</v>
      </c>
      <c r="F35" s="20">
        <f>(IF(ISBLANK(E35),0,E35-C35))/C35</f>
        <v>0.10368995979487068</v>
      </c>
      <c r="G35" s="2">
        <f t="shared" ref="G35:G57" si="10">D35/($D$2*24)</f>
        <v>0.23222610722610723</v>
      </c>
      <c r="H35" s="2">
        <f t="shared" ref="H35:H61" si="11">D35/($H$2*24)</f>
        <v>0.28176767676767678</v>
      </c>
      <c r="I35" s="28">
        <v>6.37</v>
      </c>
      <c r="J35" s="33">
        <v>6.7809999999999997</v>
      </c>
      <c r="K35" s="20">
        <f>(IF(ISBLANK(J35),0,J35-I35))/I35</f>
        <v>6.4521193092621595E-2</v>
      </c>
      <c r="L35" s="4">
        <f t="shared" ref="L35:L66" si="12">D35/($D$2*J35)</f>
        <v>0.821918090757495</v>
      </c>
      <c r="M35" s="48">
        <v>1</v>
      </c>
      <c r="N35" s="48">
        <v>1</v>
      </c>
      <c r="O35" s="44">
        <v>0</v>
      </c>
      <c r="P35" s="44">
        <v>0</v>
      </c>
      <c r="Q35" s="6"/>
    </row>
    <row r="36" spans="1:17">
      <c r="A36" s="13">
        <f>A35+1</f>
        <v>46144</v>
      </c>
      <c r="B36" s="127">
        <v>21451.86</v>
      </c>
      <c r="C36" s="127">
        <v>19860.650000000001</v>
      </c>
      <c r="D36" s="34">
        <v>20684</v>
      </c>
      <c r="E36" s="34">
        <v>20240</v>
      </c>
      <c r="F36" s="20">
        <f t="shared" ref="F36:F54" si="13">(IF(ISBLANK(E36),0,E36-C36))/C36</f>
        <v>1.9100583314241908E-2</v>
      </c>
      <c r="G36" s="2">
        <f t="shared" si="10"/>
        <v>0.21524309024309024</v>
      </c>
      <c r="H36" s="2">
        <f t="shared" si="11"/>
        <v>0.26116161616161615</v>
      </c>
      <c r="I36" s="28">
        <v>6.37</v>
      </c>
      <c r="J36" s="34">
        <v>6.0049999999999999</v>
      </c>
      <c r="K36" s="20">
        <f t="shared" ref="K36:K54" si="14">(IF(ISBLANK(J36),0,J36-I36))/I36</f>
        <v>-5.7299843014128764E-2</v>
      </c>
      <c r="L36" s="4">
        <f t="shared" si="12"/>
        <v>0.8602554814045239</v>
      </c>
      <c r="M36" s="48">
        <v>1</v>
      </c>
      <c r="N36" s="48">
        <v>1</v>
      </c>
      <c r="O36" s="44">
        <v>0</v>
      </c>
      <c r="P36" s="44">
        <v>0</v>
      </c>
      <c r="Q36" s="6"/>
    </row>
    <row r="37" spans="1:17">
      <c r="A37" s="13">
        <f t="shared" ref="A37:A65" si="15">A36+1</f>
        <v>46145</v>
      </c>
      <c r="B37" s="127">
        <v>21451.86</v>
      </c>
      <c r="C37" s="127">
        <v>19860.650000000001</v>
      </c>
      <c r="D37" s="34">
        <v>19918</v>
      </c>
      <c r="E37" s="34">
        <v>19720</v>
      </c>
      <c r="F37" s="20">
        <f t="shared" si="13"/>
        <v>-7.0818427392860478E-3</v>
      </c>
      <c r="G37" s="2">
        <f t="shared" si="10"/>
        <v>0.20727189477189478</v>
      </c>
      <c r="H37" s="2">
        <f t="shared" si="11"/>
        <v>0.25148989898989899</v>
      </c>
      <c r="I37" s="28">
        <v>6.37</v>
      </c>
      <c r="J37" s="34">
        <v>5.9660000000000002</v>
      </c>
      <c r="K37" s="20">
        <f t="shared" si="14"/>
        <v>-6.3422291993720556E-2</v>
      </c>
      <c r="L37" s="4">
        <f t="shared" si="12"/>
        <v>0.83381251668211098</v>
      </c>
      <c r="M37" s="48">
        <v>1</v>
      </c>
      <c r="N37" s="48">
        <v>1</v>
      </c>
      <c r="O37" s="44">
        <v>0</v>
      </c>
      <c r="P37" s="44">
        <v>0</v>
      </c>
      <c r="Q37" s="6"/>
    </row>
    <row r="38" spans="1:17">
      <c r="A38" s="13">
        <f t="shared" si="15"/>
        <v>46146</v>
      </c>
      <c r="B38" s="127">
        <v>21451.86</v>
      </c>
      <c r="C38" s="127">
        <v>19860.650000000001</v>
      </c>
      <c r="D38" s="34">
        <v>19926</v>
      </c>
      <c r="E38" s="34">
        <v>19600</v>
      </c>
      <c r="F38" s="20">
        <f t="shared" si="13"/>
        <v>-1.312394105933096E-2</v>
      </c>
      <c r="G38" s="2">
        <f t="shared" si="10"/>
        <v>0.20735514485514486</v>
      </c>
      <c r="H38" s="2">
        <f t="shared" si="11"/>
        <v>0.25159090909090909</v>
      </c>
      <c r="I38" s="28">
        <v>6.37</v>
      </c>
      <c r="J38" s="34">
        <v>6.181</v>
      </c>
      <c r="K38" s="20">
        <f t="shared" si="14"/>
        <v>-2.9670329670329679E-2</v>
      </c>
      <c r="L38" s="4">
        <f t="shared" si="12"/>
        <v>0.80513241814002201</v>
      </c>
      <c r="M38" s="48">
        <v>1</v>
      </c>
      <c r="N38" s="48">
        <v>1</v>
      </c>
      <c r="O38" s="44">
        <v>0</v>
      </c>
      <c r="P38" s="44">
        <v>0</v>
      </c>
      <c r="Q38" s="14"/>
    </row>
    <row r="39" spans="1:17">
      <c r="A39" s="13">
        <f t="shared" si="15"/>
        <v>46147</v>
      </c>
      <c r="B39" s="127">
        <v>21451.86</v>
      </c>
      <c r="C39" s="127">
        <v>19860.650000000001</v>
      </c>
      <c r="D39" s="34">
        <v>19297</v>
      </c>
      <c r="E39" s="34">
        <v>19040</v>
      </c>
      <c r="F39" s="20">
        <f t="shared" si="13"/>
        <v>-4.1320399886207219E-2</v>
      </c>
      <c r="G39" s="2">
        <f t="shared" si="10"/>
        <v>0.20080960705960707</v>
      </c>
      <c r="H39" s="2">
        <f t="shared" si="11"/>
        <v>0.24364898989898989</v>
      </c>
      <c r="I39" s="28">
        <v>6.37</v>
      </c>
      <c r="J39" s="34">
        <v>5.9950000000000001</v>
      </c>
      <c r="K39" s="20">
        <f t="shared" si="14"/>
        <v>-5.8869701726844581E-2</v>
      </c>
      <c r="L39" s="4">
        <f t="shared" si="12"/>
        <v>0.80390835186498244</v>
      </c>
      <c r="M39" s="48">
        <v>1</v>
      </c>
      <c r="N39" s="48">
        <v>1</v>
      </c>
      <c r="O39" s="44">
        <v>0</v>
      </c>
      <c r="P39" s="44">
        <v>0</v>
      </c>
      <c r="Q39" s="14"/>
    </row>
    <row r="40" spans="1:17">
      <c r="A40" s="13">
        <f t="shared" si="15"/>
        <v>46148</v>
      </c>
      <c r="B40" s="127">
        <v>21451.86</v>
      </c>
      <c r="C40" s="127">
        <v>19860.650000000001</v>
      </c>
      <c r="D40" s="34"/>
      <c r="E40" s="34"/>
      <c r="F40" s="20">
        <f t="shared" si="13"/>
        <v>0</v>
      </c>
      <c r="G40" s="2">
        <f t="shared" si="10"/>
        <v>0</v>
      </c>
      <c r="H40" s="2">
        <f t="shared" si="11"/>
        <v>0</v>
      </c>
      <c r="I40" s="28">
        <v>6.37</v>
      </c>
      <c r="J40" s="34"/>
      <c r="K40" s="20">
        <f t="shared" si="14"/>
        <v>0</v>
      </c>
      <c r="L40" s="4" t="e">
        <f t="shared" si="12"/>
        <v>#DIV/0!</v>
      </c>
      <c r="M40" s="103"/>
      <c r="N40" s="103"/>
      <c r="O40" s="34"/>
      <c r="P40" s="6"/>
      <c r="Q40" s="14"/>
    </row>
    <row r="41" spans="1:17">
      <c r="A41" s="13">
        <f t="shared" si="15"/>
        <v>46149</v>
      </c>
      <c r="B41" s="127">
        <v>21451.86</v>
      </c>
      <c r="C41" s="127">
        <v>19860.650000000001</v>
      </c>
      <c r="D41" s="34"/>
      <c r="E41" s="34"/>
      <c r="F41" s="20">
        <f t="shared" si="13"/>
        <v>0</v>
      </c>
      <c r="G41" s="2">
        <f t="shared" si="10"/>
        <v>0</v>
      </c>
      <c r="H41" s="2">
        <f t="shared" si="11"/>
        <v>0</v>
      </c>
      <c r="I41" s="28">
        <v>6.37</v>
      </c>
      <c r="J41" s="34"/>
      <c r="K41" s="20">
        <f t="shared" si="14"/>
        <v>0</v>
      </c>
      <c r="L41" s="4" t="e">
        <f t="shared" si="12"/>
        <v>#DIV/0!</v>
      </c>
      <c r="M41" s="103"/>
      <c r="N41" s="103"/>
      <c r="O41" s="34"/>
      <c r="P41" s="6"/>
      <c r="Q41" s="202"/>
    </row>
    <row r="42" spans="1:17">
      <c r="A42" s="13">
        <f t="shared" si="15"/>
        <v>46150</v>
      </c>
      <c r="B42" s="127"/>
      <c r="C42" s="127"/>
      <c r="D42" s="34"/>
      <c r="E42" s="34"/>
      <c r="F42" s="20" t="e">
        <f t="shared" si="13"/>
        <v>#DIV/0!</v>
      </c>
      <c r="G42" s="2">
        <f t="shared" si="10"/>
        <v>0</v>
      </c>
      <c r="H42" s="2">
        <f t="shared" si="11"/>
        <v>0</v>
      </c>
      <c r="I42" s="29"/>
      <c r="J42" s="34"/>
      <c r="K42" s="20" t="e">
        <f t="shared" si="14"/>
        <v>#DIV/0!</v>
      </c>
      <c r="L42" s="4" t="e">
        <f t="shared" si="12"/>
        <v>#DIV/0!</v>
      </c>
      <c r="M42" s="103"/>
      <c r="N42" s="103"/>
      <c r="O42" s="34"/>
      <c r="P42" s="6"/>
      <c r="Q42" s="14"/>
    </row>
    <row r="43" spans="1:17">
      <c r="A43" s="13">
        <f t="shared" si="15"/>
        <v>46151</v>
      </c>
      <c r="B43" s="127"/>
      <c r="C43" s="127"/>
      <c r="D43" s="34"/>
      <c r="E43" s="34"/>
      <c r="F43" s="20" t="e">
        <f t="shared" si="13"/>
        <v>#DIV/0!</v>
      </c>
      <c r="G43" s="2">
        <f t="shared" si="10"/>
        <v>0</v>
      </c>
      <c r="H43" s="2">
        <f t="shared" si="11"/>
        <v>0</v>
      </c>
      <c r="I43" s="29"/>
      <c r="J43" s="34"/>
      <c r="K43" s="20" t="e">
        <f t="shared" si="14"/>
        <v>#DIV/0!</v>
      </c>
      <c r="L43" s="4" t="e">
        <f t="shared" si="12"/>
        <v>#DIV/0!</v>
      </c>
      <c r="M43" s="103"/>
      <c r="N43" s="103"/>
      <c r="O43" s="34"/>
      <c r="P43" s="6"/>
      <c r="Q43" s="6"/>
    </row>
    <row r="44" spans="1:17">
      <c r="A44" s="13">
        <f t="shared" si="15"/>
        <v>46152</v>
      </c>
      <c r="B44" s="127"/>
      <c r="C44" s="127"/>
      <c r="D44" s="34"/>
      <c r="E44" s="34"/>
      <c r="F44" s="20" t="e">
        <f t="shared" si="13"/>
        <v>#DIV/0!</v>
      </c>
      <c r="G44" s="2">
        <f t="shared" si="10"/>
        <v>0</v>
      </c>
      <c r="H44" s="2">
        <f t="shared" si="11"/>
        <v>0</v>
      </c>
      <c r="I44" s="29"/>
      <c r="J44" s="34"/>
      <c r="K44" s="20" t="e">
        <f t="shared" si="14"/>
        <v>#DIV/0!</v>
      </c>
      <c r="L44" s="4" t="e">
        <f t="shared" si="12"/>
        <v>#DIV/0!</v>
      </c>
      <c r="M44" s="103"/>
      <c r="N44" s="103"/>
      <c r="O44" s="34"/>
      <c r="P44" s="6"/>
      <c r="Q44" s="16"/>
    </row>
    <row r="45" spans="1:17">
      <c r="A45" s="13">
        <f t="shared" si="15"/>
        <v>46153</v>
      </c>
      <c r="B45" s="127"/>
      <c r="C45" s="127"/>
      <c r="D45" s="34"/>
      <c r="E45" s="34"/>
      <c r="F45" s="20" t="e">
        <f t="shared" si="13"/>
        <v>#DIV/0!</v>
      </c>
      <c r="G45" s="2">
        <f t="shared" si="10"/>
        <v>0</v>
      </c>
      <c r="H45" s="2">
        <f t="shared" si="11"/>
        <v>0</v>
      </c>
      <c r="I45" s="29"/>
      <c r="J45" s="34"/>
      <c r="K45" s="20" t="e">
        <f t="shared" si="14"/>
        <v>#DIV/0!</v>
      </c>
      <c r="L45" s="4" t="e">
        <f t="shared" si="12"/>
        <v>#DIV/0!</v>
      </c>
      <c r="M45" s="103"/>
      <c r="N45" s="103"/>
      <c r="O45" s="34"/>
      <c r="P45" s="6"/>
      <c r="Q45" s="6"/>
    </row>
    <row r="46" spans="1:17">
      <c r="A46" s="13">
        <f t="shared" si="15"/>
        <v>46154</v>
      </c>
      <c r="B46" s="127"/>
      <c r="C46" s="127"/>
      <c r="D46" s="34"/>
      <c r="E46" s="34"/>
      <c r="F46" s="20" t="e">
        <f t="shared" si="13"/>
        <v>#DIV/0!</v>
      </c>
      <c r="G46" s="2">
        <f t="shared" si="10"/>
        <v>0</v>
      </c>
      <c r="H46" s="2">
        <f t="shared" si="11"/>
        <v>0</v>
      </c>
      <c r="I46" s="29"/>
      <c r="J46" s="34"/>
      <c r="K46" s="20" t="e">
        <f t="shared" si="14"/>
        <v>#DIV/0!</v>
      </c>
      <c r="L46" s="4" t="e">
        <f t="shared" si="12"/>
        <v>#DIV/0!</v>
      </c>
      <c r="M46" s="104"/>
      <c r="N46" s="103"/>
      <c r="O46" s="34"/>
      <c r="P46" s="6"/>
      <c r="Q46" s="6"/>
    </row>
    <row r="47" spans="1:17">
      <c r="A47" s="13">
        <f t="shared" si="15"/>
        <v>46155</v>
      </c>
      <c r="B47" s="127"/>
      <c r="C47" s="127"/>
      <c r="D47" s="34"/>
      <c r="E47" s="34"/>
      <c r="F47" s="20" t="e">
        <f t="shared" si="13"/>
        <v>#DIV/0!</v>
      </c>
      <c r="G47" s="2">
        <f t="shared" si="10"/>
        <v>0</v>
      </c>
      <c r="H47" s="2">
        <f t="shared" si="11"/>
        <v>0</v>
      </c>
      <c r="I47" s="29"/>
      <c r="J47" s="34"/>
      <c r="K47" s="20" t="e">
        <f t="shared" si="14"/>
        <v>#DIV/0!</v>
      </c>
      <c r="L47" s="4" t="e">
        <f t="shared" si="12"/>
        <v>#DIV/0!</v>
      </c>
      <c r="M47" s="104"/>
      <c r="N47" s="103"/>
      <c r="O47" s="34"/>
      <c r="P47" s="6"/>
      <c r="Q47" s="31"/>
    </row>
    <row r="48" spans="1:17">
      <c r="A48" s="13">
        <f t="shared" si="15"/>
        <v>46156</v>
      </c>
      <c r="B48" s="127"/>
      <c r="C48" s="127"/>
      <c r="D48" s="34"/>
      <c r="E48" s="34"/>
      <c r="F48" s="20" t="e">
        <f t="shared" si="13"/>
        <v>#DIV/0!</v>
      </c>
      <c r="G48" s="2">
        <f t="shared" si="10"/>
        <v>0</v>
      </c>
      <c r="H48" s="2">
        <f t="shared" si="11"/>
        <v>0</v>
      </c>
      <c r="I48" s="29"/>
      <c r="J48" s="34"/>
      <c r="K48" s="20" t="e">
        <f t="shared" si="14"/>
        <v>#DIV/0!</v>
      </c>
      <c r="L48" s="4" t="e">
        <f t="shared" si="12"/>
        <v>#DIV/0!</v>
      </c>
      <c r="M48" s="104"/>
      <c r="N48" s="103"/>
      <c r="O48" s="34"/>
      <c r="P48" s="6"/>
      <c r="Q48" s="32"/>
    </row>
    <row r="49" spans="1:17">
      <c r="A49" s="13">
        <f t="shared" si="15"/>
        <v>46157</v>
      </c>
      <c r="B49" s="127"/>
      <c r="C49" s="127"/>
      <c r="D49" s="34"/>
      <c r="E49" s="34"/>
      <c r="F49" s="20" t="e">
        <f t="shared" si="13"/>
        <v>#DIV/0!</v>
      </c>
      <c r="G49" s="2">
        <f t="shared" si="10"/>
        <v>0</v>
      </c>
      <c r="H49" s="2">
        <f t="shared" si="11"/>
        <v>0</v>
      </c>
      <c r="I49" s="29"/>
      <c r="J49" s="34"/>
      <c r="K49" s="20" t="e">
        <f t="shared" si="14"/>
        <v>#DIV/0!</v>
      </c>
      <c r="L49" s="4" t="e">
        <f t="shared" si="12"/>
        <v>#DIV/0!</v>
      </c>
      <c r="M49" s="104"/>
      <c r="N49" s="103"/>
      <c r="O49" s="34"/>
      <c r="P49" s="6"/>
      <c r="Q49" s="32"/>
    </row>
    <row r="50" spans="1:17">
      <c r="A50" s="13">
        <f t="shared" si="15"/>
        <v>46158</v>
      </c>
      <c r="B50" s="127"/>
      <c r="C50" s="127"/>
      <c r="D50" s="34"/>
      <c r="E50" s="34"/>
      <c r="F50" s="20" t="e">
        <f t="shared" si="13"/>
        <v>#DIV/0!</v>
      </c>
      <c r="G50" s="2">
        <f t="shared" si="10"/>
        <v>0</v>
      </c>
      <c r="H50" s="2">
        <f t="shared" si="11"/>
        <v>0</v>
      </c>
      <c r="I50" s="29"/>
      <c r="J50" s="34"/>
      <c r="K50" s="20" t="e">
        <f t="shared" si="14"/>
        <v>#DIV/0!</v>
      </c>
      <c r="L50" s="4" t="e">
        <f t="shared" si="12"/>
        <v>#DIV/0!</v>
      </c>
      <c r="M50" s="104"/>
      <c r="N50" s="103"/>
      <c r="O50" s="34"/>
      <c r="P50" s="6"/>
      <c r="Q50" s="32"/>
    </row>
    <row r="51" spans="1:17">
      <c r="A51" s="13">
        <f t="shared" si="15"/>
        <v>46159</v>
      </c>
      <c r="B51" s="127"/>
      <c r="C51" s="127"/>
      <c r="D51" s="34"/>
      <c r="E51" s="34"/>
      <c r="F51" s="20" t="e">
        <f t="shared" si="13"/>
        <v>#DIV/0!</v>
      </c>
      <c r="G51" s="2">
        <f t="shared" si="10"/>
        <v>0</v>
      </c>
      <c r="H51" s="2">
        <f t="shared" si="11"/>
        <v>0</v>
      </c>
      <c r="I51" s="29"/>
      <c r="J51" s="34"/>
      <c r="K51" s="20" t="e">
        <f t="shared" si="14"/>
        <v>#DIV/0!</v>
      </c>
      <c r="L51" s="4" t="e">
        <f t="shared" si="12"/>
        <v>#DIV/0!</v>
      </c>
      <c r="M51" s="103"/>
      <c r="N51" s="103"/>
      <c r="O51" s="34"/>
      <c r="P51" s="6"/>
      <c r="Q51" s="6"/>
    </row>
    <row r="52" spans="1:17">
      <c r="A52" s="13">
        <f t="shared" si="15"/>
        <v>46160</v>
      </c>
      <c r="B52" s="127"/>
      <c r="C52" s="127"/>
      <c r="D52" s="34"/>
      <c r="E52" s="34"/>
      <c r="F52" s="20" t="e">
        <f t="shared" si="13"/>
        <v>#DIV/0!</v>
      </c>
      <c r="G52" s="2">
        <f t="shared" si="10"/>
        <v>0</v>
      </c>
      <c r="H52" s="2">
        <f t="shared" si="11"/>
        <v>0</v>
      </c>
      <c r="I52" s="29"/>
      <c r="J52" s="34"/>
      <c r="K52" s="20" t="e">
        <f t="shared" si="14"/>
        <v>#DIV/0!</v>
      </c>
      <c r="L52" s="4" t="e">
        <f t="shared" si="12"/>
        <v>#DIV/0!</v>
      </c>
      <c r="M52" s="103"/>
      <c r="N52" s="103"/>
      <c r="O52" s="34"/>
      <c r="P52" s="6"/>
      <c r="Q52" s="14"/>
    </row>
    <row r="53" spans="1:17">
      <c r="A53" s="13">
        <f t="shared" si="15"/>
        <v>46161</v>
      </c>
      <c r="B53" s="127"/>
      <c r="C53" s="127"/>
      <c r="D53" s="34"/>
      <c r="E53" s="34"/>
      <c r="F53" s="20" t="e">
        <f t="shared" si="13"/>
        <v>#DIV/0!</v>
      </c>
      <c r="G53" s="2">
        <f t="shared" si="10"/>
        <v>0</v>
      </c>
      <c r="H53" s="2">
        <f t="shared" si="11"/>
        <v>0</v>
      </c>
      <c r="I53" s="29"/>
      <c r="J53" s="34"/>
      <c r="K53" s="20" t="e">
        <f t="shared" si="14"/>
        <v>#DIV/0!</v>
      </c>
      <c r="L53" s="4" t="e">
        <f t="shared" si="12"/>
        <v>#DIV/0!</v>
      </c>
      <c r="M53" s="103"/>
      <c r="N53" s="103"/>
      <c r="O53" s="34"/>
      <c r="P53" s="6"/>
      <c r="Q53" s="14"/>
    </row>
    <row r="54" spans="1:17">
      <c r="A54" s="13">
        <f t="shared" si="15"/>
        <v>46162</v>
      </c>
      <c r="B54" s="127"/>
      <c r="C54" s="127"/>
      <c r="D54" s="34"/>
      <c r="E54" s="34"/>
      <c r="F54" s="20" t="e">
        <f t="shared" si="13"/>
        <v>#DIV/0!</v>
      </c>
      <c r="G54" s="2">
        <f t="shared" si="10"/>
        <v>0</v>
      </c>
      <c r="H54" s="2">
        <f t="shared" si="11"/>
        <v>0</v>
      </c>
      <c r="I54" s="29"/>
      <c r="J54" s="34"/>
      <c r="K54" s="20" t="e">
        <f t="shared" si="14"/>
        <v>#DIV/0!</v>
      </c>
      <c r="L54" s="4" t="e">
        <f t="shared" si="12"/>
        <v>#DIV/0!</v>
      </c>
      <c r="M54" s="103"/>
      <c r="N54" s="103"/>
      <c r="O54" s="34"/>
      <c r="P54" s="6"/>
      <c r="Q54" s="14"/>
    </row>
    <row r="55" spans="1:17">
      <c r="A55" s="13">
        <f t="shared" si="15"/>
        <v>46163</v>
      </c>
      <c r="B55" s="127"/>
      <c r="C55" s="127"/>
      <c r="D55" s="34"/>
      <c r="E55" s="34"/>
      <c r="F55" s="20" t="e">
        <f>(IF(ISBLANK(E55),0,E55-C55))/C55</f>
        <v>#DIV/0!</v>
      </c>
      <c r="G55" s="2">
        <f t="shared" si="10"/>
        <v>0</v>
      </c>
      <c r="H55" s="2">
        <f t="shared" si="11"/>
        <v>0</v>
      </c>
      <c r="I55" s="29"/>
      <c r="J55" s="34"/>
      <c r="K55" s="20" t="e">
        <f>(IF(ISBLANK(J55),0,J55-I55))/I55</f>
        <v>#DIV/0!</v>
      </c>
      <c r="L55" s="4" t="e">
        <f t="shared" si="12"/>
        <v>#DIV/0!</v>
      </c>
      <c r="M55" s="103"/>
      <c r="N55" s="103"/>
      <c r="O55" s="34"/>
      <c r="P55" s="6"/>
      <c r="Q55" s="6"/>
    </row>
    <row r="56" spans="1:17">
      <c r="A56" s="13">
        <f t="shared" si="15"/>
        <v>46164</v>
      </c>
      <c r="B56" s="127"/>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2"/>
        <v>#DIV/0!</v>
      </c>
      <c r="M56" s="103"/>
      <c r="N56" s="103"/>
      <c r="O56" s="34"/>
      <c r="P56" s="6"/>
      <c r="Q56" s="6"/>
    </row>
    <row r="57" spans="1:17">
      <c r="A57" s="13">
        <f t="shared" si="15"/>
        <v>46165</v>
      </c>
      <c r="B57" s="127"/>
      <c r="C57" s="127"/>
      <c r="D57" s="14"/>
      <c r="E57" s="14"/>
      <c r="F57" s="20" t="e">
        <f t="shared" si="16"/>
        <v>#DIV/0!</v>
      </c>
      <c r="G57" s="2">
        <f t="shared" si="10"/>
        <v>0</v>
      </c>
      <c r="H57" s="2">
        <f t="shared" si="11"/>
        <v>0</v>
      </c>
      <c r="I57" s="29"/>
      <c r="J57" s="14"/>
      <c r="K57" s="20" t="e">
        <f t="shared" si="17"/>
        <v>#DIV/0!</v>
      </c>
      <c r="L57" s="4" t="e">
        <f t="shared" si="12"/>
        <v>#DIV/0!</v>
      </c>
      <c r="M57" s="103"/>
      <c r="N57" s="103"/>
      <c r="O57" s="34"/>
      <c r="P57" s="6"/>
      <c r="Q57" s="6"/>
    </row>
    <row r="58" spans="1:17">
      <c r="A58" s="13">
        <f t="shared" si="15"/>
        <v>46166</v>
      </c>
      <c r="B58" s="127"/>
      <c r="C58" s="127"/>
      <c r="D58" s="14"/>
      <c r="E58" s="14"/>
      <c r="F58" s="20" t="e">
        <f t="shared" si="16"/>
        <v>#DIV/0!</v>
      </c>
      <c r="G58" s="2">
        <f t="shared" ref="G58:G65" si="18">D58/($D$2*24)</f>
        <v>0</v>
      </c>
      <c r="H58" s="2">
        <f t="shared" si="11"/>
        <v>0</v>
      </c>
      <c r="I58" s="29"/>
      <c r="J58" s="14"/>
      <c r="K58" s="20" t="e">
        <f t="shared" si="17"/>
        <v>#DIV/0!</v>
      </c>
      <c r="L58" s="4" t="e">
        <f t="shared" si="12"/>
        <v>#DIV/0!</v>
      </c>
      <c r="M58" s="103"/>
      <c r="N58" s="103"/>
      <c r="O58" s="34"/>
      <c r="P58" s="6"/>
      <c r="Q58" s="288"/>
    </row>
    <row r="59" spans="1:17">
      <c r="A59" s="13">
        <f t="shared" si="15"/>
        <v>46167</v>
      </c>
      <c r="B59" s="1"/>
      <c r="C59" s="1"/>
      <c r="D59" s="14"/>
      <c r="E59" s="14"/>
      <c r="F59" s="20" t="e">
        <f t="shared" si="16"/>
        <v>#DIV/0!</v>
      </c>
      <c r="G59" s="2">
        <f t="shared" si="18"/>
        <v>0</v>
      </c>
      <c r="H59" s="2">
        <f t="shared" si="11"/>
        <v>0</v>
      </c>
      <c r="I59" s="29"/>
      <c r="J59" s="14"/>
      <c r="K59" s="20" t="e">
        <f t="shared" si="17"/>
        <v>#DIV/0!</v>
      </c>
      <c r="L59" s="4" t="e">
        <f t="shared" si="12"/>
        <v>#DIV/0!</v>
      </c>
      <c r="M59" s="103"/>
      <c r="N59" s="103"/>
      <c r="O59" s="34"/>
      <c r="P59" s="155"/>
      <c r="Q59" s="6"/>
    </row>
    <row r="60" spans="1:17">
      <c r="A60" s="13">
        <f t="shared" si="15"/>
        <v>46168</v>
      </c>
      <c r="B60" s="1"/>
      <c r="C60" s="1"/>
      <c r="D60" s="14"/>
      <c r="E60" s="14"/>
      <c r="F60" s="20" t="e">
        <f t="shared" si="16"/>
        <v>#DIV/0!</v>
      </c>
      <c r="G60" s="2">
        <f t="shared" si="18"/>
        <v>0</v>
      </c>
      <c r="H60" s="2">
        <f t="shared" si="11"/>
        <v>0</v>
      </c>
      <c r="I60" s="29"/>
      <c r="J60" s="14"/>
      <c r="K60" s="20" t="e">
        <f t="shared" si="17"/>
        <v>#DIV/0!</v>
      </c>
      <c r="L60" s="4" t="e">
        <f t="shared" si="12"/>
        <v>#DIV/0!</v>
      </c>
      <c r="M60" s="103"/>
      <c r="N60" s="103"/>
      <c r="O60" s="34"/>
      <c r="P60" s="6"/>
      <c r="Q60" s="123"/>
    </row>
    <row r="61" spans="1:17">
      <c r="A61" s="13">
        <f t="shared" si="15"/>
        <v>46169</v>
      </c>
      <c r="B61" s="1"/>
      <c r="C61" s="1"/>
      <c r="D61" s="14"/>
      <c r="E61" s="14"/>
      <c r="F61" s="20" t="e">
        <f t="shared" si="16"/>
        <v>#DIV/0!</v>
      </c>
      <c r="G61" s="2">
        <f t="shared" si="18"/>
        <v>0</v>
      </c>
      <c r="H61" s="2">
        <f t="shared" si="11"/>
        <v>0</v>
      </c>
      <c r="I61" s="29"/>
      <c r="J61" s="14"/>
      <c r="K61" s="20" t="e">
        <f t="shared" si="17"/>
        <v>#DIV/0!</v>
      </c>
      <c r="L61" s="4" t="e">
        <f t="shared" si="12"/>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2"/>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2"/>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2"/>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2"/>
        <v>#DIV/0!</v>
      </c>
      <c r="M65" s="103"/>
      <c r="N65" s="103"/>
      <c r="O65" s="34"/>
      <c r="P65" s="6"/>
      <c r="Q65" s="6"/>
    </row>
    <row r="66" spans="1:17">
      <c r="A66" s="349">
        <v>46143</v>
      </c>
      <c r="B66" s="89">
        <f>SUM(B35:B65)</f>
        <v>150163.02000000002</v>
      </c>
      <c r="C66" s="89">
        <f>SUM(C35:C65)</f>
        <v>139024.54999999999</v>
      </c>
      <c r="D66" s="89">
        <f>SUM(D35:D65)</f>
        <v>102141</v>
      </c>
      <c r="E66" s="89">
        <f>SUM(E35:E65)</f>
        <v>100520</v>
      </c>
      <c r="F66" s="160">
        <f>(IF(ISBLANK(E66),0,E66-C66))/C66</f>
        <v>-0.27696223436795869</v>
      </c>
      <c r="G66" s="90">
        <f>AVERAGE(G35:G65)</f>
        <v>3.4287285295349808E-2</v>
      </c>
      <c r="H66" s="90">
        <f>AVERAGE(H35:H65)</f>
        <v>4.1601906158357772E-2</v>
      </c>
      <c r="I66" s="89">
        <f>SUM(I35:I65)</f>
        <v>44.589999999999996</v>
      </c>
      <c r="J66" s="89">
        <f>SUM(J35:J65)</f>
        <v>30.928000000000001</v>
      </c>
      <c r="K66" s="160">
        <f>(IF(ISBLANK(J66),0,J66-I66))/I66</f>
        <v>-0.30639156761605735</v>
      </c>
      <c r="L66" s="161">
        <f t="shared" si="12"/>
        <v>0.82481053607540933</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F971-6FCF-4333-822F-AED580D4B45E}">
  <dimension ref="A1:Q66"/>
  <sheetViews>
    <sheetView workbookViewId="0">
      <pane ySplit="3" topLeftCell="A4" activePane="bottomLeft" state="frozen"/>
      <selection pane="bottomLeft" activeCell="A34" sqref="A34"/>
    </sheetView>
  </sheetViews>
  <sheetFormatPr defaultRowHeight="14.5"/>
  <cols>
    <col min="1" max="1" width="11.26953125" bestFit="1" customWidth="1"/>
    <col min="11" max="11" width="11.1796875" bestFit="1" customWidth="1"/>
  </cols>
  <sheetData>
    <row r="1" spans="1:17" ht="18.5">
      <c r="A1" s="417" t="s">
        <v>474</v>
      </c>
      <c r="B1" s="418"/>
      <c r="C1" s="418"/>
      <c r="D1" s="418"/>
      <c r="E1" s="418"/>
      <c r="F1" s="418"/>
      <c r="G1" s="418"/>
      <c r="H1" s="418"/>
      <c r="I1" s="418"/>
      <c r="J1" s="418"/>
      <c r="K1" s="418"/>
      <c r="L1" s="418"/>
      <c r="M1" s="418"/>
      <c r="N1" s="418"/>
      <c r="O1" s="418"/>
      <c r="P1" s="418"/>
      <c r="Q1" s="418"/>
    </row>
    <row r="2" spans="1:17" ht="18.5">
      <c r="A2" s="69">
        <v>46138</v>
      </c>
      <c r="B2" s="415" t="s">
        <v>172</v>
      </c>
      <c r="C2" s="416"/>
      <c r="D2" s="70">
        <v>2480</v>
      </c>
      <c r="E2" s="415" t="s">
        <v>173</v>
      </c>
      <c r="F2" s="415"/>
      <c r="G2" s="416"/>
      <c r="H2" s="70">
        <v>1900</v>
      </c>
      <c r="I2" s="415" t="s">
        <v>174</v>
      </c>
      <c r="J2" s="416"/>
      <c r="K2" s="105" t="s">
        <v>475</v>
      </c>
      <c r="L2" s="72" t="s">
        <v>175</v>
      </c>
      <c r="M2" s="72" t="s">
        <v>175</v>
      </c>
      <c r="N2" s="72" t="s">
        <v>175</v>
      </c>
      <c r="O2" s="72" t="s">
        <v>175</v>
      </c>
      <c r="P2" s="72" t="s">
        <v>175</v>
      </c>
      <c r="Q2" s="73" t="s">
        <v>175</v>
      </c>
    </row>
    <row r="3" spans="1:17" s="378" customFormat="1" ht="48">
      <c r="A3" s="374" t="s">
        <v>189</v>
      </c>
      <c r="B3" s="375" t="s">
        <v>3</v>
      </c>
      <c r="C3" s="375" t="s">
        <v>4</v>
      </c>
      <c r="D3" s="375" t="s">
        <v>5</v>
      </c>
      <c r="E3" s="375" t="s">
        <v>6</v>
      </c>
      <c r="F3" s="376" t="s">
        <v>7</v>
      </c>
      <c r="G3" s="375" t="s">
        <v>8</v>
      </c>
      <c r="H3" s="375" t="s">
        <v>9</v>
      </c>
      <c r="I3" s="375" t="s">
        <v>10</v>
      </c>
      <c r="J3" s="375" t="s">
        <v>11</v>
      </c>
      <c r="K3" s="376" t="s">
        <v>12</v>
      </c>
      <c r="L3" s="375" t="s">
        <v>13</v>
      </c>
      <c r="M3" s="375" t="s">
        <v>14</v>
      </c>
      <c r="N3" s="375" t="s">
        <v>15</v>
      </c>
      <c r="O3" s="375" t="s">
        <v>16</v>
      </c>
      <c r="P3" s="375" t="s">
        <v>17</v>
      </c>
      <c r="Q3" s="377" t="s">
        <v>156</v>
      </c>
    </row>
    <row r="4" spans="1:17">
      <c r="A4" s="76">
        <v>46113</v>
      </c>
      <c r="B4" s="36">
        <v>15317</v>
      </c>
      <c r="C4" s="36">
        <v>12300</v>
      </c>
      <c r="D4" s="37">
        <v>13686</v>
      </c>
      <c r="E4" s="37">
        <v>13500</v>
      </c>
      <c r="F4" s="21">
        <f t="shared" ref="F4:F29" si="0">(IF(ISBLANK(D4),0,D4-C4))/C4</f>
        <v>0.1126829268292683</v>
      </c>
      <c r="G4" s="2">
        <f t="shared" ref="G4:G29" si="1">D4/($D$2*24)</f>
        <v>0.22993951612903227</v>
      </c>
      <c r="H4" s="2">
        <f t="shared" ref="H4:H29" si="2">D4/($H$2*24)</f>
        <v>0.30013157894736842</v>
      </c>
      <c r="I4" s="36">
        <v>7.4</v>
      </c>
      <c r="J4" s="37">
        <v>6.24</v>
      </c>
      <c r="K4" s="21">
        <f t="shared" ref="K4:K29" si="3">(IF(ISBLANK(J4),0,J4-I4))/I4</f>
        <v>-0.15675675675675677</v>
      </c>
      <c r="L4" s="22">
        <f t="shared" ref="L4:L29" si="4">D4/($D$2*J4)</f>
        <v>0.88438275434243174</v>
      </c>
      <c r="M4" s="41">
        <v>1</v>
      </c>
      <c r="N4" s="41">
        <v>1</v>
      </c>
      <c r="O4" s="37">
        <v>0</v>
      </c>
      <c r="P4" s="37">
        <v>0</v>
      </c>
      <c r="Q4" s="37" t="s">
        <v>175</v>
      </c>
    </row>
    <row r="5" spans="1:17">
      <c r="A5" s="79">
        <v>46114</v>
      </c>
      <c r="B5" s="43">
        <v>15317</v>
      </c>
      <c r="C5" s="43">
        <v>12300</v>
      </c>
      <c r="D5" s="44">
        <v>12487</v>
      </c>
      <c r="E5" s="44">
        <v>11820</v>
      </c>
      <c r="F5" s="21">
        <f t="shared" si="0"/>
        <v>1.5203252032520325E-2</v>
      </c>
      <c r="G5" s="2">
        <f t="shared" si="1"/>
        <v>0.20979502688172044</v>
      </c>
      <c r="H5" s="2">
        <f t="shared" si="2"/>
        <v>0.27383771929824563</v>
      </c>
      <c r="I5" s="43">
        <v>7.4</v>
      </c>
      <c r="J5" s="44">
        <v>5.67</v>
      </c>
      <c r="K5" s="21">
        <f t="shared" si="3"/>
        <v>-0.23378378378378384</v>
      </c>
      <c r="L5" s="22">
        <f t="shared" si="4"/>
        <v>0.88802127780622397</v>
      </c>
      <c r="M5" s="48">
        <v>1</v>
      </c>
      <c r="N5" s="48">
        <v>1</v>
      </c>
      <c r="O5" s="44">
        <v>0</v>
      </c>
      <c r="P5" s="44">
        <v>0</v>
      </c>
      <c r="Q5" s="44" t="s">
        <v>175</v>
      </c>
    </row>
    <row r="6" spans="1:17">
      <c r="A6" s="79">
        <v>46115</v>
      </c>
      <c r="B6" s="43">
        <v>15317</v>
      </c>
      <c r="C6" s="43">
        <v>12300</v>
      </c>
      <c r="D6" s="44">
        <v>9948</v>
      </c>
      <c r="E6" s="44">
        <v>9750</v>
      </c>
      <c r="F6" s="21">
        <f t="shared" si="0"/>
        <v>-0.19121951219512195</v>
      </c>
      <c r="G6" s="2">
        <f t="shared" si="1"/>
        <v>0.16713709677419356</v>
      </c>
      <c r="H6" s="2">
        <f t="shared" si="2"/>
        <v>0.21815789473684211</v>
      </c>
      <c r="I6" s="43">
        <v>7.4</v>
      </c>
      <c r="J6" s="44">
        <v>4.51</v>
      </c>
      <c r="K6" s="21">
        <f t="shared" si="3"/>
        <v>-0.3905405405405406</v>
      </c>
      <c r="L6" s="22">
        <f t="shared" si="4"/>
        <v>0.88942135755668417</v>
      </c>
      <c r="M6" s="48">
        <v>1</v>
      </c>
      <c r="N6" s="48">
        <v>1</v>
      </c>
      <c r="O6" s="44">
        <v>0</v>
      </c>
      <c r="P6" s="44">
        <v>0</v>
      </c>
      <c r="Q6" s="44" t="s">
        <v>175</v>
      </c>
    </row>
    <row r="7" spans="1:17">
      <c r="A7" s="79">
        <v>46116</v>
      </c>
      <c r="B7" s="43">
        <v>15317</v>
      </c>
      <c r="C7" s="43">
        <v>12300</v>
      </c>
      <c r="D7" s="44">
        <v>14920</v>
      </c>
      <c r="E7" s="44">
        <v>14670</v>
      </c>
      <c r="F7" s="21">
        <f t="shared" si="0"/>
        <v>0.21300813008130082</v>
      </c>
      <c r="G7" s="2">
        <f t="shared" si="1"/>
        <v>0.25067204301075269</v>
      </c>
      <c r="H7" s="2">
        <f t="shared" si="2"/>
        <v>0.32719298245614037</v>
      </c>
      <c r="I7" s="43">
        <v>7.4</v>
      </c>
      <c r="J7" s="44">
        <v>6.81</v>
      </c>
      <c r="K7" s="21">
        <f t="shared" si="3"/>
        <v>-7.9729729729729831E-2</v>
      </c>
      <c r="L7" s="22">
        <f t="shared" si="4"/>
        <v>0.88342570224053818</v>
      </c>
      <c r="M7" s="48">
        <v>1</v>
      </c>
      <c r="N7" s="48">
        <v>1</v>
      </c>
      <c r="O7" s="44">
        <v>0</v>
      </c>
      <c r="P7" s="44">
        <v>0</v>
      </c>
      <c r="Q7" s="44" t="s">
        <v>175</v>
      </c>
    </row>
    <row r="8" spans="1:17">
      <c r="A8" s="79">
        <v>46117</v>
      </c>
      <c r="B8" s="43">
        <v>15317</v>
      </c>
      <c r="C8" s="43">
        <v>12300</v>
      </c>
      <c r="D8" s="44">
        <v>14335</v>
      </c>
      <c r="E8" s="44">
        <v>14100</v>
      </c>
      <c r="F8" s="21">
        <f t="shared" si="0"/>
        <v>0.16544715447154471</v>
      </c>
      <c r="G8" s="2">
        <f t="shared" si="1"/>
        <v>0.24084341397849462</v>
      </c>
      <c r="H8" s="2">
        <f t="shared" si="2"/>
        <v>0.31436403508771932</v>
      </c>
      <c r="I8" s="43">
        <v>7.4</v>
      </c>
      <c r="J8" s="44">
        <v>6.52</v>
      </c>
      <c r="K8" s="21">
        <f t="shared" si="3"/>
        <v>-0.11891891891891902</v>
      </c>
      <c r="L8" s="22">
        <f t="shared" si="4"/>
        <v>0.88654017415396802</v>
      </c>
      <c r="M8" s="48">
        <v>1</v>
      </c>
      <c r="N8" s="48">
        <v>1</v>
      </c>
      <c r="O8" s="44">
        <v>0</v>
      </c>
      <c r="P8" s="44">
        <v>0</v>
      </c>
      <c r="Q8" s="44" t="s">
        <v>175</v>
      </c>
    </row>
    <row r="9" spans="1:17">
      <c r="A9" s="79">
        <v>46118</v>
      </c>
      <c r="B9" s="43">
        <v>15317</v>
      </c>
      <c r="C9" s="43">
        <v>12300</v>
      </c>
      <c r="D9" s="44">
        <v>14778</v>
      </c>
      <c r="E9" s="44">
        <v>14550</v>
      </c>
      <c r="F9" s="21">
        <f t="shared" si="0"/>
        <v>0.20146341463414635</v>
      </c>
      <c r="G9" s="2">
        <f t="shared" si="1"/>
        <v>0.24828629032258065</v>
      </c>
      <c r="H9" s="2">
        <f t="shared" si="2"/>
        <v>0.32407894736842108</v>
      </c>
      <c r="I9" s="43">
        <v>7.4</v>
      </c>
      <c r="J9" s="44">
        <v>6.74</v>
      </c>
      <c r="K9" s="21">
        <f t="shared" si="3"/>
        <v>-8.9189189189189208E-2</v>
      </c>
      <c r="L9" s="22">
        <f t="shared" si="4"/>
        <v>0.8841054848281803</v>
      </c>
      <c r="M9" s="48">
        <v>1</v>
      </c>
      <c r="N9" s="48">
        <v>1</v>
      </c>
      <c r="O9" s="44">
        <v>0</v>
      </c>
      <c r="P9" s="44">
        <v>0</v>
      </c>
      <c r="Q9" s="44" t="s">
        <v>175</v>
      </c>
    </row>
    <row r="10" spans="1:17">
      <c r="A10" s="79">
        <v>46119</v>
      </c>
      <c r="B10" s="43">
        <v>15317</v>
      </c>
      <c r="C10" s="43">
        <v>12300</v>
      </c>
      <c r="D10" s="44">
        <v>12293</v>
      </c>
      <c r="E10" s="44">
        <v>12030</v>
      </c>
      <c r="F10" s="21">
        <f t="shared" si="0"/>
        <v>-5.6910569105691057E-4</v>
      </c>
      <c r="G10" s="2">
        <f t="shared" si="1"/>
        <v>0.2065356182795699</v>
      </c>
      <c r="H10" s="2">
        <f t="shared" si="2"/>
        <v>0.26958333333333334</v>
      </c>
      <c r="I10" s="43">
        <v>7.4</v>
      </c>
      <c r="J10" s="44">
        <v>5.6</v>
      </c>
      <c r="K10" s="21">
        <f t="shared" si="3"/>
        <v>-0.24324324324324334</v>
      </c>
      <c r="L10" s="22">
        <f t="shared" si="4"/>
        <v>0.8851526497695853</v>
      </c>
      <c r="M10" s="48">
        <v>1</v>
      </c>
      <c r="N10" s="48">
        <v>1</v>
      </c>
      <c r="O10" s="44">
        <v>0</v>
      </c>
      <c r="P10" s="44">
        <v>0</v>
      </c>
      <c r="Q10" s="44" t="s">
        <v>175</v>
      </c>
    </row>
    <row r="11" spans="1:17">
      <c r="A11" s="79">
        <v>46120</v>
      </c>
      <c r="B11" s="43">
        <v>15317</v>
      </c>
      <c r="C11" s="43">
        <v>12300</v>
      </c>
      <c r="D11" s="44">
        <v>14467</v>
      </c>
      <c r="E11" s="44">
        <v>14340</v>
      </c>
      <c r="F11" s="21">
        <f t="shared" si="0"/>
        <v>0.17617886178861789</v>
      </c>
      <c r="G11" s="2">
        <f t="shared" si="1"/>
        <v>0.2430611559139785</v>
      </c>
      <c r="H11" s="2">
        <f t="shared" si="2"/>
        <v>0.31725877192982455</v>
      </c>
      <c r="I11" s="43">
        <v>7.4</v>
      </c>
      <c r="J11" s="44">
        <v>6.58</v>
      </c>
      <c r="K11" s="21">
        <f t="shared" si="3"/>
        <v>-0.11081081081081084</v>
      </c>
      <c r="L11" s="22">
        <f t="shared" si="4"/>
        <v>0.88654524953426805</v>
      </c>
      <c r="M11" s="48">
        <v>1</v>
      </c>
      <c r="N11" s="48">
        <v>1</v>
      </c>
      <c r="O11" s="44">
        <v>0</v>
      </c>
      <c r="P11" s="44">
        <v>0</v>
      </c>
      <c r="Q11" s="44" t="s">
        <v>175</v>
      </c>
    </row>
    <row r="12" spans="1:17">
      <c r="A12" s="79">
        <v>46121</v>
      </c>
      <c r="B12" s="43">
        <v>15317</v>
      </c>
      <c r="C12" s="43">
        <v>12300</v>
      </c>
      <c r="D12" s="44">
        <v>14437</v>
      </c>
      <c r="E12" s="44">
        <v>14160</v>
      </c>
      <c r="F12" s="21">
        <f t="shared" si="0"/>
        <v>0.17373983739837398</v>
      </c>
      <c r="G12" s="2">
        <f t="shared" si="1"/>
        <v>0.24255712365591398</v>
      </c>
      <c r="H12" s="2">
        <f t="shared" si="2"/>
        <v>0.31660087719298247</v>
      </c>
      <c r="I12" s="43">
        <v>7.4</v>
      </c>
      <c r="J12" s="44">
        <v>6.57</v>
      </c>
      <c r="K12" s="21">
        <f t="shared" si="3"/>
        <v>-0.11216216216216217</v>
      </c>
      <c r="L12" s="22">
        <f t="shared" si="4"/>
        <v>0.88605341974763097</v>
      </c>
      <c r="M12" s="48">
        <v>1</v>
      </c>
      <c r="N12" s="48">
        <v>1</v>
      </c>
      <c r="O12" s="44">
        <v>0</v>
      </c>
      <c r="P12" s="44">
        <v>0</v>
      </c>
      <c r="Q12" s="44" t="s">
        <v>175</v>
      </c>
    </row>
    <row r="13" spans="1:17">
      <c r="A13" s="79">
        <v>46122</v>
      </c>
      <c r="B13" s="43">
        <v>15317</v>
      </c>
      <c r="C13" s="43">
        <v>12300</v>
      </c>
      <c r="D13" s="44">
        <v>14397</v>
      </c>
      <c r="E13" s="44">
        <v>13590</v>
      </c>
      <c r="F13" s="21">
        <f t="shared" si="0"/>
        <v>0.17048780487804879</v>
      </c>
      <c r="G13" s="2">
        <f t="shared" si="1"/>
        <v>0.24188508064516129</v>
      </c>
      <c r="H13" s="2">
        <f t="shared" si="2"/>
        <v>0.31572368421052632</v>
      </c>
      <c r="I13" s="43">
        <v>7.4</v>
      </c>
      <c r="J13" s="44">
        <v>6.58</v>
      </c>
      <c r="K13" s="21">
        <f t="shared" si="3"/>
        <v>-0.11081081081081084</v>
      </c>
      <c r="L13" s="22">
        <f t="shared" si="4"/>
        <v>0.88225561329542113</v>
      </c>
      <c r="M13" s="48">
        <v>1</v>
      </c>
      <c r="N13" s="48">
        <v>1</v>
      </c>
      <c r="O13" s="44">
        <v>0</v>
      </c>
      <c r="P13" s="44">
        <v>0</v>
      </c>
      <c r="Q13" s="44" t="s">
        <v>175</v>
      </c>
    </row>
    <row r="14" spans="1:17">
      <c r="A14" s="79">
        <v>46123</v>
      </c>
      <c r="B14" s="43">
        <v>15317</v>
      </c>
      <c r="C14" s="43">
        <v>12300</v>
      </c>
      <c r="D14" s="44">
        <v>13615</v>
      </c>
      <c r="E14" s="44">
        <v>13500</v>
      </c>
      <c r="F14" s="21">
        <f t="shared" si="0"/>
        <v>0.10691056910569105</v>
      </c>
      <c r="G14" s="2">
        <f t="shared" si="1"/>
        <v>0.22874663978494625</v>
      </c>
      <c r="H14" s="2">
        <f t="shared" si="2"/>
        <v>0.2985745614035088</v>
      </c>
      <c r="I14" s="43">
        <v>7.4</v>
      </c>
      <c r="J14" s="44">
        <v>6.18</v>
      </c>
      <c r="K14" s="21">
        <f t="shared" si="3"/>
        <v>-0.16486486486486493</v>
      </c>
      <c r="L14" s="22">
        <f t="shared" si="4"/>
        <v>0.88833646518425724</v>
      </c>
      <c r="M14" s="48">
        <v>1</v>
      </c>
      <c r="N14" s="48">
        <v>1</v>
      </c>
      <c r="O14" s="44">
        <v>0</v>
      </c>
      <c r="P14" s="44">
        <v>0</v>
      </c>
      <c r="Q14" s="44" t="s">
        <v>175</v>
      </c>
    </row>
    <row r="15" spans="1:17">
      <c r="A15" s="79">
        <v>46124</v>
      </c>
      <c r="B15" s="43">
        <v>15317</v>
      </c>
      <c r="C15" s="43">
        <v>12300</v>
      </c>
      <c r="D15" s="44">
        <v>14289</v>
      </c>
      <c r="E15" s="44">
        <v>14100</v>
      </c>
      <c r="F15" s="21">
        <f t="shared" si="0"/>
        <v>0.16170731707317074</v>
      </c>
      <c r="G15" s="2">
        <f t="shared" si="1"/>
        <v>0.24007056451612904</v>
      </c>
      <c r="H15" s="2">
        <f t="shared" si="2"/>
        <v>0.31335526315789475</v>
      </c>
      <c r="I15" s="43">
        <v>7.4</v>
      </c>
      <c r="J15" s="44">
        <v>6.48</v>
      </c>
      <c r="K15" s="21">
        <f t="shared" si="3"/>
        <v>-0.1243243243243243</v>
      </c>
      <c r="L15" s="22">
        <f t="shared" si="4"/>
        <v>0.88915023894862599</v>
      </c>
      <c r="M15" s="48">
        <v>1</v>
      </c>
      <c r="N15" s="48">
        <v>1</v>
      </c>
      <c r="O15" s="44">
        <v>0</v>
      </c>
      <c r="P15" s="44">
        <v>0</v>
      </c>
      <c r="Q15" s="44" t="s">
        <v>175</v>
      </c>
    </row>
    <row r="16" spans="1:17">
      <c r="A16" s="79">
        <v>46125</v>
      </c>
      <c r="B16" s="43">
        <v>15317</v>
      </c>
      <c r="C16" s="43">
        <v>12300</v>
      </c>
      <c r="D16" s="44">
        <v>14736</v>
      </c>
      <c r="E16" s="44">
        <v>14400</v>
      </c>
      <c r="F16" s="21">
        <f t="shared" si="0"/>
        <v>0.19804878048780489</v>
      </c>
      <c r="G16" s="2">
        <f t="shared" si="1"/>
        <v>0.24758064516129033</v>
      </c>
      <c r="H16" s="2">
        <f t="shared" si="2"/>
        <v>0.32315789473684209</v>
      </c>
      <c r="I16" s="43">
        <v>7.4</v>
      </c>
      <c r="J16" s="44">
        <v>6.85</v>
      </c>
      <c r="K16" s="21">
        <f t="shared" si="3"/>
        <v>-7.4324324324324412E-2</v>
      </c>
      <c r="L16" s="22">
        <f t="shared" si="4"/>
        <v>0.86743583706145511</v>
      </c>
      <c r="M16" s="48">
        <v>1</v>
      </c>
      <c r="N16" s="48">
        <v>1</v>
      </c>
      <c r="O16" s="44">
        <v>0</v>
      </c>
      <c r="P16" s="44">
        <v>0</v>
      </c>
      <c r="Q16" s="44" t="s">
        <v>175</v>
      </c>
    </row>
    <row r="17" spans="1:17">
      <c r="A17" s="79">
        <v>46126</v>
      </c>
      <c r="B17" s="43">
        <v>15317</v>
      </c>
      <c r="C17" s="43">
        <v>12300</v>
      </c>
      <c r="D17" s="44">
        <v>14962</v>
      </c>
      <c r="E17" s="44">
        <v>14790</v>
      </c>
      <c r="F17" s="21">
        <f t="shared" si="0"/>
        <v>0.21642276422764228</v>
      </c>
      <c r="G17" s="2">
        <f t="shared" si="1"/>
        <v>0.25137768817204303</v>
      </c>
      <c r="H17" s="2">
        <f t="shared" si="2"/>
        <v>0.3281140350877193</v>
      </c>
      <c r="I17" s="43">
        <v>7.4</v>
      </c>
      <c r="J17" s="44">
        <v>7.08</v>
      </c>
      <c r="K17" s="21">
        <f t="shared" si="3"/>
        <v>-4.324324324324328E-2</v>
      </c>
      <c r="L17" s="22">
        <f t="shared" si="4"/>
        <v>0.85212775651539996</v>
      </c>
      <c r="M17" s="48">
        <v>1</v>
      </c>
      <c r="N17" s="48">
        <v>1</v>
      </c>
      <c r="O17" s="44">
        <v>0</v>
      </c>
      <c r="P17" s="44">
        <v>0</v>
      </c>
      <c r="Q17" s="44" t="s">
        <v>175</v>
      </c>
    </row>
    <row r="18" spans="1:17">
      <c r="A18" s="79">
        <v>46127</v>
      </c>
      <c r="B18" s="43">
        <v>15317</v>
      </c>
      <c r="C18" s="43">
        <v>12300</v>
      </c>
      <c r="D18" s="44">
        <v>14434</v>
      </c>
      <c r="E18" s="44">
        <v>14100</v>
      </c>
      <c r="F18" s="21">
        <f t="shared" si="0"/>
        <v>0.17349593495934959</v>
      </c>
      <c r="G18" s="2">
        <f t="shared" si="1"/>
        <v>0.24250672043010751</v>
      </c>
      <c r="H18" s="2">
        <f t="shared" si="2"/>
        <v>0.31653508771929822</v>
      </c>
      <c r="I18" s="43">
        <v>7.4</v>
      </c>
      <c r="J18" s="44">
        <v>7.13</v>
      </c>
      <c r="K18" s="21">
        <f t="shared" si="3"/>
        <v>-3.6486486486486544E-2</v>
      </c>
      <c r="L18" s="22">
        <f t="shared" si="4"/>
        <v>0.81629190607609825</v>
      </c>
      <c r="M18" s="48">
        <v>1</v>
      </c>
      <c r="N18" s="48">
        <v>1</v>
      </c>
      <c r="O18" s="44">
        <v>0</v>
      </c>
      <c r="P18" s="44">
        <v>0</v>
      </c>
      <c r="Q18" s="44" t="s">
        <v>175</v>
      </c>
    </row>
    <row r="19" spans="1:17">
      <c r="A19" s="79">
        <v>46128</v>
      </c>
      <c r="B19" s="43">
        <v>15317</v>
      </c>
      <c r="C19" s="43">
        <v>12300</v>
      </c>
      <c r="D19" s="44">
        <v>14676</v>
      </c>
      <c r="E19" s="44">
        <v>14490</v>
      </c>
      <c r="F19" s="21">
        <f t="shared" si="0"/>
        <v>0.19317073170731708</v>
      </c>
      <c r="G19" s="2">
        <f t="shared" si="1"/>
        <v>0.2465725806451613</v>
      </c>
      <c r="H19" s="2">
        <f t="shared" si="2"/>
        <v>0.32184210526315787</v>
      </c>
      <c r="I19" s="43">
        <v>7.4</v>
      </c>
      <c r="J19" s="44">
        <v>7.26</v>
      </c>
      <c r="K19" s="21">
        <f t="shared" si="3"/>
        <v>-1.8918918918918996E-2</v>
      </c>
      <c r="L19" s="22">
        <f t="shared" si="4"/>
        <v>0.81511596907491335</v>
      </c>
      <c r="M19" s="48">
        <v>1</v>
      </c>
      <c r="N19" s="48">
        <v>1</v>
      </c>
      <c r="O19" s="44">
        <v>0</v>
      </c>
      <c r="P19" s="44">
        <v>0</v>
      </c>
      <c r="Q19" s="44" t="s">
        <v>175</v>
      </c>
    </row>
    <row r="20" spans="1:17">
      <c r="A20" s="79">
        <v>46129</v>
      </c>
      <c r="B20" s="43">
        <v>15317</v>
      </c>
      <c r="C20" s="43">
        <v>12300</v>
      </c>
      <c r="D20" s="44">
        <v>15461</v>
      </c>
      <c r="E20" s="44">
        <v>15330</v>
      </c>
      <c r="F20" s="21">
        <f t="shared" si="0"/>
        <v>0.25699186991869921</v>
      </c>
      <c r="G20" s="2">
        <f t="shared" si="1"/>
        <v>0.2597614247311828</v>
      </c>
      <c r="H20" s="2">
        <f t="shared" si="2"/>
        <v>0.33905701754385964</v>
      </c>
      <c r="I20" s="43">
        <v>7.4</v>
      </c>
      <c r="J20" s="44">
        <v>7.67</v>
      </c>
      <c r="K20" s="21">
        <f t="shared" si="3"/>
        <v>3.6486486486486426E-2</v>
      </c>
      <c r="L20" s="22">
        <f t="shared" si="4"/>
        <v>0.81281280228792541</v>
      </c>
      <c r="M20" s="48">
        <v>1</v>
      </c>
      <c r="N20" s="48">
        <v>1</v>
      </c>
      <c r="O20" s="44">
        <v>0</v>
      </c>
      <c r="P20" s="44">
        <v>0</v>
      </c>
      <c r="Q20" s="44" t="s">
        <v>175</v>
      </c>
    </row>
    <row r="21" spans="1:17">
      <c r="A21" s="79">
        <v>46130</v>
      </c>
      <c r="B21" s="43">
        <v>15317</v>
      </c>
      <c r="C21" s="43">
        <v>12300</v>
      </c>
      <c r="D21" s="44">
        <v>15685</v>
      </c>
      <c r="E21" s="44">
        <v>15390</v>
      </c>
      <c r="F21" s="21">
        <f t="shared" si="0"/>
        <v>0.27520325203252033</v>
      </c>
      <c r="G21" s="2">
        <f t="shared" si="1"/>
        <v>0.26352486559139787</v>
      </c>
      <c r="H21" s="2">
        <f t="shared" si="2"/>
        <v>0.34396929824561401</v>
      </c>
      <c r="I21" s="43">
        <v>7.4</v>
      </c>
      <c r="J21" s="44">
        <v>7.67</v>
      </c>
      <c r="K21" s="21">
        <f t="shared" si="3"/>
        <v>3.6486486486486426E-2</v>
      </c>
      <c r="L21" s="22">
        <f t="shared" si="4"/>
        <v>0.82458888842158395</v>
      </c>
      <c r="M21" s="48">
        <v>1</v>
      </c>
      <c r="N21" s="48">
        <v>1</v>
      </c>
      <c r="O21" s="44">
        <v>0</v>
      </c>
      <c r="P21" s="44">
        <v>0</v>
      </c>
      <c r="Q21" s="44" t="s">
        <v>175</v>
      </c>
    </row>
    <row r="22" spans="1:17">
      <c r="A22" s="79">
        <v>46131</v>
      </c>
      <c r="B22" s="43">
        <v>15317</v>
      </c>
      <c r="C22" s="43">
        <v>12300</v>
      </c>
      <c r="D22" s="44">
        <v>15824</v>
      </c>
      <c r="E22" s="44">
        <v>15570</v>
      </c>
      <c r="F22" s="21">
        <f t="shared" si="0"/>
        <v>0.2865040650406504</v>
      </c>
      <c r="G22" s="2">
        <f t="shared" si="1"/>
        <v>0.26586021505376345</v>
      </c>
      <c r="H22" s="2">
        <f t="shared" si="2"/>
        <v>0.34701754385964911</v>
      </c>
      <c r="I22" s="43">
        <v>7.4</v>
      </c>
      <c r="J22" s="44">
        <v>7.77</v>
      </c>
      <c r="K22" s="21">
        <f t="shared" si="3"/>
        <v>4.9999999999999892E-2</v>
      </c>
      <c r="L22" s="22">
        <f t="shared" si="4"/>
        <v>0.82118985344791806</v>
      </c>
      <c r="M22" s="48">
        <v>1</v>
      </c>
      <c r="N22" s="48">
        <v>1</v>
      </c>
      <c r="O22" s="44">
        <v>0</v>
      </c>
      <c r="P22" s="44">
        <v>0</v>
      </c>
      <c r="Q22" s="44" t="s">
        <v>175</v>
      </c>
    </row>
    <row r="23" spans="1:17">
      <c r="A23" s="79">
        <v>46132</v>
      </c>
      <c r="B23" s="43">
        <v>15317</v>
      </c>
      <c r="C23" s="43">
        <v>12300</v>
      </c>
      <c r="D23" s="44">
        <v>15266</v>
      </c>
      <c r="E23" s="44">
        <v>14940</v>
      </c>
      <c r="F23" s="21">
        <f t="shared" si="0"/>
        <v>0.24113821138211383</v>
      </c>
      <c r="G23" s="2">
        <f t="shared" si="1"/>
        <v>0.25648521505376343</v>
      </c>
      <c r="H23" s="2">
        <f t="shared" si="2"/>
        <v>0.33478070175438596</v>
      </c>
      <c r="I23" s="43">
        <v>7.4</v>
      </c>
      <c r="J23" s="44">
        <v>7.55</v>
      </c>
      <c r="K23" s="21">
        <f t="shared" si="3"/>
        <v>2.0270270270270199E-2</v>
      </c>
      <c r="L23" s="22">
        <f t="shared" si="4"/>
        <v>0.81531723990600302</v>
      </c>
      <c r="M23" s="48">
        <v>1</v>
      </c>
      <c r="N23" s="48">
        <v>1</v>
      </c>
      <c r="O23" s="44">
        <v>0</v>
      </c>
      <c r="P23" s="44">
        <v>0</v>
      </c>
      <c r="Q23" s="44" t="s">
        <v>175</v>
      </c>
    </row>
    <row r="24" spans="1:17">
      <c r="A24" s="79">
        <v>46133</v>
      </c>
      <c r="B24" s="43">
        <v>15317</v>
      </c>
      <c r="C24" s="43">
        <v>12300</v>
      </c>
      <c r="D24" s="44">
        <v>15881</v>
      </c>
      <c r="E24" s="44">
        <v>15690</v>
      </c>
      <c r="F24" s="21">
        <f t="shared" si="0"/>
        <v>0.29113821138211382</v>
      </c>
      <c r="G24" s="2">
        <f t="shared" si="1"/>
        <v>0.26681787634408605</v>
      </c>
      <c r="H24" s="2">
        <f t="shared" si="2"/>
        <v>0.34826754385964914</v>
      </c>
      <c r="I24" s="43">
        <v>7.4</v>
      </c>
      <c r="J24" s="44">
        <v>7.82</v>
      </c>
      <c r="K24" s="21">
        <f t="shared" si="3"/>
        <v>5.6756756756756746E-2</v>
      </c>
      <c r="L24" s="22">
        <f t="shared" si="4"/>
        <v>0.81887839287187514</v>
      </c>
      <c r="M24" s="48">
        <v>1</v>
      </c>
      <c r="N24" s="48">
        <v>1</v>
      </c>
      <c r="O24" s="44">
        <v>0</v>
      </c>
      <c r="P24" s="44">
        <v>0</v>
      </c>
      <c r="Q24" s="44" t="s">
        <v>175</v>
      </c>
    </row>
    <row r="25" spans="1:17">
      <c r="A25" s="79">
        <v>46134</v>
      </c>
      <c r="B25" s="43">
        <v>15317</v>
      </c>
      <c r="C25" s="43">
        <v>12300</v>
      </c>
      <c r="D25" s="44">
        <v>15801</v>
      </c>
      <c r="E25" s="44">
        <v>15660</v>
      </c>
      <c r="F25" s="21">
        <f t="shared" si="0"/>
        <v>0.28463414634146339</v>
      </c>
      <c r="G25" s="2">
        <f t="shared" si="1"/>
        <v>0.26547379032258067</v>
      </c>
      <c r="H25" s="2">
        <f t="shared" si="2"/>
        <v>0.34651315789473686</v>
      </c>
      <c r="I25" s="43">
        <v>7.4</v>
      </c>
      <c r="J25" s="44">
        <v>7.72</v>
      </c>
      <c r="K25" s="21">
        <f t="shared" si="3"/>
        <v>4.3243243243243162E-2</v>
      </c>
      <c r="L25" s="22">
        <f t="shared" si="4"/>
        <v>0.8253071201738259</v>
      </c>
      <c r="M25" s="48">
        <v>1</v>
      </c>
      <c r="N25" s="48">
        <v>1</v>
      </c>
      <c r="O25" s="44">
        <v>0</v>
      </c>
      <c r="P25" s="44">
        <v>0</v>
      </c>
      <c r="Q25" s="44" t="s">
        <v>175</v>
      </c>
    </row>
    <row r="26" spans="1:17">
      <c r="A26" s="79">
        <v>46135</v>
      </c>
      <c r="B26" s="43">
        <v>15317</v>
      </c>
      <c r="C26" s="43">
        <v>12300</v>
      </c>
      <c r="D26" s="44">
        <v>15323</v>
      </c>
      <c r="E26" s="44">
        <v>14880</v>
      </c>
      <c r="F26" s="21">
        <f t="shared" si="0"/>
        <v>0.24577235772357722</v>
      </c>
      <c r="G26" s="2">
        <f t="shared" si="1"/>
        <v>0.25744287634408602</v>
      </c>
      <c r="H26" s="2">
        <f t="shared" si="2"/>
        <v>0.33603070175438599</v>
      </c>
      <c r="I26" s="43">
        <v>7.4</v>
      </c>
      <c r="J26" s="44">
        <v>7.56</v>
      </c>
      <c r="K26" s="21">
        <f t="shared" si="3"/>
        <v>2.1621621621621519E-2</v>
      </c>
      <c r="L26" s="22">
        <f t="shared" si="4"/>
        <v>0.81727897252090809</v>
      </c>
      <c r="M26" s="48">
        <v>1</v>
      </c>
      <c r="N26" s="48">
        <v>1</v>
      </c>
      <c r="O26" s="44">
        <v>0</v>
      </c>
      <c r="P26" s="44">
        <v>0</v>
      </c>
      <c r="Q26" s="44" t="s">
        <v>175</v>
      </c>
    </row>
    <row r="27" spans="1:17">
      <c r="A27" s="79">
        <v>46136</v>
      </c>
      <c r="B27" s="43">
        <v>15317</v>
      </c>
      <c r="C27" s="43">
        <v>12300</v>
      </c>
      <c r="D27" s="44">
        <v>15287</v>
      </c>
      <c r="E27" s="44">
        <v>14940</v>
      </c>
      <c r="F27" s="21">
        <f t="shared" si="0"/>
        <v>0.24284552845528456</v>
      </c>
      <c r="G27" s="2">
        <f t="shared" si="1"/>
        <v>0.2568380376344086</v>
      </c>
      <c r="H27" s="2">
        <f t="shared" si="2"/>
        <v>0.33524122807017542</v>
      </c>
      <c r="I27" s="43">
        <v>7.4</v>
      </c>
      <c r="J27" s="44">
        <v>7.5</v>
      </c>
      <c r="K27" s="21">
        <f t="shared" si="3"/>
        <v>1.3513513513513466E-2</v>
      </c>
      <c r="L27" s="22">
        <f t="shared" si="4"/>
        <v>0.82188172043010754</v>
      </c>
      <c r="M27" s="48">
        <v>1</v>
      </c>
      <c r="N27" s="48">
        <v>1</v>
      </c>
      <c r="O27" s="44">
        <v>0</v>
      </c>
      <c r="P27" s="44">
        <v>0</v>
      </c>
      <c r="Q27" s="44" t="s">
        <v>175</v>
      </c>
    </row>
    <row r="28" spans="1:17">
      <c r="A28" s="79">
        <v>46137</v>
      </c>
      <c r="B28" s="43">
        <v>15317</v>
      </c>
      <c r="C28" s="43">
        <v>12300</v>
      </c>
      <c r="D28" s="44">
        <v>14953</v>
      </c>
      <c r="E28" s="44">
        <v>14730</v>
      </c>
      <c r="F28" s="21">
        <f t="shared" si="0"/>
        <v>0.21569105691056911</v>
      </c>
      <c r="G28" s="2">
        <f t="shared" si="1"/>
        <v>0.25122647849462365</v>
      </c>
      <c r="H28" s="2">
        <f t="shared" si="2"/>
        <v>0.32791666666666669</v>
      </c>
      <c r="I28" s="43">
        <v>7.4</v>
      </c>
      <c r="J28" s="44">
        <v>7.4</v>
      </c>
      <c r="K28" s="21">
        <f t="shared" si="3"/>
        <v>0</v>
      </c>
      <c r="L28" s="22">
        <f t="shared" si="4"/>
        <v>0.81478857890148215</v>
      </c>
      <c r="M28" s="48">
        <v>1</v>
      </c>
      <c r="N28" s="48">
        <v>1</v>
      </c>
      <c r="O28" s="44">
        <v>0</v>
      </c>
      <c r="P28" s="44">
        <v>0</v>
      </c>
      <c r="Q28" s="44" t="s">
        <v>175</v>
      </c>
    </row>
    <row r="29" spans="1:17">
      <c r="A29" s="79">
        <v>46138</v>
      </c>
      <c r="B29" s="43">
        <v>15317</v>
      </c>
      <c r="C29" s="43">
        <v>12300</v>
      </c>
      <c r="D29" s="44">
        <v>15466</v>
      </c>
      <c r="E29" s="44">
        <v>15270</v>
      </c>
      <c r="F29" s="21">
        <f t="shared" si="0"/>
        <v>0.25739837398373983</v>
      </c>
      <c r="G29" s="2">
        <f t="shared" si="1"/>
        <v>0.25984543010752686</v>
      </c>
      <c r="H29" s="2">
        <f t="shared" si="2"/>
        <v>0.33916666666666667</v>
      </c>
      <c r="I29" s="43">
        <v>7.4</v>
      </c>
      <c r="J29" s="44">
        <v>7.71</v>
      </c>
      <c r="K29" s="21">
        <f t="shared" si="3"/>
        <v>4.1891891891891839E-2</v>
      </c>
      <c r="L29" s="22">
        <f t="shared" si="4"/>
        <v>0.80885736998451951</v>
      </c>
      <c r="M29" s="48">
        <v>1</v>
      </c>
      <c r="N29" s="48">
        <v>1</v>
      </c>
      <c r="O29" s="44">
        <v>0</v>
      </c>
      <c r="P29" s="44">
        <v>0</v>
      </c>
      <c r="Q29" s="44" t="s">
        <v>175</v>
      </c>
    </row>
    <row r="30" spans="1:17">
      <c r="A30" s="79">
        <v>46139</v>
      </c>
      <c r="B30" s="43">
        <v>15317</v>
      </c>
      <c r="C30" s="43">
        <v>12300</v>
      </c>
      <c r="D30" s="44">
        <v>15346</v>
      </c>
      <c r="E30" s="44">
        <v>15150</v>
      </c>
      <c r="F30" s="21">
        <f t="shared" ref="F30:F33" si="5">(IF(ISBLANK(D30),0,D30-C30))/C30</f>
        <v>0.24764227642276423</v>
      </c>
      <c r="G30" s="2">
        <f t="shared" ref="G30:G33" si="6">D30/($D$2*24)</f>
        <v>0.2578293010752688</v>
      </c>
      <c r="H30" s="2">
        <f t="shared" ref="H30:H33" si="7">D30/($H$2*24)</f>
        <v>0.33653508771929824</v>
      </c>
      <c r="I30" s="43">
        <v>7.4</v>
      </c>
      <c r="J30" s="44">
        <v>7.5442499999999999</v>
      </c>
      <c r="K30" s="21">
        <f t="shared" ref="K30:K33" si="8">(IF(ISBLANK(J30),0,J30-I30))/I30</f>
        <v>1.9493243243243179E-2</v>
      </c>
      <c r="L30" s="22">
        <f t="shared" ref="L30:L33" si="9">D30/($D$2*J30)</f>
        <v>0.8202144979032312</v>
      </c>
      <c r="M30" s="48">
        <v>1</v>
      </c>
      <c r="N30" s="48">
        <v>1</v>
      </c>
      <c r="O30" s="44">
        <v>0</v>
      </c>
      <c r="P30" s="44">
        <v>0</v>
      </c>
      <c r="Q30" s="44" t="s">
        <v>175</v>
      </c>
    </row>
    <row r="31" spans="1:17">
      <c r="A31" s="79">
        <v>46140</v>
      </c>
      <c r="B31" s="43">
        <v>15317</v>
      </c>
      <c r="C31" s="43">
        <v>12300</v>
      </c>
      <c r="D31" s="44">
        <v>15121</v>
      </c>
      <c r="E31" s="44">
        <v>14850</v>
      </c>
      <c r="F31" s="21">
        <f t="shared" si="5"/>
        <v>0.22934959349593495</v>
      </c>
      <c r="G31" s="2">
        <f t="shared" si="6"/>
        <v>0.25404905913978493</v>
      </c>
      <c r="H31" s="2">
        <f t="shared" si="7"/>
        <v>0.33160087719298248</v>
      </c>
      <c r="I31" s="43">
        <v>7.4</v>
      </c>
      <c r="J31" s="44">
        <v>7.5015000000000001</v>
      </c>
      <c r="K31" s="21">
        <f t="shared" si="8"/>
        <v>1.3716216216216175E-2</v>
      </c>
      <c r="L31" s="22">
        <f t="shared" si="9"/>
        <v>0.81279443036123955</v>
      </c>
      <c r="M31" s="48">
        <v>1</v>
      </c>
      <c r="N31" s="48">
        <v>1</v>
      </c>
      <c r="O31" s="44">
        <v>0</v>
      </c>
      <c r="P31" s="44">
        <v>0</v>
      </c>
      <c r="Q31" s="44" t="s">
        <v>175</v>
      </c>
    </row>
    <row r="32" spans="1:17">
      <c r="A32" s="79">
        <v>46141</v>
      </c>
      <c r="B32" s="43">
        <v>15317</v>
      </c>
      <c r="C32" s="43">
        <v>12300</v>
      </c>
      <c r="D32" s="44">
        <v>14746</v>
      </c>
      <c r="E32" s="44">
        <v>14520</v>
      </c>
      <c r="F32" s="21">
        <f t="shared" si="5"/>
        <v>0.19886178861788617</v>
      </c>
      <c r="G32" s="2">
        <f t="shared" si="6"/>
        <v>0.24774865591397849</v>
      </c>
      <c r="H32" s="2">
        <f t="shared" si="7"/>
        <v>0.32337719298245615</v>
      </c>
      <c r="I32" s="43">
        <v>7.4</v>
      </c>
      <c r="J32" s="44">
        <v>7.3769999999999998</v>
      </c>
      <c r="K32" s="21">
        <f t="shared" si="8"/>
        <v>-3.1081081081081856E-3</v>
      </c>
      <c r="L32" s="22">
        <f t="shared" si="9"/>
        <v>0.8060143340023701</v>
      </c>
      <c r="M32" s="48">
        <v>1</v>
      </c>
      <c r="N32" s="48">
        <v>1</v>
      </c>
      <c r="O32" s="44">
        <v>0</v>
      </c>
      <c r="P32" s="44">
        <v>0</v>
      </c>
      <c r="Q32" s="44" t="s">
        <v>175</v>
      </c>
    </row>
    <row r="33" spans="1:17">
      <c r="A33" s="79">
        <v>46142</v>
      </c>
      <c r="B33" s="43">
        <v>15317</v>
      </c>
      <c r="C33" s="43">
        <v>12300</v>
      </c>
      <c r="D33" s="44">
        <v>13674</v>
      </c>
      <c r="E33" s="44">
        <v>13380</v>
      </c>
      <c r="F33" s="21">
        <f t="shared" si="5"/>
        <v>0.11170731707317073</v>
      </c>
      <c r="G33" s="2">
        <f t="shared" si="6"/>
        <v>0.22973790322580645</v>
      </c>
      <c r="H33" s="2">
        <f t="shared" si="7"/>
        <v>0.29986842105263156</v>
      </c>
      <c r="I33" s="43">
        <v>7.4</v>
      </c>
      <c r="J33" s="44">
        <v>6.7472500000000002</v>
      </c>
      <c r="K33" s="21">
        <f t="shared" si="8"/>
        <v>-8.8209459459459474E-2</v>
      </c>
      <c r="L33" s="22">
        <f t="shared" si="9"/>
        <v>0.81717880283365141</v>
      </c>
      <c r="M33" s="48">
        <v>1</v>
      </c>
      <c r="N33" s="48">
        <v>1</v>
      </c>
      <c r="O33" s="44">
        <v>0</v>
      </c>
      <c r="P33" s="44">
        <v>0</v>
      </c>
      <c r="Q33" s="44" t="s">
        <v>175</v>
      </c>
    </row>
    <row r="34" spans="1:17">
      <c r="A34" s="349">
        <v>46113</v>
      </c>
      <c r="B34" s="80">
        <f>SUM(B4:B33)</f>
        <v>459510</v>
      </c>
      <c r="C34" s="80">
        <f>SUM(C4:C33)</f>
        <v>369000</v>
      </c>
      <c r="D34" s="80">
        <f>SUM(D4:D33)</f>
        <v>436294</v>
      </c>
      <c r="E34" s="80">
        <f>SUM(E4:E33)</f>
        <v>428190</v>
      </c>
      <c r="F34" s="160">
        <f>(IF(ISBLANK(D34),0,D34-C34))/C34</f>
        <v>0.18236856368563686</v>
      </c>
      <c r="G34" s="81">
        <f>AVERAGE(G4:G33)</f>
        <v>0.24434027777777781</v>
      </c>
      <c r="H34" s="81">
        <f>AVERAGE(H4:H33)</f>
        <v>0.31892836257309942</v>
      </c>
      <c r="I34" s="80">
        <f>SUM(I4:I33)</f>
        <v>222.00000000000011</v>
      </c>
      <c r="J34" s="80">
        <f>SUM(J4:J33)</f>
        <v>208.34000000000003</v>
      </c>
      <c r="K34" s="160">
        <f>(IF(ISBLANK(J34),0,J34-I34))/I34</f>
        <v>-6.1531531531531868E-2</v>
      </c>
      <c r="L34" s="81">
        <f>AVERAGE(L4:L33)</f>
        <v>0.8473821620060773</v>
      </c>
      <c r="M34" s="81">
        <f>AVERAGE(M4:M33)</f>
        <v>1</v>
      </c>
      <c r="N34" s="81">
        <f>AVERAGE(N4:N33)</f>
        <v>1</v>
      </c>
      <c r="O34" s="80">
        <f>SUM(O4:O33)</f>
        <v>0</v>
      </c>
      <c r="P34" s="80">
        <f>SUM(P4:P33)</f>
        <v>0</v>
      </c>
      <c r="Q34" s="80" t="s">
        <v>175</v>
      </c>
    </row>
    <row r="35" spans="1:17">
      <c r="A35" s="13">
        <v>46143</v>
      </c>
      <c r="B35" s="127">
        <v>13948.4</v>
      </c>
      <c r="C35" s="127">
        <v>11200.55</v>
      </c>
      <c r="D35" s="33">
        <v>13678</v>
      </c>
      <c r="E35" s="33">
        <v>13470</v>
      </c>
      <c r="F35" s="20">
        <f>(IF(ISBLANK(E35),0,E35-C35))/C35</f>
        <v>0.2026195142202839</v>
      </c>
      <c r="G35" s="2">
        <f t="shared" ref="G35:G57" si="10">D35/($D$2*24)</f>
        <v>0.22980510752688171</v>
      </c>
      <c r="H35" s="2">
        <f t="shared" ref="H35:H61" si="11">D35/($H$2*24)</f>
        <v>0.2999561403508772</v>
      </c>
      <c r="I35" s="28">
        <v>6.99</v>
      </c>
      <c r="J35" s="33">
        <v>6.625</v>
      </c>
      <c r="K35" s="20">
        <f>(IF(ISBLANK(J35),0,J35-I35))/I35</f>
        <v>-5.2217453505007179E-2</v>
      </c>
      <c r="L35" s="4">
        <f t="shared" ref="L35:L66" si="12">D35/($D$2*J35)</f>
        <v>0.83250152160681679</v>
      </c>
      <c r="M35" s="103">
        <v>1</v>
      </c>
      <c r="N35" s="103">
        <v>1</v>
      </c>
      <c r="O35" s="44">
        <v>0</v>
      </c>
      <c r="P35" s="44">
        <v>0</v>
      </c>
      <c r="Q35" s="6"/>
    </row>
    <row r="36" spans="1:17">
      <c r="A36" s="13">
        <f>A35+1</f>
        <v>46144</v>
      </c>
      <c r="B36" s="127">
        <v>13948.4</v>
      </c>
      <c r="C36" s="127">
        <v>11200.55</v>
      </c>
      <c r="D36" s="34">
        <v>13234</v>
      </c>
      <c r="E36" s="34">
        <v>12990</v>
      </c>
      <c r="F36" s="20">
        <f t="shared" ref="F36:F54" si="13">(IF(ISBLANK(E36),0,E36-C36))/C36</f>
        <v>0.15976447585163236</v>
      </c>
      <c r="G36" s="2">
        <f t="shared" si="10"/>
        <v>0.22234543010752689</v>
      </c>
      <c r="H36" s="2">
        <f t="shared" si="11"/>
        <v>0.29021929824561404</v>
      </c>
      <c r="I36" s="28">
        <v>6.99</v>
      </c>
      <c r="J36" s="34">
        <v>6.5979999999999999</v>
      </c>
      <c r="K36" s="20">
        <f t="shared" ref="K36:K54" si="14">(IF(ISBLANK(J36),0,J36-I36))/I36</f>
        <v>-5.6080114449213209E-2</v>
      </c>
      <c r="L36" s="4">
        <f t="shared" si="12"/>
        <v>0.80877391976063129</v>
      </c>
      <c r="M36" s="103">
        <v>1</v>
      </c>
      <c r="N36" s="103">
        <v>1</v>
      </c>
      <c r="O36" s="44">
        <v>0</v>
      </c>
      <c r="P36" s="44">
        <v>0</v>
      </c>
      <c r="Q36" s="6"/>
    </row>
    <row r="37" spans="1:17">
      <c r="A37" s="13">
        <f t="shared" ref="A37:A65" si="15">A36+1</f>
        <v>46145</v>
      </c>
      <c r="B37" s="127">
        <v>13948.4</v>
      </c>
      <c r="C37" s="127">
        <v>11200.55</v>
      </c>
      <c r="D37" s="34">
        <v>12926</v>
      </c>
      <c r="E37" s="34">
        <v>12780</v>
      </c>
      <c r="F37" s="20">
        <f t="shared" si="13"/>
        <v>0.14101539656534731</v>
      </c>
      <c r="G37" s="2">
        <f t="shared" si="10"/>
        <v>0.21717069892473118</v>
      </c>
      <c r="H37" s="2">
        <f t="shared" si="11"/>
        <v>0.28346491228070175</v>
      </c>
      <c r="I37" s="28">
        <v>6.99</v>
      </c>
      <c r="J37" s="34">
        <v>6.4470000000000001</v>
      </c>
      <c r="K37" s="20">
        <f t="shared" si="14"/>
        <v>-7.7682403433476419E-2</v>
      </c>
      <c r="L37" s="4">
        <f t="shared" si="12"/>
        <v>0.80845304392640738</v>
      </c>
      <c r="M37" s="103">
        <v>1</v>
      </c>
      <c r="N37" s="104">
        <v>1</v>
      </c>
      <c r="O37" s="44">
        <v>0</v>
      </c>
      <c r="P37" s="44">
        <v>0</v>
      </c>
      <c r="Q37" s="6"/>
    </row>
    <row r="38" spans="1:17">
      <c r="A38" s="13">
        <f t="shared" si="15"/>
        <v>46146</v>
      </c>
      <c r="B38" s="127">
        <v>13948.4</v>
      </c>
      <c r="C38" s="127">
        <v>11200.55</v>
      </c>
      <c r="D38" s="34">
        <v>12882</v>
      </c>
      <c r="E38" s="34">
        <v>12750</v>
      </c>
      <c r="F38" s="20">
        <f t="shared" si="13"/>
        <v>0.13833695666730658</v>
      </c>
      <c r="G38" s="2">
        <f t="shared" si="10"/>
        <v>0.21643145161290323</v>
      </c>
      <c r="H38" s="2">
        <f t="shared" si="11"/>
        <v>0.28249999999999997</v>
      </c>
      <c r="I38" s="28">
        <v>6.99</v>
      </c>
      <c r="J38" s="34">
        <v>6.4530000000000003</v>
      </c>
      <c r="K38" s="20">
        <f t="shared" si="14"/>
        <v>-7.6824034334763938E-2</v>
      </c>
      <c r="L38" s="4">
        <f t="shared" si="12"/>
        <v>0.80495193533390319</v>
      </c>
      <c r="M38" s="103">
        <v>1</v>
      </c>
      <c r="N38" s="103">
        <v>1</v>
      </c>
      <c r="O38" s="44">
        <v>0</v>
      </c>
      <c r="P38" s="44">
        <v>0</v>
      </c>
      <c r="Q38" s="14"/>
    </row>
    <row r="39" spans="1:17">
      <c r="A39" s="13">
        <f t="shared" si="15"/>
        <v>46147</v>
      </c>
      <c r="B39" s="127">
        <v>13948.4</v>
      </c>
      <c r="C39" s="127">
        <v>11200.55</v>
      </c>
      <c r="D39" s="34">
        <v>12656</v>
      </c>
      <c r="E39" s="34">
        <v>12450</v>
      </c>
      <c r="F39" s="20">
        <f t="shared" si="13"/>
        <v>0.11155255768689938</v>
      </c>
      <c r="G39" s="2">
        <f t="shared" si="10"/>
        <v>0.21263440860215055</v>
      </c>
      <c r="H39" s="2">
        <f t="shared" si="11"/>
        <v>0.27754385964912281</v>
      </c>
      <c r="I39" s="28">
        <v>6.99</v>
      </c>
      <c r="J39" s="34">
        <v>6.2119999999999997</v>
      </c>
      <c r="K39" s="20">
        <f t="shared" si="14"/>
        <v>-0.11130185979971394</v>
      </c>
      <c r="L39" s="4">
        <f t="shared" si="12"/>
        <v>0.82151091539787713</v>
      </c>
      <c r="M39" s="103">
        <v>1</v>
      </c>
      <c r="N39" s="103">
        <v>1</v>
      </c>
      <c r="O39" s="44">
        <v>0</v>
      </c>
      <c r="P39" s="44">
        <v>0</v>
      </c>
      <c r="Q39" s="14"/>
    </row>
    <row r="40" spans="1:17">
      <c r="A40" s="13">
        <f t="shared" si="15"/>
        <v>46148</v>
      </c>
      <c r="B40" s="127">
        <v>13948.4</v>
      </c>
      <c r="C40" s="127">
        <v>11200.55</v>
      </c>
      <c r="D40" s="34"/>
      <c r="E40" s="34"/>
      <c r="F40" s="20">
        <f t="shared" si="13"/>
        <v>0</v>
      </c>
      <c r="G40" s="2">
        <f t="shared" si="10"/>
        <v>0</v>
      </c>
      <c r="H40" s="2">
        <f t="shared" si="11"/>
        <v>0</v>
      </c>
      <c r="I40" s="28">
        <v>6.99</v>
      </c>
      <c r="J40" s="34"/>
      <c r="K40" s="20">
        <f t="shared" si="14"/>
        <v>0</v>
      </c>
      <c r="L40" s="4" t="e">
        <f t="shared" si="12"/>
        <v>#DIV/0!</v>
      </c>
      <c r="M40" s="103"/>
      <c r="N40" s="103"/>
      <c r="O40" s="34"/>
      <c r="P40" s="6"/>
      <c r="Q40" s="14"/>
    </row>
    <row r="41" spans="1:17">
      <c r="A41" s="13">
        <f t="shared" si="15"/>
        <v>46149</v>
      </c>
      <c r="B41" s="127">
        <v>13948.4</v>
      </c>
      <c r="C41" s="127">
        <v>11200.55</v>
      </c>
      <c r="D41" s="34"/>
      <c r="E41" s="34"/>
      <c r="F41" s="20">
        <f t="shared" si="13"/>
        <v>0</v>
      </c>
      <c r="G41" s="2">
        <f t="shared" si="10"/>
        <v>0</v>
      </c>
      <c r="H41" s="2">
        <f t="shared" si="11"/>
        <v>0</v>
      </c>
      <c r="I41" s="28">
        <v>6.99</v>
      </c>
      <c r="J41" s="34"/>
      <c r="K41" s="20">
        <f t="shared" si="14"/>
        <v>0</v>
      </c>
      <c r="L41" s="4" t="e">
        <f t="shared" si="12"/>
        <v>#DIV/0!</v>
      </c>
      <c r="M41" s="103"/>
      <c r="N41" s="103"/>
      <c r="O41" s="34"/>
      <c r="P41" s="6"/>
      <c r="Q41" s="202"/>
    </row>
    <row r="42" spans="1:17">
      <c r="A42" s="13">
        <f t="shared" si="15"/>
        <v>46150</v>
      </c>
      <c r="B42" s="127"/>
      <c r="C42" s="127"/>
      <c r="D42" s="34"/>
      <c r="E42" s="34"/>
      <c r="F42" s="20" t="e">
        <f t="shared" si="13"/>
        <v>#DIV/0!</v>
      </c>
      <c r="G42" s="2">
        <f t="shared" si="10"/>
        <v>0</v>
      </c>
      <c r="H42" s="2">
        <f t="shared" si="11"/>
        <v>0</v>
      </c>
      <c r="I42" s="29"/>
      <c r="J42" s="34"/>
      <c r="K42" s="20" t="e">
        <f t="shared" si="14"/>
        <v>#DIV/0!</v>
      </c>
      <c r="L42" s="4" t="e">
        <f t="shared" si="12"/>
        <v>#DIV/0!</v>
      </c>
      <c r="M42" s="103"/>
      <c r="N42" s="103"/>
      <c r="O42" s="34"/>
      <c r="P42" s="6"/>
      <c r="Q42" s="14"/>
    </row>
    <row r="43" spans="1:17">
      <c r="A43" s="13">
        <f t="shared" si="15"/>
        <v>46151</v>
      </c>
      <c r="B43" s="127"/>
      <c r="C43" s="127"/>
      <c r="D43" s="34"/>
      <c r="E43" s="34"/>
      <c r="F43" s="20" t="e">
        <f t="shared" si="13"/>
        <v>#DIV/0!</v>
      </c>
      <c r="G43" s="2">
        <f t="shared" si="10"/>
        <v>0</v>
      </c>
      <c r="H43" s="2">
        <f t="shared" si="11"/>
        <v>0</v>
      </c>
      <c r="I43" s="29"/>
      <c r="J43" s="34"/>
      <c r="K43" s="20" t="e">
        <f t="shared" si="14"/>
        <v>#DIV/0!</v>
      </c>
      <c r="L43" s="4" t="e">
        <f t="shared" si="12"/>
        <v>#DIV/0!</v>
      </c>
      <c r="M43" s="103"/>
      <c r="N43" s="103"/>
      <c r="O43" s="34"/>
      <c r="P43" s="6"/>
      <c r="Q43" s="6"/>
    </row>
    <row r="44" spans="1:17">
      <c r="A44" s="13">
        <f t="shared" si="15"/>
        <v>46152</v>
      </c>
      <c r="B44" s="127"/>
      <c r="C44" s="127"/>
      <c r="D44" s="34"/>
      <c r="E44" s="34"/>
      <c r="F44" s="20" t="e">
        <f t="shared" si="13"/>
        <v>#DIV/0!</v>
      </c>
      <c r="G44" s="2">
        <f t="shared" si="10"/>
        <v>0</v>
      </c>
      <c r="H44" s="2">
        <f t="shared" si="11"/>
        <v>0</v>
      </c>
      <c r="I44" s="29"/>
      <c r="J44" s="34"/>
      <c r="K44" s="20" t="e">
        <f t="shared" si="14"/>
        <v>#DIV/0!</v>
      </c>
      <c r="L44" s="4" t="e">
        <f t="shared" si="12"/>
        <v>#DIV/0!</v>
      </c>
      <c r="M44" s="103"/>
      <c r="N44" s="103"/>
      <c r="O44" s="34"/>
      <c r="P44" s="6"/>
      <c r="Q44" s="16"/>
    </row>
    <row r="45" spans="1:17">
      <c r="A45" s="13">
        <f t="shared" si="15"/>
        <v>46153</v>
      </c>
      <c r="B45" s="127"/>
      <c r="C45" s="127"/>
      <c r="D45" s="34"/>
      <c r="E45" s="34"/>
      <c r="F45" s="20" t="e">
        <f t="shared" si="13"/>
        <v>#DIV/0!</v>
      </c>
      <c r="G45" s="2">
        <f t="shared" si="10"/>
        <v>0</v>
      </c>
      <c r="H45" s="2">
        <f t="shared" si="11"/>
        <v>0</v>
      </c>
      <c r="I45" s="29"/>
      <c r="J45" s="34"/>
      <c r="K45" s="20" t="e">
        <f t="shared" si="14"/>
        <v>#DIV/0!</v>
      </c>
      <c r="L45" s="4" t="e">
        <f t="shared" si="12"/>
        <v>#DIV/0!</v>
      </c>
      <c r="M45" s="103"/>
      <c r="N45" s="103"/>
      <c r="O45" s="34"/>
      <c r="P45" s="6"/>
      <c r="Q45" s="6"/>
    </row>
    <row r="46" spans="1:17">
      <c r="A46" s="13">
        <f t="shared" si="15"/>
        <v>46154</v>
      </c>
      <c r="B46" s="127"/>
      <c r="C46" s="127"/>
      <c r="D46" s="34"/>
      <c r="E46" s="34"/>
      <c r="F46" s="20" t="e">
        <f t="shared" si="13"/>
        <v>#DIV/0!</v>
      </c>
      <c r="G46" s="2">
        <f t="shared" si="10"/>
        <v>0</v>
      </c>
      <c r="H46" s="2">
        <f t="shared" si="11"/>
        <v>0</v>
      </c>
      <c r="I46" s="29"/>
      <c r="J46" s="34"/>
      <c r="K46" s="20" t="e">
        <f t="shared" si="14"/>
        <v>#DIV/0!</v>
      </c>
      <c r="L46" s="4" t="e">
        <f t="shared" si="12"/>
        <v>#DIV/0!</v>
      </c>
      <c r="M46" s="104"/>
      <c r="N46" s="103"/>
      <c r="O46" s="34"/>
      <c r="P46" s="6"/>
      <c r="Q46" s="6"/>
    </row>
    <row r="47" spans="1:17">
      <c r="A47" s="13">
        <f t="shared" si="15"/>
        <v>46155</v>
      </c>
      <c r="B47" s="127"/>
      <c r="C47" s="127"/>
      <c r="D47" s="34"/>
      <c r="E47" s="34"/>
      <c r="F47" s="20" t="e">
        <f t="shared" si="13"/>
        <v>#DIV/0!</v>
      </c>
      <c r="G47" s="2">
        <f t="shared" si="10"/>
        <v>0</v>
      </c>
      <c r="H47" s="2">
        <f t="shared" si="11"/>
        <v>0</v>
      </c>
      <c r="I47" s="29"/>
      <c r="J47" s="34"/>
      <c r="K47" s="20" t="e">
        <f t="shared" si="14"/>
        <v>#DIV/0!</v>
      </c>
      <c r="L47" s="4" t="e">
        <f t="shared" si="12"/>
        <v>#DIV/0!</v>
      </c>
      <c r="M47" s="104"/>
      <c r="N47" s="103"/>
      <c r="O47" s="34"/>
      <c r="P47" s="6"/>
      <c r="Q47" s="31"/>
    </row>
    <row r="48" spans="1:17">
      <c r="A48" s="13">
        <f t="shared" si="15"/>
        <v>46156</v>
      </c>
      <c r="B48" s="127"/>
      <c r="C48" s="127"/>
      <c r="D48" s="34"/>
      <c r="E48" s="34"/>
      <c r="F48" s="20" t="e">
        <f t="shared" si="13"/>
        <v>#DIV/0!</v>
      </c>
      <c r="G48" s="2">
        <f t="shared" si="10"/>
        <v>0</v>
      </c>
      <c r="H48" s="2">
        <f t="shared" si="11"/>
        <v>0</v>
      </c>
      <c r="I48" s="29"/>
      <c r="J48" s="34"/>
      <c r="K48" s="20" t="e">
        <f t="shared" si="14"/>
        <v>#DIV/0!</v>
      </c>
      <c r="L48" s="4" t="e">
        <f t="shared" si="12"/>
        <v>#DIV/0!</v>
      </c>
      <c r="M48" s="104"/>
      <c r="N48" s="103"/>
      <c r="O48" s="34"/>
      <c r="P48" s="6"/>
      <c r="Q48" s="32"/>
    </row>
    <row r="49" spans="1:17">
      <c r="A49" s="13">
        <f t="shared" si="15"/>
        <v>46157</v>
      </c>
      <c r="B49" s="127"/>
      <c r="C49" s="127"/>
      <c r="D49" s="34"/>
      <c r="E49" s="34"/>
      <c r="F49" s="20" t="e">
        <f t="shared" si="13"/>
        <v>#DIV/0!</v>
      </c>
      <c r="G49" s="2">
        <f t="shared" si="10"/>
        <v>0</v>
      </c>
      <c r="H49" s="2">
        <f t="shared" si="11"/>
        <v>0</v>
      </c>
      <c r="I49" s="29"/>
      <c r="J49" s="34"/>
      <c r="K49" s="20" t="e">
        <f t="shared" si="14"/>
        <v>#DIV/0!</v>
      </c>
      <c r="L49" s="4" t="e">
        <f t="shared" si="12"/>
        <v>#DIV/0!</v>
      </c>
      <c r="M49" s="104"/>
      <c r="N49" s="103"/>
      <c r="O49" s="34"/>
      <c r="P49" s="6"/>
      <c r="Q49" s="32"/>
    </row>
    <row r="50" spans="1:17">
      <c r="A50" s="13">
        <f t="shared" si="15"/>
        <v>46158</v>
      </c>
      <c r="B50" s="127"/>
      <c r="C50" s="127"/>
      <c r="D50" s="34"/>
      <c r="E50" s="34"/>
      <c r="F50" s="20" t="e">
        <f t="shared" si="13"/>
        <v>#DIV/0!</v>
      </c>
      <c r="G50" s="2">
        <f t="shared" si="10"/>
        <v>0</v>
      </c>
      <c r="H50" s="2">
        <f t="shared" si="11"/>
        <v>0</v>
      </c>
      <c r="I50" s="29"/>
      <c r="J50" s="34"/>
      <c r="K50" s="20" t="e">
        <f t="shared" si="14"/>
        <v>#DIV/0!</v>
      </c>
      <c r="L50" s="4" t="e">
        <f t="shared" si="12"/>
        <v>#DIV/0!</v>
      </c>
      <c r="M50" s="104"/>
      <c r="N50" s="103"/>
      <c r="O50" s="34"/>
      <c r="P50" s="6"/>
      <c r="Q50" s="32"/>
    </row>
    <row r="51" spans="1:17">
      <c r="A51" s="13">
        <f t="shared" si="15"/>
        <v>46159</v>
      </c>
      <c r="B51" s="127"/>
      <c r="C51" s="127"/>
      <c r="D51" s="34"/>
      <c r="E51" s="34"/>
      <c r="F51" s="20" t="e">
        <f t="shared" si="13"/>
        <v>#DIV/0!</v>
      </c>
      <c r="G51" s="2">
        <f t="shared" si="10"/>
        <v>0</v>
      </c>
      <c r="H51" s="2">
        <f t="shared" si="11"/>
        <v>0</v>
      </c>
      <c r="I51" s="29"/>
      <c r="J51" s="34"/>
      <c r="K51" s="20" t="e">
        <f t="shared" si="14"/>
        <v>#DIV/0!</v>
      </c>
      <c r="L51" s="4" t="e">
        <f t="shared" si="12"/>
        <v>#DIV/0!</v>
      </c>
      <c r="M51" s="103"/>
      <c r="N51" s="103"/>
      <c r="O51" s="34"/>
      <c r="P51" s="6"/>
      <c r="Q51" s="6"/>
    </row>
    <row r="52" spans="1:17">
      <c r="A52" s="13">
        <f t="shared" si="15"/>
        <v>46160</v>
      </c>
      <c r="B52" s="127"/>
      <c r="C52" s="127"/>
      <c r="D52" s="34"/>
      <c r="E52" s="34"/>
      <c r="F52" s="20" t="e">
        <f t="shared" si="13"/>
        <v>#DIV/0!</v>
      </c>
      <c r="G52" s="2">
        <f t="shared" si="10"/>
        <v>0</v>
      </c>
      <c r="H52" s="2">
        <f t="shared" si="11"/>
        <v>0</v>
      </c>
      <c r="I52" s="29"/>
      <c r="J52" s="34"/>
      <c r="K52" s="20" t="e">
        <f t="shared" si="14"/>
        <v>#DIV/0!</v>
      </c>
      <c r="L52" s="4" t="e">
        <f t="shared" si="12"/>
        <v>#DIV/0!</v>
      </c>
      <c r="M52" s="103"/>
      <c r="N52" s="103"/>
      <c r="O52" s="34"/>
      <c r="P52" s="6"/>
      <c r="Q52" s="14"/>
    </row>
    <row r="53" spans="1:17">
      <c r="A53" s="13">
        <f t="shared" si="15"/>
        <v>46161</v>
      </c>
      <c r="B53" s="127"/>
      <c r="C53" s="127"/>
      <c r="D53" s="34"/>
      <c r="E53" s="34"/>
      <c r="F53" s="20" t="e">
        <f t="shared" si="13"/>
        <v>#DIV/0!</v>
      </c>
      <c r="G53" s="2">
        <f t="shared" si="10"/>
        <v>0</v>
      </c>
      <c r="H53" s="2">
        <f t="shared" si="11"/>
        <v>0</v>
      </c>
      <c r="I53" s="29"/>
      <c r="J53" s="34"/>
      <c r="K53" s="20" t="e">
        <f t="shared" si="14"/>
        <v>#DIV/0!</v>
      </c>
      <c r="L53" s="4" t="e">
        <f t="shared" si="12"/>
        <v>#DIV/0!</v>
      </c>
      <c r="M53" s="103"/>
      <c r="N53" s="103"/>
      <c r="O53" s="34"/>
      <c r="P53" s="6"/>
      <c r="Q53" s="14"/>
    </row>
    <row r="54" spans="1:17">
      <c r="A54" s="13">
        <f t="shared" si="15"/>
        <v>46162</v>
      </c>
      <c r="B54" s="127"/>
      <c r="C54" s="127"/>
      <c r="D54" s="34"/>
      <c r="E54" s="34"/>
      <c r="F54" s="20" t="e">
        <f t="shared" si="13"/>
        <v>#DIV/0!</v>
      </c>
      <c r="G54" s="2">
        <f t="shared" si="10"/>
        <v>0</v>
      </c>
      <c r="H54" s="2">
        <f t="shared" si="11"/>
        <v>0</v>
      </c>
      <c r="I54" s="29"/>
      <c r="J54" s="34"/>
      <c r="K54" s="20" t="e">
        <f t="shared" si="14"/>
        <v>#DIV/0!</v>
      </c>
      <c r="L54" s="4" t="e">
        <f t="shared" si="12"/>
        <v>#DIV/0!</v>
      </c>
      <c r="M54" s="103"/>
      <c r="N54" s="103"/>
      <c r="O54" s="34"/>
      <c r="P54" s="6"/>
      <c r="Q54" s="14"/>
    </row>
    <row r="55" spans="1:17">
      <c r="A55" s="13">
        <f t="shared" si="15"/>
        <v>46163</v>
      </c>
      <c r="B55" s="127"/>
      <c r="C55" s="127"/>
      <c r="D55" s="34"/>
      <c r="E55" s="34"/>
      <c r="F55" s="20" t="e">
        <f>(IF(ISBLANK(E55),0,E55-C55))/C55</f>
        <v>#DIV/0!</v>
      </c>
      <c r="G55" s="2">
        <f t="shared" si="10"/>
        <v>0</v>
      </c>
      <c r="H55" s="2">
        <f t="shared" si="11"/>
        <v>0</v>
      </c>
      <c r="I55" s="29"/>
      <c r="J55" s="34"/>
      <c r="K55" s="20" t="e">
        <f>(IF(ISBLANK(J55),0,J55-I55))/I55</f>
        <v>#DIV/0!</v>
      </c>
      <c r="L55" s="4" t="e">
        <f t="shared" si="12"/>
        <v>#DIV/0!</v>
      </c>
      <c r="M55" s="103"/>
      <c r="N55" s="103"/>
      <c r="O55" s="34"/>
      <c r="P55" s="6"/>
      <c r="Q55" s="6"/>
    </row>
    <row r="56" spans="1:17">
      <c r="A56" s="13">
        <f t="shared" si="15"/>
        <v>46164</v>
      </c>
      <c r="B56" s="127"/>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2"/>
        <v>#DIV/0!</v>
      </c>
      <c r="M56" s="103"/>
      <c r="N56" s="103"/>
      <c r="O56" s="34"/>
      <c r="P56" s="6"/>
      <c r="Q56" s="6"/>
    </row>
    <row r="57" spans="1:17">
      <c r="A57" s="13">
        <f t="shared" si="15"/>
        <v>46165</v>
      </c>
      <c r="B57" s="127"/>
      <c r="C57" s="127"/>
      <c r="D57" s="14"/>
      <c r="E57" s="14"/>
      <c r="F57" s="20" t="e">
        <f t="shared" si="16"/>
        <v>#DIV/0!</v>
      </c>
      <c r="G57" s="2">
        <f t="shared" si="10"/>
        <v>0</v>
      </c>
      <c r="H57" s="2">
        <f t="shared" si="11"/>
        <v>0</v>
      </c>
      <c r="I57" s="29"/>
      <c r="J57" s="14"/>
      <c r="K57" s="20" t="e">
        <f t="shared" si="17"/>
        <v>#DIV/0!</v>
      </c>
      <c r="L57" s="4" t="e">
        <f t="shared" si="12"/>
        <v>#DIV/0!</v>
      </c>
      <c r="M57" s="103"/>
      <c r="N57" s="103"/>
      <c r="O57" s="34"/>
      <c r="P57" s="6"/>
      <c r="Q57" s="6"/>
    </row>
    <row r="58" spans="1:17">
      <c r="A58" s="13">
        <f t="shared" si="15"/>
        <v>46166</v>
      </c>
      <c r="B58" s="127"/>
      <c r="C58" s="127"/>
      <c r="D58" s="14"/>
      <c r="E58" s="14"/>
      <c r="F58" s="20" t="e">
        <f t="shared" si="16"/>
        <v>#DIV/0!</v>
      </c>
      <c r="G58" s="2">
        <f t="shared" ref="G58:G65" si="18">D58/($D$2*24)</f>
        <v>0</v>
      </c>
      <c r="H58" s="2">
        <f t="shared" si="11"/>
        <v>0</v>
      </c>
      <c r="I58" s="29"/>
      <c r="J58" s="14"/>
      <c r="K58" s="20" t="e">
        <f t="shared" si="17"/>
        <v>#DIV/0!</v>
      </c>
      <c r="L58" s="4" t="e">
        <f t="shared" si="12"/>
        <v>#DIV/0!</v>
      </c>
      <c r="M58" s="103"/>
      <c r="N58" s="103"/>
      <c r="O58" s="34"/>
      <c r="P58" s="6"/>
      <c r="Q58" s="288"/>
    </row>
    <row r="59" spans="1:17">
      <c r="A59" s="13">
        <f t="shared" si="15"/>
        <v>46167</v>
      </c>
      <c r="B59" s="1"/>
      <c r="C59" s="1"/>
      <c r="D59" s="14"/>
      <c r="E59" s="14"/>
      <c r="F59" s="20" t="e">
        <f t="shared" si="16"/>
        <v>#DIV/0!</v>
      </c>
      <c r="G59" s="2">
        <f t="shared" si="18"/>
        <v>0</v>
      </c>
      <c r="H59" s="2">
        <f t="shared" si="11"/>
        <v>0</v>
      </c>
      <c r="I59" s="29"/>
      <c r="J59" s="14"/>
      <c r="K59" s="20" t="e">
        <f t="shared" si="17"/>
        <v>#DIV/0!</v>
      </c>
      <c r="L59" s="4" t="e">
        <f t="shared" si="12"/>
        <v>#DIV/0!</v>
      </c>
      <c r="M59" s="103"/>
      <c r="N59" s="103"/>
      <c r="O59" s="34"/>
      <c r="P59" s="155"/>
      <c r="Q59" s="6"/>
    </row>
    <row r="60" spans="1:17">
      <c r="A60" s="13">
        <f t="shared" si="15"/>
        <v>46168</v>
      </c>
      <c r="B60" s="1"/>
      <c r="C60" s="1"/>
      <c r="D60" s="14"/>
      <c r="E60" s="14"/>
      <c r="F60" s="20" t="e">
        <f t="shared" si="16"/>
        <v>#DIV/0!</v>
      </c>
      <c r="G60" s="2">
        <f t="shared" si="18"/>
        <v>0</v>
      </c>
      <c r="H60" s="2">
        <f t="shared" si="11"/>
        <v>0</v>
      </c>
      <c r="I60" s="29"/>
      <c r="J60" s="14"/>
      <c r="K60" s="20" t="e">
        <f t="shared" si="17"/>
        <v>#DIV/0!</v>
      </c>
      <c r="L60" s="4" t="e">
        <f t="shared" si="12"/>
        <v>#DIV/0!</v>
      </c>
      <c r="M60" s="103"/>
      <c r="N60" s="103"/>
      <c r="O60" s="34"/>
      <c r="P60" s="6"/>
      <c r="Q60" s="123"/>
    </row>
    <row r="61" spans="1:17">
      <c r="A61" s="13">
        <f t="shared" si="15"/>
        <v>46169</v>
      </c>
      <c r="B61" s="1"/>
      <c r="C61" s="1"/>
      <c r="D61" s="14"/>
      <c r="E61" s="14"/>
      <c r="F61" s="20" t="e">
        <f t="shared" si="16"/>
        <v>#DIV/0!</v>
      </c>
      <c r="G61" s="2">
        <f t="shared" si="18"/>
        <v>0</v>
      </c>
      <c r="H61" s="2">
        <f t="shared" si="11"/>
        <v>0</v>
      </c>
      <c r="I61" s="29"/>
      <c r="J61" s="14"/>
      <c r="K61" s="20" t="e">
        <f t="shared" si="17"/>
        <v>#DIV/0!</v>
      </c>
      <c r="L61" s="4" t="e">
        <f t="shared" si="12"/>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2"/>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2"/>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2"/>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2"/>
        <v>#DIV/0!</v>
      </c>
      <c r="M65" s="103"/>
      <c r="N65" s="103"/>
      <c r="O65" s="34"/>
      <c r="P65" s="6"/>
      <c r="Q65" s="6"/>
    </row>
    <row r="66" spans="1:17">
      <c r="A66" s="349">
        <v>46143</v>
      </c>
      <c r="B66" s="89">
        <f>SUM(B35:B65)</f>
        <v>97638.799999999988</v>
      </c>
      <c r="C66" s="89">
        <f>SUM(C35:C65)</f>
        <v>78403.850000000006</v>
      </c>
      <c r="D66" s="89">
        <f>SUM(D35:D65)</f>
        <v>65376</v>
      </c>
      <c r="E66" s="89">
        <f>SUM(E35:E65)</f>
        <v>64440</v>
      </c>
      <c r="F66" s="160">
        <f>(IF(ISBLANK(E66),0,E66-C66))/C66</f>
        <v>-0.17810158557264733</v>
      </c>
      <c r="G66" s="90">
        <f>AVERAGE(G35:G65)</f>
        <v>3.5431841831425601E-2</v>
      </c>
      <c r="H66" s="90">
        <f>AVERAGE(H35:H65)</f>
        <v>4.6247877758913418E-2</v>
      </c>
      <c r="I66" s="89">
        <f>SUM(I35:I65)</f>
        <v>48.930000000000007</v>
      </c>
      <c r="J66" s="89">
        <f>SUM(J35:J65)</f>
        <v>32.334999999999994</v>
      </c>
      <c r="K66" s="160">
        <f>(IF(ISBLANK(J66),0,J66-I66))/I66</f>
        <v>-0.33915798078888232</v>
      </c>
      <c r="L66" s="161">
        <f t="shared" si="12"/>
        <v>0.81525561535737279</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DBD10-C193-46F1-8487-6BA90E2A2639}">
  <dimension ref="A1:Q66"/>
  <sheetViews>
    <sheetView workbookViewId="0">
      <pane ySplit="3" topLeftCell="A4" activePane="bottomLeft" state="frozen"/>
      <selection pane="bottomLeft" activeCell="A34" sqref="A34"/>
    </sheetView>
  </sheetViews>
  <sheetFormatPr defaultRowHeight="14.5"/>
  <cols>
    <col min="1" max="1" width="11.26953125" bestFit="1" customWidth="1"/>
    <col min="17" max="17" width="22" bestFit="1" customWidth="1"/>
  </cols>
  <sheetData>
    <row r="1" spans="1:17" ht="18.5">
      <c r="A1" s="417" t="s">
        <v>476</v>
      </c>
      <c r="B1" s="418"/>
      <c r="C1" s="418"/>
      <c r="D1" s="418"/>
      <c r="E1" s="418"/>
      <c r="F1" s="418"/>
      <c r="G1" s="418"/>
      <c r="H1" s="418"/>
      <c r="I1" s="418"/>
      <c r="J1" s="418"/>
      <c r="K1" s="418"/>
      <c r="L1" s="418"/>
      <c r="M1" s="418"/>
      <c r="N1" s="418"/>
      <c r="O1" s="418"/>
      <c r="P1" s="418"/>
      <c r="Q1" s="418"/>
    </row>
    <row r="2" spans="1:17" ht="18.5">
      <c r="A2" s="69">
        <v>46138</v>
      </c>
      <c r="B2" s="415" t="s">
        <v>172</v>
      </c>
      <c r="C2" s="416"/>
      <c r="D2" s="70">
        <v>8996</v>
      </c>
      <c r="E2" s="415" t="s">
        <v>173</v>
      </c>
      <c r="F2" s="415"/>
      <c r="G2" s="416"/>
      <c r="H2" s="70">
        <v>7670</v>
      </c>
      <c r="I2" s="415" t="s">
        <v>174</v>
      </c>
      <c r="J2" s="416"/>
      <c r="K2" s="71">
        <v>45127</v>
      </c>
      <c r="L2" s="72" t="s">
        <v>175</v>
      </c>
      <c r="M2" s="72" t="s">
        <v>175</v>
      </c>
      <c r="N2" s="72" t="s">
        <v>175</v>
      </c>
      <c r="O2" s="72" t="s">
        <v>175</v>
      </c>
      <c r="P2" s="72" t="s">
        <v>175</v>
      </c>
      <c r="Q2" s="73" t="s">
        <v>175</v>
      </c>
    </row>
    <row r="3" spans="1:17" s="378" customFormat="1" ht="44.25" customHeight="1">
      <c r="A3" s="374" t="s">
        <v>189</v>
      </c>
      <c r="B3" s="375" t="s">
        <v>3</v>
      </c>
      <c r="C3" s="375" t="s">
        <v>4</v>
      </c>
      <c r="D3" s="375" t="s">
        <v>5</v>
      </c>
      <c r="E3" s="375" t="s">
        <v>6</v>
      </c>
      <c r="F3" s="376" t="s">
        <v>7</v>
      </c>
      <c r="G3" s="375" t="s">
        <v>8</v>
      </c>
      <c r="H3" s="375" t="s">
        <v>9</v>
      </c>
      <c r="I3" s="375" t="s">
        <v>10</v>
      </c>
      <c r="J3" s="375" t="s">
        <v>11</v>
      </c>
      <c r="K3" s="376" t="s">
        <v>12</v>
      </c>
      <c r="L3" s="375" t="s">
        <v>13</v>
      </c>
      <c r="M3" s="375" t="s">
        <v>14</v>
      </c>
      <c r="N3" s="375" t="s">
        <v>15</v>
      </c>
      <c r="O3" s="375" t="s">
        <v>16</v>
      </c>
      <c r="P3" s="375" t="s">
        <v>17</v>
      </c>
      <c r="Q3" s="377" t="s">
        <v>156</v>
      </c>
    </row>
    <row r="4" spans="1:17">
      <c r="A4" s="76">
        <v>46113</v>
      </c>
      <c r="B4" s="39">
        <v>46187</v>
      </c>
      <c r="C4" s="39">
        <v>43837</v>
      </c>
      <c r="D4" s="49">
        <v>49084</v>
      </c>
      <c r="E4" s="49">
        <v>48225</v>
      </c>
      <c r="F4" s="21">
        <f t="shared" ref="F4:F29" si="0">(IF(ISBLANK(D4),0,D4-C4))/C4</f>
        <v>0.11969340967675708</v>
      </c>
      <c r="G4" s="2">
        <f t="shared" ref="G4:G29" si="1">D4/($D$2*24)</f>
        <v>0.22734178153253298</v>
      </c>
      <c r="H4" s="2">
        <f t="shared" ref="H4:H29" si="2">D4/($H$2*24)</f>
        <v>0.26664493698392006</v>
      </c>
      <c r="I4" s="39">
        <v>6.49</v>
      </c>
      <c r="J4" s="49">
        <v>6.56</v>
      </c>
      <c r="K4" s="21">
        <f t="shared" ref="K4:K29" si="3">(IF(ISBLANK(J4),0,J4-I4))/I4</f>
        <v>1.0785824345146286E-2</v>
      </c>
      <c r="L4" s="22">
        <f t="shared" ref="L4:L29" si="4">D4/($D$2*J4)</f>
        <v>0.83173822511902318</v>
      </c>
      <c r="M4" s="68">
        <v>1</v>
      </c>
      <c r="N4" s="68">
        <v>1</v>
      </c>
      <c r="O4" s="49">
        <v>0</v>
      </c>
      <c r="P4" s="49">
        <v>0</v>
      </c>
      <c r="Q4" s="49" t="s">
        <v>175</v>
      </c>
    </row>
    <row r="5" spans="1:17">
      <c r="A5" s="79">
        <v>46114</v>
      </c>
      <c r="B5" s="46">
        <v>46187</v>
      </c>
      <c r="C5" s="46">
        <v>43837</v>
      </c>
      <c r="D5" s="50">
        <v>45268</v>
      </c>
      <c r="E5" s="50">
        <v>44454</v>
      </c>
      <c r="F5" s="21">
        <f t="shared" si="0"/>
        <v>3.2643657184570109E-2</v>
      </c>
      <c r="G5" s="2">
        <f t="shared" si="1"/>
        <v>0.20966725952275087</v>
      </c>
      <c r="H5" s="2">
        <f t="shared" si="2"/>
        <v>0.24591481964363321</v>
      </c>
      <c r="I5" s="46">
        <v>6.49</v>
      </c>
      <c r="J5" s="50">
        <v>5.99</v>
      </c>
      <c r="K5" s="21">
        <f t="shared" si="3"/>
        <v>-7.7041602465331274E-2</v>
      </c>
      <c r="L5" s="22">
        <f t="shared" si="4"/>
        <v>0.84006915334658105</v>
      </c>
      <c r="M5" s="66">
        <v>1</v>
      </c>
      <c r="N5" s="66">
        <v>1</v>
      </c>
      <c r="O5" s="50">
        <v>0</v>
      </c>
      <c r="P5" s="50">
        <v>0</v>
      </c>
      <c r="Q5" s="50" t="s">
        <v>175</v>
      </c>
    </row>
    <row r="6" spans="1:17">
      <c r="A6" s="79">
        <v>46115</v>
      </c>
      <c r="B6" s="46">
        <v>46187</v>
      </c>
      <c r="C6" s="46">
        <v>43837</v>
      </c>
      <c r="D6" s="50">
        <v>36745</v>
      </c>
      <c r="E6" s="50">
        <v>36265</v>
      </c>
      <c r="F6" s="21">
        <f t="shared" si="0"/>
        <v>-0.16178114378264935</v>
      </c>
      <c r="G6" s="2">
        <f t="shared" si="1"/>
        <v>0.17019138135467615</v>
      </c>
      <c r="H6" s="2">
        <f t="shared" si="2"/>
        <v>0.19961429813124729</v>
      </c>
      <c r="I6" s="46">
        <v>6.49</v>
      </c>
      <c r="J6" s="50">
        <v>4.84</v>
      </c>
      <c r="K6" s="21">
        <f t="shared" si="3"/>
        <v>-0.25423728813559326</v>
      </c>
      <c r="L6" s="22">
        <f t="shared" si="4"/>
        <v>0.84392420506450982</v>
      </c>
      <c r="M6" s="66">
        <v>1</v>
      </c>
      <c r="N6" s="66">
        <v>1</v>
      </c>
      <c r="O6" s="50">
        <v>0</v>
      </c>
      <c r="P6" s="50">
        <v>0</v>
      </c>
      <c r="Q6" s="50" t="s">
        <v>175</v>
      </c>
    </row>
    <row r="7" spans="1:17">
      <c r="A7" s="79">
        <v>46116</v>
      </c>
      <c r="B7" s="46">
        <v>46187</v>
      </c>
      <c r="C7" s="46">
        <v>43837</v>
      </c>
      <c r="D7" s="50">
        <v>55405</v>
      </c>
      <c r="E7" s="50">
        <v>54443</v>
      </c>
      <c r="F7" s="21">
        <f t="shared" si="0"/>
        <v>0.26388667107694413</v>
      </c>
      <c r="G7" s="2">
        <f t="shared" si="1"/>
        <v>0.25661868237735291</v>
      </c>
      <c r="H7" s="2">
        <f t="shared" si="2"/>
        <v>0.30098326814428511</v>
      </c>
      <c r="I7" s="46">
        <v>6.49</v>
      </c>
      <c r="J7" s="50">
        <v>7.44</v>
      </c>
      <c r="K7" s="21">
        <f t="shared" si="3"/>
        <v>0.14637904468412946</v>
      </c>
      <c r="L7" s="22">
        <f t="shared" si="4"/>
        <v>0.82780220121726733</v>
      </c>
      <c r="M7" s="66">
        <v>1</v>
      </c>
      <c r="N7" s="66">
        <v>1</v>
      </c>
      <c r="O7" s="50">
        <v>0</v>
      </c>
      <c r="P7" s="50">
        <v>0</v>
      </c>
      <c r="Q7" s="50" t="s">
        <v>175</v>
      </c>
    </row>
    <row r="8" spans="1:17">
      <c r="A8" s="79">
        <v>46117</v>
      </c>
      <c r="B8" s="46">
        <v>46187</v>
      </c>
      <c r="C8" s="46">
        <v>43837</v>
      </c>
      <c r="D8" s="50">
        <v>54372</v>
      </c>
      <c r="E8" s="50">
        <v>53413</v>
      </c>
      <c r="F8" s="21">
        <f t="shared" si="0"/>
        <v>0.24032210233364509</v>
      </c>
      <c r="G8" s="2">
        <f t="shared" si="1"/>
        <v>0.25183414851044911</v>
      </c>
      <c r="H8" s="2">
        <f t="shared" si="2"/>
        <v>0.2953715775749674</v>
      </c>
      <c r="I8" s="46">
        <v>6.49</v>
      </c>
      <c r="J8" s="50">
        <v>7.3</v>
      </c>
      <c r="K8" s="21">
        <f t="shared" si="3"/>
        <v>0.12480739599383661</v>
      </c>
      <c r="L8" s="22">
        <f t="shared" si="4"/>
        <v>0.82794788551380516</v>
      </c>
      <c r="M8" s="66">
        <v>1</v>
      </c>
      <c r="N8" s="66">
        <v>1</v>
      </c>
      <c r="O8" s="50">
        <v>0</v>
      </c>
      <c r="P8" s="50">
        <v>0</v>
      </c>
      <c r="Q8" s="50" t="s">
        <v>175</v>
      </c>
    </row>
    <row r="9" spans="1:17">
      <c r="A9" s="79">
        <v>46118</v>
      </c>
      <c r="B9" s="46">
        <v>46187</v>
      </c>
      <c r="C9" s="46">
        <v>43837</v>
      </c>
      <c r="D9" s="50">
        <v>55710</v>
      </c>
      <c r="E9" s="50">
        <v>54860</v>
      </c>
      <c r="F9" s="21">
        <f t="shared" si="0"/>
        <v>0.27084426397791822</v>
      </c>
      <c r="G9" s="2">
        <f t="shared" si="1"/>
        <v>0.25803134726545129</v>
      </c>
      <c r="H9" s="2">
        <f t="shared" si="2"/>
        <v>0.30264015645371578</v>
      </c>
      <c r="I9" s="46">
        <v>6.49</v>
      </c>
      <c r="J9" s="50">
        <v>7.59</v>
      </c>
      <c r="K9" s="21">
        <f t="shared" si="3"/>
        <v>0.16949152542372875</v>
      </c>
      <c r="L9" s="22">
        <f t="shared" si="4"/>
        <v>0.81590939846783028</v>
      </c>
      <c r="M9" s="66">
        <v>1</v>
      </c>
      <c r="N9" s="66">
        <v>1</v>
      </c>
      <c r="O9" s="50">
        <v>0</v>
      </c>
      <c r="P9" s="50">
        <v>0</v>
      </c>
      <c r="Q9" s="50" t="s">
        <v>175</v>
      </c>
    </row>
    <row r="10" spans="1:17">
      <c r="A10" s="79">
        <v>46119</v>
      </c>
      <c r="B10" s="46">
        <v>46187</v>
      </c>
      <c r="C10" s="46">
        <v>43837</v>
      </c>
      <c r="D10" s="50">
        <v>45215</v>
      </c>
      <c r="E10" s="50">
        <v>44610</v>
      </c>
      <c r="F10" s="21">
        <f t="shared" si="0"/>
        <v>3.1434632844400852E-2</v>
      </c>
      <c r="G10" s="2">
        <f t="shared" si="1"/>
        <v>0.20942178005039278</v>
      </c>
      <c r="H10" s="2">
        <f t="shared" si="2"/>
        <v>0.24562690134724033</v>
      </c>
      <c r="I10" s="46">
        <v>6.49</v>
      </c>
      <c r="J10" s="50">
        <v>6.16</v>
      </c>
      <c r="K10" s="21">
        <f t="shared" si="3"/>
        <v>-5.0847457627118654E-2</v>
      </c>
      <c r="L10" s="22">
        <f t="shared" si="4"/>
        <v>0.81592901318334843</v>
      </c>
      <c r="M10" s="66">
        <v>1</v>
      </c>
      <c r="N10" s="66">
        <v>0.99060000000000004</v>
      </c>
      <c r="O10" s="50">
        <v>729</v>
      </c>
      <c r="P10" s="50">
        <v>0</v>
      </c>
      <c r="Q10" s="50" t="s">
        <v>477</v>
      </c>
    </row>
    <row r="11" spans="1:17">
      <c r="A11" s="79">
        <v>46120</v>
      </c>
      <c r="B11" s="46">
        <v>46187</v>
      </c>
      <c r="C11" s="46">
        <v>43837</v>
      </c>
      <c r="D11" s="50">
        <v>54067</v>
      </c>
      <c r="E11" s="50">
        <v>53084</v>
      </c>
      <c r="F11" s="21">
        <f t="shared" si="0"/>
        <v>0.23336450943267104</v>
      </c>
      <c r="G11" s="2">
        <f t="shared" si="1"/>
        <v>0.25042148362235067</v>
      </c>
      <c r="H11" s="2">
        <f t="shared" si="2"/>
        <v>0.29371468926553673</v>
      </c>
      <c r="I11" s="46">
        <v>6.49</v>
      </c>
      <c r="J11" s="50">
        <v>7.34</v>
      </c>
      <c r="K11" s="21">
        <f t="shared" si="3"/>
        <v>0.13097072419106312</v>
      </c>
      <c r="L11" s="22">
        <f t="shared" si="4"/>
        <v>0.81881684018207301</v>
      </c>
      <c r="M11" s="66">
        <v>1</v>
      </c>
      <c r="N11" s="66">
        <v>1</v>
      </c>
      <c r="O11" s="50">
        <v>0</v>
      </c>
      <c r="P11" s="50">
        <v>0</v>
      </c>
      <c r="Q11" s="50" t="s">
        <v>175</v>
      </c>
    </row>
    <row r="12" spans="1:17">
      <c r="A12" s="79">
        <v>46121</v>
      </c>
      <c r="B12" s="46">
        <v>46187</v>
      </c>
      <c r="C12" s="46">
        <v>43837</v>
      </c>
      <c r="D12" s="50">
        <v>53269</v>
      </c>
      <c r="E12" s="50">
        <v>52296</v>
      </c>
      <c r="F12" s="21">
        <f t="shared" si="0"/>
        <v>0.21516070899012249</v>
      </c>
      <c r="G12" s="2">
        <f t="shared" si="1"/>
        <v>0.2467253964725063</v>
      </c>
      <c r="H12" s="2">
        <f t="shared" si="2"/>
        <v>0.28937961755758368</v>
      </c>
      <c r="I12" s="46">
        <v>6.49</v>
      </c>
      <c r="J12" s="50">
        <v>7.25</v>
      </c>
      <c r="K12" s="21">
        <f t="shared" si="3"/>
        <v>0.11710323574730351</v>
      </c>
      <c r="L12" s="22">
        <f t="shared" si="4"/>
        <v>0.81674614004691737</v>
      </c>
      <c r="M12" s="66">
        <v>1</v>
      </c>
      <c r="N12" s="66">
        <v>1</v>
      </c>
      <c r="O12" s="50">
        <v>0</v>
      </c>
      <c r="P12" s="50">
        <v>0</v>
      </c>
      <c r="Q12" s="50" t="s">
        <v>175</v>
      </c>
    </row>
    <row r="13" spans="1:17">
      <c r="A13" s="79">
        <v>46122</v>
      </c>
      <c r="B13" s="46">
        <v>46187</v>
      </c>
      <c r="C13" s="46">
        <v>43837</v>
      </c>
      <c r="D13" s="50">
        <v>55029</v>
      </c>
      <c r="E13" s="50">
        <v>53997</v>
      </c>
      <c r="F13" s="21">
        <f t="shared" si="0"/>
        <v>0.25530944179574333</v>
      </c>
      <c r="G13" s="2">
        <f t="shared" si="1"/>
        <v>0.2548771676300578</v>
      </c>
      <c r="H13" s="2">
        <f t="shared" si="2"/>
        <v>0.29894067796610169</v>
      </c>
      <c r="I13" s="46">
        <v>6.49</v>
      </c>
      <c r="J13" s="50">
        <v>7.43</v>
      </c>
      <c r="K13" s="21">
        <f t="shared" si="3"/>
        <v>0.14483821263482272</v>
      </c>
      <c r="L13" s="22">
        <f t="shared" si="4"/>
        <v>0.82329098561526071</v>
      </c>
      <c r="M13" s="66">
        <v>1</v>
      </c>
      <c r="N13" s="66">
        <v>1</v>
      </c>
      <c r="O13" s="50">
        <v>0</v>
      </c>
      <c r="P13" s="50">
        <v>0</v>
      </c>
      <c r="Q13" s="50" t="s">
        <v>175</v>
      </c>
    </row>
    <row r="14" spans="1:17">
      <c r="A14" s="79">
        <v>46123</v>
      </c>
      <c r="B14" s="46">
        <v>46187</v>
      </c>
      <c r="C14" s="46">
        <v>43837</v>
      </c>
      <c r="D14" s="50">
        <v>53564</v>
      </c>
      <c r="E14" s="50">
        <v>52575</v>
      </c>
      <c r="F14" s="21">
        <f t="shared" si="0"/>
        <v>0.22189018409106462</v>
      </c>
      <c r="G14" s="2">
        <f t="shared" si="1"/>
        <v>0.24809174447902771</v>
      </c>
      <c r="H14" s="2">
        <f t="shared" si="2"/>
        <v>0.29098218166014778</v>
      </c>
      <c r="I14" s="46">
        <v>6.49</v>
      </c>
      <c r="J14" s="50">
        <v>7.22</v>
      </c>
      <c r="K14" s="21">
        <f t="shared" si="3"/>
        <v>0.11248073959938359</v>
      </c>
      <c r="L14" s="22">
        <f t="shared" si="4"/>
        <v>0.82468169909926115</v>
      </c>
      <c r="M14" s="66">
        <v>1</v>
      </c>
      <c r="N14" s="66">
        <v>1</v>
      </c>
      <c r="O14" s="50">
        <v>0</v>
      </c>
      <c r="P14" s="50">
        <v>0</v>
      </c>
      <c r="Q14" s="50" t="s">
        <v>175</v>
      </c>
    </row>
    <row r="15" spans="1:17">
      <c r="A15" s="79">
        <v>46124</v>
      </c>
      <c r="B15" s="46">
        <v>46187</v>
      </c>
      <c r="C15" s="46">
        <v>43837</v>
      </c>
      <c r="D15" s="50">
        <v>55552</v>
      </c>
      <c r="E15" s="50">
        <v>54525</v>
      </c>
      <c r="F15" s="21">
        <f t="shared" si="0"/>
        <v>0.26724000273741361</v>
      </c>
      <c r="G15" s="2">
        <f t="shared" si="1"/>
        <v>0.25729954053653475</v>
      </c>
      <c r="H15" s="2">
        <f t="shared" si="2"/>
        <v>0.30178183398522379</v>
      </c>
      <c r="I15" s="46">
        <v>6.49</v>
      </c>
      <c r="J15" s="50">
        <v>7.44</v>
      </c>
      <c r="K15" s="21">
        <f t="shared" si="3"/>
        <v>0.14637904468412946</v>
      </c>
      <c r="L15" s="22">
        <f t="shared" si="4"/>
        <v>0.82999851785978951</v>
      </c>
      <c r="M15" s="66">
        <v>1</v>
      </c>
      <c r="N15" s="66">
        <v>1</v>
      </c>
      <c r="O15" s="50">
        <v>0</v>
      </c>
      <c r="P15" s="50">
        <v>0</v>
      </c>
      <c r="Q15" s="50" t="s">
        <v>175</v>
      </c>
    </row>
    <row r="16" spans="1:17">
      <c r="A16" s="79">
        <v>46125</v>
      </c>
      <c r="B16" s="46">
        <v>46187</v>
      </c>
      <c r="C16" s="46">
        <v>43837</v>
      </c>
      <c r="D16" s="50">
        <v>54133</v>
      </c>
      <c r="E16" s="50">
        <v>53107</v>
      </c>
      <c r="F16" s="21">
        <f t="shared" si="0"/>
        <v>0.2348700869128818</v>
      </c>
      <c r="G16" s="2">
        <f t="shared" si="1"/>
        <v>0.25072717504075887</v>
      </c>
      <c r="H16" s="2">
        <f t="shared" si="2"/>
        <v>0.29407322903085614</v>
      </c>
      <c r="I16" s="46">
        <v>6.49</v>
      </c>
      <c r="J16" s="50">
        <v>7.33</v>
      </c>
      <c r="K16" s="21">
        <f t="shared" si="3"/>
        <v>0.12942989214175651</v>
      </c>
      <c r="L16" s="22">
        <f t="shared" si="4"/>
        <v>0.82093481595882833</v>
      </c>
      <c r="M16" s="66">
        <v>1</v>
      </c>
      <c r="N16" s="66">
        <v>1</v>
      </c>
      <c r="O16" s="50">
        <v>0</v>
      </c>
      <c r="P16" s="50">
        <v>0</v>
      </c>
      <c r="Q16" s="50" t="s">
        <v>175</v>
      </c>
    </row>
    <row r="17" spans="1:17">
      <c r="A17" s="79">
        <v>46126</v>
      </c>
      <c r="B17" s="46">
        <v>46187</v>
      </c>
      <c r="C17" s="46">
        <v>43837</v>
      </c>
      <c r="D17" s="50">
        <v>55082</v>
      </c>
      <c r="E17" s="50">
        <v>54020</v>
      </c>
      <c r="F17" s="21">
        <f t="shared" si="0"/>
        <v>0.25651846613591256</v>
      </c>
      <c r="G17" s="2">
        <f t="shared" si="1"/>
        <v>0.25512264710241589</v>
      </c>
      <c r="H17" s="2">
        <f t="shared" si="2"/>
        <v>0.29922859626249459</v>
      </c>
      <c r="I17" s="46">
        <v>6.49</v>
      </c>
      <c r="J17" s="50">
        <v>7.48</v>
      </c>
      <c r="K17" s="21">
        <f t="shared" si="3"/>
        <v>0.15254237288135597</v>
      </c>
      <c r="L17" s="22">
        <f t="shared" si="4"/>
        <v>0.81857533829652152</v>
      </c>
      <c r="M17" s="66">
        <v>1</v>
      </c>
      <c r="N17" s="66">
        <v>1</v>
      </c>
      <c r="O17" s="50">
        <v>0</v>
      </c>
      <c r="P17" s="50">
        <v>0</v>
      </c>
      <c r="Q17" s="50" t="s">
        <v>175</v>
      </c>
    </row>
    <row r="18" spans="1:17">
      <c r="A18" s="79">
        <v>46127</v>
      </c>
      <c r="B18" s="46">
        <v>46187</v>
      </c>
      <c r="C18" s="46">
        <v>43837</v>
      </c>
      <c r="D18" s="50">
        <v>52895</v>
      </c>
      <c r="E18" s="50">
        <v>51907</v>
      </c>
      <c r="F18" s="21">
        <f t="shared" si="0"/>
        <v>0.20662910326892808</v>
      </c>
      <c r="G18" s="2">
        <f t="shared" si="1"/>
        <v>0.24499314510152662</v>
      </c>
      <c r="H18" s="2">
        <f t="shared" si="2"/>
        <v>0.28734789222077356</v>
      </c>
      <c r="I18" s="46">
        <v>6.49</v>
      </c>
      <c r="J18" s="50">
        <v>7.22</v>
      </c>
      <c r="K18" s="21">
        <f t="shared" si="3"/>
        <v>0.11248073959938359</v>
      </c>
      <c r="L18" s="22">
        <f t="shared" si="4"/>
        <v>0.81438164576684746</v>
      </c>
      <c r="M18" s="66">
        <v>1</v>
      </c>
      <c r="N18" s="66">
        <v>1</v>
      </c>
      <c r="O18" s="50">
        <v>0</v>
      </c>
      <c r="P18" s="50">
        <v>0</v>
      </c>
      <c r="Q18" s="50" t="s">
        <v>175</v>
      </c>
    </row>
    <row r="19" spans="1:17">
      <c r="A19" s="79">
        <v>46128</v>
      </c>
      <c r="B19" s="46">
        <v>46187</v>
      </c>
      <c r="C19" s="46">
        <v>43837</v>
      </c>
      <c r="D19" s="50">
        <v>54062</v>
      </c>
      <c r="E19" s="50">
        <v>53000</v>
      </c>
      <c r="F19" s="21">
        <f t="shared" si="0"/>
        <v>0.23325045053265506</v>
      </c>
      <c r="G19" s="2">
        <f t="shared" si="1"/>
        <v>0.25039832518156219</v>
      </c>
      <c r="H19" s="2">
        <f t="shared" si="2"/>
        <v>0.29368752716210345</v>
      </c>
      <c r="I19" s="46">
        <v>6.49</v>
      </c>
      <c r="J19" s="50">
        <v>7.39</v>
      </c>
      <c r="K19" s="21">
        <f t="shared" si="3"/>
        <v>0.13867488443759621</v>
      </c>
      <c r="L19" s="22">
        <f t="shared" si="4"/>
        <v>0.81320159734201514</v>
      </c>
      <c r="M19" s="66">
        <v>1</v>
      </c>
      <c r="N19" s="66">
        <v>1</v>
      </c>
      <c r="O19" s="50">
        <v>0</v>
      </c>
      <c r="P19" s="50">
        <v>0</v>
      </c>
      <c r="Q19" s="50" t="s">
        <v>175</v>
      </c>
    </row>
    <row r="20" spans="1:17">
      <c r="A20" s="79">
        <v>46129</v>
      </c>
      <c r="B20" s="46">
        <v>46187</v>
      </c>
      <c r="C20" s="46">
        <v>43837</v>
      </c>
      <c r="D20" s="50">
        <v>56041</v>
      </c>
      <c r="E20" s="50">
        <v>54982</v>
      </c>
      <c r="F20" s="21">
        <f t="shared" si="0"/>
        <v>0.27839496315897527</v>
      </c>
      <c r="G20" s="2">
        <f t="shared" si="1"/>
        <v>0.25956443604564994</v>
      </c>
      <c r="H20" s="2">
        <f t="shared" si="2"/>
        <v>0.30443828770099957</v>
      </c>
      <c r="I20" s="46">
        <v>6.49</v>
      </c>
      <c r="J20" s="50">
        <v>7.63</v>
      </c>
      <c r="K20" s="21">
        <f t="shared" si="3"/>
        <v>0.17565485362095526</v>
      </c>
      <c r="L20" s="22">
        <f t="shared" si="4"/>
        <v>0.8164543204581387</v>
      </c>
      <c r="M20" s="66">
        <v>1</v>
      </c>
      <c r="N20" s="66">
        <v>1</v>
      </c>
      <c r="O20" s="50">
        <v>0</v>
      </c>
      <c r="P20" s="50">
        <v>0</v>
      </c>
      <c r="Q20" s="50" t="s">
        <v>175</v>
      </c>
    </row>
    <row r="21" spans="1:17">
      <c r="A21" s="79">
        <v>46130</v>
      </c>
      <c r="B21" s="46">
        <v>46187</v>
      </c>
      <c r="C21" s="46">
        <v>43837</v>
      </c>
      <c r="D21" s="50">
        <v>57804</v>
      </c>
      <c r="E21" s="50">
        <v>56695</v>
      </c>
      <c r="F21" s="21">
        <f t="shared" si="0"/>
        <v>0.31861213130460569</v>
      </c>
      <c r="G21" s="2">
        <f t="shared" si="1"/>
        <v>0.26773010226767452</v>
      </c>
      <c r="H21" s="2">
        <f t="shared" si="2"/>
        <v>0.31401564537157756</v>
      </c>
      <c r="I21" s="46">
        <v>6.49</v>
      </c>
      <c r="J21" s="50">
        <v>7.87</v>
      </c>
      <c r="K21" s="21">
        <f t="shared" si="3"/>
        <v>0.21263482280431431</v>
      </c>
      <c r="L21" s="22">
        <f t="shared" si="4"/>
        <v>0.8164577451619045</v>
      </c>
      <c r="M21" s="66">
        <v>1</v>
      </c>
      <c r="N21" s="66">
        <v>1</v>
      </c>
      <c r="O21" s="50">
        <v>0</v>
      </c>
      <c r="P21" s="50">
        <v>0</v>
      </c>
      <c r="Q21" s="50" t="s">
        <v>175</v>
      </c>
    </row>
    <row r="22" spans="1:17">
      <c r="A22" s="79">
        <v>46131</v>
      </c>
      <c r="B22" s="46">
        <v>46187</v>
      </c>
      <c r="C22" s="46">
        <v>43837</v>
      </c>
      <c r="D22" s="50">
        <v>57978</v>
      </c>
      <c r="E22" s="50">
        <v>56882</v>
      </c>
      <c r="F22" s="21">
        <f t="shared" si="0"/>
        <v>0.32258138102516137</v>
      </c>
      <c r="G22" s="2">
        <f t="shared" si="1"/>
        <v>0.2685360160071143</v>
      </c>
      <c r="H22" s="2">
        <f t="shared" si="2"/>
        <v>0.31496088657105609</v>
      </c>
      <c r="I22" s="46">
        <v>6.49</v>
      </c>
      <c r="J22" s="50">
        <v>7.86</v>
      </c>
      <c r="K22" s="21">
        <f t="shared" si="3"/>
        <v>0.2110939907550077</v>
      </c>
      <c r="L22" s="22">
        <f t="shared" si="4"/>
        <v>0.81995730078508178</v>
      </c>
      <c r="M22" s="66">
        <v>1</v>
      </c>
      <c r="N22" s="66">
        <v>1</v>
      </c>
      <c r="O22" s="50">
        <v>0</v>
      </c>
      <c r="P22" s="50">
        <v>0</v>
      </c>
      <c r="Q22" s="50" t="s">
        <v>175</v>
      </c>
    </row>
    <row r="23" spans="1:17">
      <c r="A23" s="79">
        <v>46132</v>
      </c>
      <c r="B23" s="46">
        <v>46187</v>
      </c>
      <c r="C23" s="46">
        <v>43837</v>
      </c>
      <c r="D23" s="50">
        <v>56314</v>
      </c>
      <c r="E23" s="50">
        <v>55243</v>
      </c>
      <c r="F23" s="21">
        <f t="shared" si="0"/>
        <v>0.28462257909984717</v>
      </c>
      <c r="G23" s="2">
        <f t="shared" si="1"/>
        <v>0.26082888691270195</v>
      </c>
      <c r="H23" s="2">
        <f t="shared" si="2"/>
        <v>0.30592133854845721</v>
      </c>
      <c r="I23" s="46">
        <v>6.49</v>
      </c>
      <c r="J23" s="50">
        <v>7.68</v>
      </c>
      <c r="K23" s="21">
        <f t="shared" si="3"/>
        <v>0.18335901386748837</v>
      </c>
      <c r="L23" s="22">
        <f t="shared" si="4"/>
        <v>0.81509027160219361</v>
      </c>
      <c r="M23" s="66">
        <v>1</v>
      </c>
      <c r="N23" s="66">
        <v>1</v>
      </c>
      <c r="O23" s="50">
        <v>0</v>
      </c>
      <c r="P23" s="50">
        <v>0</v>
      </c>
      <c r="Q23" s="50" t="s">
        <v>175</v>
      </c>
    </row>
    <row r="24" spans="1:17">
      <c r="A24" s="79">
        <v>46133</v>
      </c>
      <c r="B24" s="46">
        <v>46187</v>
      </c>
      <c r="C24" s="46">
        <v>43837</v>
      </c>
      <c r="D24" s="50">
        <v>58903</v>
      </c>
      <c r="E24" s="50">
        <v>57727</v>
      </c>
      <c r="F24" s="21">
        <f t="shared" si="0"/>
        <v>0.34368227752811553</v>
      </c>
      <c r="G24" s="2">
        <f t="shared" si="1"/>
        <v>0.27282032755298652</v>
      </c>
      <c r="H24" s="2">
        <f t="shared" si="2"/>
        <v>0.31998587570621467</v>
      </c>
      <c r="I24" s="46">
        <v>6.49</v>
      </c>
      <c r="J24" s="50">
        <v>7.95</v>
      </c>
      <c r="K24" s="21">
        <f t="shared" si="3"/>
        <v>0.22496147919876733</v>
      </c>
      <c r="L24" s="22">
        <f t="shared" si="4"/>
        <v>0.82360853600901596</v>
      </c>
      <c r="M24" s="66">
        <v>1</v>
      </c>
      <c r="N24" s="66">
        <v>1</v>
      </c>
      <c r="O24" s="50">
        <v>0</v>
      </c>
      <c r="P24" s="50">
        <v>0</v>
      </c>
      <c r="Q24" s="50" t="s">
        <v>175</v>
      </c>
    </row>
    <row r="25" spans="1:17">
      <c r="A25" s="79">
        <v>46134</v>
      </c>
      <c r="B25" s="46">
        <v>46187</v>
      </c>
      <c r="C25" s="46">
        <v>43837</v>
      </c>
      <c r="D25" s="50">
        <v>57449</v>
      </c>
      <c r="E25" s="50">
        <v>56348</v>
      </c>
      <c r="F25" s="21">
        <f t="shared" si="0"/>
        <v>0.31051394940347193</v>
      </c>
      <c r="G25" s="2">
        <f t="shared" si="1"/>
        <v>0.26608585297169113</v>
      </c>
      <c r="H25" s="2">
        <f t="shared" si="2"/>
        <v>0.31208713602781402</v>
      </c>
      <c r="I25" s="46">
        <v>6.49</v>
      </c>
      <c r="J25" s="50">
        <v>7.81</v>
      </c>
      <c r="K25" s="21">
        <f t="shared" si="3"/>
        <v>0.20338983050847448</v>
      </c>
      <c r="L25" s="22">
        <f t="shared" si="4"/>
        <v>0.81767739709610598</v>
      </c>
      <c r="M25" s="66">
        <v>1</v>
      </c>
      <c r="N25" s="66">
        <v>1</v>
      </c>
      <c r="O25" s="50">
        <v>0</v>
      </c>
      <c r="P25" s="50">
        <v>0</v>
      </c>
      <c r="Q25" s="50" t="s">
        <v>175</v>
      </c>
    </row>
    <row r="26" spans="1:17">
      <c r="A26" s="79">
        <v>46135</v>
      </c>
      <c r="B26" s="46">
        <v>46187</v>
      </c>
      <c r="C26" s="46">
        <v>43837</v>
      </c>
      <c r="D26" s="50">
        <v>56014</v>
      </c>
      <c r="E26" s="50">
        <v>54945</v>
      </c>
      <c r="F26" s="21">
        <f t="shared" si="0"/>
        <v>0.27777904509888907</v>
      </c>
      <c r="G26" s="2">
        <f t="shared" si="1"/>
        <v>0.259439380465392</v>
      </c>
      <c r="H26" s="2">
        <f t="shared" si="2"/>
        <v>0.30429161234245983</v>
      </c>
      <c r="I26" s="46">
        <v>6.49</v>
      </c>
      <c r="J26" s="50">
        <v>7.65</v>
      </c>
      <c r="K26" s="21">
        <f t="shared" si="3"/>
        <v>0.17873651771956858</v>
      </c>
      <c r="L26" s="22">
        <f t="shared" si="4"/>
        <v>0.81392746812672001</v>
      </c>
      <c r="M26" s="66">
        <v>1</v>
      </c>
      <c r="N26" s="66">
        <v>1</v>
      </c>
      <c r="O26" s="50">
        <v>0</v>
      </c>
      <c r="P26" s="50">
        <v>0</v>
      </c>
      <c r="Q26" s="50" t="s">
        <v>175</v>
      </c>
    </row>
    <row r="27" spans="1:17">
      <c r="A27" s="79">
        <v>46136</v>
      </c>
      <c r="B27" s="46">
        <v>46187</v>
      </c>
      <c r="C27" s="46">
        <v>43837</v>
      </c>
      <c r="D27" s="50">
        <v>55448</v>
      </c>
      <c r="E27" s="50">
        <v>54385</v>
      </c>
      <c r="F27" s="21">
        <f t="shared" si="0"/>
        <v>0.26486757761708146</v>
      </c>
      <c r="G27" s="2">
        <f t="shared" si="1"/>
        <v>0.25681784496813398</v>
      </c>
      <c r="H27" s="2">
        <f t="shared" si="2"/>
        <v>0.30121686223381139</v>
      </c>
      <c r="I27" s="46">
        <v>6.49</v>
      </c>
      <c r="J27" s="50">
        <v>7.56</v>
      </c>
      <c r="K27" s="21">
        <f t="shared" si="3"/>
        <v>0.16486902927580885</v>
      </c>
      <c r="L27" s="22">
        <f t="shared" si="4"/>
        <v>0.81529474593058415</v>
      </c>
      <c r="M27" s="66">
        <v>1</v>
      </c>
      <c r="N27" s="66">
        <v>1</v>
      </c>
      <c r="O27" s="50">
        <v>0</v>
      </c>
      <c r="P27" s="50">
        <v>0</v>
      </c>
      <c r="Q27" s="50" t="s">
        <v>175</v>
      </c>
    </row>
    <row r="28" spans="1:17">
      <c r="A28" s="79">
        <v>46137</v>
      </c>
      <c r="B28" s="46">
        <v>46187</v>
      </c>
      <c r="C28" s="46">
        <v>43837</v>
      </c>
      <c r="D28" s="50">
        <v>54605</v>
      </c>
      <c r="E28" s="50">
        <v>53557</v>
      </c>
      <c r="F28" s="21">
        <f t="shared" si="0"/>
        <v>0.24563724707438922</v>
      </c>
      <c r="G28" s="2">
        <f t="shared" si="1"/>
        <v>0.25291333185119313</v>
      </c>
      <c r="H28" s="2">
        <f t="shared" si="2"/>
        <v>0.2966373315949587</v>
      </c>
      <c r="I28" s="46">
        <v>6.49</v>
      </c>
      <c r="J28" s="50">
        <v>7.5</v>
      </c>
      <c r="K28" s="21">
        <f t="shared" si="3"/>
        <v>0.15562403697996915</v>
      </c>
      <c r="L28" s="22">
        <f t="shared" si="4"/>
        <v>0.80932266192381797</v>
      </c>
      <c r="M28" s="66">
        <v>1</v>
      </c>
      <c r="N28" s="66">
        <v>1</v>
      </c>
      <c r="O28" s="50">
        <v>0</v>
      </c>
      <c r="P28" s="50">
        <v>0</v>
      </c>
      <c r="Q28" s="50" t="s">
        <v>175</v>
      </c>
    </row>
    <row r="29" spans="1:17">
      <c r="A29" s="79">
        <v>46138</v>
      </c>
      <c r="B29" s="46">
        <v>46187</v>
      </c>
      <c r="C29" s="46">
        <v>43837</v>
      </c>
      <c r="D29" s="50">
        <v>56496</v>
      </c>
      <c r="E29" s="50">
        <v>55401</v>
      </c>
      <c r="F29" s="21">
        <f t="shared" si="0"/>
        <v>0.28877432306042838</v>
      </c>
      <c r="G29" s="2">
        <f t="shared" si="1"/>
        <v>0.26167185415740329</v>
      </c>
      <c r="H29" s="2">
        <f t="shared" si="2"/>
        <v>0.30691003911342896</v>
      </c>
      <c r="I29" s="46">
        <v>6.49</v>
      </c>
      <c r="J29" s="50">
        <v>7.77</v>
      </c>
      <c r="K29" s="21">
        <f t="shared" si="3"/>
        <v>0.19722650231124797</v>
      </c>
      <c r="L29" s="22">
        <f t="shared" si="4"/>
        <v>0.80825283137421866</v>
      </c>
      <c r="M29" s="66">
        <v>1</v>
      </c>
      <c r="N29" s="66">
        <v>1</v>
      </c>
      <c r="O29" s="50">
        <v>0</v>
      </c>
      <c r="P29" s="50">
        <v>0</v>
      </c>
      <c r="Q29" s="50" t="s">
        <v>175</v>
      </c>
    </row>
    <row r="30" spans="1:17">
      <c r="A30" s="79">
        <v>46139</v>
      </c>
      <c r="B30" s="46">
        <v>46187</v>
      </c>
      <c r="C30" s="46">
        <v>43837</v>
      </c>
      <c r="D30" s="50">
        <v>55994</v>
      </c>
      <c r="E30" s="50">
        <v>54906.861599999997</v>
      </c>
      <c r="F30" s="21">
        <f t="shared" ref="F30:F33" si="5">(IF(ISBLANK(D30),0,D30-C30))/C30</f>
        <v>0.27732280949882521</v>
      </c>
      <c r="G30" s="2">
        <f t="shared" ref="G30:G33" si="6">D30/($D$2*24)</f>
        <v>0.25934674670223801</v>
      </c>
      <c r="H30" s="2">
        <f t="shared" ref="H30:H33" si="7">D30/($H$2*24)</f>
        <v>0.30418296392872662</v>
      </c>
      <c r="I30" s="46">
        <v>6.49</v>
      </c>
      <c r="J30" s="50">
        <v>7.5907833330000001</v>
      </c>
      <c r="K30" s="21">
        <f t="shared" ref="K30:K33" si="8">(IF(ISBLANK(J30),0,J30-I30))/I30</f>
        <v>0.16961222388289673</v>
      </c>
      <c r="L30" s="22">
        <f t="shared" ref="L30:L33" si="9">D30/($D$2*J30)</f>
        <v>0.81998413705134177</v>
      </c>
      <c r="M30" s="66">
        <v>1</v>
      </c>
      <c r="N30" s="66">
        <v>1</v>
      </c>
      <c r="O30" s="50">
        <v>0</v>
      </c>
      <c r="P30" s="50">
        <v>0</v>
      </c>
      <c r="Q30" s="50" t="s">
        <v>175</v>
      </c>
    </row>
    <row r="31" spans="1:17">
      <c r="A31" s="79">
        <v>46140</v>
      </c>
      <c r="B31" s="46">
        <v>46187</v>
      </c>
      <c r="C31" s="46">
        <v>43837</v>
      </c>
      <c r="D31" s="50">
        <v>55315.199999999997</v>
      </c>
      <c r="E31" s="50">
        <v>54307.29</v>
      </c>
      <c r="F31" s="21">
        <f t="shared" si="5"/>
        <v>0.26183817323265729</v>
      </c>
      <c r="G31" s="2">
        <f t="shared" si="6"/>
        <v>0.25620275678079146</v>
      </c>
      <c r="H31" s="2">
        <f t="shared" si="7"/>
        <v>0.30049543676662321</v>
      </c>
      <c r="I31" s="46">
        <v>6.49</v>
      </c>
      <c r="J31" s="50">
        <v>7.6022999999999996</v>
      </c>
      <c r="K31" s="21">
        <f t="shared" si="8"/>
        <v>0.17138674884437585</v>
      </c>
      <c r="L31" s="22">
        <f t="shared" si="9"/>
        <v>0.80881656376872713</v>
      </c>
      <c r="M31" s="66">
        <v>1</v>
      </c>
      <c r="N31" s="66">
        <v>1</v>
      </c>
      <c r="O31" s="50">
        <v>0</v>
      </c>
      <c r="P31" s="50">
        <v>0</v>
      </c>
      <c r="Q31" s="50" t="s">
        <v>175</v>
      </c>
    </row>
    <row r="32" spans="1:17">
      <c r="A32" s="79">
        <v>46141</v>
      </c>
      <c r="B32" s="46">
        <v>46187</v>
      </c>
      <c r="C32" s="46">
        <v>43837</v>
      </c>
      <c r="D32" s="50">
        <v>53554.8</v>
      </c>
      <c r="E32" s="50">
        <v>52590.195599999999</v>
      </c>
      <c r="F32" s="21">
        <f t="shared" si="5"/>
        <v>0.2216803157150353</v>
      </c>
      <c r="G32" s="2">
        <f t="shared" si="6"/>
        <v>0.2480491329479769</v>
      </c>
      <c r="H32" s="2">
        <f t="shared" si="7"/>
        <v>0.2909322033898305</v>
      </c>
      <c r="I32" s="46">
        <v>6.49</v>
      </c>
      <c r="J32" s="50">
        <v>7.2959500000000004</v>
      </c>
      <c r="K32" s="21">
        <f t="shared" si="8"/>
        <v>0.12418335901386751</v>
      </c>
      <c r="L32" s="22">
        <f t="shared" si="9"/>
        <v>0.81595668703204449</v>
      </c>
      <c r="M32" s="66">
        <v>1</v>
      </c>
      <c r="N32" s="66">
        <v>1</v>
      </c>
      <c r="O32" s="50">
        <v>0</v>
      </c>
      <c r="P32" s="50">
        <v>0</v>
      </c>
      <c r="Q32" s="50" t="s">
        <v>175</v>
      </c>
    </row>
    <row r="33" spans="1:17">
      <c r="A33" s="79">
        <v>46142</v>
      </c>
      <c r="B33" s="46">
        <v>46187</v>
      </c>
      <c r="C33" s="46">
        <v>43837</v>
      </c>
      <c r="D33" s="50">
        <v>49921.7</v>
      </c>
      <c r="E33" s="50">
        <v>49024.063199999997</v>
      </c>
      <c r="F33" s="21">
        <f t="shared" si="5"/>
        <v>0.13880283778543234</v>
      </c>
      <c r="G33" s="2">
        <f t="shared" si="6"/>
        <v>0.23122174670223802</v>
      </c>
      <c r="H33" s="2">
        <f t="shared" si="7"/>
        <v>0.27119567579313342</v>
      </c>
      <c r="I33" s="46">
        <v>6.49</v>
      </c>
      <c r="J33" s="50">
        <v>6.8959333330000003</v>
      </c>
      <c r="K33" s="21">
        <f t="shared" si="8"/>
        <v>6.2547508936825896E-2</v>
      </c>
      <c r="L33" s="22">
        <f t="shared" si="9"/>
        <v>0.80472383546659676</v>
      </c>
      <c r="M33" s="66">
        <v>1</v>
      </c>
      <c r="N33" s="66">
        <v>1</v>
      </c>
      <c r="O33" s="50">
        <v>0</v>
      </c>
      <c r="P33" s="50">
        <v>0</v>
      </c>
      <c r="Q33" s="50" t="s">
        <v>175</v>
      </c>
    </row>
    <row r="34" spans="1:17">
      <c r="A34" s="349">
        <v>46113</v>
      </c>
      <c r="B34" s="84">
        <f>SUM(B4:B33)</f>
        <v>1385610</v>
      </c>
      <c r="C34" s="84">
        <f>SUM(C4:C33)</f>
        <v>1315110</v>
      </c>
      <c r="D34" s="84">
        <f>SUM(D4:D33)</f>
        <v>1611289.7</v>
      </c>
      <c r="E34" s="84">
        <f>SUM(E4:E33)</f>
        <v>1581774.4103999999</v>
      </c>
      <c r="F34" s="160">
        <f>(IF(ISBLANK(D34),0,D34-C34))/C34</f>
        <v>0.2252128719270631</v>
      </c>
      <c r="G34" s="167">
        <f>AVERAGE(G4:G33)</f>
        <v>0.24876638073711776</v>
      </c>
      <c r="H34" s="167">
        <f>AVERAGE(H4:H33)</f>
        <v>0.29177344994929749</v>
      </c>
      <c r="I34" s="84">
        <f>SUM(I4:I33)</f>
        <v>194.70000000000005</v>
      </c>
      <c r="J34" s="84">
        <f>SUM(J4:J33)</f>
        <v>218.64496666599999</v>
      </c>
      <c r="K34" s="160">
        <f>(IF(ISBLANK(J34),0,J34-I34))/I34</f>
        <v>0.1229839068618384</v>
      </c>
      <c r="L34" s="167">
        <f>AVERAGE(L4:L33)</f>
        <v>0.81964907212887905</v>
      </c>
      <c r="M34" s="167">
        <f>AVERAGE(M4:M33)</f>
        <v>1</v>
      </c>
      <c r="N34" s="167">
        <f>AVERAGE(N4:N33)</f>
        <v>0.99968666666666672</v>
      </c>
      <c r="O34" s="84">
        <f>SUM(O4:O33)</f>
        <v>729</v>
      </c>
      <c r="P34" s="84">
        <f>SUM(P4:P33)</f>
        <v>0</v>
      </c>
      <c r="Q34" s="84" t="s">
        <v>175</v>
      </c>
    </row>
    <row r="35" spans="1:17">
      <c r="A35" s="13">
        <v>46143</v>
      </c>
      <c r="B35" s="127">
        <v>46458.796770000001</v>
      </c>
      <c r="C35" s="127">
        <v>44086.597950000003</v>
      </c>
      <c r="D35" s="33">
        <v>51361</v>
      </c>
      <c r="E35" s="33">
        <v>50431</v>
      </c>
      <c r="F35" s="20">
        <f>(IF(ISBLANK(E35),0,E35-C35))/C35</f>
        <v>0.14390772581716063</v>
      </c>
      <c r="G35" s="2">
        <f t="shared" ref="G35:G57" si="10">D35/($D$2*24)</f>
        <v>0.23788813546761522</v>
      </c>
      <c r="H35" s="2">
        <f t="shared" ref="H35:H61" si="11">D35/($H$2*24)</f>
        <v>0.27901455888744026</v>
      </c>
      <c r="I35" s="28">
        <v>6.56</v>
      </c>
      <c r="J35" s="33">
        <v>7.2</v>
      </c>
      <c r="K35" s="20">
        <f>(IF(ISBLANK(J35),0,J35-I35))/I35</f>
        <v>9.7560975609756184E-2</v>
      </c>
      <c r="L35" s="4">
        <f t="shared" ref="L35:L66" si="12">D35/($D$2*J35)</f>
        <v>0.79296045155871742</v>
      </c>
      <c r="M35" s="103">
        <v>1</v>
      </c>
      <c r="N35" s="103">
        <v>1</v>
      </c>
      <c r="O35" s="50">
        <v>0</v>
      </c>
      <c r="P35" s="50">
        <v>0</v>
      </c>
      <c r="Q35" s="6"/>
    </row>
    <row r="36" spans="1:17">
      <c r="A36" s="13">
        <f>A35+1</f>
        <v>46144</v>
      </c>
      <c r="B36" s="127">
        <v>46458.796770000001</v>
      </c>
      <c r="C36" s="127">
        <v>44086.597950000003</v>
      </c>
      <c r="D36" s="34">
        <v>12529</v>
      </c>
      <c r="E36" s="34">
        <v>12325</v>
      </c>
      <c r="F36" s="20">
        <f t="shared" ref="F36:F54" si="13">(IF(ISBLANK(E36),0,E36-C36))/C36</f>
        <v>-0.72043658224709994</v>
      </c>
      <c r="G36" s="2">
        <f t="shared" si="10"/>
        <v>5.8030420927819772E-2</v>
      </c>
      <c r="H36" s="2">
        <f t="shared" si="11"/>
        <v>6.8062798783137771E-2</v>
      </c>
      <c r="I36" s="28">
        <v>6.56</v>
      </c>
      <c r="J36" s="34">
        <v>7.2</v>
      </c>
      <c r="K36" s="20">
        <f t="shared" ref="K36:K54" si="14">(IF(ISBLANK(J36),0,J36-I36))/I36</f>
        <v>9.7560975609756184E-2</v>
      </c>
      <c r="L36" s="4">
        <f t="shared" si="12"/>
        <v>0.1934347364260659</v>
      </c>
      <c r="M36" s="103">
        <v>1</v>
      </c>
      <c r="N36" s="103">
        <v>0.37819999999999998</v>
      </c>
      <c r="O36" s="34">
        <v>38678</v>
      </c>
      <c r="P36" s="50">
        <v>0</v>
      </c>
      <c r="Q36" s="6" t="s">
        <v>478</v>
      </c>
    </row>
    <row r="37" spans="1:17">
      <c r="A37" s="13">
        <f t="shared" ref="A37:A65" si="15">A36+1</f>
        <v>46145</v>
      </c>
      <c r="B37" s="127">
        <v>46458.796770000001</v>
      </c>
      <c r="C37" s="127">
        <v>44086.597950000003</v>
      </c>
      <c r="D37" s="34">
        <v>50714</v>
      </c>
      <c r="E37" s="34">
        <v>49805</v>
      </c>
      <c r="F37" s="20">
        <f t="shared" si="13"/>
        <v>0.12970839928464012</v>
      </c>
      <c r="G37" s="2">
        <f t="shared" si="10"/>
        <v>0.23489143322958353</v>
      </c>
      <c r="H37" s="2">
        <f t="shared" si="11"/>
        <v>0.27549978270317255</v>
      </c>
      <c r="I37" s="28">
        <v>6.56</v>
      </c>
      <c r="J37" s="34">
        <v>7.22</v>
      </c>
      <c r="K37" s="20">
        <f t="shared" si="14"/>
        <v>0.10060975609756101</v>
      </c>
      <c r="L37" s="4">
        <f t="shared" si="12"/>
        <v>0.78080254813157957</v>
      </c>
      <c r="M37" s="103">
        <v>1</v>
      </c>
      <c r="N37" s="104">
        <v>1</v>
      </c>
      <c r="O37" s="50">
        <v>0</v>
      </c>
      <c r="P37" s="50">
        <v>0</v>
      </c>
      <c r="Q37" s="6"/>
    </row>
    <row r="38" spans="1:17">
      <c r="A38" s="13">
        <f t="shared" si="15"/>
        <v>46146</v>
      </c>
      <c r="B38" s="127">
        <v>46458.796770000001</v>
      </c>
      <c r="C38" s="127">
        <v>44086.597950000003</v>
      </c>
      <c r="D38" s="34">
        <v>48751</v>
      </c>
      <c r="E38" s="34">
        <v>47899</v>
      </c>
      <c r="F38" s="20">
        <f t="shared" si="13"/>
        <v>8.6475306040256536E-2</v>
      </c>
      <c r="G38" s="2">
        <f t="shared" si="10"/>
        <v>0.22579942937601896</v>
      </c>
      <c r="H38" s="2">
        <f t="shared" si="11"/>
        <v>0.26483594089526291</v>
      </c>
      <c r="I38" s="28">
        <v>6.56</v>
      </c>
      <c r="J38" s="34">
        <v>6.89</v>
      </c>
      <c r="K38" s="20">
        <f t="shared" si="14"/>
        <v>5.0304878048780505E-2</v>
      </c>
      <c r="L38" s="4">
        <f t="shared" si="12"/>
        <v>0.78652921698468148</v>
      </c>
      <c r="M38" s="103">
        <v>1</v>
      </c>
      <c r="N38" s="103">
        <v>1</v>
      </c>
      <c r="O38" s="50">
        <v>0</v>
      </c>
      <c r="P38" s="50">
        <v>0</v>
      </c>
      <c r="Q38" s="14"/>
    </row>
    <row r="39" spans="1:17">
      <c r="A39" s="13">
        <f t="shared" si="15"/>
        <v>46147</v>
      </c>
      <c r="B39" s="127">
        <v>46458.796770000001</v>
      </c>
      <c r="C39" s="127">
        <v>44086.597950000003</v>
      </c>
      <c r="D39" s="34">
        <v>46229</v>
      </c>
      <c r="E39" s="34">
        <v>45431</v>
      </c>
      <c r="F39" s="20">
        <f t="shared" si="13"/>
        <v>3.0494574598945594E-2</v>
      </c>
      <c r="G39" s="2">
        <f t="shared" si="10"/>
        <v>0.21411831184230029</v>
      </c>
      <c r="H39" s="2">
        <f t="shared" si="11"/>
        <v>0.25113537592351154</v>
      </c>
      <c r="I39" s="28">
        <v>6.56</v>
      </c>
      <c r="J39" s="34">
        <v>6.43</v>
      </c>
      <c r="K39" s="20">
        <f t="shared" si="14"/>
        <v>-1.9817073170731694E-2</v>
      </c>
      <c r="L39" s="4">
        <f t="shared" si="12"/>
        <v>0.79919743144871025</v>
      </c>
      <c r="M39" s="103">
        <v>1</v>
      </c>
      <c r="N39" s="103">
        <v>1</v>
      </c>
      <c r="O39" s="50">
        <v>0</v>
      </c>
      <c r="P39" s="50">
        <v>0</v>
      </c>
      <c r="Q39" s="14"/>
    </row>
    <row r="40" spans="1:17">
      <c r="A40" s="13">
        <f t="shared" si="15"/>
        <v>46148</v>
      </c>
      <c r="B40" s="127">
        <v>46458.796770000001</v>
      </c>
      <c r="C40" s="127">
        <v>44086.597950000003</v>
      </c>
      <c r="D40" s="34"/>
      <c r="E40" s="34"/>
      <c r="F40" s="20">
        <f t="shared" si="13"/>
        <v>0</v>
      </c>
      <c r="G40" s="2">
        <f t="shared" si="10"/>
        <v>0</v>
      </c>
      <c r="H40" s="2">
        <f t="shared" si="11"/>
        <v>0</v>
      </c>
      <c r="I40" s="28">
        <v>6.56</v>
      </c>
      <c r="J40" s="34"/>
      <c r="K40" s="20">
        <f t="shared" si="14"/>
        <v>0</v>
      </c>
      <c r="L40" s="4" t="e">
        <f t="shared" si="12"/>
        <v>#DIV/0!</v>
      </c>
      <c r="M40" s="103"/>
      <c r="N40" s="103"/>
      <c r="O40" s="34"/>
      <c r="P40" s="6"/>
      <c r="Q40" s="14"/>
    </row>
    <row r="41" spans="1:17">
      <c r="A41" s="13">
        <f t="shared" si="15"/>
        <v>46149</v>
      </c>
      <c r="B41" s="127">
        <v>46458.796770000001</v>
      </c>
      <c r="C41" s="127">
        <v>44086.597950000003</v>
      </c>
      <c r="D41" s="34"/>
      <c r="E41" s="34"/>
      <c r="F41" s="20">
        <f t="shared" si="13"/>
        <v>0</v>
      </c>
      <c r="G41" s="2">
        <f t="shared" si="10"/>
        <v>0</v>
      </c>
      <c r="H41" s="2">
        <f t="shared" si="11"/>
        <v>0</v>
      </c>
      <c r="I41" s="28">
        <v>6.56</v>
      </c>
      <c r="J41" s="34"/>
      <c r="K41" s="20">
        <f t="shared" si="14"/>
        <v>0</v>
      </c>
      <c r="L41" s="4" t="e">
        <f t="shared" si="12"/>
        <v>#DIV/0!</v>
      </c>
      <c r="M41" s="103"/>
      <c r="N41" s="103"/>
      <c r="O41" s="34"/>
      <c r="P41" s="6"/>
      <c r="Q41" s="202"/>
    </row>
    <row r="42" spans="1:17">
      <c r="A42" s="13">
        <f t="shared" si="15"/>
        <v>46150</v>
      </c>
      <c r="B42" s="127"/>
      <c r="C42" s="127"/>
      <c r="D42" s="34"/>
      <c r="E42" s="34"/>
      <c r="F42" s="20" t="e">
        <f t="shared" si="13"/>
        <v>#DIV/0!</v>
      </c>
      <c r="G42" s="2">
        <f t="shared" si="10"/>
        <v>0</v>
      </c>
      <c r="H42" s="2">
        <f t="shared" si="11"/>
        <v>0</v>
      </c>
      <c r="I42" s="29"/>
      <c r="J42" s="34"/>
      <c r="K42" s="20" t="e">
        <f t="shared" si="14"/>
        <v>#DIV/0!</v>
      </c>
      <c r="L42" s="4" t="e">
        <f t="shared" si="12"/>
        <v>#DIV/0!</v>
      </c>
      <c r="M42" s="103"/>
      <c r="N42" s="103"/>
      <c r="O42" s="34"/>
      <c r="P42" s="6"/>
      <c r="Q42" s="14"/>
    </row>
    <row r="43" spans="1:17">
      <c r="A43" s="13">
        <f t="shared" si="15"/>
        <v>46151</v>
      </c>
      <c r="B43" s="127"/>
      <c r="C43" s="127"/>
      <c r="D43" s="34"/>
      <c r="E43" s="34"/>
      <c r="F43" s="20" t="e">
        <f t="shared" si="13"/>
        <v>#DIV/0!</v>
      </c>
      <c r="G43" s="2">
        <f t="shared" si="10"/>
        <v>0</v>
      </c>
      <c r="H43" s="2">
        <f t="shared" si="11"/>
        <v>0</v>
      </c>
      <c r="I43" s="29"/>
      <c r="J43" s="34"/>
      <c r="K43" s="20" t="e">
        <f t="shared" si="14"/>
        <v>#DIV/0!</v>
      </c>
      <c r="L43" s="4" t="e">
        <f t="shared" si="12"/>
        <v>#DIV/0!</v>
      </c>
      <c r="M43" s="103"/>
      <c r="N43" s="103"/>
      <c r="O43" s="34"/>
      <c r="P43" s="6"/>
      <c r="Q43" s="6"/>
    </row>
    <row r="44" spans="1:17">
      <c r="A44" s="13">
        <f t="shared" si="15"/>
        <v>46152</v>
      </c>
      <c r="B44" s="127"/>
      <c r="C44" s="127"/>
      <c r="D44" s="34"/>
      <c r="E44" s="34"/>
      <c r="F44" s="20" t="e">
        <f t="shared" si="13"/>
        <v>#DIV/0!</v>
      </c>
      <c r="G44" s="2">
        <f t="shared" si="10"/>
        <v>0</v>
      </c>
      <c r="H44" s="2">
        <f t="shared" si="11"/>
        <v>0</v>
      </c>
      <c r="I44" s="29"/>
      <c r="J44" s="34"/>
      <c r="K44" s="20" t="e">
        <f t="shared" si="14"/>
        <v>#DIV/0!</v>
      </c>
      <c r="L44" s="4" t="e">
        <f t="shared" si="12"/>
        <v>#DIV/0!</v>
      </c>
      <c r="M44" s="103"/>
      <c r="N44" s="103"/>
      <c r="O44" s="34"/>
      <c r="P44" s="6"/>
      <c r="Q44" s="16"/>
    </row>
    <row r="45" spans="1:17">
      <c r="A45" s="13">
        <f t="shared" si="15"/>
        <v>46153</v>
      </c>
      <c r="B45" s="127"/>
      <c r="C45" s="127"/>
      <c r="D45" s="34"/>
      <c r="E45" s="34"/>
      <c r="F45" s="20" t="e">
        <f t="shared" si="13"/>
        <v>#DIV/0!</v>
      </c>
      <c r="G45" s="2">
        <f t="shared" si="10"/>
        <v>0</v>
      </c>
      <c r="H45" s="2">
        <f t="shared" si="11"/>
        <v>0</v>
      </c>
      <c r="I45" s="29"/>
      <c r="J45" s="34"/>
      <c r="K45" s="20" t="e">
        <f t="shared" si="14"/>
        <v>#DIV/0!</v>
      </c>
      <c r="L45" s="4" t="e">
        <f t="shared" si="12"/>
        <v>#DIV/0!</v>
      </c>
      <c r="M45" s="103"/>
      <c r="N45" s="103"/>
      <c r="O45" s="34"/>
      <c r="P45" s="6"/>
      <c r="Q45" s="6"/>
    </row>
    <row r="46" spans="1:17">
      <c r="A46" s="13">
        <f t="shared" si="15"/>
        <v>46154</v>
      </c>
      <c r="B46" s="127"/>
      <c r="C46" s="127"/>
      <c r="D46" s="34"/>
      <c r="E46" s="34"/>
      <c r="F46" s="20" t="e">
        <f t="shared" si="13"/>
        <v>#DIV/0!</v>
      </c>
      <c r="G46" s="2">
        <f t="shared" si="10"/>
        <v>0</v>
      </c>
      <c r="H46" s="2">
        <f t="shared" si="11"/>
        <v>0</v>
      </c>
      <c r="I46" s="29"/>
      <c r="J46" s="34"/>
      <c r="K46" s="20" t="e">
        <f t="shared" si="14"/>
        <v>#DIV/0!</v>
      </c>
      <c r="L46" s="4" t="e">
        <f t="shared" si="12"/>
        <v>#DIV/0!</v>
      </c>
      <c r="M46" s="104"/>
      <c r="N46" s="103"/>
      <c r="O46" s="34"/>
      <c r="P46" s="6"/>
      <c r="Q46" s="6"/>
    </row>
    <row r="47" spans="1:17">
      <c r="A47" s="13">
        <f t="shared" si="15"/>
        <v>46155</v>
      </c>
      <c r="B47" s="127"/>
      <c r="C47" s="127"/>
      <c r="D47" s="34"/>
      <c r="E47" s="34"/>
      <c r="F47" s="20" t="e">
        <f t="shared" si="13"/>
        <v>#DIV/0!</v>
      </c>
      <c r="G47" s="2">
        <f t="shared" si="10"/>
        <v>0</v>
      </c>
      <c r="H47" s="2">
        <f t="shared" si="11"/>
        <v>0</v>
      </c>
      <c r="I47" s="29"/>
      <c r="J47" s="34"/>
      <c r="K47" s="20" t="e">
        <f t="shared" si="14"/>
        <v>#DIV/0!</v>
      </c>
      <c r="L47" s="4" t="e">
        <f t="shared" si="12"/>
        <v>#DIV/0!</v>
      </c>
      <c r="M47" s="104"/>
      <c r="N47" s="103"/>
      <c r="O47" s="34"/>
      <c r="P47" s="6"/>
      <c r="Q47" s="31"/>
    </row>
    <row r="48" spans="1:17">
      <c r="A48" s="13">
        <f t="shared" si="15"/>
        <v>46156</v>
      </c>
      <c r="B48" s="127"/>
      <c r="C48" s="127"/>
      <c r="D48" s="34"/>
      <c r="E48" s="34"/>
      <c r="F48" s="20" t="e">
        <f t="shared" si="13"/>
        <v>#DIV/0!</v>
      </c>
      <c r="G48" s="2">
        <f t="shared" si="10"/>
        <v>0</v>
      </c>
      <c r="H48" s="2">
        <f t="shared" si="11"/>
        <v>0</v>
      </c>
      <c r="I48" s="29"/>
      <c r="J48" s="34"/>
      <c r="K48" s="20" t="e">
        <f t="shared" si="14"/>
        <v>#DIV/0!</v>
      </c>
      <c r="L48" s="4" t="e">
        <f t="shared" si="12"/>
        <v>#DIV/0!</v>
      </c>
      <c r="M48" s="104"/>
      <c r="N48" s="103"/>
      <c r="O48" s="34"/>
      <c r="P48" s="6"/>
      <c r="Q48" s="32"/>
    </row>
    <row r="49" spans="1:17">
      <c r="A49" s="13">
        <f t="shared" si="15"/>
        <v>46157</v>
      </c>
      <c r="B49" s="127"/>
      <c r="C49" s="127"/>
      <c r="D49" s="34"/>
      <c r="E49" s="34"/>
      <c r="F49" s="20" t="e">
        <f t="shared" si="13"/>
        <v>#DIV/0!</v>
      </c>
      <c r="G49" s="2">
        <f t="shared" si="10"/>
        <v>0</v>
      </c>
      <c r="H49" s="2">
        <f t="shared" si="11"/>
        <v>0</v>
      </c>
      <c r="I49" s="29"/>
      <c r="J49" s="34"/>
      <c r="K49" s="20" t="e">
        <f t="shared" si="14"/>
        <v>#DIV/0!</v>
      </c>
      <c r="L49" s="4" t="e">
        <f t="shared" si="12"/>
        <v>#DIV/0!</v>
      </c>
      <c r="M49" s="104"/>
      <c r="N49" s="103"/>
      <c r="O49" s="34"/>
      <c r="P49" s="6"/>
      <c r="Q49" s="32"/>
    </row>
    <row r="50" spans="1:17">
      <c r="A50" s="13">
        <f t="shared" si="15"/>
        <v>46158</v>
      </c>
      <c r="B50" s="127"/>
      <c r="C50" s="127"/>
      <c r="D50" s="34"/>
      <c r="E50" s="34"/>
      <c r="F50" s="20" t="e">
        <f t="shared" si="13"/>
        <v>#DIV/0!</v>
      </c>
      <c r="G50" s="2">
        <f t="shared" si="10"/>
        <v>0</v>
      </c>
      <c r="H50" s="2">
        <f t="shared" si="11"/>
        <v>0</v>
      </c>
      <c r="I50" s="29"/>
      <c r="J50" s="34"/>
      <c r="K50" s="20" t="e">
        <f t="shared" si="14"/>
        <v>#DIV/0!</v>
      </c>
      <c r="L50" s="4" t="e">
        <f t="shared" si="12"/>
        <v>#DIV/0!</v>
      </c>
      <c r="M50" s="104"/>
      <c r="N50" s="103"/>
      <c r="O50" s="34"/>
      <c r="P50" s="6"/>
      <c r="Q50" s="32"/>
    </row>
    <row r="51" spans="1:17">
      <c r="A51" s="13">
        <f t="shared" si="15"/>
        <v>46159</v>
      </c>
      <c r="B51" s="127"/>
      <c r="C51" s="127"/>
      <c r="D51" s="34"/>
      <c r="E51" s="34"/>
      <c r="F51" s="20" t="e">
        <f t="shared" si="13"/>
        <v>#DIV/0!</v>
      </c>
      <c r="G51" s="2">
        <f t="shared" si="10"/>
        <v>0</v>
      </c>
      <c r="H51" s="2">
        <f t="shared" si="11"/>
        <v>0</v>
      </c>
      <c r="I51" s="29"/>
      <c r="J51" s="34"/>
      <c r="K51" s="20" t="e">
        <f t="shared" si="14"/>
        <v>#DIV/0!</v>
      </c>
      <c r="L51" s="4" t="e">
        <f t="shared" si="12"/>
        <v>#DIV/0!</v>
      </c>
      <c r="M51" s="103"/>
      <c r="N51" s="103"/>
      <c r="O51" s="34"/>
      <c r="P51" s="6"/>
      <c r="Q51" s="6"/>
    </row>
    <row r="52" spans="1:17">
      <c r="A52" s="13">
        <f t="shared" si="15"/>
        <v>46160</v>
      </c>
      <c r="B52" s="127"/>
      <c r="C52" s="127"/>
      <c r="D52" s="34"/>
      <c r="E52" s="34"/>
      <c r="F52" s="20" t="e">
        <f t="shared" si="13"/>
        <v>#DIV/0!</v>
      </c>
      <c r="G52" s="2">
        <f t="shared" si="10"/>
        <v>0</v>
      </c>
      <c r="H52" s="2">
        <f t="shared" si="11"/>
        <v>0</v>
      </c>
      <c r="I52" s="29"/>
      <c r="J52" s="34"/>
      <c r="K52" s="20" t="e">
        <f t="shared" si="14"/>
        <v>#DIV/0!</v>
      </c>
      <c r="L52" s="4" t="e">
        <f t="shared" si="12"/>
        <v>#DIV/0!</v>
      </c>
      <c r="M52" s="103"/>
      <c r="N52" s="103"/>
      <c r="O52" s="34"/>
      <c r="P52" s="6"/>
      <c r="Q52" s="14"/>
    </row>
    <row r="53" spans="1:17">
      <c r="A53" s="13">
        <f t="shared" si="15"/>
        <v>46161</v>
      </c>
      <c r="B53" s="127"/>
      <c r="C53" s="127"/>
      <c r="D53" s="34"/>
      <c r="E53" s="34"/>
      <c r="F53" s="20" t="e">
        <f t="shared" si="13"/>
        <v>#DIV/0!</v>
      </c>
      <c r="G53" s="2">
        <f t="shared" si="10"/>
        <v>0</v>
      </c>
      <c r="H53" s="2">
        <f t="shared" si="11"/>
        <v>0</v>
      </c>
      <c r="I53" s="29"/>
      <c r="J53" s="34"/>
      <c r="K53" s="20" t="e">
        <f t="shared" si="14"/>
        <v>#DIV/0!</v>
      </c>
      <c r="L53" s="4" t="e">
        <f t="shared" si="12"/>
        <v>#DIV/0!</v>
      </c>
      <c r="M53" s="103"/>
      <c r="N53" s="103"/>
      <c r="O53" s="34"/>
      <c r="P53" s="6"/>
      <c r="Q53" s="14"/>
    </row>
    <row r="54" spans="1:17">
      <c r="A54" s="13">
        <f t="shared" si="15"/>
        <v>46162</v>
      </c>
      <c r="B54" s="127"/>
      <c r="C54" s="127"/>
      <c r="D54" s="34"/>
      <c r="E54" s="34"/>
      <c r="F54" s="20" t="e">
        <f t="shared" si="13"/>
        <v>#DIV/0!</v>
      </c>
      <c r="G54" s="2">
        <f t="shared" si="10"/>
        <v>0</v>
      </c>
      <c r="H54" s="2">
        <f t="shared" si="11"/>
        <v>0</v>
      </c>
      <c r="I54" s="29"/>
      <c r="J54" s="34"/>
      <c r="K54" s="20" t="e">
        <f t="shared" si="14"/>
        <v>#DIV/0!</v>
      </c>
      <c r="L54" s="4" t="e">
        <f t="shared" si="12"/>
        <v>#DIV/0!</v>
      </c>
      <c r="M54" s="103"/>
      <c r="N54" s="103"/>
      <c r="O54" s="34"/>
      <c r="P54" s="6"/>
      <c r="Q54" s="14"/>
    </row>
    <row r="55" spans="1:17">
      <c r="A55" s="13">
        <f t="shared" si="15"/>
        <v>46163</v>
      </c>
      <c r="B55" s="127"/>
      <c r="C55" s="127"/>
      <c r="D55" s="34"/>
      <c r="E55" s="34"/>
      <c r="F55" s="20" t="e">
        <f>(IF(ISBLANK(E55),0,E55-C55))/C55</f>
        <v>#DIV/0!</v>
      </c>
      <c r="G55" s="2">
        <f t="shared" si="10"/>
        <v>0</v>
      </c>
      <c r="H55" s="2">
        <f t="shared" si="11"/>
        <v>0</v>
      </c>
      <c r="I55" s="29"/>
      <c r="J55" s="34"/>
      <c r="K55" s="20" t="e">
        <f>(IF(ISBLANK(J55),0,J55-I55))/I55</f>
        <v>#DIV/0!</v>
      </c>
      <c r="L55" s="4" t="e">
        <f t="shared" si="12"/>
        <v>#DIV/0!</v>
      </c>
      <c r="M55" s="103"/>
      <c r="N55" s="103"/>
      <c r="O55" s="34"/>
      <c r="P55" s="6"/>
      <c r="Q55" s="6"/>
    </row>
    <row r="56" spans="1:17">
      <c r="A56" s="13">
        <f t="shared" si="15"/>
        <v>46164</v>
      </c>
      <c r="B56" s="127"/>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2"/>
        <v>#DIV/0!</v>
      </c>
      <c r="M56" s="103"/>
      <c r="N56" s="103"/>
      <c r="O56" s="34"/>
      <c r="P56" s="6"/>
      <c r="Q56" s="6"/>
    </row>
    <row r="57" spans="1:17">
      <c r="A57" s="13">
        <f t="shared" si="15"/>
        <v>46165</v>
      </c>
      <c r="B57" s="127"/>
      <c r="C57" s="127"/>
      <c r="D57" s="14"/>
      <c r="E57" s="14"/>
      <c r="F57" s="20" t="e">
        <f t="shared" si="16"/>
        <v>#DIV/0!</v>
      </c>
      <c r="G57" s="2">
        <f t="shared" si="10"/>
        <v>0</v>
      </c>
      <c r="H57" s="2">
        <f t="shared" si="11"/>
        <v>0</v>
      </c>
      <c r="I57" s="29"/>
      <c r="J57" s="14"/>
      <c r="K57" s="20" t="e">
        <f t="shared" si="17"/>
        <v>#DIV/0!</v>
      </c>
      <c r="L57" s="4" t="e">
        <f t="shared" si="12"/>
        <v>#DIV/0!</v>
      </c>
      <c r="M57" s="103"/>
      <c r="N57" s="103"/>
      <c r="O57" s="34"/>
      <c r="P57" s="6"/>
      <c r="Q57" s="6"/>
    </row>
    <row r="58" spans="1:17">
      <c r="A58" s="13">
        <f t="shared" si="15"/>
        <v>46166</v>
      </c>
      <c r="B58" s="127"/>
      <c r="C58" s="127"/>
      <c r="D58" s="14"/>
      <c r="E58" s="14"/>
      <c r="F58" s="20" t="e">
        <f t="shared" si="16"/>
        <v>#DIV/0!</v>
      </c>
      <c r="G58" s="2">
        <f t="shared" ref="G58:G65" si="18">D58/($D$2*24)</f>
        <v>0</v>
      </c>
      <c r="H58" s="2">
        <f t="shared" si="11"/>
        <v>0</v>
      </c>
      <c r="I58" s="29"/>
      <c r="J58" s="14"/>
      <c r="K58" s="20" t="e">
        <f t="shared" si="17"/>
        <v>#DIV/0!</v>
      </c>
      <c r="L58" s="4" t="e">
        <f t="shared" si="12"/>
        <v>#DIV/0!</v>
      </c>
      <c r="M58" s="103"/>
      <c r="N58" s="103"/>
      <c r="O58" s="34"/>
      <c r="P58" s="6"/>
      <c r="Q58" s="288"/>
    </row>
    <row r="59" spans="1:17">
      <c r="A59" s="13">
        <f t="shared" si="15"/>
        <v>46167</v>
      </c>
      <c r="B59" s="1"/>
      <c r="C59" s="1"/>
      <c r="D59" s="14"/>
      <c r="E59" s="14"/>
      <c r="F59" s="20" t="e">
        <f t="shared" si="16"/>
        <v>#DIV/0!</v>
      </c>
      <c r="G59" s="2">
        <f t="shared" si="18"/>
        <v>0</v>
      </c>
      <c r="H59" s="2">
        <f t="shared" si="11"/>
        <v>0</v>
      </c>
      <c r="I59" s="29"/>
      <c r="J59" s="14"/>
      <c r="K59" s="20" t="e">
        <f t="shared" si="17"/>
        <v>#DIV/0!</v>
      </c>
      <c r="L59" s="4" t="e">
        <f t="shared" si="12"/>
        <v>#DIV/0!</v>
      </c>
      <c r="M59" s="103"/>
      <c r="N59" s="103"/>
      <c r="O59" s="34"/>
      <c r="P59" s="155"/>
      <c r="Q59" s="6"/>
    </row>
    <row r="60" spans="1:17">
      <c r="A60" s="13">
        <f t="shared" si="15"/>
        <v>46168</v>
      </c>
      <c r="B60" s="1"/>
      <c r="C60" s="1"/>
      <c r="D60" s="14"/>
      <c r="E60" s="14"/>
      <c r="F60" s="20" t="e">
        <f t="shared" si="16"/>
        <v>#DIV/0!</v>
      </c>
      <c r="G60" s="2">
        <f t="shared" si="18"/>
        <v>0</v>
      </c>
      <c r="H60" s="2">
        <f t="shared" si="11"/>
        <v>0</v>
      </c>
      <c r="I60" s="29"/>
      <c r="J60" s="14"/>
      <c r="K60" s="20" t="e">
        <f t="shared" si="17"/>
        <v>#DIV/0!</v>
      </c>
      <c r="L60" s="4" t="e">
        <f t="shared" si="12"/>
        <v>#DIV/0!</v>
      </c>
      <c r="M60" s="103"/>
      <c r="N60" s="103"/>
      <c r="O60" s="34"/>
      <c r="P60" s="6"/>
      <c r="Q60" s="123"/>
    </row>
    <row r="61" spans="1:17">
      <c r="A61" s="13">
        <f t="shared" si="15"/>
        <v>46169</v>
      </c>
      <c r="B61" s="1"/>
      <c r="C61" s="1"/>
      <c r="D61" s="14"/>
      <c r="E61" s="14"/>
      <c r="F61" s="20" t="e">
        <f t="shared" si="16"/>
        <v>#DIV/0!</v>
      </c>
      <c r="G61" s="2">
        <f t="shared" si="18"/>
        <v>0</v>
      </c>
      <c r="H61" s="2">
        <f t="shared" si="11"/>
        <v>0</v>
      </c>
      <c r="I61" s="29"/>
      <c r="J61" s="14"/>
      <c r="K61" s="20" t="e">
        <f t="shared" si="17"/>
        <v>#DIV/0!</v>
      </c>
      <c r="L61" s="4" t="e">
        <f t="shared" si="12"/>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2"/>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2"/>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2"/>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2"/>
        <v>#DIV/0!</v>
      </c>
      <c r="M65" s="103"/>
      <c r="N65" s="103"/>
      <c r="O65" s="34"/>
      <c r="P65" s="6"/>
      <c r="Q65" s="6"/>
    </row>
    <row r="66" spans="1:17">
      <c r="A66" s="349">
        <v>46143</v>
      </c>
      <c r="B66" s="89">
        <f>SUM(B35:B65)</f>
        <v>325211.57739000005</v>
      </c>
      <c r="C66" s="89">
        <f>SUM(C35:C65)</f>
        <v>308606.18565000006</v>
      </c>
      <c r="D66" s="89">
        <f>SUM(D35:D65)</f>
        <v>209584</v>
      </c>
      <c r="E66" s="89">
        <f>SUM(E35:E65)</f>
        <v>205891</v>
      </c>
      <c r="F66" s="160">
        <f>(IF(ISBLANK(E66),0,E66-C66))/C66</f>
        <v>-0.3328357966437282</v>
      </c>
      <c r="G66" s="90">
        <f>AVERAGE(G35:G65)</f>
        <v>3.131379776913993E-2</v>
      </c>
      <c r="H66" s="90">
        <f>AVERAGE(H35:H65)</f>
        <v>3.672736958685565E-2</v>
      </c>
      <c r="I66" s="89">
        <f>SUM(I35:I65)</f>
        <v>45.92</v>
      </c>
      <c r="J66" s="89">
        <f>SUM(J35:J65)</f>
        <v>34.94</v>
      </c>
      <c r="K66" s="160">
        <f>(IF(ISBLANK(J66),0,J66-I66))/I66</f>
        <v>-0.23911149825783981</v>
      </c>
      <c r="L66" s="161">
        <f t="shared" si="12"/>
        <v>0.66678493246251025</v>
      </c>
      <c r="M66" s="90">
        <f>AVERAGE(M35:M65)</f>
        <v>1</v>
      </c>
      <c r="N66" s="90">
        <f>AVERAGE(N35:N65)</f>
        <v>0.87563999999999997</v>
      </c>
      <c r="O66" s="89">
        <f>SUM(O35:O65)</f>
        <v>38678</v>
      </c>
      <c r="P66" s="89">
        <f>SUM(P35:P65)</f>
        <v>0</v>
      </c>
      <c r="Q66" s="19"/>
    </row>
  </sheetData>
  <mergeCells count="4">
    <mergeCell ref="A1:Q1"/>
    <mergeCell ref="B2:C2"/>
    <mergeCell ref="E2:G2"/>
    <mergeCell ref="I2:J2"/>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C9BA-1EB5-4B41-BD15-BEBF4EFA3BD3}">
  <dimension ref="A1:Q66"/>
  <sheetViews>
    <sheetView topLeftCell="A27" workbookViewId="0">
      <selection activeCell="M35" sqref="M35:Q39"/>
    </sheetView>
  </sheetViews>
  <sheetFormatPr defaultRowHeight="14.5"/>
  <cols>
    <col min="1" max="1" width="11.26953125" bestFit="1" customWidth="1"/>
    <col min="6" max="6" width="12" bestFit="1" customWidth="1"/>
    <col min="11" max="11" width="10.1796875" bestFit="1" customWidth="1"/>
    <col min="17" max="17" width="35.54296875" bestFit="1" customWidth="1"/>
  </cols>
  <sheetData>
    <row r="1" spans="1:17" ht="18.5">
      <c r="A1" s="417" t="s">
        <v>479</v>
      </c>
      <c r="B1" s="418"/>
      <c r="C1" s="418"/>
      <c r="D1" s="418"/>
      <c r="E1" s="418"/>
      <c r="F1" s="418"/>
      <c r="G1" s="418"/>
      <c r="H1" s="418"/>
      <c r="I1" s="418"/>
      <c r="J1" s="418"/>
      <c r="K1" s="418"/>
      <c r="L1" s="418"/>
      <c r="M1" s="418"/>
      <c r="N1" s="418"/>
      <c r="O1" s="418"/>
      <c r="P1" s="418"/>
      <c r="Q1" s="418"/>
    </row>
    <row r="2" spans="1:17" ht="18.5">
      <c r="A2" s="69">
        <v>46138</v>
      </c>
      <c r="B2" s="415" t="s">
        <v>172</v>
      </c>
      <c r="C2" s="416"/>
      <c r="D2" s="70">
        <v>1495</v>
      </c>
      <c r="E2" s="415" t="s">
        <v>173</v>
      </c>
      <c r="F2" s="415"/>
      <c r="G2" s="416"/>
      <c r="H2" s="70">
        <v>1200</v>
      </c>
      <c r="I2" s="415" t="s">
        <v>174</v>
      </c>
      <c r="J2" s="416"/>
      <c r="K2" s="71">
        <v>45192</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8433</v>
      </c>
      <c r="C4" s="39">
        <v>8342</v>
      </c>
      <c r="D4" s="49">
        <v>8124.6</v>
      </c>
      <c r="E4" s="49">
        <v>8040</v>
      </c>
      <c r="F4" s="21">
        <f t="shared" ref="F4:F28" si="0">(IF(ISBLANK(D4),0,D4-C4))/C4</f>
        <v>-2.6060896667465791E-2</v>
      </c>
      <c r="G4" s="2">
        <f t="shared" ref="G4:G28" si="1">D4/($D$2*24)</f>
        <v>0.22643812709030101</v>
      </c>
      <c r="H4" s="2">
        <f t="shared" ref="H4:H28" si="2">D4/($H$2*24)</f>
        <v>0.28210416666666666</v>
      </c>
      <c r="I4" s="39">
        <v>6.77</v>
      </c>
      <c r="J4" s="49">
        <v>6.5172999999999996</v>
      </c>
      <c r="K4" s="21">
        <f t="shared" ref="K4:K28" si="3">(IF(ISBLANK(J4),0,J4-I4))/I4</f>
        <v>-3.7326440177252576E-2</v>
      </c>
      <c r="L4" s="22">
        <f t="shared" ref="L4:L28" si="4">D4/($D$2*J4)</f>
        <v>0.83385988832295965</v>
      </c>
      <c r="M4" s="68">
        <v>1</v>
      </c>
      <c r="N4" s="68">
        <v>1</v>
      </c>
      <c r="O4" s="49">
        <v>0</v>
      </c>
      <c r="P4" s="49">
        <v>0</v>
      </c>
      <c r="Q4" s="49" t="s">
        <v>175</v>
      </c>
    </row>
    <row r="5" spans="1:17">
      <c r="A5" s="79">
        <v>46114</v>
      </c>
      <c r="B5" s="46">
        <v>8433</v>
      </c>
      <c r="C5" s="46">
        <v>8342</v>
      </c>
      <c r="D5" s="50">
        <v>8254.5</v>
      </c>
      <c r="E5" s="50">
        <v>8200</v>
      </c>
      <c r="F5" s="21">
        <f t="shared" si="0"/>
        <v>-1.0489091345001198E-2</v>
      </c>
      <c r="G5" s="2">
        <f t="shared" si="1"/>
        <v>0.23005852842809366</v>
      </c>
      <c r="H5" s="2">
        <f t="shared" si="2"/>
        <v>0.28661458333333334</v>
      </c>
      <c r="I5" s="46">
        <v>6.77</v>
      </c>
      <c r="J5" s="50">
        <v>6.4559499999999996</v>
      </c>
      <c r="K5" s="21">
        <f t="shared" si="3"/>
        <v>-4.6388478581979316E-2</v>
      </c>
      <c r="L5" s="22">
        <f t="shared" si="4"/>
        <v>0.85524278878774584</v>
      </c>
      <c r="M5" s="66">
        <v>1</v>
      </c>
      <c r="N5" s="66">
        <v>1</v>
      </c>
      <c r="O5" s="50">
        <v>0</v>
      </c>
      <c r="P5" s="50">
        <v>0</v>
      </c>
      <c r="Q5" s="50" t="s">
        <v>175</v>
      </c>
    </row>
    <row r="6" spans="1:17">
      <c r="A6" s="79">
        <v>46115</v>
      </c>
      <c r="B6" s="46">
        <v>8433</v>
      </c>
      <c r="C6" s="46">
        <v>8342</v>
      </c>
      <c r="D6" s="50">
        <v>7919.2</v>
      </c>
      <c r="E6" s="50">
        <v>7860</v>
      </c>
      <c r="F6" s="21">
        <f t="shared" si="0"/>
        <v>-5.0683289379045815E-2</v>
      </c>
      <c r="G6" s="2">
        <f t="shared" si="1"/>
        <v>0.22071348940914157</v>
      </c>
      <c r="H6" s="2">
        <f t="shared" si="2"/>
        <v>0.27497222222222223</v>
      </c>
      <c r="I6" s="46">
        <v>6.77</v>
      </c>
      <c r="J6" s="50">
        <v>6.4425749999999997</v>
      </c>
      <c r="K6" s="21">
        <f t="shared" si="3"/>
        <v>-4.8364106351550945E-2</v>
      </c>
      <c r="L6" s="22">
        <f t="shared" si="4"/>
        <v>0.82220598841602899</v>
      </c>
      <c r="M6" s="66">
        <v>1</v>
      </c>
      <c r="N6" s="66">
        <v>1</v>
      </c>
      <c r="O6" s="50">
        <v>0</v>
      </c>
      <c r="P6" s="50">
        <v>0</v>
      </c>
      <c r="Q6" s="50" t="s">
        <v>175</v>
      </c>
    </row>
    <row r="7" spans="1:17">
      <c r="A7" s="79">
        <v>46116</v>
      </c>
      <c r="B7" s="46">
        <v>8433</v>
      </c>
      <c r="C7" s="46">
        <v>8342</v>
      </c>
      <c r="D7" s="50">
        <v>6921.2</v>
      </c>
      <c r="E7" s="50">
        <v>6860</v>
      </c>
      <c r="F7" s="21">
        <f t="shared" si="0"/>
        <v>-0.17031886837688806</v>
      </c>
      <c r="G7" s="2">
        <f t="shared" si="1"/>
        <v>0.19289855072463769</v>
      </c>
      <c r="H7" s="2">
        <f t="shared" si="2"/>
        <v>0.24031944444444445</v>
      </c>
      <c r="I7" s="46">
        <v>6.77</v>
      </c>
      <c r="J7" s="50">
        <v>5.5062499999999996</v>
      </c>
      <c r="K7" s="21">
        <f t="shared" si="3"/>
        <v>-0.18666912850812409</v>
      </c>
      <c r="L7" s="22">
        <f t="shared" si="4"/>
        <v>0.84078369441839806</v>
      </c>
      <c r="M7" s="66">
        <v>1</v>
      </c>
      <c r="N7" s="66">
        <v>1</v>
      </c>
      <c r="O7" s="50">
        <v>0</v>
      </c>
      <c r="P7" s="50">
        <v>0</v>
      </c>
      <c r="Q7" s="50" t="s">
        <v>175</v>
      </c>
    </row>
    <row r="8" spans="1:17">
      <c r="A8" s="79">
        <v>46117</v>
      </c>
      <c r="B8" s="46">
        <v>8433</v>
      </c>
      <c r="C8" s="46">
        <v>8342</v>
      </c>
      <c r="D8" s="50">
        <v>8542.2000000000007</v>
      </c>
      <c r="E8" s="50">
        <v>8480</v>
      </c>
      <c r="F8" s="21">
        <f t="shared" si="0"/>
        <v>2.399904099736283E-2</v>
      </c>
      <c r="G8" s="2">
        <f t="shared" si="1"/>
        <v>0.2380769230769231</v>
      </c>
      <c r="H8" s="2">
        <f t="shared" si="2"/>
        <v>0.29660416666666667</v>
      </c>
      <c r="I8" s="46">
        <v>6.77</v>
      </c>
      <c r="J8" s="50">
        <v>6.7035</v>
      </c>
      <c r="K8" s="21">
        <f t="shared" si="3"/>
        <v>-9.8227474150664046E-3</v>
      </c>
      <c r="L8" s="22">
        <f t="shared" si="4"/>
        <v>0.8523675921304027</v>
      </c>
      <c r="M8" s="66">
        <v>1</v>
      </c>
      <c r="N8" s="66">
        <v>1</v>
      </c>
      <c r="O8" s="50">
        <v>0</v>
      </c>
      <c r="P8" s="50">
        <v>0</v>
      </c>
      <c r="Q8" s="50" t="s">
        <v>175</v>
      </c>
    </row>
    <row r="9" spans="1:17">
      <c r="A9" s="79">
        <v>46118</v>
      </c>
      <c r="B9" s="46">
        <v>8433</v>
      </c>
      <c r="C9" s="46">
        <v>8342</v>
      </c>
      <c r="D9" s="50">
        <v>8654.6</v>
      </c>
      <c r="E9" s="50">
        <v>8600</v>
      </c>
      <c r="F9" s="21">
        <f t="shared" si="0"/>
        <v>3.7473028050827181E-2</v>
      </c>
      <c r="G9" s="2">
        <f t="shared" si="1"/>
        <v>0.24120958751393534</v>
      </c>
      <c r="H9" s="2">
        <f t="shared" si="2"/>
        <v>0.30050694444444448</v>
      </c>
      <c r="I9" s="46">
        <v>6.77</v>
      </c>
      <c r="J9" s="50">
        <v>6.9401409999999997</v>
      </c>
      <c r="K9" s="21">
        <f t="shared" si="3"/>
        <v>2.5131610044313163E-2</v>
      </c>
      <c r="L9" s="22">
        <f t="shared" si="4"/>
        <v>0.83413724596293481</v>
      </c>
      <c r="M9" s="66">
        <v>1</v>
      </c>
      <c r="N9" s="66">
        <v>1</v>
      </c>
      <c r="O9" s="50">
        <v>0</v>
      </c>
      <c r="P9" s="50">
        <v>0</v>
      </c>
      <c r="Q9" s="50" t="s">
        <v>175</v>
      </c>
    </row>
    <row r="10" spans="1:17">
      <c r="A10" s="79">
        <v>46119</v>
      </c>
      <c r="B10" s="46">
        <v>8433</v>
      </c>
      <c r="C10" s="46">
        <v>8342</v>
      </c>
      <c r="D10" s="50">
        <v>8103.5</v>
      </c>
      <c r="E10" s="50">
        <v>8040</v>
      </c>
      <c r="F10" s="21">
        <f t="shared" si="0"/>
        <v>-2.8590266123231838E-2</v>
      </c>
      <c r="G10" s="2">
        <f t="shared" si="1"/>
        <v>0.22585005574136008</v>
      </c>
      <c r="H10" s="2">
        <f t="shared" si="2"/>
        <v>0.2813715277777778</v>
      </c>
      <c r="I10" s="46">
        <v>6.77</v>
      </c>
      <c r="J10" s="50">
        <v>6.3482000000000003</v>
      </c>
      <c r="K10" s="21">
        <f t="shared" si="3"/>
        <v>-6.2304283604135792E-2</v>
      </c>
      <c r="L10" s="22">
        <f t="shared" si="4"/>
        <v>0.85384854569683399</v>
      </c>
      <c r="M10" s="66">
        <v>1</v>
      </c>
      <c r="N10" s="66">
        <v>1</v>
      </c>
      <c r="O10" s="50">
        <v>0</v>
      </c>
      <c r="P10" s="50">
        <v>0</v>
      </c>
      <c r="Q10" s="50" t="s">
        <v>175</v>
      </c>
    </row>
    <row r="11" spans="1:17">
      <c r="A11" s="79">
        <v>46120</v>
      </c>
      <c r="B11" s="46">
        <v>8433</v>
      </c>
      <c r="C11" s="46">
        <v>8342</v>
      </c>
      <c r="D11" s="50">
        <v>5653</v>
      </c>
      <c r="E11" s="50">
        <v>5600</v>
      </c>
      <c r="F11" s="21">
        <f t="shared" si="0"/>
        <v>-0.32234476144809399</v>
      </c>
      <c r="G11" s="2">
        <f t="shared" si="1"/>
        <v>0.15755295429208474</v>
      </c>
      <c r="H11" s="2">
        <f t="shared" si="2"/>
        <v>0.19628472222222224</v>
      </c>
      <c r="I11" s="46">
        <v>6.77</v>
      </c>
      <c r="J11" s="50">
        <v>4.5839999999999996</v>
      </c>
      <c r="K11" s="21">
        <f t="shared" si="3"/>
        <v>-0.32289512555391436</v>
      </c>
      <c r="L11" s="22">
        <f t="shared" si="4"/>
        <v>0.82488457744546995</v>
      </c>
      <c r="M11" s="66">
        <v>1</v>
      </c>
      <c r="N11" s="66">
        <v>0.96050000000000002</v>
      </c>
      <c r="O11" s="50">
        <v>429</v>
      </c>
      <c r="P11" s="50">
        <v>0</v>
      </c>
      <c r="Q11" s="50" t="s">
        <v>480</v>
      </c>
    </row>
    <row r="12" spans="1:17">
      <c r="A12" s="79">
        <v>46121</v>
      </c>
      <c r="B12" s="46">
        <v>8433</v>
      </c>
      <c r="C12" s="46">
        <v>8342</v>
      </c>
      <c r="D12" s="50">
        <v>6956.1</v>
      </c>
      <c r="E12" s="50">
        <v>6900</v>
      </c>
      <c r="F12" s="21">
        <f t="shared" si="0"/>
        <v>-0.16613521937185322</v>
      </c>
      <c r="G12" s="2">
        <f t="shared" si="1"/>
        <v>0.19387123745819398</v>
      </c>
      <c r="H12" s="2">
        <f t="shared" si="2"/>
        <v>0.24153125</v>
      </c>
      <c r="I12" s="46">
        <v>6.77</v>
      </c>
      <c r="J12" s="50">
        <v>6.7035</v>
      </c>
      <c r="K12" s="21">
        <f t="shared" si="3"/>
        <v>-9.8227474150664046E-3</v>
      </c>
      <c r="L12" s="22">
        <f t="shared" si="4"/>
        <v>0.69410154381989342</v>
      </c>
      <c r="M12" s="66">
        <v>1</v>
      </c>
      <c r="N12" s="66">
        <v>0.91220000000000001</v>
      </c>
      <c r="O12" s="50">
        <v>1231</v>
      </c>
      <c r="P12" s="50">
        <v>0</v>
      </c>
      <c r="Q12" s="50" t="s">
        <v>481</v>
      </c>
    </row>
    <row r="13" spans="1:17">
      <c r="A13" s="79">
        <v>46122</v>
      </c>
      <c r="B13" s="46">
        <v>8433</v>
      </c>
      <c r="C13" s="46">
        <v>8342</v>
      </c>
      <c r="D13" s="50">
        <v>8195.9</v>
      </c>
      <c r="E13" s="50">
        <v>8140</v>
      </c>
      <c r="F13" s="21">
        <f t="shared" si="0"/>
        <v>-1.7513785662910616E-2</v>
      </c>
      <c r="G13" s="2">
        <f t="shared" si="1"/>
        <v>0.22842530657748047</v>
      </c>
      <c r="H13" s="2">
        <f t="shared" si="2"/>
        <v>0.28457986111111111</v>
      </c>
      <c r="I13" s="46">
        <v>6.77</v>
      </c>
      <c r="J13" s="50">
        <v>6.5172999999999996</v>
      </c>
      <c r="K13" s="21">
        <f t="shared" si="3"/>
        <v>-3.7326440177252576E-2</v>
      </c>
      <c r="L13" s="22">
        <f t="shared" si="4"/>
        <v>0.84117768981933194</v>
      </c>
      <c r="M13" s="66">
        <v>1</v>
      </c>
      <c r="N13" s="66">
        <v>0.96240000000000003</v>
      </c>
      <c r="O13" s="50">
        <v>209</v>
      </c>
      <c r="P13" s="50">
        <v>0</v>
      </c>
      <c r="Q13" s="50" t="s">
        <v>482</v>
      </c>
    </row>
    <row r="14" spans="1:17">
      <c r="A14" s="79">
        <v>46123</v>
      </c>
      <c r="B14" s="46">
        <v>8433</v>
      </c>
      <c r="C14" s="46">
        <v>8342</v>
      </c>
      <c r="D14" s="50">
        <v>8070.1</v>
      </c>
      <c r="E14" s="50">
        <v>8040</v>
      </c>
      <c r="F14" s="21">
        <f t="shared" si="0"/>
        <v>-3.2594102133780826E-2</v>
      </c>
      <c r="G14" s="2">
        <f t="shared" si="1"/>
        <v>0.22491917502787068</v>
      </c>
      <c r="H14" s="2">
        <f t="shared" si="2"/>
        <v>0.28021180555555558</v>
      </c>
      <c r="I14" s="46">
        <v>6.77</v>
      </c>
      <c r="J14" s="50">
        <v>6.3802500000000002</v>
      </c>
      <c r="K14" s="21">
        <f t="shared" si="3"/>
        <v>-5.7570162481536104E-2</v>
      </c>
      <c r="L14" s="22">
        <f t="shared" si="4"/>
        <v>0.84605778780908214</v>
      </c>
      <c r="M14" s="66">
        <v>1</v>
      </c>
      <c r="N14" s="66">
        <v>1</v>
      </c>
      <c r="O14" s="50">
        <v>0</v>
      </c>
      <c r="P14" s="50">
        <v>0</v>
      </c>
      <c r="Q14" s="50" t="s">
        <v>175</v>
      </c>
    </row>
    <row r="15" spans="1:17">
      <c r="A15" s="79">
        <v>46124</v>
      </c>
      <c r="B15" s="46">
        <v>8433</v>
      </c>
      <c r="C15" s="46">
        <v>8342</v>
      </c>
      <c r="D15" s="50">
        <v>8277.1</v>
      </c>
      <c r="E15" s="50">
        <v>8220</v>
      </c>
      <c r="F15" s="21">
        <f t="shared" si="0"/>
        <v>-7.7799088947494172E-3</v>
      </c>
      <c r="G15" s="2">
        <f t="shared" si="1"/>
        <v>0.23068840579710145</v>
      </c>
      <c r="H15" s="2">
        <f t="shared" si="2"/>
        <v>0.2873993055555556</v>
      </c>
      <c r="I15" s="46">
        <v>6.77</v>
      </c>
      <c r="J15" s="50">
        <v>6.4559499999999996</v>
      </c>
      <c r="K15" s="21">
        <f t="shared" si="3"/>
        <v>-4.6388478581979316E-2</v>
      </c>
      <c r="L15" s="22">
        <f t="shared" si="4"/>
        <v>0.85758435848022918</v>
      </c>
      <c r="M15" s="66">
        <v>1</v>
      </c>
      <c r="N15" s="66">
        <v>1</v>
      </c>
      <c r="O15" s="50">
        <v>0</v>
      </c>
      <c r="P15" s="50">
        <v>0</v>
      </c>
      <c r="Q15" s="50" t="s">
        <v>175</v>
      </c>
    </row>
    <row r="16" spans="1:17">
      <c r="A16" s="79">
        <v>46125</v>
      </c>
      <c r="B16" s="46">
        <v>8433</v>
      </c>
      <c r="C16" s="46">
        <v>8342</v>
      </c>
      <c r="D16" s="50">
        <v>8209.2000000000007</v>
      </c>
      <c r="E16" s="50">
        <v>8140</v>
      </c>
      <c r="F16" s="21">
        <f t="shared" si="0"/>
        <v>-1.5919443778470304E-2</v>
      </c>
      <c r="G16" s="2">
        <f t="shared" si="1"/>
        <v>0.22879598662207359</v>
      </c>
      <c r="H16" s="2">
        <f t="shared" si="2"/>
        <v>0.28504166666666669</v>
      </c>
      <c r="I16" s="46">
        <v>6.77</v>
      </c>
      <c r="J16" s="50">
        <v>6.5172999999999996</v>
      </c>
      <c r="K16" s="21">
        <f t="shared" si="3"/>
        <v>-3.7326440177252576E-2</v>
      </c>
      <c r="L16" s="22">
        <f t="shared" si="4"/>
        <v>0.84254272151500875</v>
      </c>
      <c r="M16" s="66">
        <v>1</v>
      </c>
      <c r="N16" s="66">
        <v>1</v>
      </c>
      <c r="O16" s="50">
        <v>0</v>
      </c>
      <c r="P16" s="50">
        <v>0</v>
      </c>
      <c r="Q16" s="50" t="s">
        <v>175</v>
      </c>
    </row>
    <row r="17" spans="1:17">
      <c r="A17" s="79">
        <v>46126</v>
      </c>
      <c r="B17" s="46">
        <v>8433</v>
      </c>
      <c r="C17" s="46">
        <v>8342</v>
      </c>
      <c r="D17" s="50">
        <v>8511.6</v>
      </c>
      <c r="E17" s="50">
        <v>8440</v>
      </c>
      <c r="F17" s="21">
        <f t="shared" si="0"/>
        <v>2.0330855909853795E-2</v>
      </c>
      <c r="G17" s="2">
        <f t="shared" si="1"/>
        <v>0.23722408026755853</v>
      </c>
      <c r="H17" s="2">
        <f t="shared" si="2"/>
        <v>0.2955416666666667</v>
      </c>
      <c r="I17" s="46">
        <v>6.77</v>
      </c>
      <c r="J17" s="50">
        <v>6.7035</v>
      </c>
      <c r="K17" s="21">
        <f t="shared" si="3"/>
        <v>-9.8227474150664046E-3</v>
      </c>
      <c r="L17" s="22">
        <f t="shared" si="4"/>
        <v>0.84931422785431565</v>
      </c>
      <c r="M17" s="66">
        <v>1</v>
      </c>
      <c r="N17" s="66">
        <v>1</v>
      </c>
      <c r="O17" s="50">
        <v>0</v>
      </c>
      <c r="P17" s="50">
        <v>0</v>
      </c>
      <c r="Q17" s="50" t="s">
        <v>175</v>
      </c>
    </row>
    <row r="18" spans="1:17">
      <c r="A18" s="79">
        <v>46127</v>
      </c>
      <c r="B18" s="46">
        <v>8433</v>
      </c>
      <c r="C18" s="46">
        <v>8342</v>
      </c>
      <c r="D18" s="50">
        <v>8328.6</v>
      </c>
      <c r="E18" s="50">
        <v>8260</v>
      </c>
      <c r="F18" s="21">
        <f t="shared" si="0"/>
        <v>-1.6063294174058543E-3</v>
      </c>
      <c r="G18" s="2">
        <f t="shared" si="1"/>
        <v>0.23212374581939801</v>
      </c>
      <c r="H18" s="2">
        <f t="shared" si="2"/>
        <v>0.28918749999999999</v>
      </c>
      <c r="I18" s="46">
        <v>6.77</v>
      </c>
      <c r="J18" s="50">
        <v>6.4902499999999996</v>
      </c>
      <c r="K18" s="21">
        <f t="shared" si="3"/>
        <v>-4.1322008862629239E-2</v>
      </c>
      <c r="L18" s="22">
        <f t="shared" si="4"/>
        <v>0.85835983200424515</v>
      </c>
      <c r="M18" s="66">
        <v>1</v>
      </c>
      <c r="N18" s="66">
        <v>1</v>
      </c>
      <c r="O18" s="50">
        <v>0</v>
      </c>
      <c r="P18" s="50">
        <v>0</v>
      </c>
      <c r="Q18" s="50" t="s">
        <v>175</v>
      </c>
    </row>
    <row r="19" spans="1:17">
      <c r="A19" s="79">
        <v>46128</v>
      </c>
      <c r="B19" s="46">
        <v>8433</v>
      </c>
      <c r="C19" s="46">
        <v>8342</v>
      </c>
      <c r="D19" s="50">
        <v>8272.1</v>
      </c>
      <c r="E19" s="50">
        <v>8220</v>
      </c>
      <c r="F19" s="21">
        <f t="shared" si="0"/>
        <v>-8.3792855430352003E-3</v>
      </c>
      <c r="G19" s="2">
        <f t="shared" si="1"/>
        <v>0.23054905239687851</v>
      </c>
      <c r="H19" s="2">
        <f t="shared" si="2"/>
        <v>0.28722569444444446</v>
      </c>
      <c r="I19" s="46">
        <v>6.77</v>
      </c>
      <c r="J19" s="50">
        <v>6.4559499999999996</v>
      </c>
      <c r="K19" s="21">
        <f t="shared" si="3"/>
        <v>-4.6388478581979316E-2</v>
      </c>
      <c r="L19" s="22">
        <f t="shared" si="4"/>
        <v>0.85706631208808681</v>
      </c>
      <c r="M19" s="66">
        <v>1</v>
      </c>
      <c r="N19" s="66">
        <v>0.97819999999999996</v>
      </c>
      <c r="O19" s="50">
        <v>88.65</v>
      </c>
      <c r="P19" s="50">
        <v>0</v>
      </c>
      <c r="Q19" s="50" t="s">
        <v>483</v>
      </c>
    </row>
    <row r="20" spans="1:17">
      <c r="A20" s="79">
        <v>46129</v>
      </c>
      <c r="B20" s="46">
        <v>8433</v>
      </c>
      <c r="C20" s="46">
        <v>8342</v>
      </c>
      <c r="D20" s="50">
        <v>8008.2</v>
      </c>
      <c r="E20" s="50">
        <v>7960</v>
      </c>
      <c r="F20" s="21">
        <f t="shared" si="0"/>
        <v>-4.0014385039558883E-2</v>
      </c>
      <c r="G20" s="2">
        <f t="shared" si="1"/>
        <v>0.22319397993311035</v>
      </c>
      <c r="H20" s="2">
        <f t="shared" si="2"/>
        <v>0.27806249999999999</v>
      </c>
      <c r="I20" s="46">
        <v>6.77</v>
      </c>
      <c r="J20" s="50">
        <v>6.3802500000000002</v>
      </c>
      <c r="K20" s="21">
        <f t="shared" si="3"/>
        <v>-5.7570162481536104E-2</v>
      </c>
      <c r="L20" s="22">
        <f t="shared" si="4"/>
        <v>0.83956827998818984</v>
      </c>
      <c r="M20" s="66">
        <v>1</v>
      </c>
      <c r="N20" s="66">
        <v>1</v>
      </c>
      <c r="O20" s="50">
        <v>0</v>
      </c>
      <c r="P20" s="50">
        <v>0</v>
      </c>
      <c r="Q20" s="50" t="s">
        <v>175</v>
      </c>
    </row>
    <row r="21" spans="1:17">
      <c r="A21" s="79">
        <v>46130</v>
      </c>
      <c r="B21" s="46">
        <v>8433</v>
      </c>
      <c r="C21" s="46">
        <v>8342</v>
      </c>
      <c r="D21" s="50">
        <v>7869.2</v>
      </c>
      <c r="E21" s="50">
        <v>7800</v>
      </c>
      <c r="F21" s="21">
        <f t="shared" si="0"/>
        <v>-5.6677055861903643E-2</v>
      </c>
      <c r="G21" s="2">
        <f t="shared" si="1"/>
        <v>0.21931995540691193</v>
      </c>
      <c r="H21" s="2">
        <f t="shared" si="2"/>
        <v>0.27323611111111112</v>
      </c>
      <c r="I21" s="46">
        <v>6.77</v>
      </c>
      <c r="J21" s="50">
        <v>6.4425749999999997</v>
      </c>
      <c r="K21" s="21">
        <f t="shared" si="3"/>
        <v>-4.8364106351550945E-2</v>
      </c>
      <c r="L21" s="22">
        <f t="shared" si="4"/>
        <v>0.81701476967918674</v>
      </c>
      <c r="M21" s="66">
        <v>1</v>
      </c>
      <c r="N21" s="66">
        <v>0.98729999999999996</v>
      </c>
      <c r="O21" s="50">
        <v>30</v>
      </c>
      <c r="P21" s="50">
        <v>0</v>
      </c>
      <c r="Q21" s="50" t="s">
        <v>483</v>
      </c>
    </row>
    <row r="22" spans="1:17">
      <c r="A22" s="79">
        <v>46131</v>
      </c>
      <c r="B22" s="46">
        <v>8433</v>
      </c>
      <c r="C22" s="46">
        <v>8342</v>
      </c>
      <c r="D22" s="50">
        <v>7734.6</v>
      </c>
      <c r="E22" s="50">
        <v>7660</v>
      </c>
      <c r="F22" s="21">
        <f t="shared" si="0"/>
        <v>-7.2812275233756843E-2</v>
      </c>
      <c r="G22" s="2">
        <f t="shared" si="1"/>
        <v>0.21556856187290971</v>
      </c>
      <c r="H22" s="2">
        <f t="shared" si="2"/>
        <v>0.26856250000000004</v>
      </c>
      <c r="I22" s="46">
        <v>6.77</v>
      </c>
      <c r="J22" s="50">
        <v>6.009125</v>
      </c>
      <c r="K22" s="21">
        <f t="shared" si="3"/>
        <v>-0.11238921713441648</v>
      </c>
      <c r="L22" s="22">
        <f t="shared" si="4"/>
        <v>0.86096486342850809</v>
      </c>
      <c r="M22" s="66">
        <v>1</v>
      </c>
      <c r="N22" s="66">
        <v>1</v>
      </c>
      <c r="O22" s="50">
        <v>0</v>
      </c>
      <c r="P22" s="50">
        <v>0</v>
      </c>
      <c r="Q22" s="50" t="s">
        <v>175</v>
      </c>
    </row>
    <row r="23" spans="1:17">
      <c r="A23" s="79">
        <v>46132</v>
      </c>
      <c r="B23" s="46">
        <v>8433</v>
      </c>
      <c r="C23" s="46">
        <v>8342</v>
      </c>
      <c r="D23" s="50">
        <v>8059.6</v>
      </c>
      <c r="E23" s="50">
        <v>8020</v>
      </c>
      <c r="F23" s="21">
        <f t="shared" si="0"/>
        <v>-3.3852793095180966E-2</v>
      </c>
      <c r="G23" s="2">
        <f t="shared" si="1"/>
        <v>0.22462653288740247</v>
      </c>
      <c r="H23" s="2">
        <f t="shared" si="2"/>
        <v>0.27984722222222225</v>
      </c>
      <c r="I23" s="46">
        <v>6.77</v>
      </c>
      <c r="J23" s="50">
        <v>6.3802500000000002</v>
      </c>
      <c r="K23" s="21">
        <f t="shared" si="3"/>
        <v>-5.7570162481536104E-2</v>
      </c>
      <c r="L23" s="22">
        <f t="shared" si="4"/>
        <v>0.84495698276676601</v>
      </c>
      <c r="M23" s="66">
        <v>1</v>
      </c>
      <c r="N23" s="66">
        <v>1</v>
      </c>
      <c r="O23" s="50">
        <v>0</v>
      </c>
      <c r="P23" s="50">
        <v>0</v>
      </c>
      <c r="Q23" s="50" t="s">
        <v>175</v>
      </c>
    </row>
    <row r="24" spans="1:17">
      <c r="A24" s="79">
        <v>46133</v>
      </c>
      <c r="B24" s="46">
        <v>8433</v>
      </c>
      <c r="C24" s="46">
        <v>8342</v>
      </c>
      <c r="D24" s="50">
        <v>7398.4</v>
      </c>
      <c r="E24" s="50">
        <v>7340</v>
      </c>
      <c r="F24" s="21">
        <f t="shared" si="0"/>
        <v>-0.11311436106449298</v>
      </c>
      <c r="G24" s="2">
        <f t="shared" si="1"/>
        <v>0.2061984392419175</v>
      </c>
      <c r="H24" s="2">
        <f t="shared" si="2"/>
        <v>0.25688888888888889</v>
      </c>
      <c r="I24" s="46">
        <v>6.77</v>
      </c>
      <c r="J24" s="50">
        <v>5.6692</v>
      </c>
      <c r="K24" s="21">
        <f t="shared" si="3"/>
        <v>-0.16259970457902506</v>
      </c>
      <c r="L24" s="22">
        <f t="shared" si="4"/>
        <v>0.87292078984795385</v>
      </c>
      <c r="M24" s="66">
        <v>1</v>
      </c>
      <c r="N24" s="66">
        <v>1</v>
      </c>
      <c r="O24" s="50">
        <v>0</v>
      </c>
      <c r="P24" s="50">
        <v>0</v>
      </c>
      <c r="Q24" s="50" t="s">
        <v>175</v>
      </c>
    </row>
    <row r="25" spans="1:17">
      <c r="A25" s="79">
        <v>46134</v>
      </c>
      <c r="B25" s="46">
        <v>8433</v>
      </c>
      <c r="C25" s="46">
        <v>8342</v>
      </c>
      <c r="D25" s="50">
        <v>8108.6</v>
      </c>
      <c r="E25" s="50">
        <v>8060</v>
      </c>
      <c r="F25" s="21">
        <f t="shared" si="0"/>
        <v>-2.7978901941980296E-2</v>
      </c>
      <c r="G25" s="2">
        <f t="shared" si="1"/>
        <v>0.22599219620958752</v>
      </c>
      <c r="H25" s="2">
        <f t="shared" si="2"/>
        <v>0.28154861111111112</v>
      </c>
      <c r="I25" s="46">
        <v>6.77</v>
      </c>
      <c r="J25" s="50">
        <v>6.5172999999999996</v>
      </c>
      <c r="K25" s="21">
        <f t="shared" si="3"/>
        <v>-3.7326440177252576E-2</v>
      </c>
      <c r="L25" s="22">
        <f t="shared" si="4"/>
        <v>0.83221774492966427</v>
      </c>
      <c r="M25" s="66">
        <v>1</v>
      </c>
      <c r="N25" s="66">
        <v>1</v>
      </c>
      <c r="O25" s="50">
        <v>0</v>
      </c>
      <c r="P25" s="50">
        <v>0</v>
      </c>
      <c r="Q25" s="50" t="s">
        <v>175</v>
      </c>
    </row>
    <row r="26" spans="1:17">
      <c r="A26" s="79">
        <v>46135</v>
      </c>
      <c r="B26" s="46">
        <v>8433</v>
      </c>
      <c r="C26" s="46">
        <v>8342</v>
      </c>
      <c r="D26" s="50">
        <v>7949.3</v>
      </c>
      <c r="E26" s="50">
        <v>7880</v>
      </c>
      <c r="F26" s="21">
        <f t="shared" si="0"/>
        <v>-4.707504195636536E-2</v>
      </c>
      <c r="G26" s="2">
        <f t="shared" si="1"/>
        <v>0.22155239687848385</v>
      </c>
      <c r="H26" s="2">
        <f t="shared" si="2"/>
        <v>0.27601736111111114</v>
      </c>
      <c r="I26" s="46">
        <v>6.77</v>
      </c>
      <c r="J26" s="50">
        <v>6.4425749999999997</v>
      </c>
      <c r="K26" s="21">
        <f t="shared" si="3"/>
        <v>-4.8364106351550945E-2</v>
      </c>
      <c r="L26" s="22">
        <f t="shared" si="4"/>
        <v>0.82533110209560812</v>
      </c>
      <c r="M26" s="66">
        <v>1</v>
      </c>
      <c r="N26" s="66">
        <v>1</v>
      </c>
      <c r="O26" s="50">
        <v>0</v>
      </c>
      <c r="P26" s="50">
        <v>0</v>
      </c>
      <c r="Q26" s="50" t="s">
        <v>175</v>
      </c>
    </row>
    <row r="27" spans="1:17">
      <c r="A27" s="79">
        <v>46136</v>
      </c>
      <c r="B27" s="46">
        <v>8433</v>
      </c>
      <c r="C27" s="46">
        <v>8342</v>
      </c>
      <c r="D27" s="50">
        <v>8083.2</v>
      </c>
      <c r="E27" s="50">
        <v>8040</v>
      </c>
      <c r="F27" s="21">
        <f t="shared" si="0"/>
        <v>-3.1023735315272138E-2</v>
      </c>
      <c r="G27" s="2">
        <f t="shared" si="1"/>
        <v>0.22528428093645483</v>
      </c>
      <c r="H27" s="2">
        <f t="shared" si="2"/>
        <v>0.28066666666666668</v>
      </c>
      <c r="I27" s="46">
        <v>6.77</v>
      </c>
      <c r="J27" s="50">
        <v>6.4425749999999997</v>
      </c>
      <c r="K27" s="21">
        <f t="shared" si="3"/>
        <v>-4.8364106351550945E-2</v>
      </c>
      <c r="L27" s="22">
        <f t="shared" si="4"/>
        <v>0.83923318587287166</v>
      </c>
      <c r="M27" s="66">
        <v>1</v>
      </c>
      <c r="N27" s="66">
        <v>1</v>
      </c>
      <c r="O27" s="50">
        <v>0</v>
      </c>
      <c r="P27" s="50">
        <v>0</v>
      </c>
      <c r="Q27" s="50" t="s">
        <v>175</v>
      </c>
    </row>
    <row r="28" spans="1:17">
      <c r="A28" s="79">
        <v>46137</v>
      </c>
      <c r="B28" s="46">
        <v>8433</v>
      </c>
      <c r="C28" s="46">
        <v>8342</v>
      </c>
      <c r="D28" s="50">
        <v>8085.8</v>
      </c>
      <c r="E28" s="50">
        <v>8060</v>
      </c>
      <c r="F28" s="21">
        <f t="shared" si="0"/>
        <v>-3.071205945816349E-2</v>
      </c>
      <c r="G28" s="2">
        <f t="shared" si="1"/>
        <v>0.22535674470457079</v>
      </c>
      <c r="H28" s="2">
        <f t="shared" si="2"/>
        <v>0.28075694444444443</v>
      </c>
      <c r="I28" s="46">
        <v>6.77</v>
      </c>
      <c r="J28" s="50">
        <v>6.3802500000000002</v>
      </c>
      <c r="K28" s="21">
        <f t="shared" si="3"/>
        <v>-5.7570162481536104E-2</v>
      </c>
      <c r="L28" s="22">
        <f t="shared" si="4"/>
        <v>0.84770375344378335</v>
      </c>
      <c r="M28" s="66">
        <v>1</v>
      </c>
      <c r="N28" s="66">
        <v>1</v>
      </c>
      <c r="O28" s="50">
        <v>0</v>
      </c>
      <c r="P28" s="50">
        <v>0</v>
      </c>
      <c r="Q28" s="50" t="s">
        <v>175</v>
      </c>
    </row>
    <row r="29" spans="1:17">
      <c r="A29" s="79">
        <v>46138</v>
      </c>
      <c r="B29" s="46">
        <v>8433</v>
      </c>
      <c r="C29" s="46">
        <v>8342</v>
      </c>
      <c r="D29" s="31">
        <v>7625.3</v>
      </c>
      <c r="E29" s="49">
        <v>7600</v>
      </c>
      <c r="F29" s="21">
        <f t="shared" ref="F29:F33" si="5">(IF(ISBLANK(D29),0,D29-C29))/C29</f>
        <v>-8.5914648765284082E-2</v>
      </c>
      <c r="G29" s="2">
        <f t="shared" ref="G29:G33" si="6">D29/($D$2*24)</f>
        <v>0.21252229654403568</v>
      </c>
      <c r="H29" s="2">
        <f t="shared" ref="H29:H33" si="7">D29/($H$2*24)</f>
        <v>0.2647673611111111</v>
      </c>
      <c r="I29" s="46">
        <v>6.77</v>
      </c>
      <c r="J29" s="31">
        <v>6.009125</v>
      </c>
      <c r="K29" s="21">
        <f t="shared" ref="K29:K33" si="8">(IF(ISBLANK(J29),0,J29-I29))/I29</f>
        <v>-0.11238921713441648</v>
      </c>
      <c r="L29" s="22">
        <f t="shared" ref="L29:L33" si="9">D29/($D$2*J29)</f>
        <v>0.84879830541998325</v>
      </c>
      <c r="M29" s="66">
        <v>1</v>
      </c>
      <c r="N29" s="66">
        <v>1</v>
      </c>
      <c r="O29" s="50">
        <v>0</v>
      </c>
      <c r="P29" s="50">
        <v>0</v>
      </c>
      <c r="Q29" s="50" t="s">
        <v>175</v>
      </c>
    </row>
    <row r="30" spans="1:17">
      <c r="A30" s="79">
        <v>46139</v>
      </c>
      <c r="B30" s="46">
        <v>8433</v>
      </c>
      <c r="C30" s="46">
        <v>8342</v>
      </c>
      <c r="D30" s="32">
        <v>7959.4</v>
      </c>
      <c r="E30" s="50">
        <v>7880</v>
      </c>
      <c r="F30" s="21">
        <f t="shared" si="5"/>
        <v>-4.5864301126828141E-2</v>
      </c>
      <c r="G30" s="2">
        <f t="shared" si="6"/>
        <v>0.22183389074693421</v>
      </c>
      <c r="H30" s="2">
        <f t="shared" si="7"/>
        <v>0.27636805555555555</v>
      </c>
      <c r="I30" s="46">
        <v>6.77</v>
      </c>
      <c r="J30" s="32">
        <v>6.441325</v>
      </c>
      <c r="K30" s="21">
        <f t="shared" si="8"/>
        <v>-4.8548744460856663E-2</v>
      </c>
      <c r="L30" s="22">
        <f t="shared" si="9"/>
        <v>0.82654009507770854</v>
      </c>
      <c r="M30" s="66">
        <v>1</v>
      </c>
      <c r="N30" s="66">
        <v>1</v>
      </c>
      <c r="O30" s="50">
        <v>0</v>
      </c>
      <c r="P30" s="50">
        <v>0</v>
      </c>
      <c r="Q30" s="50" t="s">
        <v>175</v>
      </c>
    </row>
    <row r="31" spans="1:17">
      <c r="A31" s="79">
        <v>46140</v>
      </c>
      <c r="B31" s="46">
        <v>8433</v>
      </c>
      <c r="C31" s="46">
        <v>8342</v>
      </c>
      <c r="D31" s="32">
        <v>8071.7</v>
      </c>
      <c r="E31" s="50">
        <v>8000</v>
      </c>
      <c r="F31" s="21">
        <f t="shared" si="5"/>
        <v>-3.2402301606329439E-2</v>
      </c>
      <c r="G31" s="2">
        <f t="shared" si="6"/>
        <v>0.22496376811594201</v>
      </c>
      <c r="H31" s="2">
        <f t="shared" si="7"/>
        <v>0.28026736111111111</v>
      </c>
      <c r="I31" s="46">
        <v>6.77</v>
      </c>
      <c r="J31" s="32">
        <v>6.3802500000000002</v>
      </c>
      <c r="K31" s="21">
        <f t="shared" si="8"/>
        <v>-5.7570162481536104E-2</v>
      </c>
      <c r="L31" s="22">
        <f t="shared" si="9"/>
        <v>0.84622552952981589</v>
      </c>
      <c r="M31" s="66">
        <v>1</v>
      </c>
      <c r="N31" s="66">
        <v>1</v>
      </c>
      <c r="O31" s="50">
        <v>0</v>
      </c>
      <c r="P31" s="50">
        <v>0</v>
      </c>
      <c r="Q31" s="50" t="s">
        <v>175</v>
      </c>
    </row>
    <row r="32" spans="1:17">
      <c r="A32" s="79">
        <v>46141</v>
      </c>
      <c r="B32" s="46">
        <v>8433</v>
      </c>
      <c r="C32" s="46">
        <v>8342</v>
      </c>
      <c r="D32" s="32">
        <v>8541.7000000000007</v>
      </c>
      <c r="E32" s="50">
        <v>8480</v>
      </c>
      <c r="F32" s="21">
        <f t="shared" si="5"/>
        <v>2.3939103332534253E-2</v>
      </c>
      <c r="G32" s="2">
        <f t="shared" si="6"/>
        <v>0.23806298773690079</v>
      </c>
      <c r="H32" s="2">
        <f t="shared" si="7"/>
        <v>0.29658680555555555</v>
      </c>
      <c r="I32" s="46">
        <v>6.77</v>
      </c>
      <c r="J32" s="32">
        <v>6.7035</v>
      </c>
      <c r="K32" s="21">
        <f t="shared" si="8"/>
        <v>-9.8227474150664046E-3</v>
      </c>
      <c r="L32" s="22">
        <f t="shared" si="9"/>
        <v>0.85231770055726397</v>
      </c>
      <c r="M32" s="66">
        <v>1</v>
      </c>
      <c r="N32" s="66">
        <v>1</v>
      </c>
      <c r="O32" s="50">
        <v>0</v>
      </c>
      <c r="P32" s="50">
        <v>0</v>
      </c>
      <c r="Q32" s="50" t="s">
        <v>175</v>
      </c>
    </row>
    <row r="33" spans="1:17">
      <c r="A33" s="79">
        <v>46142</v>
      </c>
      <c r="B33" s="46">
        <v>8433</v>
      </c>
      <c r="C33" s="46">
        <v>8342</v>
      </c>
      <c r="D33" s="32">
        <v>8301.7000000000007</v>
      </c>
      <c r="E33" s="50">
        <v>8260</v>
      </c>
      <c r="F33" s="21">
        <f t="shared" si="5"/>
        <v>-4.8309757851833224E-3</v>
      </c>
      <c r="G33" s="2">
        <f t="shared" si="6"/>
        <v>0.23137402452619846</v>
      </c>
      <c r="H33" s="2">
        <f t="shared" si="7"/>
        <v>0.28825347222222225</v>
      </c>
      <c r="I33" s="46">
        <v>6.77</v>
      </c>
      <c r="J33" s="32">
        <v>6.4902499999999996</v>
      </c>
      <c r="K33" s="21">
        <f t="shared" si="8"/>
        <v>-4.1322008862629239E-2</v>
      </c>
      <c r="L33" s="22">
        <f t="shared" si="9"/>
        <v>0.85558747176592009</v>
      </c>
      <c r="M33" s="66">
        <v>1</v>
      </c>
      <c r="N33" s="66">
        <v>1</v>
      </c>
      <c r="O33" s="50">
        <v>0</v>
      </c>
      <c r="P33" s="50">
        <v>0</v>
      </c>
      <c r="Q33" s="50" t="s">
        <v>175</v>
      </c>
    </row>
    <row r="34" spans="1:17">
      <c r="A34" s="349">
        <v>46113</v>
      </c>
      <c r="B34" s="84">
        <f>SUM(B4:B33)</f>
        <v>252990</v>
      </c>
      <c r="C34" s="84">
        <f>SUM(C4:C33)</f>
        <v>250260</v>
      </c>
      <c r="D34" s="84">
        <f>SUM(D4:D33)</f>
        <v>238790.20000000004</v>
      </c>
      <c r="E34" s="84">
        <f>SUM(E4:E33)</f>
        <v>237080</v>
      </c>
      <c r="F34" s="160">
        <f>(IF(ISBLANK(D34),0,D34-C34))/C34</f>
        <v>-4.5831535203388313E-2</v>
      </c>
      <c r="G34" s="167">
        <f>AVERAGE(G4:G33)</f>
        <v>0.22184150873281305</v>
      </c>
      <c r="H34" s="167">
        <f>AVERAGE(H4:H33)</f>
        <v>0.27637754629629624</v>
      </c>
      <c r="I34" s="84">
        <f>SUM(I4:I33)</f>
        <v>203.10000000000005</v>
      </c>
      <c r="J34" s="84">
        <f>SUM(J4:J33)</f>
        <v>190.41046600000001</v>
      </c>
      <c r="K34" s="160">
        <f>(IF(ISBLANK(J34),0,J34-I34))/I34</f>
        <v>-6.2479241752831288E-2</v>
      </c>
      <c r="L34" s="167">
        <f>AVERAGE(L4:L33)</f>
        <v>0.83909717896580627</v>
      </c>
      <c r="M34" s="167">
        <f>AVERAGE(M4:M33)</f>
        <v>1</v>
      </c>
      <c r="N34" s="167">
        <f>AVERAGE(N4:N33)</f>
        <v>0.99335333333333331</v>
      </c>
      <c r="O34" s="84">
        <f>SUM(O4:O33)</f>
        <v>1987.65</v>
      </c>
      <c r="P34" s="84">
        <f>SUM(P4:P33)</f>
        <v>0</v>
      </c>
      <c r="Q34" s="84" t="s">
        <v>175</v>
      </c>
    </row>
    <row r="35" spans="1:17">
      <c r="A35" s="13">
        <v>46143</v>
      </c>
      <c r="B35" s="26">
        <v>8285</v>
      </c>
      <c r="C35" s="39">
        <v>8195</v>
      </c>
      <c r="D35" s="31">
        <v>7887.7</v>
      </c>
      <c r="E35" s="49">
        <v>7820</v>
      </c>
      <c r="F35" s="20">
        <f>(IF(ISBLANK(E35),0,E35-C35))/C35</f>
        <v>-4.5759609517998782E-2</v>
      </c>
      <c r="G35" s="2">
        <f t="shared" ref="G35:G57" si="10">D35/($D$2*24)</f>
        <v>0.2198355629877369</v>
      </c>
      <c r="H35" s="2">
        <f t="shared" ref="H35:H61" si="11">D35/($H$2*24)</f>
        <v>0.27387847222222222</v>
      </c>
      <c r="I35" s="26">
        <v>6.68</v>
      </c>
      <c r="J35" s="49">
        <v>6.44</v>
      </c>
      <c r="K35" s="20">
        <f>(IF(ISBLANK(J35),0,J35-I35))/I35</f>
        <v>-3.5928143712574752E-2</v>
      </c>
      <c r="L35" s="4">
        <f t="shared" ref="L35:L66" si="12">D35/($D$2*J35)</f>
        <v>0.81926296765616224</v>
      </c>
      <c r="M35" s="67">
        <v>1</v>
      </c>
      <c r="N35" s="68">
        <v>1</v>
      </c>
      <c r="O35" s="49">
        <v>0</v>
      </c>
      <c r="P35" s="49">
        <v>0</v>
      </c>
      <c r="Q35" s="49" t="s">
        <v>175</v>
      </c>
    </row>
    <row r="36" spans="1:17">
      <c r="A36" s="13">
        <f>A35+1</f>
        <v>46144</v>
      </c>
      <c r="B36" s="27">
        <v>8285</v>
      </c>
      <c r="C36" s="46">
        <v>8195</v>
      </c>
      <c r="D36" s="32">
        <v>8177.9</v>
      </c>
      <c r="E36" s="50">
        <v>8120</v>
      </c>
      <c r="F36" s="20">
        <f t="shared" ref="F36:F54" si="13">(IF(ISBLANK(E36),0,E36-C36))/C36</f>
        <v>-9.1519219035997561E-3</v>
      </c>
      <c r="G36" s="2">
        <f t="shared" si="10"/>
        <v>0.22792363433667781</v>
      </c>
      <c r="H36" s="2">
        <f t="shared" si="11"/>
        <v>0.28395486111111112</v>
      </c>
      <c r="I36" s="27">
        <v>6.68</v>
      </c>
      <c r="J36" s="50">
        <v>6.52</v>
      </c>
      <c r="K36" s="20">
        <f t="shared" ref="K36:K54" si="14">(IF(ISBLANK(J36),0,J36-I36))/I36</f>
        <v>-2.3952095808383256E-2</v>
      </c>
      <c r="L36" s="4">
        <f t="shared" si="12"/>
        <v>0.83898270307979561</v>
      </c>
      <c r="M36" s="63">
        <v>1</v>
      </c>
      <c r="N36" s="66">
        <v>1</v>
      </c>
      <c r="O36" s="50">
        <v>0</v>
      </c>
      <c r="P36" s="50">
        <v>0</v>
      </c>
      <c r="Q36" s="50" t="s">
        <v>175</v>
      </c>
    </row>
    <row r="37" spans="1:17">
      <c r="A37" s="13">
        <f t="shared" ref="A37:A65" si="15">A36+1</f>
        <v>46145</v>
      </c>
      <c r="B37" s="27">
        <v>8285</v>
      </c>
      <c r="C37" s="46">
        <v>8195</v>
      </c>
      <c r="D37" s="32">
        <v>8394</v>
      </c>
      <c r="E37" s="50">
        <v>8340</v>
      </c>
      <c r="F37" s="20">
        <f t="shared" si="13"/>
        <v>1.7693715680292862E-2</v>
      </c>
      <c r="G37" s="2">
        <f t="shared" si="10"/>
        <v>0.23394648829431439</v>
      </c>
      <c r="H37" s="2">
        <f t="shared" si="11"/>
        <v>0.29145833333333332</v>
      </c>
      <c r="I37" s="27">
        <v>6.68</v>
      </c>
      <c r="J37" s="50">
        <v>6.7</v>
      </c>
      <c r="K37" s="20">
        <f t="shared" si="14"/>
        <v>2.9940119760479733E-3</v>
      </c>
      <c r="L37" s="4">
        <f t="shared" si="12"/>
        <v>0.83801727150202165</v>
      </c>
      <c r="M37" s="63">
        <v>1</v>
      </c>
      <c r="N37" s="66">
        <v>1</v>
      </c>
      <c r="O37" s="50">
        <v>0</v>
      </c>
      <c r="P37" s="50">
        <v>0</v>
      </c>
      <c r="Q37" s="50" t="s">
        <v>175</v>
      </c>
    </row>
    <row r="38" spans="1:17">
      <c r="A38" s="13">
        <f t="shared" si="15"/>
        <v>46146</v>
      </c>
      <c r="B38" s="27">
        <v>8285</v>
      </c>
      <c r="C38" s="46">
        <v>8195</v>
      </c>
      <c r="D38" s="32">
        <v>7556</v>
      </c>
      <c r="E38" s="50">
        <v>7520</v>
      </c>
      <c r="F38" s="20">
        <f t="shared" si="13"/>
        <v>-8.2367297132397807E-2</v>
      </c>
      <c r="G38" s="2">
        <f t="shared" si="10"/>
        <v>0.21059085841694539</v>
      </c>
      <c r="H38" s="2">
        <f t="shared" si="11"/>
        <v>0.2623611111111111</v>
      </c>
      <c r="I38" s="27">
        <v>6.68</v>
      </c>
      <c r="J38" s="50">
        <v>6.01</v>
      </c>
      <c r="K38" s="20">
        <f t="shared" si="14"/>
        <v>-0.10029940119760479</v>
      </c>
      <c r="L38" s="4">
        <f t="shared" si="12"/>
        <v>0.84096183061675367</v>
      </c>
      <c r="M38" s="63">
        <v>1</v>
      </c>
      <c r="N38" s="66">
        <v>1</v>
      </c>
      <c r="O38" s="50">
        <v>0</v>
      </c>
      <c r="P38" s="50">
        <v>0</v>
      </c>
      <c r="Q38" s="50" t="s">
        <v>175</v>
      </c>
    </row>
    <row r="39" spans="1:17">
      <c r="A39" s="13">
        <f t="shared" si="15"/>
        <v>46147</v>
      </c>
      <c r="B39" s="27">
        <v>8285</v>
      </c>
      <c r="C39" s="46">
        <v>8195</v>
      </c>
      <c r="D39" s="32">
        <v>6800.4</v>
      </c>
      <c r="E39" s="50">
        <v>6780</v>
      </c>
      <c r="F39" s="20">
        <f t="shared" si="13"/>
        <v>-0.17266625991458207</v>
      </c>
      <c r="G39" s="2">
        <f t="shared" si="10"/>
        <v>0.18953177257525083</v>
      </c>
      <c r="H39" s="2">
        <f t="shared" si="11"/>
        <v>0.23612499999999997</v>
      </c>
      <c r="I39" s="27">
        <v>6.68</v>
      </c>
      <c r="J39" s="50">
        <v>5.51</v>
      </c>
      <c r="K39" s="20">
        <f t="shared" si="14"/>
        <v>-0.17514970059880239</v>
      </c>
      <c r="L39" s="4">
        <f t="shared" si="12"/>
        <v>0.82554674079964074</v>
      </c>
      <c r="M39" s="63">
        <v>0.89</v>
      </c>
      <c r="N39" s="66">
        <v>1</v>
      </c>
      <c r="O39" s="50">
        <v>0</v>
      </c>
      <c r="P39" s="50">
        <v>708</v>
      </c>
      <c r="Q39" s="50" t="s">
        <v>484</v>
      </c>
    </row>
    <row r="40" spans="1:17">
      <c r="A40" s="13">
        <f t="shared" si="15"/>
        <v>46148</v>
      </c>
      <c r="B40" s="27">
        <v>8285</v>
      </c>
      <c r="C40" s="46">
        <v>8195</v>
      </c>
      <c r="D40" s="34"/>
      <c r="E40" s="34"/>
      <c r="F40" s="20">
        <f t="shared" si="13"/>
        <v>0</v>
      </c>
      <c r="G40" s="2">
        <f t="shared" si="10"/>
        <v>0</v>
      </c>
      <c r="H40" s="2">
        <f t="shared" si="11"/>
        <v>0</v>
      </c>
      <c r="I40" s="27">
        <v>6.68</v>
      </c>
      <c r="J40" s="50" t="s">
        <v>175</v>
      </c>
      <c r="K40" s="20" t="e">
        <f t="shared" si="14"/>
        <v>#VALUE!</v>
      </c>
      <c r="L40" s="4" t="e">
        <f t="shared" si="12"/>
        <v>#VALUE!</v>
      </c>
      <c r="M40" s="103"/>
      <c r="N40" s="103"/>
      <c r="O40" s="34"/>
      <c r="P40" s="6"/>
      <c r="Q40" s="14"/>
    </row>
    <row r="41" spans="1:17">
      <c r="A41" s="13">
        <f t="shared" si="15"/>
        <v>46149</v>
      </c>
      <c r="B41" s="127"/>
      <c r="C41" s="127"/>
      <c r="D41" s="34"/>
      <c r="E41" s="34"/>
      <c r="F41" s="20" t="e">
        <f t="shared" si="13"/>
        <v>#DIV/0!</v>
      </c>
      <c r="G41" s="2">
        <f t="shared" si="10"/>
        <v>0</v>
      </c>
      <c r="H41" s="2">
        <f t="shared" si="11"/>
        <v>0</v>
      </c>
      <c r="I41" s="29"/>
      <c r="J41" s="34"/>
      <c r="K41" s="20" t="e">
        <f t="shared" si="14"/>
        <v>#DIV/0!</v>
      </c>
      <c r="L41" s="4" t="e">
        <f t="shared" si="12"/>
        <v>#DIV/0!</v>
      </c>
      <c r="M41" s="103"/>
      <c r="N41" s="103"/>
      <c r="O41" s="34"/>
      <c r="P41" s="6"/>
      <c r="Q41" s="202"/>
    </row>
    <row r="42" spans="1:17">
      <c r="A42" s="13">
        <f t="shared" si="15"/>
        <v>46150</v>
      </c>
      <c r="B42" s="127"/>
      <c r="C42" s="127"/>
      <c r="D42" s="34"/>
      <c r="E42" s="34"/>
      <c r="F42" s="20" t="e">
        <f t="shared" si="13"/>
        <v>#DIV/0!</v>
      </c>
      <c r="G42" s="2">
        <f t="shared" si="10"/>
        <v>0</v>
      </c>
      <c r="H42" s="2">
        <f t="shared" si="11"/>
        <v>0</v>
      </c>
      <c r="I42" s="29"/>
      <c r="J42" s="34"/>
      <c r="K42" s="20" t="e">
        <f t="shared" si="14"/>
        <v>#DIV/0!</v>
      </c>
      <c r="L42" s="4" t="e">
        <f t="shared" si="12"/>
        <v>#DIV/0!</v>
      </c>
      <c r="M42" s="103"/>
      <c r="N42" s="103"/>
      <c r="O42" s="34"/>
      <c r="P42" s="6"/>
      <c r="Q42" s="14"/>
    </row>
    <row r="43" spans="1:17">
      <c r="A43" s="13">
        <f t="shared" si="15"/>
        <v>46151</v>
      </c>
      <c r="B43" s="127"/>
      <c r="C43" s="127"/>
      <c r="D43" s="34"/>
      <c r="E43" s="34"/>
      <c r="F43" s="20" t="e">
        <f t="shared" si="13"/>
        <v>#DIV/0!</v>
      </c>
      <c r="G43" s="2">
        <f t="shared" si="10"/>
        <v>0</v>
      </c>
      <c r="H43" s="2">
        <f t="shared" si="11"/>
        <v>0</v>
      </c>
      <c r="I43" s="29"/>
      <c r="J43" s="34"/>
      <c r="K43" s="20" t="e">
        <f t="shared" si="14"/>
        <v>#DIV/0!</v>
      </c>
      <c r="L43" s="4" t="e">
        <f t="shared" si="12"/>
        <v>#DIV/0!</v>
      </c>
      <c r="M43" s="103"/>
      <c r="N43" s="103"/>
      <c r="O43" s="34"/>
      <c r="P43" s="6"/>
      <c r="Q43" s="6"/>
    </row>
    <row r="44" spans="1:17">
      <c r="A44" s="13">
        <f t="shared" si="15"/>
        <v>46152</v>
      </c>
      <c r="B44" s="127"/>
      <c r="C44" s="127"/>
      <c r="D44" s="34"/>
      <c r="E44" s="34"/>
      <c r="F44" s="20" t="e">
        <f t="shared" si="13"/>
        <v>#DIV/0!</v>
      </c>
      <c r="G44" s="2">
        <f t="shared" si="10"/>
        <v>0</v>
      </c>
      <c r="H44" s="2">
        <f t="shared" si="11"/>
        <v>0</v>
      </c>
      <c r="I44" s="29"/>
      <c r="J44" s="34"/>
      <c r="K44" s="20" t="e">
        <f t="shared" si="14"/>
        <v>#DIV/0!</v>
      </c>
      <c r="L44" s="4" t="e">
        <f t="shared" si="12"/>
        <v>#DIV/0!</v>
      </c>
      <c r="M44" s="103"/>
      <c r="N44" s="103"/>
      <c r="O44" s="34"/>
      <c r="P44" s="6"/>
      <c r="Q44" s="16"/>
    </row>
    <row r="45" spans="1:17">
      <c r="A45" s="13">
        <f t="shared" si="15"/>
        <v>46153</v>
      </c>
      <c r="B45" s="127"/>
      <c r="C45" s="127"/>
      <c r="D45" s="34"/>
      <c r="E45" s="34"/>
      <c r="F45" s="20" t="e">
        <f t="shared" si="13"/>
        <v>#DIV/0!</v>
      </c>
      <c r="G45" s="2">
        <f t="shared" si="10"/>
        <v>0</v>
      </c>
      <c r="H45" s="2">
        <f t="shared" si="11"/>
        <v>0</v>
      </c>
      <c r="I45" s="29"/>
      <c r="J45" s="34"/>
      <c r="K45" s="20" t="e">
        <f t="shared" si="14"/>
        <v>#DIV/0!</v>
      </c>
      <c r="L45" s="4" t="e">
        <f t="shared" si="12"/>
        <v>#DIV/0!</v>
      </c>
      <c r="M45" s="103"/>
      <c r="N45" s="103"/>
      <c r="O45" s="34"/>
      <c r="P45" s="6"/>
      <c r="Q45" s="6"/>
    </row>
    <row r="46" spans="1:17">
      <c r="A46" s="13">
        <f t="shared" si="15"/>
        <v>46154</v>
      </c>
      <c r="B46" s="127"/>
      <c r="C46" s="127"/>
      <c r="D46" s="34"/>
      <c r="E46" s="34"/>
      <c r="F46" s="20" t="e">
        <f t="shared" si="13"/>
        <v>#DIV/0!</v>
      </c>
      <c r="G46" s="2">
        <f t="shared" si="10"/>
        <v>0</v>
      </c>
      <c r="H46" s="2">
        <f t="shared" si="11"/>
        <v>0</v>
      </c>
      <c r="I46" s="29"/>
      <c r="J46" s="34"/>
      <c r="K46" s="20" t="e">
        <f t="shared" si="14"/>
        <v>#DIV/0!</v>
      </c>
      <c r="L46" s="4" t="e">
        <f t="shared" si="12"/>
        <v>#DIV/0!</v>
      </c>
      <c r="M46" s="104"/>
      <c r="N46" s="103"/>
      <c r="O46" s="34"/>
      <c r="P46" s="6"/>
      <c r="Q46" s="6"/>
    </row>
    <row r="47" spans="1:17">
      <c r="A47" s="13">
        <f t="shared" si="15"/>
        <v>46155</v>
      </c>
      <c r="B47" s="127"/>
      <c r="C47" s="127"/>
      <c r="D47" s="34"/>
      <c r="E47" s="34"/>
      <c r="F47" s="20" t="e">
        <f t="shared" si="13"/>
        <v>#DIV/0!</v>
      </c>
      <c r="G47" s="2">
        <f t="shared" si="10"/>
        <v>0</v>
      </c>
      <c r="H47" s="2">
        <f t="shared" si="11"/>
        <v>0</v>
      </c>
      <c r="I47" s="29"/>
      <c r="J47" s="34"/>
      <c r="K47" s="20" t="e">
        <f t="shared" si="14"/>
        <v>#DIV/0!</v>
      </c>
      <c r="L47" s="4" t="e">
        <f t="shared" si="12"/>
        <v>#DIV/0!</v>
      </c>
      <c r="M47" s="104"/>
      <c r="N47" s="103"/>
      <c r="O47" s="34"/>
      <c r="P47" s="6"/>
      <c r="Q47" s="31"/>
    </row>
    <row r="48" spans="1:17">
      <c r="A48" s="13">
        <f t="shared" si="15"/>
        <v>46156</v>
      </c>
      <c r="B48" s="127"/>
      <c r="C48" s="127"/>
      <c r="D48" s="34"/>
      <c r="E48" s="34"/>
      <c r="F48" s="20" t="e">
        <f t="shared" si="13"/>
        <v>#DIV/0!</v>
      </c>
      <c r="G48" s="2">
        <f t="shared" si="10"/>
        <v>0</v>
      </c>
      <c r="H48" s="2">
        <f t="shared" si="11"/>
        <v>0</v>
      </c>
      <c r="I48" s="29"/>
      <c r="J48" s="34"/>
      <c r="K48" s="20" t="e">
        <f t="shared" si="14"/>
        <v>#DIV/0!</v>
      </c>
      <c r="L48" s="4" t="e">
        <f t="shared" si="12"/>
        <v>#DIV/0!</v>
      </c>
      <c r="M48" s="104"/>
      <c r="N48" s="103"/>
      <c r="O48" s="34"/>
      <c r="P48" s="6"/>
      <c r="Q48" s="32"/>
    </row>
    <row r="49" spans="1:17">
      <c r="A49" s="13">
        <f t="shared" si="15"/>
        <v>46157</v>
      </c>
      <c r="B49" s="127"/>
      <c r="C49" s="127"/>
      <c r="D49" s="34"/>
      <c r="E49" s="34"/>
      <c r="F49" s="20" t="e">
        <f t="shared" si="13"/>
        <v>#DIV/0!</v>
      </c>
      <c r="G49" s="2">
        <f t="shared" si="10"/>
        <v>0</v>
      </c>
      <c r="H49" s="2">
        <f t="shared" si="11"/>
        <v>0</v>
      </c>
      <c r="I49" s="29"/>
      <c r="J49" s="34"/>
      <c r="K49" s="20" t="e">
        <f t="shared" si="14"/>
        <v>#DIV/0!</v>
      </c>
      <c r="L49" s="4" t="e">
        <f t="shared" si="12"/>
        <v>#DIV/0!</v>
      </c>
      <c r="M49" s="104"/>
      <c r="N49" s="103"/>
      <c r="O49" s="34"/>
      <c r="P49" s="6"/>
      <c r="Q49" s="32"/>
    </row>
    <row r="50" spans="1:17">
      <c r="A50" s="13">
        <f t="shared" si="15"/>
        <v>46158</v>
      </c>
      <c r="B50" s="127"/>
      <c r="C50" s="127"/>
      <c r="D50" s="34"/>
      <c r="E50" s="34"/>
      <c r="F50" s="20" t="e">
        <f t="shared" si="13"/>
        <v>#DIV/0!</v>
      </c>
      <c r="G50" s="2">
        <f t="shared" si="10"/>
        <v>0</v>
      </c>
      <c r="H50" s="2">
        <f t="shared" si="11"/>
        <v>0</v>
      </c>
      <c r="I50" s="29"/>
      <c r="J50" s="34"/>
      <c r="K50" s="20" t="e">
        <f t="shared" si="14"/>
        <v>#DIV/0!</v>
      </c>
      <c r="L50" s="4" t="e">
        <f t="shared" si="12"/>
        <v>#DIV/0!</v>
      </c>
      <c r="M50" s="104"/>
      <c r="N50" s="103"/>
      <c r="O50" s="34"/>
      <c r="P50" s="6"/>
      <c r="Q50" s="32"/>
    </row>
    <row r="51" spans="1:17">
      <c r="A51" s="13">
        <f t="shared" si="15"/>
        <v>46159</v>
      </c>
      <c r="B51" s="127"/>
      <c r="C51" s="127"/>
      <c r="D51" s="34"/>
      <c r="E51" s="34"/>
      <c r="F51" s="20" t="e">
        <f t="shared" si="13"/>
        <v>#DIV/0!</v>
      </c>
      <c r="G51" s="2">
        <f t="shared" si="10"/>
        <v>0</v>
      </c>
      <c r="H51" s="2">
        <f t="shared" si="11"/>
        <v>0</v>
      </c>
      <c r="I51" s="29"/>
      <c r="J51" s="34"/>
      <c r="K51" s="20" t="e">
        <f t="shared" si="14"/>
        <v>#DIV/0!</v>
      </c>
      <c r="L51" s="4" t="e">
        <f t="shared" si="12"/>
        <v>#DIV/0!</v>
      </c>
      <c r="M51" s="103"/>
      <c r="N51" s="103"/>
      <c r="O51" s="34"/>
      <c r="P51" s="6"/>
      <c r="Q51" s="6"/>
    </row>
    <row r="52" spans="1:17">
      <c r="A52" s="13">
        <f t="shared" si="15"/>
        <v>46160</v>
      </c>
      <c r="B52" s="127"/>
      <c r="C52" s="127"/>
      <c r="D52" s="34"/>
      <c r="E52" s="34"/>
      <c r="F52" s="20" t="e">
        <f t="shared" si="13"/>
        <v>#DIV/0!</v>
      </c>
      <c r="G52" s="2">
        <f t="shared" si="10"/>
        <v>0</v>
      </c>
      <c r="H52" s="2">
        <f t="shared" si="11"/>
        <v>0</v>
      </c>
      <c r="I52" s="29"/>
      <c r="J52" s="34"/>
      <c r="K52" s="20" t="e">
        <f t="shared" si="14"/>
        <v>#DIV/0!</v>
      </c>
      <c r="L52" s="4" t="e">
        <f t="shared" si="12"/>
        <v>#DIV/0!</v>
      </c>
      <c r="M52" s="103"/>
      <c r="N52" s="103"/>
      <c r="O52" s="34"/>
      <c r="P52" s="6"/>
      <c r="Q52" s="14"/>
    </row>
    <row r="53" spans="1:17">
      <c r="A53" s="13">
        <f t="shared" si="15"/>
        <v>46161</v>
      </c>
      <c r="B53" s="127"/>
      <c r="C53" s="127"/>
      <c r="D53" s="34"/>
      <c r="E53" s="34"/>
      <c r="F53" s="20" t="e">
        <f t="shared" si="13"/>
        <v>#DIV/0!</v>
      </c>
      <c r="G53" s="2">
        <f t="shared" si="10"/>
        <v>0</v>
      </c>
      <c r="H53" s="2">
        <f t="shared" si="11"/>
        <v>0</v>
      </c>
      <c r="I53" s="29"/>
      <c r="J53" s="34"/>
      <c r="K53" s="20" t="e">
        <f t="shared" si="14"/>
        <v>#DIV/0!</v>
      </c>
      <c r="L53" s="4" t="e">
        <f t="shared" si="12"/>
        <v>#DIV/0!</v>
      </c>
      <c r="M53" s="103"/>
      <c r="N53" s="103"/>
      <c r="O53" s="34"/>
      <c r="P53" s="6"/>
      <c r="Q53" s="14"/>
    </row>
    <row r="54" spans="1:17">
      <c r="A54" s="13">
        <f t="shared" si="15"/>
        <v>46162</v>
      </c>
      <c r="B54" s="127"/>
      <c r="C54" s="127"/>
      <c r="D54" s="34"/>
      <c r="E54" s="34"/>
      <c r="F54" s="20" t="e">
        <f t="shared" si="13"/>
        <v>#DIV/0!</v>
      </c>
      <c r="G54" s="2">
        <f t="shared" si="10"/>
        <v>0</v>
      </c>
      <c r="H54" s="2">
        <f t="shared" si="11"/>
        <v>0</v>
      </c>
      <c r="I54" s="29"/>
      <c r="J54" s="34"/>
      <c r="K54" s="20" t="e">
        <f t="shared" si="14"/>
        <v>#DIV/0!</v>
      </c>
      <c r="L54" s="4" t="e">
        <f t="shared" si="12"/>
        <v>#DIV/0!</v>
      </c>
      <c r="M54" s="103"/>
      <c r="N54" s="103"/>
      <c r="O54" s="34"/>
      <c r="P54" s="6"/>
      <c r="Q54" s="14"/>
    </row>
    <row r="55" spans="1:17">
      <c r="A55" s="13">
        <f t="shared" si="15"/>
        <v>46163</v>
      </c>
      <c r="B55" s="127"/>
      <c r="C55" s="127"/>
      <c r="D55" s="34"/>
      <c r="E55" s="34"/>
      <c r="F55" s="20" t="e">
        <f>(IF(ISBLANK(E55),0,E55-C55))/C55</f>
        <v>#DIV/0!</v>
      </c>
      <c r="G55" s="2">
        <f t="shared" si="10"/>
        <v>0</v>
      </c>
      <c r="H55" s="2">
        <f t="shared" si="11"/>
        <v>0</v>
      </c>
      <c r="I55" s="29"/>
      <c r="J55" s="34"/>
      <c r="K55" s="20" t="e">
        <f>(IF(ISBLANK(J55),0,J55-I55))/I55</f>
        <v>#DIV/0!</v>
      </c>
      <c r="L55" s="4" t="e">
        <f t="shared" si="12"/>
        <v>#DIV/0!</v>
      </c>
      <c r="M55" s="103"/>
      <c r="N55" s="103"/>
      <c r="O55" s="34"/>
      <c r="P55" s="6"/>
      <c r="Q55" s="6"/>
    </row>
    <row r="56" spans="1:17">
      <c r="A56" s="13">
        <f t="shared" si="15"/>
        <v>46164</v>
      </c>
      <c r="B56" s="127"/>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2"/>
        <v>#DIV/0!</v>
      </c>
      <c r="M56" s="103"/>
      <c r="N56" s="103"/>
      <c r="O56" s="34"/>
      <c r="P56" s="6"/>
      <c r="Q56" s="6"/>
    </row>
    <row r="57" spans="1:17">
      <c r="A57" s="13">
        <f t="shared" si="15"/>
        <v>46165</v>
      </c>
      <c r="B57" s="127"/>
      <c r="C57" s="127"/>
      <c r="D57" s="14"/>
      <c r="E57" s="14"/>
      <c r="F57" s="20" t="e">
        <f t="shared" si="16"/>
        <v>#DIV/0!</v>
      </c>
      <c r="G57" s="2">
        <f t="shared" si="10"/>
        <v>0</v>
      </c>
      <c r="H57" s="2">
        <f t="shared" si="11"/>
        <v>0</v>
      </c>
      <c r="I57" s="29"/>
      <c r="J57" s="14"/>
      <c r="K57" s="20" t="e">
        <f t="shared" si="17"/>
        <v>#DIV/0!</v>
      </c>
      <c r="L57" s="4" t="e">
        <f t="shared" si="12"/>
        <v>#DIV/0!</v>
      </c>
      <c r="M57" s="103"/>
      <c r="N57" s="103"/>
      <c r="O57" s="34"/>
      <c r="P57" s="6"/>
      <c r="Q57" s="6"/>
    </row>
    <row r="58" spans="1:17">
      <c r="A58" s="13">
        <f t="shared" si="15"/>
        <v>46166</v>
      </c>
      <c r="B58" s="127"/>
      <c r="C58" s="127"/>
      <c r="D58" s="14"/>
      <c r="E58" s="14"/>
      <c r="F58" s="20" t="e">
        <f t="shared" si="16"/>
        <v>#DIV/0!</v>
      </c>
      <c r="G58" s="2">
        <f t="shared" ref="G58:G65" si="18">D58/($D$2*24)</f>
        <v>0</v>
      </c>
      <c r="H58" s="2">
        <f t="shared" si="11"/>
        <v>0</v>
      </c>
      <c r="I58" s="29"/>
      <c r="J58" s="14"/>
      <c r="K58" s="20" t="e">
        <f t="shared" si="17"/>
        <v>#DIV/0!</v>
      </c>
      <c r="L58" s="4" t="e">
        <f t="shared" si="12"/>
        <v>#DIV/0!</v>
      </c>
      <c r="M58" s="103"/>
      <c r="N58" s="103"/>
      <c r="O58" s="34"/>
      <c r="P58" s="6"/>
      <c r="Q58" s="288"/>
    </row>
    <row r="59" spans="1:17">
      <c r="A59" s="13">
        <f t="shared" si="15"/>
        <v>46167</v>
      </c>
      <c r="B59" s="1"/>
      <c r="C59" s="1"/>
      <c r="D59" s="14"/>
      <c r="E59" s="14"/>
      <c r="F59" s="20" t="e">
        <f t="shared" si="16"/>
        <v>#DIV/0!</v>
      </c>
      <c r="G59" s="2">
        <f t="shared" si="18"/>
        <v>0</v>
      </c>
      <c r="H59" s="2">
        <f t="shared" si="11"/>
        <v>0</v>
      </c>
      <c r="I59" s="29"/>
      <c r="J59" s="14"/>
      <c r="K59" s="20" t="e">
        <f t="shared" si="17"/>
        <v>#DIV/0!</v>
      </c>
      <c r="L59" s="4" t="e">
        <f t="shared" si="12"/>
        <v>#DIV/0!</v>
      </c>
      <c r="M59" s="103"/>
      <c r="N59" s="103"/>
      <c r="O59" s="34"/>
      <c r="P59" s="155"/>
      <c r="Q59" s="6"/>
    </row>
    <row r="60" spans="1:17">
      <c r="A60" s="13">
        <f t="shared" si="15"/>
        <v>46168</v>
      </c>
      <c r="B60" s="1"/>
      <c r="C60" s="1"/>
      <c r="D60" s="14"/>
      <c r="E60" s="14"/>
      <c r="F60" s="20" t="e">
        <f t="shared" si="16"/>
        <v>#DIV/0!</v>
      </c>
      <c r="G60" s="2">
        <f t="shared" si="18"/>
        <v>0</v>
      </c>
      <c r="H60" s="2">
        <f t="shared" si="11"/>
        <v>0</v>
      </c>
      <c r="I60" s="29"/>
      <c r="J60" s="14"/>
      <c r="K60" s="20" t="e">
        <f t="shared" si="17"/>
        <v>#DIV/0!</v>
      </c>
      <c r="L60" s="4" t="e">
        <f t="shared" si="12"/>
        <v>#DIV/0!</v>
      </c>
      <c r="M60" s="103"/>
      <c r="N60" s="103"/>
      <c r="O60" s="34"/>
      <c r="P60" s="6"/>
      <c r="Q60" s="123"/>
    </row>
    <row r="61" spans="1:17">
      <c r="A61" s="13">
        <f t="shared" si="15"/>
        <v>46169</v>
      </c>
      <c r="B61" s="1"/>
      <c r="C61" s="1"/>
      <c r="D61" s="14"/>
      <c r="E61" s="14"/>
      <c r="F61" s="20" t="e">
        <f t="shared" si="16"/>
        <v>#DIV/0!</v>
      </c>
      <c r="G61" s="2">
        <f t="shared" si="18"/>
        <v>0</v>
      </c>
      <c r="H61" s="2">
        <f t="shared" si="11"/>
        <v>0</v>
      </c>
      <c r="I61" s="29"/>
      <c r="J61" s="14"/>
      <c r="K61" s="20" t="e">
        <f t="shared" si="17"/>
        <v>#DIV/0!</v>
      </c>
      <c r="L61" s="4" t="e">
        <f t="shared" si="12"/>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2"/>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2"/>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2"/>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2"/>
        <v>#DIV/0!</v>
      </c>
      <c r="M65" s="103"/>
      <c r="N65" s="103"/>
      <c r="O65" s="34"/>
      <c r="P65" s="6"/>
      <c r="Q65" s="6"/>
    </row>
    <row r="66" spans="1:17">
      <c r="A66" s="349">
        <v>46143</v>
      </c>
      <c r="B66" s="89">
        <f>SUM(B35:B65)</f>
        <v>49710</v>
      </c>
      <c r="C66" s="89">
        <f>SUM(C35:C65)</f>
        <v>49170</v>
      </c>
      <c r="D66" s="89">
        <f>SUM(D35:D65)</f>
        <v>38816</v>
      </c>
      <c r="E66" s="89">
        <f>SUM(E35:E65)</f>
        <v>38580</v>
      </c>
      <c r="F66" s="160">
        <f>(IF(ISBLANK(E66),0,E66-C66))/C66</f>
        <v>-0.2153752287980476</v>
      </c>
      <c r="G66" s="90">
        <f>AVERAGE(G35:G65)</f>
        <v>3.4897687632610495E-2</v>
      </c>
      <c r="H66" s="90">
        <f>AVERAGE(H35:H65)</f>
        <v>4.3476702508960574E-2</v>
      </c>
      <c r="I66" s="89">
        <f>SUM(I35:I65)</f>
        <v>40.08</v>
      </c>
      <c r="J66" s="89">
        <f>SUM(J35:J65)</f>
        <v>31.18</v>
      </c>
      <c r="K66" s="160">
        <f>(IF(ISBLANK(J66),0,J66-I66))/I66</f>
        <v>-0.22205588822355288</v>
      </c>
      <c r="L66" s="161">
        <f t="shared" si="12"/>
        <v>0.83270941624958972</v>
      </c>
      <c r="M66" s="90">
        <f>AVERAGE(M35:M65)</f>
        <v>0.97799999999999998</v>
      </c>
      <c r="N66" s="90">
        <f>AVERAGE(N35:N65)</f>
        <v>1</v>
      </c>
      <c r="O66" s="89">
        <f>SUM(O35:O65)</f>
        <v>0</v>
      </c>
      <c r="P66" s="89">
        <f>SUM(P35:P65)</f>
        <v>708</v>
      </c>
      <c r="Q66" s="19"/>
    </row>
  </sheetData>
  <mergeCells count="4">
    <mergeCell ref="A1:Q1"/>
    <mergeCell ref="B2:C2"/>
    <mergeCell ref="E2:G2"/>
    <mergeCell ref="I2:J2"/>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5CBC-46EA-483E-93F8-4EAB6C186F00}">
  <dimension ref="A1:Q66"/>
  <sheetViews>
    <sheetView topLeftCell="A22" workbookViewId="0">
      <selection activeCell="Q29" sqref="Q29"/>
    </sheetView>
  </sheetViews>
  <sheetFormatPr defaultRowHeight="14.5"/>
  <cols>
    <col min="1" max="1" width="11.26953125" bestFit="1" customWidth="1"/>
    <col min="6" max="6" width="12.453125" bestFit="1" customWidth="1"/>
    <col min="11" max="11" width="11.1796875" bestFit="1" customWidth="1"/>
    <col min="17" max="17" width="32.26953125" bestFit="1" customWidth="1"/>
  </cols>
  <sheetData>
    <row r="1" spans="1:17" ht="18.5">
      <c r="A1" s="417" t="s">
        <v>485</v>
      </c>
      <c r="B1" s="418"/>
      <c r="C1" s="418"/>
      <c r="D1" s="418"/>
      <c r="E1" s="418"/>
      <c r="F1" s="418"/>
      <c r="G1" s="418"/>
      <c r="H1" s="418"/>
      <c r="I1" s="418"/>
      <c r="J1" s="418"/>
      <c r="K1" s="418"/>
      <c r="L1" s="418"/>
      <c r="M1" s="418"/>
      <c r="N1" s="418"/>
      <c r="O1" s="418"/>
      <c r="P1" s="418"/>
      <c r="Q1" s="418"/>
    </row>
    <row r="2" spans="1:17" ht="18.5">
      <c r="A2" s="69">
        <v>46138</v>
      </c>
      <c r="B2" s="415" t="s">
        <v>172</v>
      </c>
      <c r="C2" s="416"/>
      <c r="D2" s="70">
        <v>11994</v>
      </c>
      <c r="E2" s="415" t="s">
        <v>173</v>
      </c>
      <c r="F2" s="415"/>
      <c r="G2" s="416"/>
      <c r="H2" s="70">
        <v>9600</v>
      </c>
      <c r="I2" s="415" t="s">
        <v>174</v>
      </c>
      <c r="J2" s="416"/>
      <c r="K2" s="105" t="s">
        <v>486</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64646</v>
      </c>
      <c r="C4" s="39">
        <v>61859</v>
      </c>
      <c r="D4" s="49">
        <v>67032.100000000006</v>
      </c>
      <c r="E4" s="49">
        <v>65340</v>
      </c>
      <c r="F4" s="21">
        <f t="shared" ref="F4:F28" si="0">(IF(ISBLANK(D4),0,D4-C4))/C4</f>
        <v>8.3627281398018172E-2</v>
      </c>
      <c r="G4" s="2">
        <f t="shared" ref="G4:G28" si="1">D4/($D$2*24)</f>
        <v>0.2328667806125285</v>
      </c>
      <c r="H4" s="2">
        <f t="shared" ref="H4:H28" si="2">D4/($H$2*24)</f>
        <v>0.29093793402777779</v>
      </c>
      <c r="I4" s="39">
        <v>6.51</v>
      </c>
      <c r="J4" s="49">
        <v>6.8229550000000003</v>
      </c>
      <c r="K4" s="21">
        <f t="shared" ref="K4:K28" si="3">(IF(ISBLANK(J4),0,J4-I4))/I4</f>
        <v>4.8072964669738948E-2</v>
      </c>
      <c r="L4" s="22">
        <f t="shared" ref="L4:L28" si="4">D4/($D$2*J4)</f>
        <v>0.81911763080669364</v>
      </c>
      <c r="M4" s="68">
        <v>1</v>
      </c>
      <c r="N4" s="68">
        <v>1</v>
      </c>
      <c r="O4" s="49">
        <v>0</v>
      </c>
      <c r="P4" s="49">
        <v>0</v>
      </c>
      <c r="Q4" s="49" t="s">
        <v>175</v>
      </c>
    </row>
    <row r="5" spans="1:17">
      <c r="A5" s="79">
        <v>46114</v>
      </c>
      <c r="B5" s="46">
        <v>64646</v>
      </c>
      <c r="C5" s="46">
        <v>61859</v>
      </c>
      <c r="D5" s="50">
        <v>68497.899999999994</v>
      </c>
      <c r="E5" s="50">
        <v>66900</v>
      </c>
      <c r="F5" s="21">
        <f t="shared" si="0"/>
        <v>0.10732310577280581</v>
      </c>
      <c r="G5" s="2">
        <f t="shared" si="1"/>
        <v>0.23795891001056083</v>
      </c>
      <c r="H5" s="2">
        <f t="shared" si="2"/>
        <v>0.29729991319444443</v>
      </c>
      <c r="I5" s="46">
        <v>6.51</v>
      </c>
      <c r="J5" s="50">
        <v>6.9592929999999997</v>
      </c>
      <c r="K5" s="21">
        <f t="shared" si="3"/>
        <v>6.9015821812595995E-2</v>
      </c>
      <c r="L5" s="22">
        <f t="shared" si="4"/>
        <v>0.82063132566102037</v>
      </c>
      <c r="M5" s="66">
        <v>1</v>
      </c>
      <c r="N5" s="66">
        <v>1</v>
      </c>
      <c r="O5" s="50">
        <v>0</v>
      </c>
      <c r="P5" s="50">
        <v>0</v>
      </c>
      <c r="Q5" s="50" t="s">
        <v>175</v>
      </c>
    </row>
    <row r="6" spans="1:17">
      <c r="A6" s="79">
        <v>46115</v>
      </c>
      <c r="B6" s="46">
        <v>64646</v>
      </c>
      <c r="C6" s="46">
        <v>61859</v>
      </c>
      <c r="D6" s="50">
        <v>66113</v>
      </c>
      <c r="E6" s="50">
        <v>64620</v>
      </c>
      <c r="F6" s="21">
        <f t="shared" si="0"/>
        <v>6.8769297919462E-2</v>
      </c>
      <c r="G6" s="2">
        <f t="shared" si="1"/>
        <v>0.22967386471013285</v>
      </c>
      <c r="H6" s="2">
        <f t="shared" si="2"/>
        <v>0.28694878472222224</v>
      </c>
      <c r="I6" s="46">
        <v>6.51</v>
      </c>
      <c r="J6" s="50">
        <v>6.7303980000000001</v>
      </c>
      <c r="K6" s="21">
        <f t="shared" si="3"/>
        <v>3.3855299539170554E-2</v>
      </c>
      <c r="L6" s="22">
        <f t="shared" si="4"/>
        <v>0.81899655162193796</v>
      </c>
      <c r="M6" s="66">
        <v>1</v>
      </c>
      <c r="N6" s="66">
        <v>1</v>
      </c>
      <c r="O6" s="50">
        <v>0</v>
      </c>
      <c r="P6" s="50">
        <v>0</v>
      </c>
      <c r="Q6" s="50" t="s">
        <v>175</v>
      </c>
    </row>
    <row r="7" spans="1:17">
      <c r="A7" s="79">
        <v>46116</v>
      </c>
      <c r="B7" s="46">
        <v>64646</v>
      </c>
      <c r="C7" s="46">
        <v>61859</v>
      </c>
      <c r="D7" s="50">
        <v>58318.400000000001</v>
      </c>
      <c r="E7" s="50">
        <v>57000</v>
      </c>
      <c r="F7" s="21">
        <f t="shared" si="0"/>
        <v>-5.7236618762023288E-2</v>
      </c>
      <c r="G7" s="2">
        <f t="shared" si="1"/>
        <v>0.20259574231560226</v>
      </c>
      <c r="H7" s="2">
        <f t="shared" si="2"/>
        <v>0.25311805555555555</v>
      </c>
      <c r="I7" s="46">
        <v>6.51</v>
      </c>
      <c r="J7" s="50">
        <v>5.9955350000000003</v>
      </c>
      <c r="K7" s="21">
        <f t="shared" si="3"/>
        <v>-7.9026881720430028E-2</v>
      </c>
      <c r="L7" s="22">
        <f t="shared" si="4"/>
        <v>0.81098647836672688</v>
      </c>
      <c r="M7" s="66">
        <v>1</v>
      </c>
      <c r="N7" s="66">
        <v>1</v>
      </c>
      <c r="O7" s="50">
        <v>0</v>
      </c>
      <c r="P7" s="50">
        <v>0</v>
      </c>
      <c r="Q7" s="50" t="s">
        <v>175</v>
      </c>
    </row>
    <row r="8" spans="1:17">
      <c r="A8" s="79">
        <v>46117</v>
      </c>
      <c r="B8" s="46">
        <v>64646</v>
      </c>
      <c r="C8" s="46">
        <v>61859</v>
      </c>
      <c r="D8" s="50">
        <v>70932</v>
      </c>
      <c r="E8" s="50">
        <v>69240</v>
      </c>
      <c r="F8" s="21">
        <f t="shared" si="0"/>
        <v>0.14667227080942141</v>
      </c>
      <c r="G8" s="2">
        <f t="shared" si="1"/>
        <v>0.24641487410371854</v>
      </c>
      <c r="H8" s="2">
        <f t="shared" si="2"/>
        <v>0.30786458333333333</v>
      </c>
      <c r="I8" s="46">
        <v>6.51</v>
      </c>
      <c r="J8" s="50">
        <v>7.1614269999999998</v>
      </c>
      <c r="K8" s="21">
        <f t="shared" si="3"/>
        <v>0.10006559139784946</v>
      </c>
      <c r="L8" s="22">
        <f t="shared" si="4"/>
        <v>0.82580706030924345</v>
      </c>
      <c r="M8" s="66">
        <v>1</v>
      </c>
      <c r="N8" s="66">
        <v>1</v>
      </c>
      <c r="O8" s="50">
        <v>0</v>
      </c>
      <c r="P8" s="50">
        <v>0</v>
      </c>
      <c r="Q8" s="50" t="s">
        <v>175</v>
      </c>
    </row>
    <row r="9" spans="1:17">
      <c r="A9" s="79">
        <v>46118</v>
      </c>
      <c r="B9" s="46">
        <v>64646</v>
      </c>
      <c r="C9" s="46">
        <v>61859</v>
      </c>
      <c r="D9" s="50">
        <v>72435.199999999997</v>
      </c>
      <c r="E9" s="50">
        <v>70740</v>
      </c>
      <c r="F9" s="21">
        <f t="shared" si="0"/>
        <v>0.17097269596986692</v>
      </c>
      <c r="G9" s="2">
        <f t="shared" si="1"/>
        <v>0.25163692957589906</v>
      </c>
      <c r="H9" s="2">
        <f t="shared" si="2"/>
        <v>0.31438888888888888</v>
      </c>
      <c r="I9" s="46">
        <v>6.51</v>
      </c>
      <c r="J9" s="50">
        <v>7.3227630000000001</v>
      </c>
      <c r="K9" s="21">
        <f t="shared" si="3"/>
        <v>0.12484838709677425</v>
      </c>
      <c r="L9" s="22">
        <f t="shared" si="4"/>
        <v>0.82472781241473714</v>
      </c>
      <c r="M9" s="66">
        <v>1</v>
      </c>
      <c r="N9" s="66">
        <v>1</v>
      </c>
      <c r="O9" s="50">
        <v>0</v>
      </c>
      <c r="P9" s="50">
        <v>0</v>
      </c>
      <c r="Q9" s="50" t="s">
        <v>175</v>
      </c>
    </row>
    <row r="10" spans="1:17">
      <c r="A10" s="79">
        <v>46119</v>
      </c>
      <c r="B10" s="46">
        <v>64646</v>
      </c>
      <c r="C10" s="46">
        <v>61859</v>
      </c>
      <c r="D10" s="50">
        <v>67054</v>
      </c>
      <c r="E10" s="50">
        <v>65520</v>
      </c>
      <c r="F10" s="21">
        <f t="shared" si="0"/>
        <v>8.3981312339352396E-2</v>
      </c>
      <c r="G10" s="2">
        <f t="shared" si="1"/>
        <v>0.2329428603190484</v>
      </c>
      <c r="H10" s="2">
        <f t="shared" si="2"/>
        <v>0.29103298611111111</v>
      </c>
      <c r="I10" s="46">
        <v>6.51</v>
      </c>
      <c r="J10" s="50">
        <v>6.7394179999999997</v>
      </c>
      <c r="K10" s="21">
        <f t="shared" si="3"/>
        <v>3.5240860215053751E-2</v>
      </c>
      <c r="L10" s="22">
        <f t="shared" si="4"/>
        <v>0.82954175681893638</v>
      </c>
      <c r="M10" s="66">
        <v>1</v>
      </c>
      <c r="N10" s="66">
        <v>1</v>
      </c>
      <c r="O10" s="50">
        <v>0</v>
      </c>
      <c r="P10" s="50">
        <v>0</v>
      </c>
      <c r="Q10" s="50" t="s">
        <v>175</v>
      </c>
    </row>
    <row r="11" spans="1:17">
      <c r="A11" s="79">
        <v>46120</v>
      </c>
      <c r="B11" s="46">
        <v>64646</v>
      </c>
      <c r="C11" s="46">
        <v>61859</v>
      </c>
      <c r="D11" s="50">
        <v>51492.2</v>
      </c>
      <c r="E11" s="50">
        <v>50220</v>
      </c>
      <c r="F11" s="21">
        <f t="shared" si="0"/>
        <v>-0.16758757820204018</v>
      </c>
      <c r="G11" s="2">
        <f t="shared" si="1"/>
        <v>0.17888180201211715</v>
      </c>
      <c r="H11" s="2">
        <f t="shared" si="2"/>
        <v>0.22349045138888887</v>
      </c>
      <c r="I11" s="46">
        <v>6.51</v>
      </c>
      <c r="J11" s="50">
        <v>5.1886450000000002</v>
      </c>
      <c r="K11" s="21">
        <f t="shared" si="3"/>
        <v>-0.20297311827956985</v>
      </c>
      <c r="L11" s="22">
        <f t="shared" si="4"/>
        <v>0.82741510515574135</v>
      </c>
      <c r="M11" s="66">
        <v>1</v>
      </c>
      <c r="N11" s="66">
        <v>1</v>
      </c>
      <c r="O11" s="50">
        <v>0</v>
      </c>
      <c r="P11" s="50">
        <v>0</v>
      </c>
      <c r="Q11" s="50" t="s">
        <v>175</v>
      </c>
    </row>
    <row r="12" spans="1:17">
      <c r="A12" s="79">
        <v>46121</v>
      </c>
      <c r="B12" s="46">
        <v>64646</v>
      </c>
      <c r="C12" s="46">
        <v>61859</v>
      </c>
      <c r="D12" s="50">
        <v>70075</v>
      </c>
      <c r="E12" s="50">
        <v>68460</v>
      </c>
      <c r="F12" s="21">
        <f t="shared" si="0"/>
        <v>0.13281818328779968</v>
      </c>
      <c r="G12" s="2">
        <f t="shared" si="1"/>
        <v>0.24343769106775609</v>
      </c>
      <c r="H12" s="2">
        <f t="shared" si="2"/>
        <v>0.30414496527777779</v>
      </c>
      <c r="I12" s="46">
        <v>6.51</v>
      </c>
      <c r="J12" s="50">
        <v>7.1151119999999999</v>
      </c>
      <c r="K12" s="21">
        <f t="shared" si="3"/>
        <v>9.2951152073732737E-2</v>
      </c>
      <c r="L12" s="22">
        <f t="shared" si="4"/>
        <v>0.82114021334114573</v>
      </c>
      <c r="M12" s="66">
        <v>1</v>
      </c>
      <c r="N12" s="66">
        <v>1</v>
      </c>
      <c r="O12" s="50">
        <v>0</v>
      </c>
      <c r="P12" s="50">
        <v>0</v>
      </c>
      <c r="Q12" s="50" t="s">
        <v>175</v>
      </c>
    </row>
    <row r="13" spans="1:17">
      <c r="A13" s="79">
        <v>46122</v>
      </c>
      <c r="B13" s="46">
        <v>64646</v>
      </c>
      <c r="C13" s="46">
        <v>61859</v>
      </c>
      <c r="D13" s="50">
        <v>70380.600000000006</v>
      </c>
      <c r="E13" s="50">
        <v>69120</v>
      </c>
      <c r="F13" s="21">
        <f t="shared" si="0"/>
        <v>0.13775845067007236</v>
      </c>
      <c r="G13" s="2">
        <f t="shared" si="1"/>
        <v>0.24449933299983326</v>
      </c>
      <c r="H13" s="2">
        <f t="shared" si="2"/>
        <v>0.30547135416666671</v>
      </c>
      <c r="I13" s="46">
        <v>6.51</v>
      </c>
      <c r="J13" s="50">
        <v>7.2753750000000004</v>
      </c>
      <c r="K13" s="21">
        <f t="shared" si="3"/>
        <v>0.11756912442396322</v>
      </c>
      <c r="L13" s="22">
        <f t="shared" si="4"/>
        <v>0.80655416277456471</v>
      </c>
      <c r="M13" s="66">
        <v>1</v>
      </c>
      <c r="N13" s="66">
        <v>1</v>
      </c>
      <c r="O13" s="50">
        <v>0</v>
      </c>
      <c r="P13" s="50">
        <v>0</v>
      </c>
      <c r="Q13" s="50" t="s">
        <v>175</v>
      </c>
    </row>
    <row r="14" spans="1:17">
      <c r="A14" s="79">
        <v>46123</v>
      </c>
      <c r="B14" s="46">
        <v>64646</v>
      </c>
      <c r="C14" s="46">
        <v>61859</v>
      </c>
      <c r="D14" s="50">
        <v>67348.5</v>
      </c>
      <c r="E14" s="50">
        <v>65700</v>
      </c>
      <c r="F14" s="21">
        <f t="shared" si="0"/>
        <v>8.8742139381496624E-2</v>
      </c>
      <c r="G14" s="2">
        <f t="shared" si="1"/>
        <v>0.23396594130398532</v>
      </c>
      <c r="H14" s="2">
        <f t="shared" si="2"/>
        <v>0.29231119791666665</v>
      </c>
      <c r="I14" s="46">
        <v>6.51</v>
      </c>
      <c r="J14" s="50">
        <v>6.9233890000000002</v>
      </c>
      <c r="K14" s="21">
        <f t="shared" si="3"/>
        <v>6.3500614439324185E-2</v>
      </c>
      <c r="L14" s="22">
        <f t="shared" si="4"/>
        <v>0.81104536973087138</v>
      </c>
      <c r="M14" s="66">
        <v>1</v>
      </c>
      <c r="N14" s="66">
        <v>1</v>
      </c>
      <c r="O14" s="50">
        <v>0</v>
      </c>
      <c r="P14" s="50">
        <v>0</v>
      </c>
      <c r="Q14" s="50" t="s">
        <v>175</v>
      </c>
    </row>
    <row r="15" spans="1:17">
      <c r="A15" s="79">
        <v>46124</v>
      </c>
      <c r="B15" s="46">
        <v>64646</v>
      </c>
      <c r="C15" s="46">
        <v>61859</v>
      </c>
      <c r="D15" s="50">
        <v>69208.100000000006</v>
      </c>
      <c r="E15" s="50">
        <v>67620</v>
      </c>
      <c r="F15" s="21">
        <f t="shared" si="0"/>
        <v>0.11880405438173922</v>
      </c>
      <c r="G15" s="2">
        <f t="shared" si="1"/>
        <v>0.24042611583569565</v>
      </c>
      <c r="H15" s="2">
        <f t="shared" si="2"/>
        <v>0.30038237847222227</v>
      </c>
      <c r="I15" s="46">
        <v>6.51</v>
      </c>
      <c r="J15" s="50">
        <v>7.174938</v>
      </c>
      <c r="K15" s="21">
        <f t="shared" si="3"/>
        <v>0.10214101382488483</v>
      </c>
      <c r="L15" s="22">
        <f t="shared" si="4"/>
        <v>0.80421974100078575</v>
      </c>
      <c r="M15" s="66">
        <v>1</v>
      </c>
      <c r="N15" s="66">
        <v>1</v>
      </c>
      <c r="O15" s="50">
        <v>0</v>
      </c>
      <c r="P15" s="50">
        <v>0</v>
      </c>
      <c r="Q15" s="50" t="s">
        <v>175</v>
      </c>
    </row>
    <row r="16" spans="1:17">
      <c r="A16" s="79">
        <v>46125</v>
      </c>
      <c r="B16" s="46">
        <v>64646</v>
      </c>
      <c r="C16" s="46">
        <v>61859</v>
      </c>
      <c r="D16" s="50">
        <v>68231.5</v>
      </c>
      <c r="E16" s="50">
        <v>66600</v>
      </c>
      <c r="F16" s="21">
        <f t="shared" si="0"/>
        <v>0.10301653760972534</v>
      </c>
      <c r="G16" s="2">
        <f t="shared" si="1"/>
        <v>0.23703344727919515</v>
      </c>
      <c r="H16" s="2">
        <f t="shared" si="2"/>
        <v>0.29614366319444446</v>
      </c>
      <c r="I16" s="46">
        <v>6.51</v>
      </c>
      <c r="J16" s="50">
        <v>7.0683870000000004</v>
      </c>
      <c r="K16" s="21">
        <f t="shared" si="3"/>
        <v>8.5773732718894102E-2</v>
      </c>
      <c r="L16" s="22">
        <f t="shared" si="4"/>
        <v>0.80482332598663364</v>
      </c>
      <c r="M16" s="66">
        <v>1</v>
      </c>
      <c r="N16" s="66">
        <v>1</v>
      </c>
      <c r="O16" s="50">
        <v>0</v>
      </c>
      <c r="P16" s="50">
        <v>0</v>
      </c>
      <c r="Q16" s="50" t="s">
        <v>175</v>
      </c>
    </row>
    <row r="17" spans="1:17">
      <c r="A17" s="79">
        <v>46126</v>
      </c>
      <c r="B17" s="46">
        <v>64646</v>
      </c>
      <c r="C17" s="46">
        <v>61859</v>
      </c>
      <c r="D17" s="50">
        <v>70783.399999999994</v>
      </c>
      <c r="E17" s="50">
        <v>69060</v>
      </c>
      <c r="F17" s="21">
        <f t="shared" si="0"/>
        <v>0.14427003346319847</v>
      </c>
      <c r="G17" s="2">
        <f t="shared" si="1"/>
        <v>0.24589864376632758</v>
      </c>
      <c r="H17" s="2">
        <f t="shared" si="2"/>
        <v>0.30721961805555553</v>
      </c>
      <c r="I17" s="46">
        <v>6.51</v>
      </c>
      <c r="J17" s="50">
        <v>7.3282129999999999</v>
      </c>
      <c r="K17" s="21">
        <f t="shared" si="3"/>
        <v>0.12568556067588327</v>
      </c>
      <c r="L17" s="22">
        <f t="shared" si="4"/>
        <v>0.80532149521197904</v>
      </c>
      <c r="M17" s="66">
        <v>1</v>
      </c>
      <c r="N17" s="66">
        <v>1</v>
      </c>
      <c r="O17" s="50">
        <v>0</v>
      </c>
      <c r="P17" s="50">
        <v>0</v>
      </c>
      <c r="Q17" s="50" t="s">
        <v>175</v>
      </c>
    </row>
    <row r="18" spans="1:17">
      <c r="A18" s="79">
        <v>46127</v>
      </c>
      <c r="B18" s="46">
        <v>64646</v>
      </c>
      <c r="C18" s="46">
        <v>61859</v>
      </c>
      <c r="D18" s="50">
        <v>70094.899999999994</v>
      </c>
      <c r="E18" s="50">
        <v>68400</v>
      </c>
      <c r="F18" s="21">
        <f t="shared" si="0"/>
        <v>0.13313988263631799</v>
      </c>
      <c r="G18" s="2">
        <f t="shared" si="1"/>
        <v>0.24350682285587236</v>
      </c>
      <c r="H18" s="2">
        <f t="shared" si="2"/>
        <v>0.30423133680555553</v>
      </c>
      <c r="I18" s="46">
        <v>6.51</v>
      </c>
      <c r="J18" s="50">
        <v>7.1959960000000001</v>
      </c>
      <c r="K18" s="21">
        <f t="shared" si="3"/>
        <v>0.10537572964669743</v>
      </c>
      <c r="L18" s="22">
        <f t="shared" si="4"/>
        <v>0.81214105018136973</v>
      </c>
      <c r="M18" s="66">
        <v>1</v>
      </c>
      <c r="N18" s="66">
        <v>1</v>
      </c>
      <c r="O18" s="50">
        <v>0</v>
      </c>
      <c r="P18" s="50">
        <v>0</v>
      </c>
      <c r="Q18" s="50" t="s">
        <v>175</v>
      </c>
    </row>
    <row r="19" spans="1:17">
      <c r="A19" s="79">
        <v>46128</v>
      </c>
      <c r="B19" s="46">
        <v>64646</v>
      </c>
      <c r="C19" s="46">
        <v>61859</v>
      </c>
      <c r="D19" s="50">
        <v>68798.3</v>
      </c>
      <c r="E19" s="50">
        <v>67080</v>
      </c>
      <c r="F19" s="21">
        <f t="shared" si="0"/>
        <v>0.11217931101375714</v>
      </c>
      <c r="G19" s="2">
        <f t="shared" si="1"/>
        <v>0.23900248735478852</v>
      </c>
      <c r="H19" s="2">
        <f t="shared" si="2"/>
        <v>0.2986037326388889</v>
      </c>
      <c r="I19" s="46">
        <v>6.51</v>
      </c>
      <c r="J19" s="50">
        <v>7.1845239999999997</v>
      </c>
      <c r="K19" s="21">
        <f t="shared" si="3"/>
        <v>0.10361351766513055</v>
      </c>
      <c r="L19" s="22">
        <f t="shared" si="4"/>
        <v>0.79839105506710328</v>
      </c>
      <c r="M19" s="66">
        <v>1</v>
      </c>
      <c r="N19" s="66">
        <v>0.97009999999999996</v>
      </c>
      <c r="O19" s="50">
        <v>0</v>
      </c>
      <c r="P19" s="50">
        <v>1279</v>
      </c>
      <c r="Q19" s="50" t="s">
        <v>487</v>
      </c>
    </row>
    <row r="20" spans="1:17">
      <c r="A20" s="79">
        <v>46129</v>
      </c>
      <c r="B20" s="46">
        <v>64646</v>
      </c>
      <c r="C20" s="46">
        <v>61859</v>
      </c>
      <c r="D20" s="50">
        <v>67357.2</v>
      </c>
      <c r="E20" s="50">
        <v>65700</v>
      </c>
      <c r="F20" s="21">
        <f t="shared" si="0"/>
        <v>8.8882781810245837E-2</v>
      </c>
      <c r="G20" s="2">
        <f t="shared" si="1"/>
        <v>0.23399616474904117</v>
      </c>
      <c r="H20" s="2">
        <f t="shared" si="2"/>
        <v>0.2923489583333333</v>
      </c>
      <c r="I20" s="46">
        <v>6.51</v>
      </c>
      <c r="J20" s="50">
        <v>6.8902159999999997</v>
      </c>
      <c r="K20" s="21">
        <f t="shared" si="3"/>
        <v>5.8404915514592919E-2</v>
      </c>
      <c r="L20" s="22">
        <f t="shared" si="4"/>
        <v>0.81505542844766965</v>
      </c>
      <c r="M20" s="66">
        <v>1</v>
      </c>
      <c r="N20" s="66">
        <v>1</v>
      </c>
      <c r="O20" s="50">
        <v>0</v>
      </c>
      <c r="P20" s="50">
        <v>0</v>
      </c>
      <c r="Q20" s="50" t="s">
        <v>175</v>
      </c>
    </row>
    <row r="21" spans="1:17">
      <c r="A21" s="79">
        <v>46130</v>
      </c>
      <c r="B21" s="46">
        <v>64646</v>
      </c>
      <c r="C21" s="46">
        <v>61859</v>
      </c>
      <c r="D21" s="50">
        <v>67156.3</v>
      </c>
      <c r="E21" s="50">
        <v>65640</v>
      </c>
      <c r="F21" s="21">
        <f t="shared" si="0"/>
        <v>8.5635073311886759E-2</v>
      </c>
      <c r="G21" s="2">
        <f t="shared" si="1"/>
        <v>0.23329824634539492</v>
      </c>
      <c r="H21" s="2">
        <f t="shared" si="2"/>
        <v>0.29147699652777781</v>
      </c>
      <c r="I21" s="46">
        <v>6.51</v>
      </c>
      <c r="J21" s="50">
        <v>6.8814729999999997</v>
      </c>
      <c r="K21" s="21">
        <f t="shared" si="3"/>
        <v>5.7061904761904758E-2</v>
      </c>
      <c r="L21" s="22">
        <f t="shared" si="4"/>
        <v>0.81365688890873777</v>
      </c>
      <c r="M21" s="66">
        <v>1</v>
      </c>
      <c r="N21" s="66">
        <v>1</v>
      </c>
      <c r="O21" s="50">
        <v>0</v>
      </c>
      <c r="P21" s="50">
        <v>0</v>
      </c>
      <c r="Q21" s="50" t="s">
        <v>175</v>
      </c>
    </row>
    <row r="22" spans="1:17">
      <c r="A22" s="79">
        <v>46131</v>
      </c>
      <c r="B22" s="46">
        <v>64646</v>
      </c>
      <c r="C22" s="46">
        <v>61859</v>
      </c>
      <c r="D22" s="50">
        <v>65195.3</v>
      </c>
      <c r="E22" s="50">
        <v>63900</v>
      </c>
      <c r="F22" s="21">
        <f t="shared" si="0"/>
        <v>5.3933946555877126E-2</v>
      </c>
      <c r="G22" s="2">
        <f t="shared" si="1"/>
        <v>0.22648581235061976</v>
      </c>
      <c r="H22" s="2">
        <f t="shared" si="2"/>
        <v>0.28296571180555558</v>
      </c>
      <c r="I22" s="46">
        <v>6.51</v>
      </c>
      <c r="J22" s="50">
        <v>6.6191700000000004</v>
      </c>
      <c r="K22" s="21">
        <f t="shared" si="3"/>
        <v>1.6769585253456322E-2</v>
      </c>
      <c r="L22" s="22">
        <f t="shared" si="4"/>
        <v>0.82119956073267097</v>
      </c>
      <c r="M22" s="66">
        <v>1</v>
      </c>
      <c r="N22" s="66">
        <v>1</v>
      </c>
      <c r="O22" s="50">
        <v>0</v>
      </c>
      <c r="P22" s="50">
        <v>0</v>
      </c>
      <c r="Q22" s="50" t="s">
        <v>175</v>
      </c>
    </row>
    <row r="23" spans="1:17">
      <c r="A23" s="79">
        <v>46132</v>
      </c>
      <c r="B23" s="46">
        <v>64646</v>
      </c>
      <c r="C23" s="46">
        <v>61859</v>
      </c>
      <c r="D23" s="50">
        <v>67930.8</v>
      </c>
      <c r="E23" s="50">
        <v>66300</v>
      </c>
      <c r="F23" s="21">
        <f t="shared" si="0"/>
        <v>9.8155482629851812E-2</v>
      </c>
      <c r="G23" s="2">
        <f t="shared" si="1"/>
        <v>0.23598882774720695</v>
      </c>
      <c r="H23" s="2">
        <f t="shared" si="2"/>
        <v>0.29483854166666668</v>
      </c>
      <c r="I23" s="46">
        <v>6.51</v>
      </c>
      <c r="J23" s="50">
        <v>6.9478669999999996</v>
      </c>
      <c r="K23" s="21">
        <f t="shared" si="3"/>
        <v>6.7260675883256502E-2</v>
      </c>
      <c r="L23" s="22">
        <f t="shared" si="4"/>
        <v>0.81517563101495283</v>
      </c>
      <c r="M23" s="66">
        <v>1</v>
      </c>
      <c r="N23" s="66">
        <v>1</v>
      </c>
      <c r="O23" s="50">
        <v>0</v>
      </c>
      <c r="P23" s="50">
        <v>0</v>
      </c>
      <c r="Q23" s="50" t="s">
        <v>175</v>
      </c>
    </row>
    <row r="24" spans="1:17">
      <c r="A24" s="79">
        <v>46133</v>
      </c>
      <c r="B24" s="46">
        <v>64646</v>
      </c>
      <c r="C24" s="46">
        <v>61859</v>
      </c>
      <c r="D24" s="50">
        <v>62438.400000000001</v>
      </c>
      <c r="E24" s="50">
        <v>60960</v>
      </c>
      <c r="F24" s="21">
        <f t="shared" si="0"/>
        <v>9.3664624387720698E-3</v>
      </c>
      <c r="G24" s="2">
        <f t="shared" si="1"/>
        <v>0.21690845422711355</v>
      </c>
      <c r="H24" s="2">
        <f t="shared" si="2"/>
        <v>0.27100000000000002</v>
      </c>
      <c r="I24" s="46">
        <v>6.51</v>
      </c>
      <c r="J24" s="50">
        <v>6.3637709999999998</v>
      </c>
      <c r="K24" s="21">
        <f t="shared" si="3"/>
        <v>-2.2462211981566813E-2</v>
      </c>
      <c r="L24" s="22">
        <f t="shared" si="4"/>
        <v>0.81803743432168219</v>
      </c>
      <c r="M24" s="66">
        <v>1</v>
      </c>
      <c r="N24" s="66">
        <v>1</v>
      </c>
      <c r="O24" s="50">
        <v>0</v>
      </c>
      <c r="P24" s="50">
        <v>0</v>
      </c>
      <c r="Q24" s="50" t="s">
        <v>175</v>
      </c>
    </row>
    <row r="25" spans="1:17">
      <c r="A25" s="79">
        <v>46134</v>
      </c>
      <c r="B25" s="46">
        <v>64646</v>
      </c>
      <c r="C25" s="46">
        <v>61859</v>
      </c>
      <c r="D25" s="50">
        <v>68928.5</v>
      </c>
      <c r="E25" s="50">
        <v>67320</v>
      </c>
      <c r="F25" s="21">
        <f t="shared" si="0"/>
        <v>0.11428409770607349</v>
      </c>
      <c r="G25" s="2">
        <f t="shared" si="1"/>
        <v>0.23945479684286589</v>
      </c>
      <c r="H25" s="2">
        <f t="shared" si="2"/>
        <v>0.29916883680555556</v>
      </c>
      <c r="I25" s="46">
        <v>6.51</v>
      </c>
      <c r="J25" s="50">
        <v>7.0872700000000002</v>
      </c>
      <c r="K25" s="21">
        <f t="shared" si="3"/>
        <v>8.8674347158218189E-2</v>
      </c>
      <c r="L25" s="22">
        <f t="shared" si="4"/>
        <v>0.81087853633751517</v>
      </c>
      <c r="M25" s="66">
        <v>1</v>
      </c>
      <c r="N25" s="66">
        <v>1</v>
      </c>
      <c r="O25" s="50">
        <v>0</v>
      </c>
      <c r="P25" s="50">
        <v>0</v>
      </c>
      <c r="Q25" s="50" t="s">
        <v>175</v>
      </c>
    </row>
    <row r="26" spans="1:17">
      <c r="A26" s="79">
        <v>46135</v>
      </c>
      <c r="B26" s="46">
        <v>64646</v>
      </c>
      <c r="C26" s="46">
        <v>61859</v>
      </c>
      <c r="D26" s="50">
        <v>67574.899999999994</v>
      </c>
      <c r="E26" s="50">
        <v>65880</v>
      </c>
      <c r="F26" s="21">
        <f t="shared" si="0"/>
        <v>9.2402075688258686E-2</v>
      </c>
      <c r="G26" s="2">
        <f t="shared" si="1"/>
        <v>0.23475244566727807</v>
      </c>
      <c r="H26" s="2">
        <f t="shared" si="2"/>
        <v>0.29329383680555554</v>
      </c>
      <c r="I26" s="46">
        <v>6.51</v>
      </c>
      <c r="J26" s="50">
        <v>6.9982949999999997</v>
      </c>
      <c r="K26" s="21">
        <f t="shared" si="3"/>
        <v>7.5006912442396309E-2</v>
      </c>
      <c r="L26" s="22">
        <f t="shared" si="4"/>
        <v>0.80506161801048315</v>
      </c>
      <c r="M26" s="66">
        <v>1</v>
      </c>
      <c r="N26" s="66">
        <v>1</v>
      </c>
      <c r="O26" s="50">
        <v>0</v>
      </c>
      <c r="P26" s="50">
        <v>0</v>
      </c>
      <c r="Q26" s="50" t="s">
        <v>175</v>
      </c>
    </row>
    <row r="27" spans="1:17">
      <c r="A27" s="79">
        <v>46136</v>
      </c>
      <c r="B27" s="46">
        <v>64646</v>
      </c>
      <c r="C27" s="46">
        <v>61859</v>
      </c>
      <c r="D27" s="50">
        <v>68780.3</v>
      </c>
      <c r="E27" s="50">
        <v>67200</v>
      </c>
      <c r="F27" s="21">
        <f t="shared" si="0"/>
        <v>0.11188832667841386</v>
      </c>
      <c r="G27" s="2">
        <f t="shared" si="1"/>
        <v>0.23893995608915569</v>
      </c>
      <c r="H27" s="2">
        <f t="shared" si="2"/>
        <v>0.29852560763888891</v>
      </c>
      <c r="I27" s="46">
        <v>6.51</v>
      </c>
      <c r="J27" s="50">
        <v>7.1806099999999997</v>
      </c>
      <c r="K27" s="21">
        <f t="shared" si="3"/>
        <v>0.10301228878648233</v>
      </c>
      <c r="L27" s="22">
        <f t="shared" si="4"/>
        <v>0.79861724089453912</v>
      </c>
      <c r="M27" s="66">
        <v>1</v>
      </c>
      <c r="N27" s="66">
        <v>1</v>
      </c>
      <c r="O27" s="50">
        <v>0</v>
      </c>
      <c r="P27" s="50">
        <v>0</v>
      </c>
      <c r="Q27" s="50" t="s">
        <v>175</v>
      </c>
    </row>
    <row r="28" spans="1:17">
      <c r="A28" s="79">
        <v>46137</v>
      </c>
      <c r="B28" s="46">
        <v>64646</v>
      </c>
      <c r="C28" s="46">
        <v>61859</v>
      </c>
      <c r="D28" s="50">
        <v>68937.899999999994</v>
      </c>
      <c r="E28" s="50">
        <v>67260</v>
      </c>
      <c r="F28" s="21">
        <f t="shared" si="0"/>
        <v>0.11443605619230822</v>
      </c>
      <c r="G28" s="2">
        <f t="shared" si="1"/>
        <v>0.239487452059363</v>
      </c>
      <c r="H28" s="2">
        <f t="shared" si="2"/>
        <v>0.29920963541666662</v>
      </c>
      <c r="I28" s="46">
        <v>6.51</v>
      </c>
      <c r="J28" s="50">
        <v>7.2054499999999999</v>
      </c>
      <c r="K28" s="21">
        <f t="shared" si="3"/>
        <v>0.10682795698924734</v>
      </c>
      <c r="L28" s="22">
        <f t="shared" si="4"/>
        <v>0.79768770159042279</v>
      </c>
      <c r="M28" s="66">
        <v>1</v>
      </c>
      <c r="N28" s="66">
        <v>1</v>
      </c>
      <c r="O28" s="50">
        <v>0</v>
      </c>
      <c r="P28" s="50">
        <v>0</v>
      </c>
      <c r="Q28" s="50" t="s">
        <v>175</v>
      </c>
    </row>
    <row r="29" spans="1:17">
      <c r="A29" s="79">
        <v>46138</v>
      </c>
      <c r="B29" s="46">
        <v>64646</v>
      </c>
      <c r="C29" s="46">
        <v>61859</v>
      </c>
      <c r="D29" s="50">
        <v>65380</v>
      </c>
      <c r="E29" s="50">
        <v>63840</v>
      </c>
      <c r="F29" s="21">
        <f t="shared" ref="F29:F33" si="5">(IF(ISBLANK(D29),0,D29-C29))/C29</f>
        <v>5.6919769152427295E-2</v>
      </c>
      <c r="G29" s="2">
        <f t="shared" ref="G29:G33" si="6">D29/($D$2*24)</f>
        <v>0.22712745261519648</v>
      </c>
      <c r="H29" s="2">
        <f t="shared" ref="H29:H33" si="7">D29/($H$2*24)</f>
        <v>0.28376736111111112</v>
      </c>
      <c r="I29" s="46">
        <v>6.51</v>
      </c>
      <c r="J29" s="50">
        <v>6.8019999999999996</v>
      </c>
      <c r="K29" s="21">
        <f t="shared" ref="K29:K33" si="8">(IF(ISBLANK(J29),0,J29-I29))/I29</f>
        <v>4.4854070660522244E-2</v>
      </c>
      <c r="L29" s="22">
        <f t="shared" ref="L29:L33" si="9">D29/($D$2*J29)</f>
        <v>0.80139060023003761</v>
      </c>
      <c r="M29" s="66">
        <v>1</v>
      </c>
      <c r="N29" s="66">
        <v>1</v>
      </c>
      <c r="O29" s="50">
        <v>0</v>
      </c>
      <c r="P29" s="50">
        <v>0</v>
      </c>
      <c r="Q29" s="50" t="s">
        <v>175</v>
      </c>
    </row>
    <row r="30" spans="1:17">
      <c r="A30" s="79">
        <v>46139</v>
      </c>
      <c r="B30" s="46">
        <v>64646</v>
      </c>
      <c r="C30" s="46">
        <v>61859</v>
      </c>
      <c r="D30" s="50">
        <v>67328</v>
      </c>
      <c r="E30" s="50">
        <v>65820</v>
      </c>
      <c r="F30" s="21">
        <f t="shared" si="5"/>
        <v>8.8410740555133455E-2</v>
      </c>
      <c r="G30" s="2">
        <f t="shared" si="6"/>
        <v>0.23389472514034795</v>
      </c>
      <c r="H30" s="2">
        <f t="shared" si="7"/>
        <v>0.29222222222222222</v>
      </c>
      <c r="I30" s="46">
        <v>6.51</v>
      </c>
      <c r="J30" s="50">
        <v>6.992</v>
      </c>
      <c r="K30" s="21">
        <f t="shared" si="8"/>
        <v>7.4039938556067622E-2</v>
      </c>
      <c r="L30" s="22">
        <f t="shared" si="9"/>
        <v>0.8028423059737344</v>
      </c>
      <c r="M30" s="66">
        <v>1</v>
      </c>
      <c r="N30" s="66">
        <v>1</v>
      </c>
      <c r="O30" s="50">
        <v>0</v>
      </c>
      <c r="P30" s="50">
        <v>0</v>
      </c>
      <c r="Q30" s="50" t="s">
        <v>175</v>
      </c>
    </row>
    <row r="31" spans="1:17">
      <c r="A31" s="79">
        <v>46140</v>
      </c>
      <c r="B31" s="46">
        <v>64646</v>
      </c>
      <c r="C31" s="46">
        <v>61859</v>
      </c>
      <c r="D31" s="50">
        <v>67921</v>
      </c>
      <c r="E31" s="50">
        <v>66300</v>
      </c>
      <c r="F31" s="21">
        <f t="shared" si="5"/>
        <v>9.7997057825053746E-2</v>
      </c>
      <c r="G31" s="2">
        <f t="shared" si="6"/>
        <v>0.23595478294702907</v>
      </c>
      <c r="H31" s="2">
        <f t="shared" si="7"/>
        <v>0.29479600694444447</v>
      </c>
      <c r="I31" s="46">
        <v>6.51</v>
      </c>
      <c r="J31" s="50">
        <v>7.0759999999999996</v>
      </c>
      <c r="K31" s="21">
        <f t="shared" si="8"/>
        <v>8.6943164362519185E-2</v>
      </c>
      <c r="L31" s="22">
        <f t="shared" si="9"/>
        <v>0.80029886810750395</v>
      </c>
      <c r="M31" s="66">
        <v>1</v>
      </c>
      <c r="N31" s="66">
        <v>1</v>
      </c>
      <c r="O31" s="50">
        <v>0</v>
      </c>
      <c r="P31" s="50">
        <v>0</v>
      </c>
      <c r="Q31" s="50" t="s">
        <v>175</v>
      </c>
    </row>
    <row r="32" spans="1:17">
      <c r="A32" s="79">
        <v>46141</v>
      </c>
      <c r="B32" s="46">
        <v>64646</v>
      </c>
      <c r="C32" s="46">
        <v>61859</v>
      </c>
      <c r="D32" s="50">
        <v>69963</v>
      </c>
      <c r="E32" s="50">
        <v>68220</v>
      </c>
      <c r="F32" s="21">
        <f t="shared" si="5"/>
        <v>0.13100761409010814</v>
      </c>
      <c r="G32" s="2">
        <f t="shared" si="6"/>
        <v>0.24304860763715191</v>
      </c>
      <c r="H32" s="2">
        <f t="shared" si="7"/>
        <v>0.30365885416666666</v>
      </c>
      <c r="I32" s="46">
        <v>6.51</v>
      </c>
      <c r="J32" s="50">
        <v>7.3310000000000004</v>
      </c>
      <c r="K32" s="21">
        <f t="shared" si="8"/>
        <v>0.1261136712749617</v>
      </c>
      <c r="L32" s="22">
        <f t="shared" si="9"/>
        <v>0.79568497930591253</v>
      </c>
      <c r="M32" s="66">
        <v>0.9919</v>
      </c>
      <c r="N32" s="66">
        <v>1</v>
      </c>
      <c r="O32" s="50">
        <v>0</v>
      </c>
      <c r="P32" s="50">
        <v>415</v>
      </c>
      <c r="Q32" s="50" t="s">
        <v>175</v>
      </c>
    </row>
    <row r="33" spans="1:17">
      <c r="A33" s="79">
        <v>46142</v>
      </c>
      <c r="B33" s="46">
        <v>64646</v>
      </c>
      <c r="C33" s="46">
        <v>61859</v>
      </c>
      <c r="D33" s="50">
        <v>68646</v>
      </c>
      <c r="E33" s="50">
        <v>66780</v>
      </c>
      <c r="F33" s="21">
        <f t="shared" si="5"/>
        <v>0.10971726022082477</v>
      </c>
      <c r="G33" s="2">
        <f t="shared" si="6"/>
        <v>0.23847340336835085</v>
      </c>
      <c r="H33" s="2">
        <f t="shared" si="7"/>
        <v>0.29794270833333331</v>
      </c>
      <c r="I33" s="46">
        <v>6.51</v>
      </c>
      <c r="J33" s="50">
        <v>7.0789999999999997</v>
      </c>
      <c r="K33" s="21">
        <f t="shared" si="8"/>
        <v>8.7403993855606751E-2</v>
      </c>
      <c r="L33" s="22">
        <f t="shared" si="9"/>
        <v>0.80849861291713809</v>
      </c>
      <c r="M33" s="66">
        <v>1</v>
      </c>
      <c r="N33" s="66">
        <v>1</v>
      </c>
      <c r="O33" s="50">
        <v>0</v>
      </c>
      <c r="P33" s="50">
        <v>0</v>
      </c>
      <c r="Q33" s="50" t="s">
        <v>175</v>
      </c>
    </row>
    <row r="34" spans="1:17">
      <c r="A34" s="349">
        <v>46113</v>
      </c>
      <c r="B34" s="84">
        <f>SUM(B4:B33)</f>
        <v>1939380</v>
      </c>
      <c r="C34" s="84">
        <f>SUM(C4:C33)</f>
        <v>1855770</v>
      </c>
      <c r="D34" s="84">
        <f>SUM(D4:D33)</f>
        <v>2020332.7</v>
      </c>
      <c r="E34" s="84">
        <f>SUM(E4:E33)</f>
        <v>1972740</v>
      </c>
      <c r="F34" s="160">
        <f>(IF(ISBLANK(D34),0,D34-C34))/C34</f>
        <v>8.8676236818140158E-2</v>
      </c>
      <c r="G34" s="167">
        <f>AVERAGE(G4:G33)</f>
        <v>0.23395177913030596</v>
      </c>
      <c r="H34" s="167">
        <f>AVERAGE(H4:H33)</f>
        <v>0.29229350405092597</v>
      </c>
      <c r="I34" s="84">
        <f>SUM(I4:I33)</f>
        <v>195.29999999999995</v>
      </c>
      <c r="J34" s="84">
        <f>SUM(J4:J33)</f>
        <v>207.64049</v>
      </c>
      <c r="K34" s="160">
        <f>(IF(ISBLANK(J34),0,J34-I34))/I34</f>
        <v>6.3187352790578841E-2</v>
      </c>
      <c r="L34" s="167">
        <f>AVERAGE(L4:L33)</f>
        <v>0.8114981847080831</v>
      </c>
      <c r="M34" s="167">
        <f>AVERAGE(M4:M33)</f>
        <v>0.99973000000000001</v>
      </c>
      <c r="N34" s="167">
        <f>AVERAGE(N4:N33)</f>
        <v>0.99900333333333335</v>
      </c>
      <c r="O34" s="84">
        <f>SUM(O4:O33)</f>
        <v>0</v>
      </c>
      <c r="P34" s="84">
        <f>SUM(P4:P33)</f>
        <v>1694</v>
      </c>
      <c r="Q34" s="84" t="s">
        <v>175</v>
      </c>
    </row>
    <row r="35" spans="1:17">
      <c r="A35" s="13">
        <v>46143</v>
      </c>
      <c r="B35" s="127"/>
      <c r="C35" s="127"/>
      <c r="D35" s="33"/>
      <c r="E35" s="33"/>
      <c r="F35" s="20" t="e">
        <f>(IF(ISBLANK(E35),0,E35-C35))/C35</f>
        <v>#DIV/0!</v>
      </c>
      <c r="G35" s="2">
        <f t="shared" ref="G35:G57" si="10">D35/($D$2*24)</f>
        <v>0</v>
      </c>
      <c r="H35" s="2">
        <f t="shared" ref="H35:H61" si="11">D35/($H$2*24)</f>
        <v>0</v>
      </c>
      <c r="I35" s="28"/>
      <c r="J35" s="33"/>
      <c r="K35" s="20" t="e">
        <f>(IF(ISBLANK(J35),0,J35-I35))/I35</f>
        <v>#DIV/0!</v>
      </c>
      <c r="L35" s="4" t="e">
        <f t="shared" ref="L35:L66" si="12">D35/($D$2*J35)</f>
        <v>#DIV/0!</v>
      </c>
      <c r="M35" s="103"/>
      <c r="N35" s="103"/>
      <c r="O35" s="33"/>
      <c r="P35" s="6"/>
      <c r="Q35" s="6"/>
    </row>
    <row r="36" spans="1:17">
      <c r="A36" s="13">
        <f>A35+1</f>
        <v>46144</v>
      </c>
      <c r="B36" s="127"/>
      <c r="C36" s="127"/>
      <c r="D36" s="34"/>
      <c r="E36" s="34"/>
      <c r="F36" s="20" t="e">
        <f t="shared" ref="F36:F54" si="13">(IF(ISBLANK(E36),0,E36-C36))/C36</f>
        <v>#DIV/0!</v>
      </c>
      <c r="G36" s="2">
        <f t="shared" si="10"/>
        <v>0</v>
      </c>
      <c r="H36" s="2">
        <f t="shared" si="11"/>
        <v>0</v>
      </c>
      <c r="I36" s="29"/>
      <c r="J36" s="34"/>
      <c r="K36" s="20" t="e">
        <f t="shared" ref="K36:K54" si="14">(IF(ISBLANK(J36),0,J36-I36))/I36</f>
        <v>#DIV/0!</v>
      </c>
      <c r="L36" s="4" t="e">
        <f t="shared" si="12"/>
        <v>#DIV/0!</v>
      </c>
      <c r="M36" s="103"/>
      <c r="N36" s="103"/>
      <c r="O36" s="34"/>
      <c r="P36" s="6"/>
      <c r="Q36" s="6"/>
    </row>
    <row r="37" spans="1:17">
      <c r="A37" s="13">
        <f t="shared" ref="A37:A65" si="15">A36+1</f>
        <v>46145</v>
      </c>
      <c r="B37" s="127"/>
      <c r="C37" s="127"/>
      <c r="D37" s="34"/>
      <c r="E37" s="34"/>
      <c r="F37" s="20" t="e">
        <f t="shared" si="13"/>
        <v>#DIV/0!</v>
      </c>
      <c r="G37" s="2">
        <f t="shared" si="10"/>
        <v>0</v>
      </c>
      <c r="H37" s="2">
        <f t="shared" si="11"/>
        <v>0</v>
      </c>
      <c r="I37" s="29"/>
      <c r="J37" s="34"/>
      <c r="K37" s="20" t="e">
        <f t="shared" si="14"/>
        <v>#DIV/0!</v>
      </c>
      <c r="L37" s="4" t="e">
        <f t="shared" si="12"/>
        <v>#DIV/0!</v>
      </c>
      <c r="M37" s="103"/>
      <c r="N37" s="104"/>
      <c r="O37" s="34"/>
      <c r="P37" s="6"/>
      <c r="Q37" s="6"/>
    </row>
    <row r="38" spans="1:17">
      <c r="A38" s="13">
        <f t="shared" si="15"/>
        <v>46146</v>
      </c>
      <c r="B38" s="127"/>
      <c r="C38" s="127"/>
      <c r="D38" s="34"/>
      <c r="E38" s="34"/>
      <c r="F38" s="20" t="e">
        <f t="shared" si="13"/>
        <v>#DIV/0!</v>
      </c>
      <c r="G38" s="2">
        <f t="shared" si="10"/>
        <v>0</v>
      </c>
      <c r="H38" s="2">
        <f t="shared" si="11"/>
        <v>0</v>
      </c>
      <c r="I38" s="29"/>
      <c r="J38" s="34"/>
      <c r="K38" s="20" t="e">
        <f t="shared" si="14"/>
        <v>#DIV/0!</v>
      </c>
      <c r="L38" s="4" t="e">
        <f t="shared" si="12"/>
        <v>#DIV/0!</v>
      </c>
      <c r="M38" s="103"/>
      <c r="N38" s="103"/>
      <c r="O38" s="34"/>
      <c r="P38" s="6"/>
      <c r="Q38" s="14"/>
    </row>
    <row r="39" spans="1:17">
      <c r="A39" s="13">
        <f t="shared" si="15"/>
        <v>46147</v>
      </c>
      <c r="B39" s="127"/>
      <c r="C39" s="127"/>
      <c r="D39" s="34"/>
      <c r="E39" s="34"/>
      <c r="F39" s="20" t="e">
        <f t="shared" si="13"/>
        <v>#DIV/0!</v>
      </c>
      <c r="G39" s="2">
        <f t="shared" si="10"/>
        <v>0</v>
      </c>
      <c r="H39" s="2">
        <f t="shared" si="11"/>
        <v>0</v>
      </c>
      <c r="I39" s="29"/>
      <c r="J39" s="34"/>
      <c r="K39" s="20" t="e">
        <f t="shared" si="14"/>
        <v>#DIV/0!</v>
      </c>
      <c r="L39" s="4" t="e">
        <f t="shared" si="12"/>
        <v>#DIV/0!</v>
      </c>
      <c r="M39" s="103"/>
      <c r="N39" s="103"/>
      <c r="O39" s="34"/>
      <c r="P39" s="6"/>
      <c r="Q39" s="14"/>
    </row>
    <row r="40" spans="1:17">
      <c r="A40" s="13">
        <f t="shared" si="15"/>
        <v>46148</v>
      </c>
      <c r="B40" s="127"/>
      <c r="C40" s="127"/>
      <c r="D40" s="34"/>
      <c r="E40" s="34"/>
      <c r="F40" s="20" t="e">
        <f t="shared" si="13"/>
        <v>#DIV/0!</v>
      </c>
      <c r="G40" s="2">
        <f t="shared" si="10"/>
        <v>0</v>
      </c>
      <c r="H40" s="2">
        <f t="shared" si="11"/>
        <v>0</v>
      </c>
      <c r="I40" s="29"/>
      <c r="J40" s="34"/>
      <c r="K40" s="20" t="e">
        <f t="shared" si="14"/>
        <v>#DIV/0!</v>
      </c>
      <c r="L40" s="4" t="e">
        <f t="shared" si="12"/>
        <v>#DIV/0!</v>
      </c>
      <c r="M40" s="103"/>
      <c r="N40" s="103"/>
      <c r="O40" s="34"/>
      <c r="P40" s="6"/>
      <c r="Q40" s="14"/>
    </row>
    <row r="41" spans="1:17">
      <c r="A41" s="13">
        <f t="shared" si="15"/>
        <v>46149</v>
      </c>
      <c r="B41" s="127"/>
      <c r="C41" s="127"/>
      <c r="D41" s="34"/>
      <c r="E41" s="34"/>
      <c r="F41" s="20" t="e">
        <f t="shared" si="13"/>
        <v>#DIV/0!</v>
      </c>
      <c r="G41" s="2">
        <f t="shared" si="10"/>
        <v>0</v>
      </c>
      <c r="H41" s="2">
        <f t="shared" si="11"/>
        <v>0</v>
      </c>
      <c r="I41" s="29"/>
      <c r="J41" s="34"/>
      <c r="K41" s="20" t="e">
        <f t="shared" si="14"/>
        <v>#DIV/0!</v>
      </c>
      <c r="L41" s="4" t="e">
        <f t="shared" si="12"/>
        <v>#DIV/0!</v>
      </c>
      <c r="M41" s="103"/>
      <c r="N41" s="103"/>
      <c r="O41" s="34"/>
      <c r="P41" s="6"/>
      <c r="Q41" s="202"/>
    </row>
    <row r="42" spans="1:17">
      <c r="A42" s="13">
        <f t="shared" si="15"/>
        <v>46150</v>
      </c>
      <c r="B42" s="127"/>
      <c r="C42" s="127"/>
      <c r="D42" s="34"/>
      <c r="E42" s="34"/>
      <c r="F42" s="20" t="e">
        <f t="shared" si="13"/>
        <v>#DIV/0!</v>
      </c>
      <c r="G42" s="2">
        <f t="shared" si="10"/>
        <v>0</v>
      </c>
      <c r="H42" s="2">
        <f t="shared" si="11"/>
        <v>0</v>
      </c>
      <c r="I42" s="29"/>
      <c r="J42" s="34"/>
      <c r="K42" s="20" t="e">
        <f t="shared" si="14"/>
        <v>#DIV/0!</v>
      </c>
      <c r="L42" s="4" t="e">
        <f t="shared" si="12"/>
        <v>#DIV/0!</v>
      </c>
      <c r="M42" s="103"/>
      <c r="N42" s="103"/>
      <c r="O42" s="34"/>
      <c r="P42" s="6"/>
      <c r="Q42" s="14"/>
    </row>
    <row r="43" spans="1:17">
      <c r="A43" s="13">
        <f t="shared" si="15"/>
        <v>46151</v>
      </c>
      <c r="B43" s="127"/>
      <c r="C43" s="127"/>
      <c r="D43" s="34"/>
      <c r="E43" s="34"/>
      <c r="F43" s="20" t="e">
        <f t="shared" si="13"/>
        <v>#DIV/0!</v>
      </c>
      <c r="G43" s="2">
        <f t="shared" si="10"/>
        <v>0</v>
      </c>
      <c r="H43" s="2">
        <f t="shared" si="11"/>
        <v>0</v>
      </c>
      <c r="I43" s="29"/>
      <c r="J43" s="34"/>
      <c r="K43" s="20" t="e">
        <f t="shared" si="14"/>
        <v>#DIV/0!</v>
      </c>
      <c r="L43" s="4" t="e">
        <f t="shared" si="12"/>
        <v>#DIV/0!</v>
      </c>
      <c r="M43" s="103"/>
      <c r="N43" s="103"/>
      <c r="O43" s="34"/>
      <c r="P43" s="6"/>
      <c r="Q43" s="6"/>
    </row>
    <row r="44" spans="1:17">
      <c r="A44" s="13">
        <f t="shared" si="15"/>
        <v>46152</v>
      </c>
      <c r="B44" s="127"/>
      <c r="C44" s="127"/>
      <c r="D44" s="34"/>
      <c r="E44" s="34"/>
      <c r="F44" s="20" t="e">
        <f t="shared" si="13"/>
        <v>#DIV/0!</v>
      </c>
      <c r="G44" s="2">
        <f t="shared" si="10"/>
        <v>0</v>
      </c>
      <c r="H44" s="2">
        <f t="shared" si="11"/>
        <v>0</v>
      </c>
      <c r="I44" s="29"/>
      <c r="J44" s="34"/>
      <c r="K44" s="20" t="e">
        <f t="shared" si="14"/>
        <v>#DIV/0!</v>
      </c>
      <c r="L44" s="4" t="e">
        <f t="shared" si="12"/>
        <v>#DIV/0!</v>
      </c>
      <c r="M44" s="103"/>
      <c r="N44" s="103"/>
      <c r="O44" s="34"/>
      <c r="P44" s="6"/>
      <c r="Q44" s="16"/>
    </row>
    <row r="45" spans="1:17">
      <c r="A45" s="13">
        <f t="shared" si="15"/>
        <v>46153</v>
      </c>
      <c r="B45" s="127"/>
      <c r="C45" s="127"/>
      <c r="D45" s="34"/>
      <c r="E45" s="34"/>
      <c r="F45" s="20" t="e">
        <f t="shared" si="13"/>
        <v>#DIV/0!</v>
      </c>
      <c r="G45" s="2">
        <f t="shared" si="10"/>
        <v>0</v>
      </c>
      <c r="H45" s="2">
        <f t="shared" si="11"/>
        <v>0</v>
      </c>
      <c r="I45" s="29"/>
      <c r="J45" s="34"/>
      <c r="K45" s="20" t="e">
        <f t="shared" si="14"/>
        <v>#DIV/0!</v>
      </c>
      <c r="L45" s="4" t="e">
        <f t="shared" si="12"/>
        <v>#DIV/0!</v>
      </c>
      <c r="M45" s="103"/>
      <c r="N45" s="103"/>
      <c r="O45" s="34"/>
      <c r="P45" s="6"/>
      <c r="Q45" s="6"/>
    </row>
    <row r="46" spans="1:17">
      <c r="A46" s="13">
        <f t="shared" si="15"/>
        <v>46154</v>
      </c>
      <c r="B46" s="127"/>
      <c r="C46" s="127"/>
      <c r="D46" s="34"/>
      <c r="E46" s="34"/>
      <c r="F46" s="20" t="e">
        <f t="shared" si="13"/>
        <v>#DIV/0!</v>
      </c>
      <c r="G46" s="2">
        <f t="shared" si="10"/>
        <v>0</v>
      </c>
      <c r="H46" s="2">
        <f t="shared" si="11"/>
        <v>0</v>
      </c>
      <c r="I46" s="29"/>
      <c r="J46" s="34"/>
      <c r="K46" s="20" t="e">
        <f t="shared" si="14"/>
        <v>#DIV/0!</v>
      </c>
      <c r="L46" s="4" t="e">
        <f t="shared" si="12"/>
        <v>#DIV/0!</v>
      </c>
      <c r="M46" s="104"/>
      <c r="N46" s="103"/>
      <c r="O46" s="34"/>
      <c r="P46" s="6"/>
      <c r="Q46" s="6"/>
    </row>
    <row r="47" spans="1:17">
      <c r="A47" s="13">
        <f t="shared" si="15"/>
        <v>46155</v>
      </c>
      <c r="B47" s="127"/>
      <c r="C47" s="127"/>
      <c r="D47" s="34"/>
      <c r="E47" s="34"/>
      <c r="F47" s="20" t="e">
        <f t="shared" si="13"/>
        <v>#DIV/0!</v>
      </c>
      <c r="G47" s="2">
        <f t="shared" si="10"/>
        <v>0</v>
      </c>
      <c r="H47" s="2">
        <f t="shared" si="11"/>
        <v>0</v>
      </c>
      <c r="I47" s="29"/>
      <c r="J47" s="34"/>
      <c r="K47" s="20" t="e">
        <f t="shared" si="14"/>
        <v>#DIV/0!</v>
      </c>
      <c r="L47" s="4" t="e">
        <f t="shared" si="12"/>
        <v>#DIV/0!</v>
      </c>
      <c r="M47" s="104"/>
      <c r="N47" s="103"/>
      <c r="O47" s="34"/>
      <c r="P47" s="6"/>
      <c r="Q47" s="31"/>
    </row>
    <row r="48" spans="1:17">
      <c r="A48" s="13">
        <f t="shared" si="15"/>
        <v>46156</v>
      </c>
      <c r="B48" s="127"/>
      <c r="C48" s="127"/>
      <c r="D48" s="34"/>
      <c r="E48" s="34"/>
      <c r="F48" s="20" t="e">
        <f t="shared" si="13"/>
        <v>#DIV/0!</v>
      </c>
      <c r="G48" s="2">
        <f t="shared" si="10"/>
        <v>0</v>
      </c>
      <c r="H48" s="2">
        <f t="shared" si="11"/>
        <v>0</v>
      </c>
      <c r="I48" s="29"/>
      <c r="J48" s="34"/>
      <c r="K48" s="20" t="e">
        <f t="shared" si="14"/>
        <v>#DIV/0!</v>
      </c>
      <c r="L48" s="4" t="e">
        <f t="shared" si="12"/>
        <v>#DIV/0!</v>
      </c>
      <c r="M48" s="104"/>
      <c r="N48" s="103"/>
      <c r="O48" s="34"/>
      <c r="P48" s="6"/>
      <c r="Q48" s="32"/>
    </row>
    <row r="49" spans="1:17">
      <c r="A49" s="13">
        <f t="shared" si="15"/>
        <v>46157</v>
      </c>
      <c r="B49" s="127"/>
      <c r="C49" s="127"/>
      <c r="D49" s="34"/>
      <c r="E49" s="34"/>
      <c r="F49" s="20" t="e">
        <f t="shared" si="13"/>
        <v>#DIV/0!</v>
      </c>
      <c r="G49" s="2">
        <f t="shared" si="10"/>
        <v>0</v>
      </c>
      <c r="H49" s="2">
        <f t="shared" si="11"/>
        <v>0</v>
      </c>
      <c r="I49" s="29"/>
      <c r="J49" s="34"/>
      <c r="K49" s="20" t="e">
        <f t="shared" si="14"/>
        <v>#DIV/0!</v>
      </c>
      <c r="L49" s="4" t="e">
        <f t="shared" si="12"/>
        <v>#DIV/0!</v>
      </c>
      <c r="M49" s="104"/>
      <c r="N49" s="103"/>
      <c r="O49" s="34"/>
      <c r="P49" s="6"/>
      <c r="Q49" s="32"/>
    </row>
    <row r="50" spans="1:17">
      <c r="A50" s="13">
        <f t="shared" si="15"/>
        <v>46158</v>
      </c>
      <c r="B50" s="127"/>
      <c r="C50" s="127"/>
      <c r="D50" s="34"/>
      <c r="E50" s="34"/>
      <c r="F50" s="20" t="e">
        <f t="shared" si="13"/>
        <v>#DIV/0!</v>
      </c>
      <c r="G50" s="2">
        <f t="shared" si="10"/>
        <v>0</v>
      </c>
      <c r="H50" s="2">
        <f t="shared" si="11"/>
        <v>0</v>
      </c>
      <c r="I50" s="29"/>
      <c r="J50" s="34"/>
      <c r="K50" s="20" t="e">
        <f t="shared" si="14"/>
        <v>#DIV/0!</v>
      </c>
      <c r="L50" s="4" t="e">
        <f t="shared" si="12"/>
        <v>#DIV/0!</v>
      </c>
      <c r="M50" s="104"/>
      <c r="N50" s="103"/>
      <c r="O50" s="34"/>
      <c r="P50" s="6"/>
      <c r="Q50" s="32"/>
    </row>
    <row r="51" spans="1:17">
      <c r="A51" s="13">
        <f t="shared" si="15"/>
        <v>46159</v>
      </c>
      <c r="B51" s="127"/>
      <c r="C51" s="127"/>
      <c r="D51" s="34"/>
      <c r="E51" s="34"/>
      <c r="F51" s="20" t="e">
        <f t="shared" si="13"/>
        <v>#DIV/0!</v>
      </c>
      <c r="G51" s="2">
        <f t="shared" si="10"/>
        <v>0</v>
      </c>
      <c r="H51" s="2">
        <f t="shared" si="11"/>
        <v>0</v>
      </c>
      <c r="I51" s="29"/>
      <c r="J51" s="34"/>
      <c r="K51" s="20" t="e">
        <f t="shared" si="14"/>
        <v>#DIV/0!</v>
      </c>
      <c r="L51" s="4" t="e">
        <f t="shared" si="12"/>
        <v>#DIV/0!</v>
      </c>
      <c r="M51" s="103"/>
      <c r="N51" s="103"/>
      <c r="O51" s="34"/>
      <c r="P51" s="6"/>
      <c r="Q51" s="6"/>
    </row>
    <row r="52" spans="1:17">
      <c r="A52" s="13">
        <f t="shared" si="15"/>
        <v>46160</v>
      </c>
      <c r="B52" s="127"/>
      <c r="C52" s="127"/>
      <c r="D52" s="34"/>
      <c r="E52" s="34"/>
      <c r="F52" s="20" t="e">
        <f t="shared" si="13"/>
        <v>#DIV/0!</v>
      </c>
      <c r="G52" s="2">
        <f t="shared" si="10"/>
        <v>0</v>
      </c>
      <c r="H52" s="2">
        <f t="shared" si="11"/>
        <v>0</v>
      </c>
      <c r="I52" s="29"/>
      <c r="J52" s="34"/>
      <c r="K52" s="20" t="e">
        <f t="shared" si="14"/>
        <v>#DIV/0!</v>
      </c>
      <c r="L52" s="4" t="e">
        <f t="shared" si="12"/>
        <v>#DIV/0!</v>
      </c>
      <c r="M52" s="103"/>
      <c r="N52" s="103"/>
      <c r="O52" s="34"/>
      <c r="P52" s="6"/>
      <c r="Q52" s="14"/>
    </row>
    <row r="53" spans="1:17">
      <c r="A53" s="13">
        <f t="shared" si="15"/>
        <v>46161</v>
      </c>
      <c r="B53" s="127"/>
      <c r="C53" s="127"/>
      <c r="D53" s="34"/>
      <c r="E53" s="34"/>
      <c r="F53" s="20" t="e">
        <f t="shared" si="13"/>
        <v>#DIV/0!</v>
      </c>
      <c r="G53" s="2">
        <f t="shared" si="10"/>
        <v>0</v>
      </c>
      <c r="H53" s="2">
        <f t="shared" si="11"/>
        <v>0</v>
      </c>
      <c r="I53" s="29"/>
      <c r="J53" s="34"/>
      <c r="K53" s="20" t="e">
        <f t="shared" si="14"/>
        <v>#DIV/0!</v>
      </c>
      <c r="L53" s="4" t="e">
        <f t="shared" si="12"/>
        <v>#DIV/0!</v>
      </c>
      <c r="M53" s="103"/>
      <c r="N53" s="103"/>
      <c r="O53" s="34"/>
      <c r="P53" s="6"/>
      <c r="Q53" s="14"/>
    </row>
    <row r="54" spans="1:17">
      <c r="A54" s="13">
        <f t="shared" si="15"/>
        <v>46162</v>
      </c>
      <c r="B54" s="127"/>
      <c r="C54" s="127"/>
      <c r="D54" s="34"/>
      <c r="E54" s="34"/>
      <c r="F54" s="20" t="e">
        <f t="shared" si="13"/>
        <v>#DIV/0!</v>
      </c>
      <c r="G54" s="2">
        <f t="shared" si="10"/>
        <v>0</v>
      </c>
      <c r="H54" s="2">
        <f t="shared" si="11"/>
        <v>0</v>
      </c>
      <c r="I54" s="29"/>
      <c r="J54" s="34"/>
      <c r="K54" s="20" t="e">
        <f t="shared" si="14"/>
        <v>#DIV/0!</v>
      </c>
      <c r="L54" s="4" t="e">
        <f t="shared" si="12"/>
        <v>#DIV/0!</v>
      </c>
      <c r="M54" s="103"/>
      <c r="N54" s="103"/>
      <c r="O54" s="34"/>
      <c r="P54" s="6"/>
      <c r="Q54" s="14"/>
    </row>
    <row r="55" spans="1:17">
      <c r="A55" s="13">
        <f t="shared" si="15"/>
        <v>46163</v>
      </c>
      <c r="B55" s="127"/>
      <c r="C55" s="127"/>
      <c r="D55" s="34"/>
      <c r="E55" s="34"/>
      <c r="F55" s="20" t="e">
        <f>(IF(ISBLANK(E55),0,E55-C55))/C55</f>
        <v>#DIV/0!</v>
      </c>
      <c r="G55" s="2">
        <f t="shared" si="10"/>
        <v>0</v>
      </c>
      <c r="H55" s="2">
        <f t="shared" si="11"/>
        <v>0</v>
      </c>
      <c r="I55" s="29"/>
      <c r="J55" s="34"/>
      <c r="K55" s="20" t="e">
        <f>(IF(ISBLANK(J55),0,J55-I55))/I55</f>
        <v>#DIV/0!</v>
      </c>
      <c r="L55" s="4" t="e">
        <f t="shared" si="12"/>
        <v>#DIV/0!</v>
      </c>
      <c r="M55" s="103"/>
      <c r="N55" s="103"/>
      <c r="O55" s="34"/>
      <c r="P55" s="6"/>
      <c r="Q55" s="6"/>
    </row>
    <row r="56" spans="1:17">
      <c r="A56" s="13">
        <f t="shared" si="15"/>
        <v>46164</v>
      </c>
      <c r="B56" s="127"/>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2"/>
        <v>#DIV/0!</v>
      </c>
      <c r="M56" s="103"/>
      <c r="N56" s="103"/>
      <c r="O56" s="34"/>
      <c r="P56" s="6"/>
      <c r="Q56" s="6"/>
    </row>
    <row r="57" spans="1:17">
      <c r="A57" s="13">
        <f t="shared" si="15"/>
        <v>46165</v>
      </c>
      <c r="B57" s="127"/>
      <c r="C57" s="127"/>
      <c r="D57" s="14"/>
      <c r="E57" s="14"/>
      <c r="F57" s="20" t="e">
        <f t="shared" si="16"/>
        <v>#DIV/0!</v>
      </c>
      <c r="G57" s="2">
        <f t="shared" si="10"/>
        <v>0</v>
      </c>
      <c r="H57" s="2">
        <f t="shared" si="11"/>
        <v>0</v>
      </c>
      <c r="I57" s="29"/>
      <c r="J57" s="14"/>
      <c r="K57" s="20" t="e">
        <f t="shared" si="17"/>
        <v>#DIV/0!</v>
      </c>
      <c r="L57" s="4" t="e">
        <f t="shared" si="12"/>
        <v>#DIV/0!</v>
      </c>
      <c r="M57" s="103"/>
      <c r="N57" s="103"/>
      <c r="O57" s="34"/>
      <c r="P57" s="6"/>
      <c r="Q57" s="6"/>
    </row>
    <row r="58" spans="1:17">
      <c r="A58" s="13">
        <f t="shared" si="15"/>
        <v>46166</v>
      </c>
      <c r="B58" s="127"/>
      <c r="C58" s="127"/>
      <c r="D58" s="14"/>
      <c r="E58" s="14"/>
      <c r="F58" s="20" t="e">
        <f t="shared" si="16"/>
        <v>#DIV/0!</v>
      </c>
      <c r="G58" s="2">
        <f t="shared" ref="G58:G65" si="18">D58/($D$2*24)</f>
        <v>0</v>
      </c>
      <c r="H58" s="2">
        <f t="shared" si="11"/>
        <v>0</v>
      </c>
      <c r="I58" s="29"/>
      <c r="J58" s="14"/>
      <c r="K58" s="20" t="e">
        <f t="shared" si="17"/>
        <v>#DIV/0!</v>
      </c>
      <c r="L58" s="4" t="e">
        <f t="shared" si="12"/>
        <v>#DIV/0!</v>
      </c>
      <c r="M58" s="103"/>
      <c r="N58" s="103"/>
      <c r="O58" s="34"/>
      <c r="P58" s="6"/>
      <c r="Q58" s="288"/>
    </row>
    <row r="59" spans="1:17">
      <c r="A59" s="13">
        <f t="shared" si="15"/>
        <v>46167</v>
      </c>
      <c r="B59" s="1"/>
      <c r="C59" s="1"/>
      <c r="D59" s="14"/>
      <c r="E59" s="14"/>
      <c r="F59" s="20" t="e">
        <f t="shared" si="16"/>
        <v>#DIV/0!</v>
      </c>
      <c r="G59" s="2">
        <f t="shared" si="18"/>
        <v>0</v>
      </c>
      <c r="H59" s="2">
        <f t="shared" si="11"/>
        <v>0</v>
      </c>
      <c r="I59" s="29"/>
      <c r="J59" s="14"/>
      <c r="K59" s="20" t="e">
        <f t="shared" si="17"/>
        <v>#DIV/0!</v>
      </c>
      <c r="L59" s="4" t="e">
        <f t="shared" si="12"/>
        <v>#DIV/0!</v>
      </c>
      <c r="M59" s="103"/>
      <c r="N59" s="103"/>
      <c r="O59" s="34"/>
      <c r="P59" s="155"/>
      <c r="Q59" s="6"/>
    </row>
    <row r="60" spans="1:17">
      <c r="A60" s="13">
        <f t="shared" si="15"/>
        <v>46168</v>
      </c>
      <c r="B60" s="1"/>
      <c r="C60" s="1"/>
      <c r="D60" s="14"/>
      <c r="E60" s="14"/>
      <c r="F60" s="20" t="e">
        <f t="shared" si="16"/>
        <v>#DIV/0!</v>
      </c>
      <c r="G60" s="2">
        <f t="shared" si="18"/>
        <v>0</v>
      </c>
      <c r="H60" s="2">
        <f t="shared" si="11"/>
        <v>0</v>
      </c>
      <c r="I60" s="29"/>
      <c r="J60" s="14"/>
      <c r="K60" s="20" t="e">
        <f t="shared" si="17"/>
        <v>#DIV/0!</v>
      </c>
      <c r="L60" s="4" t="e">
        <f t="shared" si="12"/>
        <v>#DIV/0!</v>
      </c>
      <c r="M60" s="103"/>
      <c r="N60" s="103"/>
      <c r="O60" s="34"/>
      <c r="P60" s="6"/>
      <c r="Q60" s="123"/>
    </row>
    <row r="61" spans="1:17">
      <c r="A61" s="13">
        <f t="shared" si="15"/>
        <v>46169</v>
      </c>
      <c r="B61" s="1"/>
      <c r="C61" s="1"/>
      <c r="D61" s="14"/>
      <c r="E61" s="14"/>
      <c r="F61" s="20" t="e">
        <f t="shared" si="16"/>
        <v>#DIV/0!</v>
      </c>
      <c r="G61" s="2">
        <f t="shared" si="18"/>
        <v>0</v>
      </c>
      <c r="H61" s="2">
        <f t="shared" si="11"/>
        <v>0</v>
      </c>
      <c r="I61" s="29"/>
      <c r="J61" s="14"/>
      <c r="K61" s="20" t="e">
        <f t="shared" si="17"/>
        <v>#DIV/0!</v>
      </c>
      <c r="L61" s="4" t="e">
        <f t="shared" si="12"/>
        <v>#DIV/0!</v>
      </c>
      <c r="M61" s="103"/>
      <c r="N61" s="103"/>
      <c r="O61" s="34"/>
      <c r="P61" s="6"/>
      <c r="Q61" s="6"/>
    </row>
    <row r="62" spans="1:17">
      <c r="A62" s="13">
        <f t="shared" si="15"/>
        <v>46170</v>
      </c>
      <c r="B62" s="1"/>
      <c r="C62" s="1"/>
      <c r="D62" s="14"/>
      <c r="E62" s="14"/>
      <c r="F62" s="20" t="e">
        <f t="shared" si="16"/>
        <v>#DIV/0!</v>
      </c>
      <c r="G62" s="2">
        <f t="shared" si="18"/>
        <v>0</v>
      </c>
      <c r="H62" s="2">
        <f t="shared" ref="H62:H65" si="19">D62/($H$2*24)</f>
        <v>0</v>
      </c>
      <c r="I62" s="29"/>
      <c r="J62" s="14"/>
      <c r="K62" s="20" t="e">
        <f t="shared" si="17"/>
        <v>#DIV/0!</v>
      </c>
      <c r="L62" s="4" t="e">
        <f t="shared" si="12"/>
        <v>#DIV/0!</v>
      </c>
      <c r="M62" s="103"/>
      <c r="N62" s="103"/>
      <c r="O62" s="34"/>
      <c r="P62" s="6"/>
      <c r="Q62" s="6"/>
    </row>
    <row r="63" spans="1:17">
      <c r="A63" s="13">
        <f t="shared" si="15"/>
        <v>46171</v>
      </c>
      <c r="B63" s="1"/>
      <c r="C63" s="1"/>
      <c r="D63" s="14"/>
      <c r="E63" s="14"/>
      <c r="F63" s="20" t="e">
        <f t="shared" si="16"/>
        <v>#DIV/0!</v>
      </c>
      <c r="G63" s="2">
        <f t="shared" si="18"/>
        <v>0</v>
      </c>
      <c r="H63" s="2">
        <f t="shared" si="19"/>
        <v>0</v>
      </c>
      <c r="I63" s="29"/>
      <c r="J63" s="14"/>
      <c r="K63" s="20" t="e">
        <f t="shared" si="17"/>
        <v>#DIV/0!</v>
      </c>
      <c r="L63" s="4" t="e">
        <f t="shared" si="12"/>
        <v>#DIV/0!</v>
      </c>
      <c r="M63" s="103"/>
      <c r="N63" s="103"/>
      <c r="O63" s="34"/>
      <c r="P63" s="6"/>
      <c r="Q63" s="6"/>
    </row>
    <row r="64" spans="1:17">
      <c r="A64" s="13">
        <f t="shared" si="15"/>
        <v>46172</v>
      </c>
      <c r="B64" s="1"/>
      <c r="C64" s="1"/>
      <c r="D64" s="14"/>
      <c r="E64" s="14"/>
      <c r="F64" s="20" t="e">
        <f t="shared" si="16"/>
        <v>#DIV/0!</v>
      </c>
      <c r="G64" s="2">
        <f t="shared" si="18"/>
        <v>0</v>
      </c>
      <c r="H64" s="2">
        <f t="shared" si="19"/>
        <v>0</v>
      </c>
      <c r="I64" s="29"/>
      <c r="J64" s="14"/>
      <c r="K64" s="20" t="e">
        <f t="shared" si="17"/>
        <v>#DIV/0!</v>
      </c>
      <c r="L64" s="4" t="e">
        <f t="shared" si="12"/>
        <v>#DIV/0!</v>
      </c>
      <c r="M64" s="103"/>
      <c r="N64" s="103"/>
      <c r="O64" s="34"/>
      <c r="P64" s="6"/>
      <c r="Q64" s="6"/>
    </row>
    <row r="65" spans="1:17">
      <c r="A65" s="13">
        <f t="shared" si="15"/>
        <v>46173</v>
      </c>
      <c r="B65" s="1"/>
      <c r="C65" s="1"/>
      <c r="D65" s="14"/>
      <c r="E65" s="14"/>
      <c r="F65" s="20" t="e">
        <f t="shared" si="16"/>
        <v>#DIV/0!</v>
      </c>
      <c r="G65" s="2">
        <f t="shared" si="18"/>
        <v>0</v>
      </c>
      <c r="H65" s="2">
        <f t="shared" si="19"/>
        <v>0</v>
      </c>
      <c r="I65" s="29"/>
      <c r="J65" s="14"/>
      <c r="K65" s="20" t="e">
        <f t="shared" si="17"/>
        <v>#DIV/0!</v>
      </c>
      <c r="L65" s="4" t="e">
        <f t="shared" si="1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BF5B-F88E-46D6-B9C3-B005B4FA5C3F}">
  <dimension ref="A1:Q66"/>
  <sheetViews>
    <sheetView topLeftCell="A24" workbookViewId="0">
      <selection activeCell="Q28" sqref="Q28:Q30"/>
    </sheetView>
  </sheetViews>
  <sheetFormatPr defaultRowHeight="14.5"/>
  <cols>
    <col min="1" max="1" width="11.26953125" bestFit="1" customWidth="1"/>
    <col min="17" max="17" width="32.26953125" bestFit="1" customWidth="1"/>
  </cols>
  <sheetData>
    <row r="1" spans="1:17" ht="18.5">
      <c r="A1" s="417" t="s">
        <v>488</v>
      </c>
      <c r="B1" s="418"/>
      <c r="C1" s="418"/>
      <c r="D1" s="418"/>
      <c r="E1" s="418"/>
      <c r="F1" s="418"/>
      <c r="G1" s="418"/>
      <c r="H1" s="418"/>
      <c r="I1" s="418"/>
      <c r="J1" s="418"/>
      <c r="K1" s="418"/>
      <c r="L1" s="418"/>
      <c r="M1" s="418"/>
      <c r="N1" s="418"/>
      <c r="O1" s="418"/>
      <c r="P1" s="418"/>
      <c r="Q1" s="418"/>
    </row>
    <row r="2" spans="1:17" ht="18.5">
      <c r="A2" s="69">
        <v>46138</v>
      </c>
      <c r="B2" s="415" t="s">
        <v>172</v>
      </c>
      <c r="C2" s="416"/>
      <c r="D2" s="70">
        <v>12010</v>
      </c>
      <c r="E2" s="415" t="s">
        <v>173</v>
      </c>
      <c r="F2" s="415"/>
      <c r="G2" s="416"/>
      <c r="H2" s="70">
        <v>9680</v>
      </c>
      <c r="I2" s="415" t="s">
        <v>174</v>
      </c>
      <c r="J2" s="416"/>
      <c r="K2" s="71">
        <v>45692</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75833</v>
      </c>
      <c r="C4" s="39">
        <v>65168</v>
      </c>
      <c r="D4" s="49">
        <v>68708.2</v>
      </c>
      <c r="E4" s="49">
        <v>67140</v>
      </c>
      <c r="F4" s="21">
        <f>(IF(ISBLANK(D4),0,D4-C4))/C4</f>
        <v>5.4324208200343685E-2</v>
      </c>
      <c r="G4" s="2">
        <f>D4/($D$2*24)</f>
        <v>0.23837149597557589</v>
      </c>
      <c r="H4" s="2">
        <f>D4/($H$2*24)</f>
        <v>0.29574810606060603</v>
      </c>
      <c r="I4" s="39">
        <v>7.38</v>
      </c>
      <c r="J4" s="49">
        <v>6.82</v>
      </c>
      <c r="K4" s="21">
        <f>(IF(ISBLANK(J4),0,J4-I4))/I4</f>
        <v>-7.5880758807588031E-2</v>
      </c>
      <c r="L4" s="22">
        <f>D4/($D$2*J4)</f>
        <v>0.83884397410759848</v>
      </c>
      <c r="M4" s="68">
        <v>1</v>
      </c>
      <c r="N4" s="68">
        <v>1</v>
      </c>
      <c r="O4" s="49">
        <v>0</v>
      </c>
      <c r="P4" s="49">
        <v>0</v>
      </c>
      <c r="Q4" s="49" t="s">
        <v>175</v>
      </c>
    </row>
    <row r="5" spans="1:17">
      <c r="A5" s="79">
        <v>46114</v>
      </c>
      <c r="B5" s="46">
        <v>75833</v>
      </c>
      <c r="C5" s="46">
        <v>65168</v>
      </c>
      <c r="D5" s="50">
        <v>70088.899999999994</v>
      </c>
      <c r="E5" s="50">
        <v>68580</v>
      </c>
      <c r="F5" s="21">
        <f t="shared" ref="F5:F28" si="0">(IF(ISBLANK(D5),0,D5-C5))/C5</f>
        <v>7.5510986987478435E-2</v>
      </c>
      <c r="G5" s="2">
        <f t="shared" ref="G5:G28" si="1">D5/($D$2*24)</f>
        <v>0.24316160144324173</v>
      </c>
      <c r="H5" s="2">
        <f t="shared" ref="H5:H28" si="2">D5/($H$2*24)</f>
        <v>0.30169120179063358</v>
      </c>
      <c r="I5" s="46">
        <v>7.38</v>
      </c>
      <c r="J5" s="50">
        <v>6.96</v>
      </c>
      <c r="K5" s="21">
        <f t="shared" ref="K5:K28" si="3">(IF(ISBLANK(J5),0,J5-I5))/I5</f>
        <v>-5.6910569105691047E-2</v>
      </c>
      <c r="L5" s="22">
        <f t="shared" ref="L5:L28" si="4">D5/($D$2*J5)</f>
        <v>0.83848828083876448</v>
      </c>
      <c r="M5" s="66">
        <v>1</v>
      </c>
      <c r="N5" s="66">
        <v>1</v>
      </c>
      <c r="O5" s="50">
        <v>0</v>
      </c>
      <c r="P5" s="50">
        <v>0</v>
      </c>
      <c r="Q5" s="50" t="s">
        <v>175</v>
      </c>
    </row>
    <row r="6" spans="1:17">
      <c r="A6" s="79">
        <v>46115</v>
      </c>
      <c r="B6" s="46">
        <v>75833</v>
      </c>
      <c r="C6" s="46">
        <v>65168</v>
      </c>
      <c r="D6" s="50">
        <v>67631.600000000006</v>
      </c>
      <c r="E6" s="50">
        <v>66240</v>
      </c>
      <c r="F6" s="21">
        <f t="shared" si="0"/>
        <v>3.7803830100662988E-2</v>
      </c>
      <c r="G6" s="2">
        <f t="shared" si="1"/>
        <v>0.23463641409936167</v>
      </c>
      <c r="H6" s="2">
        <f t="shared" si="2"/>
        <v>0.2911139807162535</v>
      </c>
      <c r="I6" s="46">
        <v>7.38</v>
      </c>
      <c r="J6" s="50">
        <v>6.73</v>
      </c>
      <c r="K6" s="21">
        <f t="shared" si="3"/>
        <v>-8.8075880758807512E-2</v>
      </c>
      <c r="L6" s="22">
        <f t="shared" si="4"/>
        <v>0.83674204136473695</v>
      </c>
      <c r="M6" s="66">
        <v>0.99660000000000004</v>
      </c>
      <c r="N6" s="66">
        <v>1</v>
      </c>
      <c r="O6" s="50">
        <v>0</v>
      </c>
      <c r="P6" s="50">
        <v>307</v>
      </c>
      <c r="Q6" s="50" t="s">
        <v>489</v>
      </c>
    </row>
    <row r="7" spans="1:17">
      <c r="A7" s="79">
        <v>46116</v>
      </c>
      <c r="B7" s="46">
        <v>75833</v>
      </c>
      <c r="C7" s="46">
        <v>65168</v>
      </c>
      <c r="D7" s="50">
        <v>60727.9</v>
      </c>
      <c r="E7" s="50">
        <v>59340</v>
      </c>
      <c r="F7" s="21">
        <f t="shared" si="0"/>
        <v>-6.8133132825926812E-2</v>
      </c>
      <c r="G7" s="2">
        <f t="shared" si="1"/>
        <v>0.21068519289480989</v>
      </c>
      <c r="H7" s="2">
        <f t="shared" si="2"/>
        <v>0.26139764118457298</v>
      </c>
      <c r="I7" s="46">
        <v>7.38</v>
      </c>
      <c r="J7" s="50">
        <v>6</v>
      </c>
      <c r="K7" s="21">
        <f t="shared" si="3"/>
        <v>-0.18699186991869918</v>
      </c>
      <c r="L7" s="22">
        <f t="shared" si="4"/>
        <v>0.84274077157923954</v>
      </c>
      <c r="M7" s="66">
        <v>1</v>
      </c>
      <c r="N7" s="66">
        <v>1</v>
      </c>
      <c r="O7" s="50">
        <v>0</v>
      </c>
      <c r="P7" s="50">
        <v>0</v>
      </c>
      <c r="Q7" s="50" t="s">
        <v>175</v>
      </c>
    </row>
    <row r="8" spans="1:17">
      <c r="A8" s="79">
        <v>46117</v>
      </c>
      <c r="B8" s="46">
        <v>75833</v>
      </c>
      <c r="C8" s="46">
        <v>65168</v>
      </c>
      <c r="D8" s="50">
        <v>72618.100000000006</v>
      </c>
      <c r="E8" s="50">
        <v>70920</v>
      </c>
      <c r="F8" s="21">
        <f t="shared" si="0"/>
        <v>0.1143214461085196</v>
      </c>
      <c r="G8" s="2">
        <f t="shared" si="1"/>
        <v>0.25193623369414381</v>
      </c>
      <c r="H8" s="2">
        <f t="shared" si="2"/>
        <v>0.31257790977961436</v>
      </c>
      <c r="I8" s="46">
        <v>7.38</v>
      </c>
      <c r="J8" s="50">
        <v>7.16</v>
      </c>
      <c r="K8" s="21">
        <f t="shared" si="3"/>
        <v>-2.9810298102980998E-2</v>
      </c>
      <c r="L8" s="22">
        <f t="shared" si="4"/>
        <v>0.84447899562282824</v>
      </c>
      <c r="M8" s="66">
        <v>1</v>
      </c>
      <c r="N8" s="66">
        <v>1</v>
      </c>
      <c r="O8" s="50">
        <v>0</v>
      </c>
      <c r="P8" s="50">
        <v>0</v>
      </c>
      <c r="Q8" s="50" t="s">
        <v>175</v>
      </c>
    </row>
    <row r="9" spans="1:17">
      <c r="A9" s="79">
        <v>46118</v>
      </c>
      <c r="B9" s="46">
        <v>75833</v>
      </c>
      <c r="C9" s="46">
        <v>65168</v>
      </c>
      <c r="D9" s="50">
        <v>74351</v>
      </c>
      <c r="E9" s="50">
        <v>72660</v>
      </c>
      <c r="F9" s="21">
        <f t="shared" si="0"/>
        <v>0.14091271789835502</v>
      </c>
      <c r="G9" s="2">
        <f t="shared" si="1"/>
        <v>0.25794823757979463</v>
      </c>
      <c r="H9" s="2">
        <f t="shared" si="2"/>
        <v>0.3200370179063361</v>
      </c>
      <c r="I9" s="46">
        <v>7.38</v>
      </c>
      <c r="J9" s="50">
        <v>7.32</v>
      </c>
      <c r="K9" s="21">
        <f t="shared" si="3"/>
        <v>-8.1300813008129552E-3</v>
      </c>
      <c r="L9" s="22">
        <f t="shared" si="4"/>
        <v>0.84573192649112994</v>
      </c>
      <c r="M9" s="66">
        <v>1</v>
      </c>
      <c r="N9" s="66">
        <v>1</v>
      </c>
      <c r="O9" s="50">
        <v>0</v>
      </c>
      <c r="P9" s="50">
        <v>0</v>
      </c>
      <c r="Q9" s="50" t="s">
        <v>175</v>
      </c>
    </row>
    <row r="10" spans="1:17">
      <c r="A10" s="79">
        <v>46119</v>
      </c>
      <c r="B10" s="46">
        <v>75833</v>
      </c>
      <c r="C10" s="46">
        <v>65168</v>
      </c>
      <c r="D10" s="50">
        <v>69085.399999999994</v>
      </c>
      <c r="E10" s="50">
        <v>67680</v>
      </c>
      <c r="F10" s="21">
        <f t="shared" si="0"/>
        <v>6.0112325067517708E-2</v>
      </c>
      <c r="G10" s="2">
        <f t="shared" si="1"/>
        <v>0.23968012767138494</v>
      </c>
      <c r="H10" s="2">
        <f t="shared" si="2"/>
        <v>0.29737172865013772</v>
      </c>
      <c r="I10" s="46">
        <v>7.38</v>
      </c>
      <c r="J10" s="50">
        <v>6.74</v>
      </c>
      <c r="K10" s="21">
        <f t="shared" si="3"/>
        <v>-8.6720867208672045E-2</v>
      </c>
      <c r="L10" s="22">
        <f t="shared" si="4"/>
        <v>0.8534603952690264</v>
      </c>
      <c r="M10" s="66">
        <v>1</v>
      </c>
      <c r="N10" s="66">
        <v>1</v>
      </c>
      <c r="O10" s="50">
        <v>0</v>
      </c>
      <c r="P10" s="50">
        <v>0</v>
      </c>
      <c r="Q10" s="50" t="s">
        <v>175</v>
      </c>
    </row>
    <row r="11" spans="1:17">
      <c r="A11" s="79">
        <v>46120</v>
      </c>
      <c r="B11" s="46">
        <v>75833</v>
      </c>
      <c r="C11" s="46">
        <v>65168</v>
      </c>
      <c r="D11" s="50">
        <v>53517.4</v>
      </c>
      <c r="E11" s="50">
        <v>52320</v>
      </c>
      <c r="F11" s="21">
        <f t="shared" si="0"/>
        <v>-0.17877792781733365</v>
      </c>
      <c r="G11" s="2">
        <f t="shared" si="1"/>
        <v>0.18566958090480157</v>
      </c>
      <c r="H11" s="2">
        <f t="shared" si="2"/>
        <v>0.23036070936639119</v>
      </c>
      <c r="I11" s="46">
        <v>7.38</v>
      </c>
      <c r="J11" s="50">
        <v>5.19</v>
      </c>
      <c r="K11" s="21">
        <f t="shared" si="3"/>
        <v>-0.29674796747967475</v>
      </c>
      <c r="L11" s="22">
        <f t="shared" si="4"/>
        <v>0.85858765736324416</v>
      </c>
      <c r="M11" s="66">
        <v>1</v>
      </c>
      <c r="N11" s="66">
        <v>1</v>
      </c>
      <c r="O11" s="50">
        <v>0</v>
      </c>
      <c r="P11" s="50">
        <v>0</v>
      </c>
      <c r="Q11" s="50" t="s">
        <v>175</v>
      </c>
    </row>
    <row r="12" spans="1:17">
      <c r="A12" s="79">
        <v>46121</v>
      </c>
      <c r="B12" s="46">
        <v>75833</v>
      </c>
      <c r="C12" s="46">
        <v>65168</v>
      </c>
      <c r="D12" s="50">
        <v>71468.100000000006</v>
      </c>
      <c r="E12" s="50">
        <v>69900</v>
      </c>
      <c r="F12" s="21">
        <f t="shared" si="0"/>
        <v>9.667474834274499E-2</v>
      </c>
      <c r="G12" s="2">
        <f t="shared" si="1"/>
        <v>0.24794650291423814</v>
      </c>
      <c r="H12" s="2">
        <f t="shared" si="2"/>
        <v>0.30762784090909095</v>
      </c>
      <c r="I12" s="46">
        <v>7.38</v>
      </c>
      <c r="J12" s="50">
        <v>7.12</v>
      </c>
      <c r="K12" s="21">
        <f t="shared" si="3"/>
        <v>-3.5230352303523005E-2</v>
      </c>
      <c r="L12" s="22">
        <f t="shared" si="4"/>
        <v>0.8357747289243983</v>
      </c>
      <c r="M12" s="66">
        <v>1</v>
      </c>
      <c r="N12" s="66">
        <v>1</v>
      </c>
      <c r="O12" s="50">
        <v>0</v>
      </c>
      <c r="P12" s="50">
        <v>0</v>
      </c>
      <c r="Q12" s="50" t="s">
        <v>175</v>
      </c>
    </row>
    <row r="13" spans="1:17">
      <c r="A13" s="79">
        <v>46122</v>
      </c>
      <c r="B13" s="46">
        <v>75833</v>
      </c>
      <c r="C13" s="46">
        <v>65168</v>
      </c>
      <c r="D13" s="50">
        <v>72620.2</v>
      </c>
      <c r="E13" s="50">
        <v>71040</v>
      </c>
      <c r="F13" s="21">
        <f t="shared" si="0"/>
        <v>0.11435367051313523</v>
      </c>
      <c r="G13" s="2">
        <f t="shared" si="1"/>
        <v>0.251943519289481</v>
      </c>
      <c r="H13" s="2">
        <f t="shared" si="2"/>
        <v>0.31258694903581263</v>
      </c>
      <c r="I13" s="46">
        <v>7.38</v>
      </c>
      <c r="J13" s="50">
        <v>7.28</v>
      </c>
      <c r="K13" s="21">
        <f t="shared" si="3"/>
        <v>-1.3550135501354966E-2</v>
      </c>
      <c r="L13" s="22">
        <f t="shared" si="4"/>
        <v>0.83058303062466254</v>
      </c>
      <c r="M13" s="66">
        <v>1</v>
      </c>
      <c r="N13" s="66">
        <v>1</v>
      </c>
      <c r="O13" s="50">
        <v>0</v>
      </c>
      <c r="P13" s="50">
        <v>0</v>
      </c>
      <c r="Q13" s="50" t="s">
        <v>175</v>
      </c>
    </row>
    <row r="14" spans="1:17">
      <c r="A14" s="79">
        <v>46123</v>
      </c>
      <c r="B14" s="46">
        <v>75833</v>
      </c>
      <c r="C14" s="46">
        <v>65168</v>
      </c>
      <c r="D14" s="50">
        <v>68940.800000000003</v>
      </c>
      <c r="E14" s="50">
        <v>67440</v>
      </c>
      <c r="F14" s="21">
        <f t="shared" si="0"/>
        <v>5.7893444635403926E-2</v>
      </c>
      <c r="G14" s="2">
        <f t="shared" si="1"/>
        <v>0.23917846239245075</v>
      </c>
      <c r="H14" s="2">
        <f t="shared" si="2"/>
        <v>0.29674931129476584</v>
      </c>
      <c r="I14" s="46">
        <v>7.38</v>
      </c>
      <c r="J14" s="50">
        <v>6.92</v>
      </c>
      <c r="K14" s="21">
        <f t="shared" si="3"/>
        <v>-6.2330623306233061E-2</v>
      </c>
      <c r="L14" s="22">
        <f t="shared" si="4"/>
        <v>0.82952067881774827</v>
      </c>
      <c r="M14" s="66">
        <v>1</v>
      </c>
      <c r="N14" s="66">
        <v>1</v>
      </c>
      <c r="O14" s="50">
        <v>0</v>
      </c>
      <c r="P14" s="50">
        <v>0</v>
      </c>
      <c r="Q14" s="50" t="s">
        <v>175</v>
      </c>
    </row>
    <row r="15" spans="1:17">
      <c r="A15" s="79">
        <v>46124</v>
      </c>
      <c r="B15" s="46">
        <v>75833</v>
      </c>
      <c r="C15" s="46">
        <v>65168</v>
      </c>
      <c r="D15" s="50">
        <v>71028.5</v>
      </c>
      <c r="E15" s="50">
        <v>69420</v>
      </c>
      <c r="F15" s="21">
        <f t="shared" si="0"/>
        <v>8.9929106309845325E-2</v>
      </c>
      <c r="G15" s="2">
        <f t="shared" si="1"/>
        <v>0.24642138495698029</v>
      </c>
      <c r="H15" s="2">
        <f t="shared" si="2"/>
        <v>0.30573562327823689</v>
      </c>
      <c r="I15" s="46">
        <v>7.38</v>
      </c>
      <c r="J15" s="50">
        <v>7.17</v>
      </c>
      <c r="K15" s="21">
        <f t="shared" si="3"/>
        <v>-2.8455284552845524E-2</v>
      </c>
      <c r="L15" s="22">
        <f t="shared" si="4"/>
        <v>0.82484145592294666</v>
      </c>
      <c r="M15" s="66">
        <v>1</v>
      </c>
      <c r="N15" s="66">
        <v>1</v>
      </c>
      <c r="O15" s="50">
        <v>0</v>
      </c>
      <c r="P15" s="50">
        <v>0</v>
      </c>
      <c r="Q15" s="50" t="s">
        <v>175</v>
      </c>
    </row>
    <row r="16" spans="1:17">
      <c r="A16" s="79">
        <v>46125</v>
      </c>
      <c r="B16" s="46">
        <v>75833</v>
      </c>
      <c r="C16" s="46">
        <v>65168</v>
      </c>
      <c r="D16" s="50">
        <v>70460</v>
      </c>
      <c r="E16" s="50">
        <v>68940</v>
      </c>
      <c r="F16" s="21">
        <f t="shared" si="0"/>
        <v>8.1205499631721093E-2</v>
      </c>
      <c r="G16" s="2">
        <f t="shared" si="1"/>
        <v>0.24444907021926174</v>
      </c>
      <c r="H16" s="2">
        <f t="shared" si="2"/>
        <v>0.30328856749311295</v>
      </c>
      <c r="I16" s="46">
        <v>7.38</v>
      </c>
      <c r="J16" s="50">
        <v>7.07</v>
      </c>
      <c r="K16" s="21">
        <f t="shared" si="3"/>
        <v>-4.2005420054200493E-2</v>
      </c>
      <c r="L16" s="22">
        <f t="shared" si="4"/>
        <v>0.82981296821248685</v>
      </c>
      <c r="M16" s="66">
        <v>1</v>
      </c>
      <c r="N16" s="66">
        <v>1</v>
      </c>
      <c r="O16" s="50">
        <v>0</v>
      </c>
      <c r="P16" s="50">
        <v>0</v>
      </c>
      <c r="Q16" s="50" t="s">
        <v>175</v>
      </c>
    </row>
    <row r="17" spans="1:17">
      <c r="A17" s="79">
        <v>46126</v>
      </c>
      <c r="B17" s="46">
        <v>75833</v>
      </c>
      <c r="C17" s="46">
        <v>65168</v>
      </c>
      <c r="D17" s="50">
        <v>73133.399999999994</v>
      </c>
      <c r="E17" s="50">
        <v>71460</v>
      </c>
      <c r="F17" s="21">
        <f t="shared" si="0"/>
        <v>0.12222870120304435</v>
      </c>
      <c r="G17" s="2">
        <f t="shared" si="1"/>
        <v>0.25372398001665275</v>
      </c>
      <c r="H17" s="2">
        <f t="shared" si="2"/>
        <v>0.31479597107438012</v>
      </c>
      <c r="I17" s="46">
        <v>7.38</v>
      </c>
      <c r="J17" s="50">
        <v>7.33</v>
      </c>
      <c r="K17" s="21">
        <f t="shared" si="3"/>
        <v>-6.7750677506774829E-3</v>
      </c>
      <c r="L17" s="22">
        <f t="shared" si="4"/>
        <v>0.83074700141878122</v>
      </c>
      <c r="M17" s="66">
        <v>1</v>
      </c>
      <c r="N17" s="66">
        <v>1</v>
      </c>
      <c r="O17" s="50">
        <v>0</v>
      </c>
      <c r="P17" s="50">
        <v>0</v>
      </c>
      <c r="Q17" s="50" t="s">
        <v>175</v>
      </c>
    </row>
    <row r="18" spans="1:17">
      <c r="A18" s="79">
        <v>46127</v>
      </c>
      <c r="B18" s="46">
        <v>75833</v>
      </c>
      <c r="C18" s="46">
        <v>65168</v>
      </c>
      <c r="D18" s="50">
        <v>72229.7</v>
      </c>
      <c r="E18" s="50">
        <v>70680</v>
      </c>
      <c r="F18" s="21">
        <f t="shared" si="0"/>
        <v>0.10836146575006134</v>
      </c>
      <c r="G18" s="2">
        <f t="shared" si="1"/>
        <v>0.25058874548986954</v>
      </c>
      <c r="H18" s="2">
        <f t="shared" si="2"/>
        <v>0.31090607782369145</v>
      </c>
      <c r="I18" s="46">
        <v>7.38</v>
      </c>
      <c r="J18" s="50">
        <v>7.2</v>
      </c>
      <c r="K18" s="21">
        <f t="shared" si="3"/>
        <v>-2.4390243902438987E-2</v>
      </c>
      <c r="L18" s="22">
        <f t="shared" si="4"/>
        <v>0.83529581829956512</v>
      </c>
      <c r="M18" s="66">
        <v>1</v>
      </c>
      <c r="N18" s="66">
        <v>1</v>
      </c>
      <c r="O18" s="50">
        <v>0</v>
      </c>
      <c r="P18" s="50">
        <v>0</v>
      </c>
      <c r="Q18" s="50" t="s">
        <v>175</v>
      </c>
    </row>
    <row r="19" spans="1:17">
      <c r="A19" s="79">
        <v>46128</v>
      </c>
      <c r="B19" s="46">
        <v>75833</v>
      </c>
      <c r="C19" s="46">
        <v>65168</v>
      </c>
      <c r="D19" s="50">
        <v>70629.5</v>
      </c>
      <c r="E19" s="50">
        <v>69060</v>
      </c>
      <c r="F19" s="21">
        <f t="shared" si="0"/>
        <v>8.3806469432850472E-2</v>
      </c>
      <c r="G19" s="2">
        <f t="shared" si="1"/>
        <v>0.24503712184290868</v>
      </c>
      <c r="H19" s="2">
        <f t="shared" si="2"/>
        <v>0.30401816460055098</v>
      </c>
      <c r="I19" s="46">
        <v>7.38</v>
      </c>
      <c r="J19" s="50">
        <v>7.18</v>
      </c>
      <c r="K19" s="21">
        <f t="shared" si="3"/>
        <v>-2.7100271002710053E-2</v>
      </c>
      <c r="L19" s="22">
        <f t="shared" si="4"/>
        <v>0.81906558833284238</v>
      </c>
      <c r="M19" s="66">
        <v>1</v>
      </c>
      <c r="N19" s="66">
        <v>0.97089999999999999</v>
      </c>
      <c r="O19" s="50">
        <v>1283</v>
      </c>
      <c r="P19" s="50">
        <v>0</v>
      </c>
      <c r="Q19" s="50" t="s">
        <v>487</v>
      </c>
    </row>
    <row r="20" spans="1:17">
      <c r="A20" s="79">
        <v>46129</v>
      </c>
      <c r="B20" s="46">
        <v>75833</v>
      </c>
      <c r="C20" s="46">
        <v>65168</v>
      </c>
      <c r="D20" s="50">
        <v>69898.3</v>
      </c>
      <c r="E20" s="50">
        <v>68280</v>
      </c>
      <c r="F20" s="21">
        <f t="shared" si="0"/>
        <v>7.2586238644733653E-2</v>
      </c>
      <c r="G20" s="2">
        <f t="shared" si="1"/>
        <v>0.24250034693311132</v>
      </c>
      <c r="H20" s="2">
        <f t="shared" si="2"/>
        <v>0.30087078168044079</v>
      </c>
      <c r="I20" s="46">
        <v>7.38</v>
      </c>
      <c r="J20" s="50">
        <v>6.89</v>
      </c>
      <c r="K20" s="21">
        <f t="shared" si="3"/>
        <v>-6.6395663956639595E-2</v>
      </c>
      <c r="L20" s="22">
        <f t="shared" si="4"/>
        <v>0.84470367581925565</v>
      </c>
      <c r="M20" s="66">
        <v>1</v>
      </c>
      <c r="N20" s="66">
        <v>1</v>
      </c>
      <c r="O20" s="50">
        <v>0</v>
      </c>
      <c r="P20" s="50">
        <v>0</v>
      </c>
      <c r="Q20" s="50" t="s">
        <v>175</v>
      </c>
    </row>
    <row r="21" spans="1:17">
      <c r="A21" s="79">
        <v>46130</v>
      </c>
      <c r="B21" s="46">
        <v>75833</v>
      </c>
      <c r="C21" s="46">
        <v>65168</v>
      </c>
      <c r="D21" s="50">
        <v>69553.7</v>
      </c>
      <c r="E21" s="50">
        <v>68040</v>
      </c>
      <c r="F21" s="21">
        <f t="shared" si="0"/>
        <v>6.7298367296832751E-2</v>
      </c>
      <c r="G21" s="2">
        <f t="shared" si="1"/>
        <v>0.24130481543158477</v>
      </c>
      <c r="H21" s="2">
        <f t="shared" si="2"/>
        <v>0.29938748278236915</v>
      </c>
      <c r="I21" s="46">
        <v>7.38</v>
      </c>
      <c r="J21" s="50">
        <v>6.88</v>
      </c>
      <c r="K21" s="21">
        <f t="shared" si="3"/>
        <v>-6.7750677506775075E-2</v>
      </c>
      <c r="L21" s="22">
        <f t="shared" si="4"/>
        <v>0.84176098406366784</v>
      </c>
      <c r="M21" s="66">
        <v>1</v>
      </c>
      <c r="N21" s="66">
        <v>1</v>
      </c>
      <c r="O21" s="50">
        <v>0</v>
      </c>
      <c r="P21" s="50">
        <v>0</v>
      </c>
      <c r="Q21" s="50" t="s">
        <v>175</v>
      </c>
    </row>
    <row r="22" spans="1:17">
      <c r="A22" s="79">
        <v>46131</v>
      </c>
      <c r="B22" s="46">
        <v>75833</v>
      </c>
      <c r="C22" s="46">
        <v>65168</v>
      </c>
      <c r="D22" s="50">
        <v>67334.3</v>
      </c>
      <c r="E22" s="50">
        <v>65940</v>
      </c>
      <c r="F22" s="21">
        <f t="shared" si="0"/>
        <v>3.3241775104345735E-2</v>
      </c>
      <c r="G22" s="2">
        <f t="shared" si="1"/>
        <v>0.23360498195947824</v>
      </c>
      <c r="H22" s="2">
        <f t="shared" si="2"/>
        <v>0.28983428030303032</v>
      </c>
      <c r="I22" s="46">
        <v>7.38</v>
      </c>
      <c r="J22" s="50">
        <v>6.62</v>
      </c>
      <c r="K22" s="21">
        <f t="shared" si="3"/>
        <v>-0.10298102981029808</v>
      </c>
      <c r="L22" s="22">
        <f t="shared" si="4"/>
        <v>0.84690627900717186</v>
      </c>
      <c r="M22" s="66">
        <v>1</v>
      </c>
      <c r="N22" s="66">
        <v>1</v>
      </c>
      <c r="O22" s="50">
        <v>0</v>
      </c>
      <c r="P22" s="50">
        <v>0</v>
      </c>
      <c r="Q22" s="50" t="s">
        <v>175</v>
      </c>
    </row>
    <row r="23" spans="1:17">
      <c r="A23" s="79">
        <v>46132</v>
      </c>
      <c r="B23" s="46">
        <v>75833</v>
      </c>
      <c r="C23" s="46">
        <v>65168</v>
      </c>
      <c r="D23" s="50">
        <v>69605.5</v>
      </c>
      <c r="E23" s="50">
        <v>68040</v>
      </c>
      <c r="F23" s="21">
        <f t="shared" si="0"/>
        <v>6.8093235944021599E-2</v>
      </c>
      <c r="G23" s="2">
        <f t="shared" si="1"/>
        <v>0.2414845267832362</v>
      </c>
      <c r="H23" s="2">
        <f t="shared" si="2"/>
        <v>0.29961045110192835</v>
      </c>
      <c r="I23" s="46">
        <v>7.38</v>
      </c>
      <c r="J23" s="50">
        <v>6.95</v>
      </c>
      <c r="K23" s="21">
        <f t="shared" si="3"/>
        <v>-5.8265582655826521E-2</v>
      </c>
      <c r="L23" s="22">
        <f t="shared" si="4"/>
        <v>0.83390340184139111</v>
      </c>
      <c r="M23" s="66">
        <v>1</v>
      </c>
      <c r="N23" s="66">
        <v>1</v>
      </c>
      <c r="O23" s="50">
        <v>0</v>
      </c>
      <c r="P23" s="50">
        <v>0</v>
      </c>
      <c r="Q23" s="50" t="s">
        <v>175</v>
      </c>
    </row>
    <row r="24" spans="1:17">
      <c r="A24" s="79">
        <v>46133</v>
      </c>
      <c r="B24" s="46">
        <v>75833</v>
      </c>
      <c r="C24" s="46">
        <v>65168</v>
      </c>
      <c r="D24" s="50">
        <v>64550.8</v>
      </c>
      <c r="E24" s="50">
        <v>63180</v>
      </c>
      <c r="F24" s="21">
        <f t="shared" si="0"/>
        <v>-9.4709059661182964E-3</v>
      </c>
      <c r="G24" s="2">
        <f t="shared" si="1"/>
        <v>0.22394809880655012</v>
      </c>
      <c r="H24" s="2">
        <f t="shared" si="2"/>
        <v>0.27785296143250687</v>
      </c>
      <c r="I24" s="46">
        <v>7.38</v>
      </c>
      <c r="J24" s="50">
        <v>6.36</v>
      </c>
      <c r="K24" s="21">
        <f t="shared" si="3"/>
        <v>-0.13821138211382109</v>
      </c>
      <c r="L24" s="22">
        <f t="shared" si="4"/>
        <v>0.8450871653077362</v>
      </c>
      <c r="M24" s="66">
        <v>1</v>
      </c>
      <c r="N24" s="66">
        <v>1</v>
      </c>
      <c r="O24" s="50">
        <v>0</v>
      </c>
      <c r="P24" s="50">
        <v>0</v>
      </c>
      <c r="Q24" s="50" t="s">
        <v>175</v>
      </c>
    </row>
    <row r="25" spans="1:17">
      <c r="A25" s="79">
        <v>46134</v>
      </c>
      <c r="B25" s="46">
        <v>75833</v>
      </c>
      <c r="C25" s="46">
        <v>65168</v>
      </c>
      <c r="D25" s="50">
        <v>70468.899999999994</v>
      </c>
      <c r="E25" s="50">
        <v>68940</v>
      </c>
      <c r="F25" s="21">
        <f t="shared" si="0"/>
        <v>8.1342069727473515E-2</v>
      </c>
      <c r="G25" s="2">
        <f t="shared" si="1"/>
        <v>0.24447994726616706</v>
      </c>
      <c r="H25" s="2">
        <f t="shared" si="2"/>
        <v>0.30332687672176306</v>
      </c>
      <c r="I25" s="46">
        <v>7.38</v>
      </c>
      <c r="J25" s="50">
        <v>7.09</v>
      </c>
      <c r="K25" s="21">
        <f t="shared" si="3"/>
        <v>-3.9295392953929545E-2</v>
      </c>
      <c r="L25" s="22">
        <f t="shared" si="4"/>
        <v>0.82757669032270942</v>
      </c>
      <c r="M25" s="66">
        <v>1</v>
      </c>
      <c r="N25" s="66">
        <v>1</v>
      </c>
      <c r="O25" s="50">
        <v>0</v>
      </c>
      <c r="P25" s="50">
        <v>0</v>
      </c>
      <c r="Q25" s="50" t="s">
        <v>175</v>
      </c>
    </row>
    <row r="26" spans="1:17">
      <c r="A26" s="79">
        <v>46135</v>
      </c>
      <c r="B26" s="46">
        <v>75833</v>
      </c>
      <c r="C26" s="46">
        <v>65168</v>
      </c>
      <c r="D26" s="50">
        <v>69223.5</v>
      </c>
      <c r="E26" s="50">
        <v>67680</v>
      </c>
      <c r="F26" s="21">
        <f t="shared" si="0"/>
        <v>6.2231463294868644E-2</v>
      </c>
      <c r="G26" s="2">
        <f t="shared" si="1"/>
        <v>0.24015924229808494</v>
      </c>
      <c r="H26" s="2">
        <f t="shared" si="2"/>
        <v>0.2979661673553719</v>
      </c>
      <c r="I26" s="46">
        <v>7.38</v>
      </c>
      <c r="J26" s="50">
        <v>7</v>
      </c>
      <c r="K26" s="21">
        <f t="shared" si="3"/>
        <v>-5.149051490514904E-2</v>
      </c>
      <c r="L26" s="22">
        <f t="shared" si="4"/>
        <v>0.82340311645057696</v>
      </c>
      <c r="M26" s="66">
        <v>1</v>
      </c>
      <c r="N26" s="66">
        <v>1</v>
      </c>
      <c r="O26" s="50">
        <v>0</v>
      </c>
      <c r="P26" s="50">
        <v>0</v>
      </c>
      <c r="Q26" s="50" t="s">
        <v>175</v>
      </c>
    </row>
    <row r="27" spans="1:17">
      <c r="A27" s="79">
        <v>46136</v>
      </c>
      <c r="B27" s="46">
        <v>75833</v>
      </c>
      <c r="C27" s="46">
        <v>65168</v>
      </c>
      <c r="D27" s="50">
        <v>70697.2</v>
      </c>
      <c r="E27" s="50">
        <v>69180</v>
      </c>
      <c r="F27" s="21">
        <f t="shared" si="0"/>
        <v>8.4845322857844296E-2</v>
      </c>
      <c r="G27" s="2">
        <f t="shared" si="1"/>
        <v>0.24527199555925616</v>
      </c>
      <c r="H27" s="2">
        <f t="shared" si="2"/>
        <v>0.3043095730027548</v>
      </c>
      <c r="I27" s="46">
        <v>7.38</v>
      </c>
      <c r="J27" s="50">
        <v>7.18</v>
      </c>
      <c r="K27" s="21">
        <f t="shared" si="3"/>
        <v>-2.7100271002710053E-2</v>
      </c>
      <c r="L27" s="22">
        <f t="shared" si="4"/>
        <v>0.81985068153511809</v>
      </c>
      <c r="M27" s="66">
        <v>1</v>
      </c>
      <c r="N27" s="66">
        <v>1</v>
      </c>
      <c r="O27" s="50">
        <v>0</v>
      </c>
      <c r="P27" s="50">
        <v>0</v>
      </c>
      <c r="Q27" s="50" t="s">
        <v>175</v>
      </c>
    </row>
    <row r="28" spans="1:17">
      <c r="A28" s="79">
        <v>46137</v>
      </c>
      <c r="B28" s="46">
        <v>75833</v>
      </c>
      <c r="C28" s="46">
        <v>65168</v>
      </c>
      <c r="D28" s="50">
        <v>67503</v>
      </c>
      <c r="E28" s="50">
        <v>66000</v>
      </c>
      <c r="F28" s="21">
        <f t="shared" si="0"/>
        <v>3.5830468941811931E-2</v>
      </c>
      <c r="G28" s="2">
        <f t="shared" si="1"/>
        <v>0.2341902581182348</v>
      </c>
      <c r="H28" s="2">
        <f t="shared" si="2"/>
        <v>0.29056043388429753</v>
      </c>
      <c r="I28" s="46">
        <v>7.38</v>
      </c>
      <c r="J28" s="50">
        <v>7.21</v>
      </c>
      <c r="K28" s="21">
        <f t="shared" si="3"/>
        <v>-2.3035230352303513E-2</v>
      </c>
      <c r="L28" s="22">
        <f t="shared" si="4"/>
        <v>0.77955148333392998</v>
      </c>
      <c r="M28" s="66">
        <v>0.96220000000000006</v>
      </c>
      <c r="N28" s="66">
        <v>1</v>
      </c>
      <c r="O28" s="50">
        <v>0</v>
      </c>
      <c r="P28" s="50">
        <v>2912</v>
      </c>
      <c r="Q28" s="50" t="s">
        <v>490</v>
      </c>
    </row>
    <row r="29" spans="1:17">
      <c r="A29" s="79">
        <v>46138</v>
      </c>
      <c r="B29" s="46">
        <v>75833</v>
      </c>
      <c r="C29" s="46">
        <v>65168</v>
      </c>
      <c r="D29" s="50">
        <v>66393</v>
      </c>
      <c r="E29" s="50">
        <v>64980</v>
      </c>
      <c r="F29" s="21">
        <f t="shared" ref="F29:F33" si="5">(IF(ISBLANK(D29),0,D29-C29))/C29</f>
        <v>1.8797569359194698E-2</v>
      </c>
      <c r="G29" s="2">
        <f t="shared" ref="G29:G33" si="6">D29/($D$2*24)</f>
        <v>0.23033930058284763</v>
      </c>
      <c r="H29" s="2">
        <f t="shared" ref="H29:H33" si="7">D29/($H$2*24)</f>
        <v>0.28578254132231407</v>
      </c>
      <c r="I29" s="46">
        <v>7.38</v>
      </c>
      <c r="J29" s="50">
        <v>6.8019999999999996</v>
      </c>
      <c r="K29" s="21">
        <f t="shared" ref="K29:K33" si="8">(IF(ISBLANK(J29),0,J29-I29))/I29</f>
        <v>-7.8319783197832019E-2</v>
      </c>
      <c r="L29" s="22">
        <f t="shared" ref="L29:L33" si="9">D29/($D$2*J29)</f>
        <v>0.81272320111560481</v>
      </c>
      <c r="M29" s="66">
        <v>0.96609999999999996</v>
      </c>
      <c r="N29" s="66">
        <v>1</v>
      </c>
      <c r="O29" s="50">
        <v>0</v>
      </c>
      <c r="P29" s="50">
        <v>928</v>
      </c>
      <c r="Q29" s="50" t="s">
        <v>490</v>
      </c>
    </row>
    <row r="30" spans="1:17">
      <c r="A30" s="79">
        <v>46139</v>
      </c>
      <c r="B30" s="46">
        <v>75833</v>
      </c>
      <c r="C30" s="46">
        <v>65168</v>
      </c>
      <c r="D30" s="50">
        <v>62596</v>
      </c>
      <c r="E30" s="50">
        <v>61140</v>
      </c>
      <c r="F30" s="21">
        <f t="shared" si="5"/>
        <v>-3.9467223177019395E-2</v>
      </c>
      <c r="G30" s="2">
        <f t="shared" si="6"/>
        <v>0.2171662503469331</v>
      </c>
      <c r="H30" s="2">
        <f t="shared" si="7"/>
        <v>0.2694387052341598</v>
      </c>
      <c r="I30" s="46">
        <v>7.38</v>
      </c>
      <c r="J30" s="50">
        <v>6.992</v>
      </c>
      <c r="K30" s="21">
        <f t="shared" si="8"/>
        <v>-5.2574525745257443E-2</v>
      </c>
      <c r="L30" s="22">
        <f t="shared" si="9"/>
        <v>0.74542191194599472</v>
      </c>
      <c r="M30" s="66">
        <v>0.93879999999999997</v>
      </c>
      <c r="N30" s="66">
        <v>1</v>
      </c>
      <c r="O30" s="50">
        <v>0</v>
      </c>
      <c r="P30" s="50">
        <v>4324</v>
      </c>
      <c r="Q30" s="50" t="s">
        <v>490</v>
      </c>
    </row>
    <row r="31" spans="1:17">
      <c r="A31" s="79">
        <v>46140</v>
      </c>
      <c r="B31" s="46">
        <v>75833</v>
      </c>
      <c r="C31" s="46">
        <v>65168</v>
      </c>
      <c r="D31" s="50">
        <v>69980</v>
      </c>
      <c r="E31" s="50">
        <v>68520</v>
      </c>
      <c r="F31" s="21">
        <f t="shared" si="5"/>
        <v>7.3839921433832556E-2</v>
      </c>
      <c r="G31" s="2">
        <f t="shared" si="6"/>
        <v>0.24278379128504024</v>
      </c>
      <c r="H31" s="2">
        <f t="shared" si="7"/>
        <v>0.30122245179063362</v>
      </c>
      <c r="I31" s="46">
        <v>7.38</v>
      </c>
      <c r="J31" s="50">
        <v>7.0759999999999996</v>
      </c>
      <c r="K31" s="21">
        <f t="shared" si="8"/>
        <v>-4.1192411924119279E-2</v>
      </c>
      <c r="L31" s="22">
        <f t="shared" si="9"/>
        <v>0.82346113494078099</v>
      </c>
      <c r="M31" s="66">
        <v>1</v>
      </c>
      <c r="N31" s="66">
        <v>1</v>
      </c>
      <c r="O31" s="50">
        <v>0</v>
      </c>
      <c r="P31" s="50">
        <v>0</v>
      </c>
      <c r="Q31" s="50" t="s">
        <v>175</v>
      </c>
    </row>
    <row r="32" spans="1:17">
      <c r="A32" s="79">
        <v>46141</v>
      </c>
      <c r="B32" s="46">
        <v>75833</v>
      </c>
      <c r="C32" s="46">
        <v>65168</v>
      </c>
      <c r="D32" s="50">
        <v>72671</v>
      </c>
      <c r="E32" s="50">
        <v>71040</v>
      </c>
      <c r="F32" s="21">
        <f t="shared" si="5"/>
        <v>0.11513319420574515</v>
      </c>
      <c r="G32" s="2">
        <f t="shared" si="6"/>
        <v>0.25211976131001945</v>
      </c>
      <c r="H32" s="2">
        <f t="shared" si="7"/>
        <v>0.31280561294765841</v>
      </c>
      <c r="I32" s="46">
        <v>7.38</v>
      </c>
      <c r="J32" s="50">
        <v>7.3310000000000004</v>
      </c>
      <c r="K32" s="21">
        <f t="shared" si="8"/>
        <v>-6.6395663956638875E-3</v>
      </c>
      <c r="L32" s="22">
        <f t="shared" si="9"/>
        <v>0.82538184032744055</v>
      </c>
      <c r="M32" s="66">
        <v>1</v>
      </c>
      <c r="N32" s="66">
        <v>1</v>
      </c>
      <c r="O32" s="50">
        <v>0</v>
      </c>
      <c r="P32" s="50">
        <v>0</v>
      </c>
      <c r="Q32" s="50" t="s">
        <v>175</v>
      </c>
    </row>
    <row r="33" spans="1:17">
      <c r="A33" s="79">
        <v>46142</v>
      </c>
      <c r="B33" s="46">
        <v>75833</v>
      </c>
      <c r="C33" s="46">
        <v>65168</v>
      </c>
      <c r="D33" s="50">
        <v>70533</v>
      </c>
      <c r="E33" s="50">
        <v>69060</v>
      </c>
      <c r="F33" s="21">
        <f t="shared" si="5"/>
        <v>8.2325681315983307E-2</v>
      </c>
      <c r="G33" s="2">
        <f t="shared" si="6"/>
        <v>0.2447023313905079</v>
      </c>
      <c r="H33" s="2">
        <f t="shared" si="7"/>
        <v>0.30360278925619832</v>
      </c>
      <c r="I33" s="46">
        <v>7.38</v>
      </c>
      <c r="J33" s="50">
        <v>7.0789999999999997</v>
      </c>
      <c r="K33" s="21">
        <f t="shared" si="8"/>
        <v>-4.078590785907861E-2</v>
      </c>
      <c r="L33" s="22">
        <f t="shared" si="9"/>
        <v>0.8296166059291129</v>
      </c>
      <c r="M33" s="66">
        <v>1</v>
      </c>
      <c r="N33" s="66">
        <v>1</v>
      </c>
      <c r="O33" s="50">
        <v>0</v>
      </c>
      <c r="P33" s="50">
        <v>0</v>
      </c>
      <c r="Q33" s="50" t="s">
        <v>175</v>
      </c>
    </row>
    <row r="34" spans="1:17">
      <c r="A34" s="349">
        <v>46113</v>
      </c>
      <c r="B34" s="84">
        <f>SUM(B4:B33)</f>
        <v>2274990</v>
      </c>
      <c r="C34" s="84">
        <f t="shared" ref="C34:E34" si="10">SUM(C4:C33)</f>
        <v>1955040</v>
      </c>
      <c r="D34" s="84">
        <f t="shared" si="10"/>
        <v>2068246.9</v>
      </c>
      <c r="E34" s="84">
        <f t="shared" si="10"/>
        <v>2022840</v>
      </c>
      <c r="F34" s="160">
        <f>(IF(ISBLANK(D34),0,D34-C34))/C34</f>
        <v>5.7905157950732415E-2</v>
      </c>
      <c r="G34" s="167">
        <f>AVERAGE(G4:G33)</f>
        <v>0.23918111064853367</v>
      </c>
      <c r="H34" s="167">
        <f>AVERAGE(H4:H33)</f>
        <v>0.29675259699265383</v>
      </c>
      <c r="I34" s="84">
        <f t="shared" ref="I34:J34" si="11">SUM(I4:I33)</f>
        <v>221.39999999999992</v>
      </c>
      <c r="J34" s="84">
        <f t="shared" si="11"/>
        <v>207.64999999999998</v>
      </c>
      <c r="K34" s="160">
        <f>(IF(ISBLANK(J34),0,J34-I34))/I34</f>
        <v>-6.2104787714543579E-2</v>
      </c>
      <c r="L34" s="167">
        <f t="shared" ref="L34:N34" si="12">AVERAGE(L4:L33)</f>
        <v>0.82980211617101651</v>
      </c>
      <c r="M34" s="167">
        <f t="shared" si="12"/>
        <v>0.99545666666666677</v>
      </c>
      <c r="N34" s="167">
        <f t="shared" si="12"/>
        <v>0.99902999999999997</v>
      </c>
      <c r="O34" s="84">
        <f t="shared" ref="O34:P34" si="13">SUM(O4:O33)</f>
        <v>1283</v>
      </c>
      <c r="P34" s="84">
        <f t="shared" si="13"/>
        <v>8471</v>
      </c>
      <c r="Q34" s="84" t="s">
        <v>175</v>
      </c>
    </row>
    <row r="35" spans="1:17">
      <c r="A35" s="13">
        <v>46143</v>
      </c>
      <c r="B35" s="127"/>
      <c r="C35" s="127"/>
      <c r="D35" s="33"/>
      <c r="E35" s="33"/>
      <c r="F35" s="20" t="e">
        <f>(IF(ISBLANK(E35),0,E35-C35))/C35</f>
        <v>#DIV/0!</v>
      </c>
      <c r="G35" s="2">
        <f t="shared" ref="G35:G57" si="14">D35/($D$2*24)</f>
        <v>0</v>
      </c>
      <c r="H35" s="2">
        <f t="shared" ref="H35:H61" si="15">D35/($H$2*24)</f>
        <v>0</v>
      </c>
      <c r="I35" s="28"/>
      <c r="J35" s="33"/>
      <c r="K35" s="20" t="e">
        <f>(IF(ISBLANK(J35),0,J35-I35))/I35</f>
        <v>#DIV/0!</v>
      </c>
      <c r="L35" s="4" t="e">
        <f t="shared" ref="L35:L66" si="16">D35/($D$2*J35)</f>
        <v>#DIV/0!</v>
      </c>
      <c r="M35" s="103"/>
      <c r="N35" s="103"/>
      <c r="O35" s="33"/>
      <c r="P35" s="6"/>
      <c r="Q35" s="6"/>
    </row>
    <row r="36" spans="1:17">
      <c r="A36" s="13">
        <f>A35+1</f>
        <v>46144</v>
      </c>
      <c r="B36" s="127"/>
      <c r="C36" s="127"/>
      <c r="D36" s="34"/>
      <c r="E36" s="34"/>
      <c r="F36" s="20" t="e">
        <f t="shared" ref="F36:F54" si="17">(IF(ISBLANK(E36),0,E36-C36))/C36</f>
        <v>#DIV/0!</v>
      </c>
      <c r="G36" s="2">
        <f t="shared" si="14"/>
        <v>0</v>
      </c>
      <c r="H36" s="2">
        <f t="shared" si="15"/>
        <v>0</v>
      </c>
      <c r="I36" s="29"/>
      <c r="J36" s="34"/>
      <c r="K36" s="20" t="e">
        <f t="shared" ref="K36:K54" si="18">(IF(ISBLANK(J36),0,J36-I36))/I36</f>
        <v>#DIV/0!</v>
      </c>
      <c r="L36" s="4" t="e">
        <f t="shared" si="16"/>
        <v>#DIV/0!</v>
      </c>
      <c r="M36" s="103"/>
      <c r="N36" s="103"/>
      <c r="O36" s="34"/>
      <c r="P36" s="6"/>
      <c r="Q36" s="6"/>
    </row>
    <row r="37" spans="1:17">
      <c r="A37" s="13">
        <f t="shared" ref="A37:A65" si="19">A36+1</f>
        <v>46145</v>
      </c>
      <c r="B37" s="127"/>
      <c r="C37" s="127"/>
      <c r="D37" s="34"/>
      <c r="E37" s="34"/>
      <c r="F37" s="20" t="e">
        <f t="shared" si="17"/>
        <v>#DIV/0!</v>
      </c>
      <c r="G37" s="2">
        <f t="shared" si="14"/>
        <v>0</v>
      </c>
      <c r="H37" s="2">
        <f t="shared" si="15"/>
        <v>0</v>
      </c>
      <c r="I37" s="29"/>
      <c r="J37" s="34"/>
      <c r="K37" s="20" t="e">
        <f t="shared" si="18"/>
        <v>#DIV/0!</v>
      </c>
      <c r="L37" s="4" t="e">
        <f t="shared" si="16"/>
        <v>#DIV/0!</v>
      </c>
      <c r="M37" s="103"/>
      <c r="N37" s="104"/>
      <c r="O37" s="34"/>
      <c r="P37" s="6"/>
      <c r="Q37" s="6"/>
    </row>
    <row r="38" spans="1:17">
      <c r="A38" s="13">
        <f t="shared" si="19"/>
        <v>46146</v>
      </c>
      <c r="B38" s="127"/>
      <c r="C38" s="127"/>
      <c r="D38" s="34"/>
      <c r="E38" s="34"/>
      <c r="F38" s="20" t="e">
        <f t="shared" si="17"/>
        <v>#DIV/0!</v>
      </c>
      <c r="G38" s="2">
        <f t="shared" si="14"/>
        <v>0</v>
      </c>
      <c r="H38" s="2">
        <f t="shared" si="15"/>
        <v>0</v>
      </c>
      <c r="I38" s="29"/>
      <c r="J38" s="34"/>
      <c r="K38" s="20" t="e">
        <f t="shared" si="18"/>
        <v>#DIV/0!</v>
      </c>
      <c r="L38" s="4" t="e">
        <f t="shared" si="16"/>
        <v>#DIV/0!</v>
      </c>
      <c r="M38" s="103"/>
      <c r="N38" s="103"/>
      <c r="O38" s="34"/>
      <c r="P38" s="6"/>
      <c r="Q38" s="14"/>
    </row>
    <row r="39" spans="1:17">
      <c r="A39" s="13">
        <f t="shared" si="19"/>
        <v>46147</v>
      </c>
      <c r="B39" s="127"/>
      <c r="C39" s="127"/>
      <c r="D39" s="34"/>
      <c r="E39" s="34"/>
      <c r="F39" s="20" t="e">
        <f t="shared" si="17"/>
        <v>#DIV/0!</v>
      </c>
      <c r="G39" s="2">
        <f t="shared" si="14"/>
        <v>0</v>
      </c>
      <c r="H39" s="2">
        <f t="shared" si="15"/>
        <v>0</v>
      </c>
      <c r="I39" s="29"/>
      <c r="J39" s="34"/>
      <c r="K39" s="20" t="e">
        <f t="shared" si="18"/>
        <v>#DIV/0!</v>
      </c>
      <c r="L39" s="4" t="e">
        <f t="shared" si="16"/>
        <v>#DIV/0!</v>
      </c>
      <c r="M39" s="103"/>
      <c r="N39" s="103"/>
      <c r="O39" s="34"/>
      <c r="P39" s="6"/>
      <c r="Q39" s="14"/>
    </row>
    <row r="40" spans="1:17">
      <c r="A40" s="13">
        <f t="shared" si="19"/>
        <v>46148</v>
      </c>
      <c r="B40" s="127"/>
      <c r="C40" s="127"/>
      <c r="D40" s="34"/>
      <c r="E40" s="34"/>
      <c r="F40" s="20" t="e">
        <f t="shared" si="17"/>
        <v>#DIV/0!</v>
      </c>
      <c r="G40" s="2">
        <f t="shared" si="14"/>
        <v>0</v>
      </c>
      <c r="H40" s="2">
        <f t="shared" si="15"/>
        <v>0</v>
      </c>
      <c r="I40" s="29"/>
      <c r="J40" s="34"/>
      <c r="K40" s="20" t="e">
        <f t="shared" si="18"/>
        <v>#DIV/0!</v>
      </c>
      <c r="L40" s="4" t="e">
        <f t="shared" si="16"/>
        <v>#DIV/0!</v>
      </c>
      <c r="M40" s="103"/>
      <c r="N40" s="103"/>
      <c r="O40" s="34"/>
      <c r="P40" s="6"/>
      <c r="Q40" s="14"/>
    </row>
    <row r="41" spans="1:17">
      <c r="A41" s="13">
        <f t="shared" si="19"/>
        <v>46149</v>
      </c>
      <c r="B41" s="127"/>
      <c r="C41" s="127"/>
      <c r="D41" s="34"/>
      <c r="E41" s="34"/>
      <c r="F41" s="20" t="e">
        <f t="shared" si="17"/>
        <v>#DIV/0!</v>
      </c>
      <c r="G41" s="2">
        <f t="shared" si="14"/>
        <v>0</v>
      </c>
      <c r="H41" s="2">
        <f t="shared" si="15"/>
        <v>0</v>
      </c>
      <c r="I41" s="29"/>
      <c r="J41" s="34"/>
      <c r="K41" s="20" t="e">
        <f t="shared" si="18"/>
        <v>#DIV/0!</v>
      </c>
      <c r="L41" s="4" t="e">
        <f t="shared" si="16"/>
        <v>#DIV/0!</v>
      </c>
      <c r="M41" s="103"/>
      <c r="N41" s="103"/>
      <c r="O41" s="34"/>
      <c r="P41" s="6"/>
      <c r="Q41" s="202"/>
    </row>
    <row r="42" spans="1:17">
      <c r="A42" s="13">
        <f t="shared" si="19"/>
        <v>46150</v>
      </c>
      <c r="B42" s="127"/>
      <c r="C42" s="127"/>
      <c r="D42" s="34"/>
      <c r="E42" s="34"/>
      <c r="F42" s="20" t="e">
        <f t="shared" si="17"/>
        <v>#DIV/0!</v>
      </c>
      <c r="G42" s="2">
        <f t="shared" si="14"/>
        <v>0</v>
      </c>
      <c r="H42" s="2">
        <f t="shared" si="15"/>
        <v>0</v>
      </c>
      <c r="I42" s="29"/>
      <c r="J42" s="34"/>
      <c r="K42" s="20" t="e">
        <f t="shared" si="18"/>
        <v>#DIV/0!</v>
      </c>
      <c r="L42" s="4" t="e">
        <f t="shared" si="16"/>
        <v>#DIV/0!</v>
      </c>
      <c r="M42" s="103"/>
      <c r="N42" s="103"/>
      <c r="O42" s="34"/>
      <c r="P42" s="6"/>
      <c r="Q42" s="14"/>
    </row>
    <row r="43" spans="1:17">
      <c r="A43" s="13">
        <f t="shared" si="19"/>
        <v>46151</v>
      </c>
      <c r="B43" s="127"/>
      <c r="C43" s="127"/>
      <c r="D43" s="34"/>
      <c r="E43" s="34"/>
      <c r="F43" s="20" t="e">
        <f t="shared" si="17"/>
        <v>#DIV/0!</v>
      </c>
      <c r="G43" s="2">
        <f t="shared" si="14"/>
        <v>0</v>
      </c>
      <c r="H43" s="2">
        <f t="shared" si="15"/>
        <v>0</v>
      </c>
      <c r="I43" s="29"/>
      <c r="J43" s="34"/>
      <c r="K43" s="20" t="e">
        <f t="shared" si="18"/>
        <v>#DIV/0!</v>
      </c>
      <c r="L43" s="4" t="e">
        <f t="shared" si="16"/>
        <v>#DIV/0!</v>
      </c>
      <c r="M43" s="103"/>
      <c r="N43" s="103"/>
      <c r="O43" s="34"/>
      <c r="P43" s="6"/>
      <c r="Q43" s="6"/>
    </row>
    <row r="44" spans="1:17">
      <c r="A44" s="13">
        <f t="shared" si="19"/>
        <v>46152</v>
      </c>
      <c r="B44" s="127"/>
      <c r="C44" s="127"/>
      <c r="D44" s="34"/>
      <c r="E44" s="34"/>
      <c r="F44" s="20" t="e">
        <f t="shared" si="17"/>
        <v>#DIV/0!</v>
      </c>
      <c r="G44" s="2">
        <f t="shared" si="14"/>
        <v>0</v>
      </c>
      <c r="H44" s="2">
        <f t="shared" si="15"/>
        <v>0</v>
      </c>
      <c r="I44" s="29"/>
      <c r="J44" s="34"/>
      <c r="K44" s="20" t="e">
        <f t="shared" si="18"/>
        <v>#DIV/0!</v>
      </c>
      <c r="L44" s="4" t="e">
        <f t="shared" si="16"/>
        <v>#DIV/0!</v>
      </c>
      <c r="M44" s="103"/>
      <c r="N44" s="103"/>
      <c r="O44" s="34"/>
      <c r="P44" s="6"/>
      <c r="Q44" s="16"/>
    </row>
    <row r="45" spans="1:17">
      <c r="A45" s="13">
        <f t="shared" si="19"/>
        <v>46153</v>
      </c>
      <c r="B45" s="127"/>
      <c r="C45" s="127"/>
      <c r="D45" s="34"/>
      <c r="E45" s="34"/>
      <c r="F45" s="20" t="e">
        <f t="shared" si="17"/>
        <v>#DIV/0!</v>
      </c>
      <c r="G45" s="2">
        <f t="shared" si="14"/>
        <v>0</v>
      </c>
      <c r="H45" s="2">
        <f t="shared" si="15"/>
        <v>0</v>
      </c>
      <c r="I45" s="29"/>
      <c r="J45" s="34"/>
      <c r="K45" s="20" t="e">
        <f t="shared" si="18"/>
        <v>#DIV/0!</v>
      </c>
      <c r="L45" s="4" t="e">
        <f t="shared" si="16"/>
        <v>#DIV/0!</v>
      </c>
      <c r="M45" s="103"/>
      <c r="N45" s="103"/>
      <c r="O45" s="34"/>
      <c r="P45" s="6"/>
      <c r="Q45" s="6"/>
    </row>
    <row r="46" spans="1:17">
      <c r="A46" s="13">
        <f t="shared" si="19"/>
        <v>46154</v>
      </c>
      <c r="B46" s="127"/>
      <c r="C46" s="127"/>
      <c r="D46" s="34"/>
      <c r="E46" s="34"/>
      <c r="F46" s="20" t="e">
        <f t="shared" si="17"/>
        <v>#DIV/0!</v>
      </c>
      <c r="G46" s="2">
        <f t="shared" si="14"/>
        <v>0</v>
      </c>
      <c r="H46" s="2">
        <f t="shared" si="15"/>
        <v>0</v>
      </c>
      <c r="I46" s="29"/>
      <c r="J46" s="34"/>
      <c r="K46" s="20" t="e">
        <f t="shared" si="18"/>
        <v>#DIV/0!</v>
      </c>
      <c r="L46" s="4" t="e">
        <f t="shared" si="16"/>
        <v>#DIV/0!</v>
      </c>
      <c r="M46" s="104"/>
      <c r="N46" s="103"/>
      <c r="O46" s="34"/>
      <c r="P46" s="6"/>
      <c r="Q46" s="6"/>
    </row>
    <row r="47" spans="1:17">
      <c r="A47" s="13">
        <f t="shared" si="19"/>
        <v>46155</v>
      </c>
      <c r="B47" s="127"/>
      <c r="C47" s="127"/>
      <c r="D47" s="34"/>
      <c r="E47" s="34"/>
      <c r="F47" s="20" t="e">
        <f t="shared" si="17"/>
        <v>#DIV/0!</v>
      </c>
      <c r="G47" s="2">
        <f t="shared" si="14"/>
        <v>0</v>
      </c>
      <c r="H47" s="2">
        <f t="shared" si="15"/>
        <v>0</v>
      </c>
      <c r="I47" s="29"/>
      <c r="J47" s="34"/>
      <c r="K47" s="20" t="e">
        <f t="shared" si="18"/>
        <v>#DIV/0!</v>
      </c>
      <c r="L47" s="4" t="e">
        <f t="shared" si="16"/>
        <v>#DIV/0!</v>
      </c>
      <c r="M47" s="104"/>
      <c r="N47" s="103"/>
      <c r="O47" s="34"/>
      <c r="P47" s="6"/>
      <c r="Q47" s="31"/>
    </row>
    <row r="48" spans="1:17">
      <c r="A48" s="13">
        <f t="shared" si="19"/>
        <v>46156</v>
      </c>
      <c r="B48" s="127"/>
      <c r="C48" s="127"/>
      <c r="D48" s="34"/>
      <c r="E48" s="34"/>
      <c r="F48" s="20" t="e">
        <f t="shared" si="17"/>
        <v>#DIV/0!</v>
      </c>
      <c r="G48" s="2">
        <f t="shared" si="14"/>
        <v>0</v>
      </c>
      <c r="H48" s="2">
        <f t="shared" si="15"/>
        <v>0</v>
      </c>
      <c r="I48" s="29"/>
      <c r="J48" s="34"/>
      <c r="K48" s="20" t="e">
        <f t="shared" si="18"/>
        <v>#DIV/0!</v>
      </c>
      <c r="L48" s="4" t="e">
        <f t="shared" si="16"/>
        <v>#DIV/0!</v>
      </c>
      <c r="M48" s="104"/>
      <c r="N48" s="103"/>
      <c r="O48" s="34"/>
      <c r="P48" s="6"/>
      <c r="Q48" s="32"/>
    </row>
    <row r="49" spans="1:17">
      <c r="A49" s="13">
        <f t="shared" si="19"/>
        <v>46157</v>
      </c>
      <c r="B49" s="127"/>
      <c r="C49" s="127"/>
      <c r="D49" s="34"/>
      <c r="E49" s="34"/>
      <c r="F49" s="20" t="e">
        <f t="shared" si="17"/>
        <v>#DIV/0!</v>
      </c>
      <c r="G49" s="2">
        <f t="shared" si="14"/>
        <v>0</v>
      </c>
      <c r="H49" s="2">
        <f t="shared" si="15"/>
        <v>0</v>
      </c>
      <c r="I49" s="29"/>
      <c r="J49" s="34"/>
      <c r="K49" s="20" t="e">
        <f t="shared" si="18"/>
        <v>#DIV/0!</v>
      </c>
      <c r="L49" s="4" t="e">
        <f t="shared" si="16"/>
        <v>#DIV/0!</v>
      </c>
      <c r="M49" s="104"/>
      <c r="N49" s="103"/>
      <c r="O49" s="34"/>
      <c r="P49" s="6"/>
      <c r="Q49" s="32"/>
    </row>
    <row r="50" spans="1:17">
      <c r="A50" s="13">
        <f t="shared" si="19"/>
        <v>46158</v>
      </c>
      <c r="B50" s="127"/>
      <c r="C50" s="127"/>
      <c r="D50" s="34"/>
      <c r="E50" s="34"/>
      <c r="F50" s="20" t="e">
        <f t="shared" si="17"/>
        <v>#DIV/0!</v>
      </c>
      <c r="G50" s="2">
        <f t="shared" si="14"/>
        <v>0</v>
      </c>
      <c r="H50" s="2">
        <f t="shared" si="15"/>
        <v>0</v>
      </c>
      <c r="I50" s="29"/>
      <c r="J50" s="34"/>
      <c r="K50" s="20" t="e">
        <f t="shared" si="18"/>
        <v>#DIV/0!</v>
      </c>
      <c r="L50" s="4" t="e">
        <f t="shared" si="16"/>
        <v>#DIV/0!</v>
      </c>
      <c r="M50" s="104"/>
      <c r="N50" s="103"/>
      <c r="O50" s="34"/>
      <c r="P50" s="6"/>
      <c r="Q50" s="32"/>
    </row>
    <row r="51" spans="1:17">
      <c r="A51" s="13">
        <f t="shared" si="19"/>
        <v>46159</v>
      </c>
      <c r="B51" s="127"/>
      <c r="C51" s="127"/>
      <c r="D51" s="34"/>
      <c r="E51" s="34"/>
      <c r="F51" s="20" t="e">
        <f t="shared" si="17"/>
        <v>#DIV/0!</v>
      </c>
      <c r="G51" s="2">
        <f t="shared" si="14"/>
        <v>0</v>
      </c>
      <c r="H51" s="2">
        <f t="shared" si="15"/>
        <v>0</v>
      </c>
      <c r="I51" s="29"/>
      <c r="J51" s="34"/>
      <c r="K51" s="20" t="e">
        <f t="shared" si="18"/>
        <v>#DIV/0!</v>
      </c>
      <c r="L51" s="4" t="e">
        <f t="shared" si="16"/>
        <v>#DIV/0!</v>
      </c>
      <c r="M51" s="103"/>
      <c r="N51" s="103"/>
      <c r="O51" s="34"/>
      <c r="P51" s="6"/>
      <c r="Q51" s="6"/>
    </row>
    <row r="52" spans="1:17">
      <c r="A52" s="13">
        <f t="shared" si="19"/>
        <v>46160</v>
      </c>
      <c r="B52" s="127"/>
      <c r="C52" s="127"/>
      <c r="D52" s="34"/>
      <c r="E52" s="34"/>
      <c r="F52" s="20" t="e">
        <f t="shared" si="17"/>
        <v>#DIV/0!</v>
      </c>
      <c r="G52" s="2">
        <f t="shared" si="14"/>
        <v>0</v>
      </c>
      <c r="H52" s="2">
        <f t="shared" si="15"/>
        <v>0</v>
      </c>
      <c r="I52" s="29"/>
      <c r="J52" s="34"/>
      <c r="K52" s="20" t="e">
        <f t="shared" si="18"/>
        <v>#DIV/0!</v>
      </c>
      <c r="L52" s="4" t="e">
        <f t="shared" si="16"/>
        <v>#DIV/0!</v>
      </c>
      <c r="M52" s="103"/>
      <c r="N52" s="103"/>
      <c r="O52" s="34"/>
      <c r="P52" s="6"/>
      <c r="Q52" s="14"/>
    </row>
    <row r="53" spans="1:17">
      <c r="A53" s="13">
        <f t="shared" si="19"/>
        <v>46161</v>
      </c>
      <c r="B53" s="127"/>
      <c r="C53" s="127"/>
      <c r="D53" s="34"/>
      <c r="E53" s="34"/>
      <c r="F53" s="20" t="e">
        <f t="shared" si="17"/>
        <v>#DIV/0!</v>
      </c>
      <c r="G53" s="2">
        <f t="shared" si="14"/>
        <v>0</v>
      </c>
      <c r="H53" s="2">
        <f t="shared" si="15"/>
        <v>0</v>
      </c>
      <c r="I53" s="29"/>
      <c r="J53" s="34"/>
      <c r="K53" s="20" t="e">
        <f t="shared" si="18"/>
        <v>#DIV/0!</v>
      </c>
      <c r="L53" s="4" t="e">
        <f t="shared" si="16"/>
        <v>#DIV/0!</v>
      </c>
      <c r="M53" s="103"/>
      <c r="N53" s="103"/>
      <c r="O53" s="34"/>
      <c r="P53" s="6"/>
      <c r="Q53" s="14"/>
    </row>
    <row r="54" spans="1:17">
      <c r="A54" s="13">
        <f t="shared" si="19"/>
        <v>46162</v>
      </c>
      <c r="B54" s="127"/>
      <c r="C54" s="127"/>
      <c r="D54" s="34"/>
      <c r="E54" s="34"/>
      <c r="F54" s="20" t="e">
        <f t="shared" si="17"/>
        <v>#DIV/0!</v>
      </c>
      <c r="G54" s="2">
        <f t="shared" si="14"/>
        <v>0</v>
      </c>
      <c r="H54" s="2">
        <f t="shared" si="15"/>
        <v>0</v>
      </c>
      <c r="I54" s="29"/>
      <c r="J54" s="34"/>
      <c r="K54" s="20" t="e">
        <f t="shared" si="18"/>
        <v>#DIV/0!</v>
      </c>
      <c r="L54" s="4" t="e">
        <f t="shared" si="16"/>
        <v>#DIV/0!</v>
      </c>
      <c r="M54" s="103"/>
      <c r="N54" s="103"/>
      <c r="O54" s="34"/>
      <c r="P54" s="6"/>
      <c r="Q54" s="14"/>
    </row>
    <row r="55" spans="1:17">
      <c r="A55" s="13">
        <f t="shared" si="19"/>
        <v>46163</v>
      </c>
      <c r="B55" s="127"/>
      <c r="C55" s="127"/>
      <c r="D55" s="34"/>
      <c r="E55" s="34"/>
      <c r="F55" s="20" t="e">
        <f>(IF(ISBLANK(E55),0,E55-C55))/C55</f>
        <v>#DIV/0!</v>
      </c>
      <c r="G55" s="2">
        <f t="shared" si="14"/>
        <v>0</v>
      </c>
      <c r="H55" s="2">
        <f t="shared" si="15"/>
        <v>0</v>
      </c>
      <c r="I55" s="29"/>
      <c r="J55" s="34"/>
      <c r="K55" s="20" t="e">
        <f>(IF(ISBLANK(J55),0,J55-I55))/I55</f>
        <v>#DIV/0!</v>
      </c>
      <c r="L55" s="4" t="e">
        <f t="shared" si="16"/>
        <v>#DIV/0!</v>
      </c>
      <c r="M55" s="103"/>
      <c r="N55" s="103"/>
      <c r="O55" s="34"/>
      <c r="P55" s="6"/>
      <c r="Q55" s="6"/>
    </row>
    <row r="56" spans="1:17">
      <c r="A56" s="13">
        <f t="shared" si="19"/>
        <v>46164</v>
      </c>
      <c r="B56" s="127"/>
      <c r="C56" s="127"/>
      <c r="D56" s="34"/>
      <c r="E56" s="34"/>
      <c r="F56" s="20" t="e">
        <f t="shared" ref="F56:F65" si="20">(IF(ISBLANK(E56),0,E56-C56))/C56</f>
        <v>#DIV/0!</v>
      </c>
      <c r="G56" s="2">
        <f t="shared" si="14"/>
        <v>0</v>
      </c>
      <c r="H56" s="2">
        <f t="shared" si="15"/>
        <v>0</v>
      </c>
      <c r="I56" s="29"/>
      <c r="J56" s="34"/>
      <c r="K56" s="20" t="e">
        <f t="shared" ref="K56:K65" si="21">(IF(ISBLANK(J56),0,J56-I56))/I56</f>
        <v>#DIV/0!</v>
      </c>
      <c r="L56" s="4" t="e">
        <f t="shared" si="16"/>
        <v>#DIV/0!</v>
      </c>
      <c r="M56" s="103"/>
      <c r="N56" s="103"/>
      <c r="O56" s="34"/>
      <c r="P56" s="6"/>
      <c r="Q56" s="6"/>
    </row>
    <row r="57" spans="1:17">
      <c r="A57" s="13">
        <f t="shared" si="19"/>
        <v>46165</v>
      </c>
      <c r="B57" s="127"/>
      <c r="C57" s="127"/>
      <c r="D57" s="14"/>
      <c r="E57" s="14"/>
      <c r="F57" s="20" t="e">
        <f t="shared" si="20"/>
        <v>#DIV/0!</v>
      </c>
      <c r="G57" s="2">
        <f t="shared" si="14"/>
        <v>0</v>
      </c>
      <c r="H57" s="2">
        <f t="shared" si="15"/>
        <v>0</v>
      </c>
      <c r="I57" s="29"/>
      <c r="J57" s="14"/>
      <c r="K57" s="20" t="e">
        <f t="shared" si="21"/>
        <v>#DIV/0!</v>
      </c>
      <c r="L57" s="4" t="e">
        <f t="shared" si="16"/>
        <v>#DIV/0!</v>
      </c>
      <c r="M57" s="103"/>
      <c r="N57" s="103"/>
      <c r="O57" s="34"/>
      <c r="P57" s="6"/>
      <c r="Q57" s="6"/>
    </row>
    <row r="58" spans="1:17">
      <c r="A58" s="13">
        <f t="shared" si="19"/>
        <v>46166</v>
      </c>
      <c r="B58" s="127"/>
      <c r="C58" s="127"/>
      <c r="D58" s="14"/>
      <c r="E58" s="14"/>
      <c r="F58" s="20" t="e">
        <f t="shared" si="20"/>
        <v>#DIV/0!</v>
      </c>
      <c r="G58" s="2">
        <f t="shared" ref="G58:G65" si="22">D58/($D$2*24)</f>
        <v>0</v>
      </c>
      <c r="H58" s="2">
        <f t="shared" si="15"/>
        <v>0</v>
      </c>
      <c r="I58" s="29"/>
      <c r="J58" s="14"/>
      <c r="K58" s="20" t="e">
        <f t="shared" si="21"/>
        <v>#DIV/0!</v>
      </c>
      <c r="L58" s="4" t="e">
        <f t="shared" si="16"/>
        <v>#DIV/0!</v>
      </c>
      <c r="M58" s="103"/>
      <c r="N58" s="103"/>
      <c r="O58" s="34"/>
      <c r="P58" s="6"/>
      <c r="Q58" s="288"/>
    </row>
    <row r="59" spans="1:17">
      <c r="A59" s="13">
        <f t="shared" si="19"/>
        <v>46167</v>
      </c>
      <c r="B59" s="1"/>
      <c r="C59" s="1"/>
      <c r="D59" s="14"/>
      <c r="E59" s="14"/>
      <c r="F59" s="20" t="e">
        <f t="shared" si="20"/>
        <v>#DIV/0!</v>
      </c>
      <c r="G59" s="2">
        <f t="shared" si="22"/>
        <v>0</v>
      </c>
      <c r="H59" s="2">
        <f t="shared" si="15"/>
        <v>0</v>
      </c>
      <c r="I59" s="29"/>
      <c r="J59" s="14"/>
      <c r="K59" s="20" t="e">
        <f t="shared" si="21"/>
        <v>#DIV/0!</v>
      </c>
      <c r="L59" s="4" t="e">
        <f t="shared" si="16"/>
        <v>#DIV/0!</v>
      </c>
      <c r="M59" s="103"/>
      <c r="N59" s="103"/>
      <c r="O59" s="34"/>
      <c r="P59" s="155"/>
      <c r="Q59" s="6"/>
    </row>
    <row r="60" spans="1:17">
      <c r="A60" s="13">
        <f t="shared" si="19"/>
        <v>46168</v>
      </c>
      <c r="B60" s="1"/>
      <c r="C60" s="1"/>
      <c r="D60" s="14"/>
      <c r="E60" s="14"/>
      <c r="F60" s="20" t="e">
        <f t="shared" si="20"/>
        <v>#DIV/0!</v>
      </c>
      <c r="G60" s="2">
        <f t="shared" si="22"/>
        <v>0</v>
      </c>
      <c r="H60" s="2">
        <f t="shared" si="15"/>
        <v>0</v>
      </c>
      <c r="I60" s="29"/>
      <c r="J60" s="14"/>
      <c r="K60" s="20" t="e">
        <f t="shared" si="21"/>
        <v>#DIV/0!</v>
      </c>
      <c r="L60" s="4" t="e">
        <f t="shared" si="16"/>
        <v>#DIV/0!</v>
      </c>
      <c r="M60" s="103"/>
      <c r="N60" s="103"/>
      <c r="O60" s="34"/>
      <c r="P60" s="6"/>
      <c r="Q60" s="123"/>
    </row>
    <row r="61" spans="1:17">
      <c r="A61" s="13">
        <f t="shared" si="19"/>
        <v>46169</v>
      </c>
      <c r="B61" s="1"/>
      <c r="C61" s="1"/>
      <c r="D61" s="14"/>
      <c r="E61" s="14"/>
      <c r="F61" s="20" t="e">
        <f t="shared" si="20"/>
        <v>#DIV/0!</v>
      </c>
      <c r="G61" s="2">
        <f t="shared" si="22"/>
        <v>0</v>
      </c>
      <c r="H61" s="2">
        <f t="shared" si="15"/>
        <v>0</v>
      </c>
      <c r="I61" s="29"/>
      <c r="J61" s="14"/>
      <c r="K61" s="20" t="e">
        <f t="shared" si="21"/>
        <v>#DIV/0!</v>
      </c>
      <c r="L61" s="4" t="e">
        <f t="shared" si="16"/>
        <v>#DIV/0!</v>
      </c>
      <c r="M61" s="103"/>
      <c r="N61" s="103"/>
      <c r="O61" s="34"/>
      <c r="P61" s="6"/>
      <c r="Q61" s="6"/>
    </row>
    <row r="62" spans="1:17">
      <c r="A62" s="13">
        <f t="shared" si="19"/>
        <v>46170</v>
      </c>
      <c r="B62" s="1"/>
      <c r="C62" s="1"/>
      <c r="D62" s="14"/>
      <c r="E62" s="14"/>
      <c r="F62" s="20" t="e">
        <f t="shared" si="20"/>
        <v>#DIV/0!</v>
      </c>
      <c r="G62" s="2">
        <f t="shared" si="22"/>
        <v>0</v>
      </c>
      <c r="H62" s="2">
        <f t="shared" ref="H62:H65" si="23">D62/($H$2*24)</f>
        <v>0</v>
      </c>
      <c r="I62" s="29"/>
      <c r="J62" s="14"/>
      <c r="K62" s="20" t="e">
        <f t="shared" si="21"/>
        <v>#DIV/0!</v>
      </c>
      <c r="L62" s="4" t="e">
        <f t="shared" si="16"/>
        <v>#DIV/0!</v>
      </c>
      <c r="M62" s="103"/>
      <c r="N62" s="103"/>
      <c r="O62" s="34"/>
      <c r="P62" s="6"/>
      <c r="Q62" s="6"/>
    </row>
    <row r="63" spans="1:17">
      <c r="A63" s="13">
        <f t="shared" si="19"/>
        <v>46171</v>
      </c>
      <c r="B63" s="1"/>
      <c r="C63" s="1"/>
      <c r="D63" s="14"/>
      <c r="E63" s="14"/>
      <c r="F63" s="20" t="e">
        <f t="shared" si="20"/>
        <v>#DIV/0!</v>
      </c>
      <c r="G63" s="2">
        <f t="shared" si="22"/>
        <v>0</v>
      </c>
      <c r="H63" s="2">
        <f t="shared" si="23"/>
        <v>0</v>
      </c>
      <c r="I63" s="29"/>
      <c r="J63" s="14"/>
      <c r="K63" s="20" t="e">
        <f t="shared" si="21"/>
        <v>#DIV/0!</v>
      </c>
      <c r="L63" s="4" t="e">
        <f t="shared" si="16"/>
        <v>#DIV/0!</v>
      </c>
      <c r="M63" s="103"/>
      <c r="N63" s="103"/>
      <c r="O63" s="34"/>
      <c r="P63" s="6"/>
      <c r="Q63" s="6"/>
    </row>
    <row r="64" spans="1:17">
      <c r="A64" s="13">
        <f t="shared" si="19"/>
        <v>46172</v>
      </c>
      <c r="B64" s="1"/>
      <c r="C64" s="1"/>
      <c r="D64" s="14"/>
      <c r="E64" s="14"/>
      <c r="F64" s="20" t="e">
        <f t="shared" si="20"/>
        <v>#DIV/0!</v>
      </c>
      <c r="G64" s="2">
        <f t="shared" si="22"/>
        <v>0</v>
      </c>
      <c r="H64" s="2">
        <f t="shared" si="23"/>
        <v>0</v>
      </c>
      <c r="I64" s="29"/>
      <c r="J64" s="14"/>
      <c r="K64" s="20" t="e">
        <f t="shared" si="21"/>
        <v>#DIV/0!</v>
      </c>
      <c r="L64" s="4" t="e">
        <f t="shared" si="16"/>
        <v>#DIV/0!</v>
      </c>
      <c r="M64" s="103"/>
      <c r="N64" s="103"/>
      <c r="O64" s="34"/>
      <c r="P64" s="6"/>
      <c r="Q64" s="6"/>
    </row>
    <row r="65" spans="1:17">
      <c r="A65" s="13">
        <f t="shared" si="19"/>
        <v>46173</v>
      </c>
      <c r="B65" s="1"/>
      <c r="C65" s="1"/>
      <c r="D65" s="14"/>
      <c r="E65" s="14"/>
      <c r="F65" s="20" t="e">
        <f t="shared" si="20"/>
        <v>#DIV/0!</v>
      </c>
      <c r="G65" s="2">
        <f t="shared" si="22"/>
        <v>0</v>
      </c>
      <c r="H65" s="2">
        <f t="shared" si="23"/>
        <v>0</v>
      </c>
      <c r="I65" s="29"/>
      <c r="J65" s="14"/>
      <c r="K65" s="20" t="e">
        <f t="shared" si="21"/>
        <v>#DIV/0!</v>
      </c>
      <c r="L65" s="4" t="e">
        <f t="shared" si="16"/>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6"/>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B039-7CD9-4092-A466-DB7DFA18212C}">
  <dimension ref="A1:Q66"/>
  <sheetViews>
    <sheetView topLeftCell="A33" workbookViewId="0">
      <selection activeCell="M39" sqref="M39:P39"/>
    </sheetView>
  </sheetViews>
  <sheetFormatPr defaultRowHeight="14.5"/>
  <cols>
    <col min="1" max="1" width="11.26953125" bestFit="1" customWidth="1"/>
    <col min="17" max="17" width="74.7265625" bestFit="1" customWidth="1"/>
  </cols>
  <sheetData>
    <row r="1" spans="1:17" ht="18.5">
      <c r="A1" s="417" t="s">
        <v>491</v>
      </c>
      <c r="B1" s="418"/>
      <c r="C1" s="418"/>
      <c r="D1" s="418"/>
      <c r="E1" s="418"/>
      <c r="F1" s="418"/>
      <c r="G1" s="418"/>
      <c r="H1" s="418"/>
      <c r="I1" s="418"/>
      <c r="J1" s="418"/>
      <c r="K1" s="418"/>
      <c r="L1" s="418"/>
      <c r="M1" s="418"/>
      <c r="N1" s="418"/>
      <c r="O1" s="418"/>
      <c r="P1" s="418"/>
      <c r="Q1" s="418"/>
    </row>
    <row r="2" spans="1:17" ht="18.5">
      <c r="A2" s="69">
        <v>46138</v>
      </c>
      <c r="B2" s="415" t="s">
        <v>172</v>
      </c>
      <c r="C2" s="416"/>
      <c r="D2" s="70">
        <v>3085</v>
      </c>
      <c r="E2" s="415" t="s">
        <v>173</v>
      </c>
      <c r="F2" s="415"/>
      <c r="G2" s="416"/>
      <c r="H2" s="70">
        <v>2640</v>
      </c>
      <c r="I2" s="415" t="s">
        <v>174</v>
      </c>
      <c r="J2" s="416"/>
      <c r="K2" s="71">
        <v>45569</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20564</v>
      </c>
      <c r="C4" s="39">
        <v>18400</v>
      </c>
      <c r="D4" s="49">
        <v>18708</v>
      </c>
      <c r="E4" s="49">
        <v>18390</v>
      </c>
      <c r="F4" s="21">
        <f>(IF(ISBLANK(D4),0,D4-C4))/C4</f>
        <v>1.6739130434782607E-2</v>
      </c>
      <c r="G4" s="2">
        <f>D4/($D$2*24)</f>
        <v>0.2526742301458671</v>
      </c>
      <c r="H4" s="2">
        <f>D4/($H$2*24)</f>
        <v>0.29526515151515154</v>
      </c>
      <c r="I4" s="39">
        <v>9.0429999999999993</v>
      </c>
      <c r="J4" s="49">
        <v>7.4980000000000002</v>
      </c>
      <c r="K4" s="21">
        <f>(IF(ISBLANK(J4),0,J4-I4))/I4</f>
        <v>-0.17085038151056056</v>
      </c>
      <c r="L4" s="22">
        <f>D4/($D$2*J4)</f>
        <v>0.808773209322594</v>
      </c>
      <c r="M4" s="68">
        <v>1</v>
      </c>
      <c r="N4" s="68">
        <v>0.98180000000000001</v>
      </c>
      <c r="O4" s="49">
        <v>470</v>
      </c>
      <c r="P4" s="49">
        <v>0</v>
      </c>
      <c r="Q4" s="49" t="s">
        <v>492</v>
      </c>
    </row>
    <row r="5" spans="1:17">
      <c r="A5" s="79">
        <v>46114</v>
      </c>
      <c r="B5" s="46">
        <v>20564</v>
      </c>
      <c r="C5" s="46">
        <v>18400</v>
      </c>
      <c r="D5" s="50">
        <v>18326</v>
      </c>
      <c r="E5" s="50">
        <v>17970</v>
      </c>
      <c r="F5" s="21">
        <f t="shared" ref="F5:F33" si="0">(IF(ISBLANK(D5),0,D5-C5))/C5</f>
        <v>-4.0217391304347826E-3</v>
      </c>
      <c r="G5" s="2">
        <f t="shared" ref="G5:G27" si="1">D5/($D$2*24)</f>
        <v>0.2475148568341437</v>
      </c>
      <c r="H5" s="2">
        <f t="shared" ref="H5:H27" si="2">D5/($H$2*24)</f>
        <v>0.28923611111111114</v>
      </c>
      <c r="I5" s="46">
        <v>9.0429999999999993</v>
      </c>
      <c r="J5" s="50">
        <v>6.9109999999999996</v>
      </c>
      <c r="K5" s="21">
        <f t="shared" ref="K5:K27" si="3">(IF(ISBLANK(J5),0,J5-I5))/I5</f>
        <v>-0.23576246820745325</v>
      </c>
      <c r="L5" s="22">
        <f t="shared" ref="L5:L27" si="4">D5/($D$2*J5)</f>
        <v>0.85955094255816089</v>
      </c>
      <c r="M5" s="66">
        <v>1</v>
      </c>
      <c r="N5" s="66">
        <v>1</v>
      </c>
      <c r="O5" s="50">
        <v>0</v>
      </c>
      <c r="P5" s="50">
        <v>0</v>
      </c>
      <c r="Q5" s="50" t="s">
        <v>175</v>
      </c>
    </row>
    <row r="6" spans="1:17">
      <c r="A6" s="79">
        <v>46115</v>
      </c>
      <c r="B6" s="46">
        <v>20564</v>
      </c>
      <c r="C6" s="46">
        <v>18400</v>
      </c>
      <c r="D6" s="50">
        <v>11515</v>
      </c>
      <c r="E6" s="50">
        <v>11220</v>
      </c>
      <c r="F6" s="21">
        <f t="shared" si="0"/>
        <v>-0.37418478260869564</v>
      </c>
      <c r="G6" s="2">
        <f t="shared" si="1"/>
        <v>0.15552404105888709</v>
      </c>
      <c r="H6" s="2">
        <f t="shared" si="2"/>
        <v>0.18173926767676768</v>
      </c>
      <c r="I6" s="46">
        <v>9.0429999999999993</v>
      </c>
      <c r="J6" s="50">
        <v>4.702</v>
      </c>
      <c r="K6" s="21">
        <f t="shared" si="3"/>
        <v>-0.4800398097976335</v>
      </c>
      <c r="L6" s="22">
        <f t="shared" si="4"/>
        <v>0.79382751710193322</v>
      </c>
      <c r="M6" s="66">
        <v>0.99750000000000005</v>
      </c>
      <c r="N6" s="66">
        <v>0.87209999999999999</v>
      </c>
      <c r="O6" s="50">
        <v>698</v>
      </c>
      <c r="P6" s="50">
        <v>46</v>
      </c>
      <c r="Q6" s="50" t="s">
        <v>493</v>
      </c>
    </row>
    <row r="7" spans="1:17">
      <c r="A7" s="79">
        <v>46116</v>
      </c>
      <c r="B7" s="46">
        <v>20564</v>
      </c>
      <c r="C7" s="46">
        <v>18400</v>
      </c>
      <c r="D7" s="50">
        <v>23274</v>
      </c>
      <c r="E7" s="50">
        <v>22860</v>
      </c>
      <c r="F7" s="21">
        <f t="shared" si="0"/>
        <v>0.2648913043478261</v>
      </c>
      <c r="G7" s="2">
        <f t="shared" si="1"/>
        <v>0.31434359805510537</v>
      </c>
      <c r="H7" s="2">
        <f t="shared" si="2"/>
        <v>0.36732954545454544</v>
      </c>
      <c r="I7" s="46">
        <v>9.0429999999999993</v>
      </c>
      <c r="J7" s="50">
        <v>9.0210000000000008</v>
      </c>
      <c r="K7" s="21">
        <f t="shared" si="3"/>
        <v>-2.4328209664932509E-3</v>
      </c>
      <c r="L7" s="22">
        <f t="shared" si="4"/>
        <v>0.83629823227164701</v>
      </c>
      <c r="M7" s="66">
        <v>0.99250000000000005</v>
      </c>
      <c r="N7" s="66">
        <v>1</v>
      </c>
      <c r="O7" s="50">
        <v>0</v>
      </c>
      <c r="P7" s="50">
        <v>162</v>
      </c>
      <c r="Q7" s="50" t="s">
        <v>494</v>
      </c>
    </row>
    <row r="8" spans="1:17">
      <c r="A8" s="79">
        <v>46117</v>
      </c>
      <c r="B8" s="46">
        <v>20564</v>
      </c>
      <c r="C8" s="46">
        <v>18400</v>
      </c>
      <c r="D8" s="50">
        <v>20894</v>
      </c>
      <c r="E8" s="50">
        <v>20460</v>
      </c>
      <c r="F8" s="21">
        <f t="shared" si="0"/>
        <v>0.13554347826086957</v>
      </c>
      <c r="G8" s="2">
        <f t="shared" si="1"/>
        <v>0.28219881145326853</v>
      </c>
      <c r="H8" s="2">
        <f t="shared" si="2"/>
        <v>0.32976641414141417</v>
      </c>
      <c r="I8" s="46">
        <v>9.0429999999999993</v>
      </c>
      <c r="J8" s="50">
        <v>8.3350000000000009</v>
      </c>
      <c r="K8" s="21">
        <f t="shared" si="3"/>
        <v>-7.8292602012606266E-2</v>
      </c>
      <c r="L8" s="22">
        <f t="shared" si="4"/>
        <v>0.81257006297281864</v>
      </c>
      <c r="M8" s="66">
        <v>1</v>
      </c>
      <c r="N8" s="66">
        <v>0.95709999999999995</v>
      </c>
      <c r="O8" s="50">
        <v>1243</v>
      </c>
      <c r="P8" s="50">
        <v>0</v>
      </c>
      <c r="Q8" s="50" t="s">
        <v>492</v>
      </c>
    </row>
    <row r="9" spans="1:17">
      <c r="A9" s="79">
        <v>46118</v>
      </c>
      <c r="B9" s="46">
        <v>20564</v>
      </c>
      <c r="C9" s="46">
        <v>18400</v>
      </c>
      <c r="D9" s="50">
        <v>21762</v>
      </c>
      <c r="E9" s="50">
        <v>21360</v>
      </c>
      <c r="F9" s="21">
        <f t="shared" si="0"/>
        <v>0.18271739130434783</v>
      </c>
      <c r="G9" s="2">
        <f t="shared" si="1"/>
        <v>0.29392220421393839</v>
      </c>
      <c r="H9" s="2">
        <f t="shared" si="2"/>
        <v>0.34346590909090907</v>
      </c>
      <c r="I9" s="46">
        <v>9.0429999999999993</v>
      </c>
      <c r="J9" s="50">
        <v>8.8290000000000006</v>
      </c>
      <c r="K9" s="21">
        <f t="shared" si="3"/>
        <v>-2.3664713037708576E-2</v>
      </c>
      <c r="L9" s="22">
        <f t="shared" si="4"/>
        <v>0.7989730321819597</v>
      </c>
      <c r="M9" s="66">
        <v>1</v>
      </c>
      <c r="N9" s="66">
        <v>0.96440000000000003</v>
      </c>
      <c r="O9" s="50">
        <v>963</v>
      </c>
      <c r="P9" s="50">
        <v>0</v>
      </c>
      <c r="Q9" s="50" t="s">
        <v>492</v>
      </c>
    </row>
    <row r="10" spans="1:17">
      <c r="A10" s="79">
        <v>46119</v>
      </c>
      <c r="B10" s="46">
        <v>20564</v>
      </c>
      <c r="C10" s="46">
        <v>18400</v>
      </c>
      <c r="D10" s="50">
        <v>13731</v>
      </c>
      <c r="E10" s="50">
        <v>13410</v>
      </c>
      <c r="F10" s="21">
        <f t="shared" si="0"/>
        <v>-0.25374999999999998</v>
      </c>
      <c r="G10" s="2">
        <f t="shared" si="1"/>
        <v>0.18545380875202594</v>
      </c>
      <c r="H10" s="2">
        <f t="shared" si="2"/>
        <v>0.21671401515151514</v>
      </c>
      <c r="I10" s="46">
        <v>9.0429999999999993</v>
      </c>
      <c r="J10" s="50">
        <v>5.8319999999999999</v>
      </c>
      <c r="K10" s="21">
        <f t="shared" si="3"/>
        <v>-0.35508127833683506</v>
      </c>
      <c r="L10" s="22">
        <f t="shared" si="4"/>
        <v>0.76318439815648531</v>
      </c>
      <c r="M10" s="66">
        <v>1</v>
      </c>
      <c r="N10" s="66">
        <v>0.92810000000000004</v>
      </c>
      <c r="O10" s="50">
        <v>1318</v>
      </c>
      <c r="P10" s="50">
        <v>0</v>
      </c>
      <c r="Q10" s="50" t="s">
        <v>492</v>
      </c>
    </row>
    <row r="11" spans="1:17">
      <c r="A11" s="79">
        <v>46120</v>
      </c>
      <c r="B11" s="46">
        <v>20564</v>
      </c>
      <c r="C11" s="46">
        <v>18400</v>
      </c>
      <c r="D11" s="50">
        <v>19531</v>
      </c>
      <c r="E11" s="50">
        <v>19170</v>
      </c>
      <c r="F11" s="21">
        <f t="shared" si="0"/>
        <v>6.1467391304347828E-2</v>
      </c>
      <c r="G11" s="2">
        <f t="shared" si="1"/>
        <v>0.26378984332793087</v>
      </c>
      <c r="H11" s="2">
        <f t="shared" si="2"/>
        <v>0.3082544191919192</v>
      </c>
      <c r="I11" s="46">
        <v>9.0429999999999993</v>
      </c>
      <c r="J11" s="50">
        <v>8.4410000000000007</v>
      </c>
      <c r="K11" s="21">
        <f t="shared" si="3"/>
        <v>-6.6570828264956167E-2</v>
      </c>
      <c r="L11" s="22">
        <f t="shared" si="4"/>
        <v>0.75002443310867672</v>
      </c>
      <c r="M11" s="66">
        <v>1</v>
      </c>
      <c r="N11" s="66">
        <v>0.91010000000000002</v>
      </c>
      <c r="O11" s="50">
        <v>2151</v>
      </c>
      <c r="P11" s="50">
        <v>0</v>
      </c>
      <c r="Q11" s="50" t="s">
        <v>492</v>
      </c>
    </row>
    <row r="12" spans="1:17">
      <c r="A12" s="79">
        <v>46121</v>
      </c>
      <c r="B12" s="46">
        <v>20564</v>
      </c>
      <c r="C12" s="46">
        <v>18400</v>
      </c>
      <c r="D12" s="50">
        <v>20734</v>
      </c>
      <c r="E12" s="50">
        <v>20370</v>
      </c>
      <c r="F12" s="21">
        <f t="shared" si="0"/>
        <v>0.12684782608695652</v>
      </c>
      <c r="G12" s="2">
        <f t="shared" si="1"/>
        <v>0.28003781739600214</v>
      </c>
      <c r="H12" s="2">
        <f t="shared" si="2"/>
        <v>0.32724116161616162</v>
      </c>
      <c r="I12" s="46">
        <v>9.0429999999999993</v>
      </c>
      <c r="J12" s="50">
        <v>8.6880000000000006</v>
      </c>
      <c r="K12" s="21">
        <f t="shared" si="3"/>
        <v>-3.9256883777507315E-2</v>
      </c>
      <c r="L12" s="22">
        <f t="shared" si="4"/>
        <v>0.77358513092818271</v>
      </c>
      <c r="M12" s="66">
        <v>1</v>
      </c>
      <c r="N12" s="66">
        <v>0.96079999999999999</v>
      </c>
      <c r="O12" s="50">
        <v>1085</v>
      </c>
      <c r="P12" s="50">
        <v>0</v>
      </c>
      <c r="Q12" s="50" t="s">
        <v>492</v>
      </c>
    </row>
    <row r="13" spans="1:17">
      <c r="A13" s="79">
        <v>46122</v>
      </c>
      <c r="B13" s="46">
        <v>20564</v>
      </c>
      <c r="C13" s="46">
        <v>18400</v>
      </c>
      <c r="D13" s="50">
        <v>21797</v>
      </c>
      <c r="E13" s="50">
        <v>21360</v>
      </c>
      <c r="F13" s="21">
        <f t="shared" si="0"/>
        <v>0.18461956521739131</v>
      </c>
      <c r="G13" s="2">
        <f t="shared" si="1"/>
        <v>0.29439492166396541</v>
      </c>
      <c r="H13" s="2">
        <f t="shared" si="2"/>
        <v>0.34401830808080808</v>
      </c>
      <c r="I13" s="46">
        <v>9.0429999999999993</v>
      </c>
      <c r="J13" s="50">
        <v>9.1509999999999998</v>
      </c>
      <c r="K13" s="21">
        <f t="shared" si="3"/>
        <v>1.1942939290058669E-2</v>
      </c>
      <c r="L13" s="22">
        <f t="shared" si="4"/>
        <v>0.7720990186793979</v>
      </c>
      <c r="M13" s="66">
        <v>0.99670000000000003</v>
      </c>
      <c r="N13" s="66">
        <v>0.96299999999999997</v>
      </c>
      <c r="O13" s="50">
        <v>1056</v>
      </c>
      <c r="P13" s="50">
        <v>45</v>
      </c>
      <c r="Q13" s="50" t="s">
        <v>495</v>
      </c>
    </row>
    <row r="14" spans="1:17">
      <c r="A14" s="79">
        <v>46123</v>
      </c>
      <c r="B14" s="46">
        <v>20564</v>
      </c>
      <c r="C14" s="46">
        <v>18400</v>
      </c>
      <c r="D14" s="50">
        <v>21937</v>
      </c>
      <c r="E14" s="50">
        <v>21510</v>
      </c>
      <c r="F14" s="21">
        <f t="shared" si="0"/>
        <v>0.19222826086956521</v>
      </c>
      <c r="G14" s="2">
        <f t="shared" si="1"/>
        <v>0.29628579146407347</v>
      </c>
      <c r="H14" s="2">
        <f t="shared" si="2"/>
        <v>0.34622790404040404</v>
      </c>
      <c r="I14" s="46">
        <v>9.0429999999999993</v>
      </c>
      <c r="J14" s="50">
        <v>8.7349999999999994</v>
      </c>
      <c r="K14" s="21">
        <f t="shared" si="3"/>
        <v>-3.4059493530907869E-2</v>
      </c>
      <c r="L14" s="22">
        <f t="shared" si="4"/>
        <v>0.81406513968377381</v>
      </c>
      <c r="M14" s="66">
        <v>1</v>
      </c>
      <c r="N14" s="66">
        <v>1</v>
      </c>
      <c r="O14" s="50">
        <v>0</v>
      </c>
      <c r="P14" s="50">
        <v>0</v>
      </c>
      <c r="Q14" s="50" t="s">
        <v>175</v>
      </c>
    </row>
    <row r="15" spans="1:17">
      <c r="A15" s="79">
        <v>46124</v>
      </c>
      <c r="B15" s="46">
        <v>20564</v>
      </c>
      <c r="C15" s="46">
        <v>18400</v>
      </c>
      <c r="D15" s="50">
        <v>22526</v>
      </c>
      <c r="E15" s="50">
        <v>22140</v>
      </c>
      <c r="F15" s="21">
        <f t="shared" si="0"/>
        <v>0.22423913043478261</v>
      </c>
      <c r="G15" s="2">
        <f t="shared" si="1"/>
        <v>0.30424095083738517</v>
      </c>
      <c r="H15" s="2">
        <f t="shared" si="2"/>
        <v>0.35552398989898992</v>
      </c>
      <c r="I15" s="46">
        <v>9.0429999999999993</v>
      </c>
      <c r="J15" s="50">
        <v>9.0449999999999999</v>
      </c>
      <c r="K15" s="21">
        <f t="shared" si="3"/>
        <v>2.2116554240856663E-4</v>
      </c>
      <c r="L15" s="22">
        <f t="shared" si="4"/>
        <v>0.80727283804281313</v>
      </c>
      <c r="M15" s="66">
        <v>1</v>
      </c>
      <c r="N15" s="66">
        <v>1</v>
      </c>
      <c r="O15" s="50">
        <v>0</v>
      </c>
      <c r="P15" s="50">
        <v>0</v>
      </c>
      <c r="Q15" s="50" t="s">
        <v>175</v>
      </c>
    </row>
    <row r="16" spans="1:17">
      <c r="A16" s="79">
        <v>46125</v>
      </c>
      <c r="B16" s="46">
        <v>20564</v>
      </c>
      <c r="C16" s="46">
        <v>18400</v>
      </c>
      <c r="D16" s="50">
        <v>22199</v>
      </c>
      <c r="E16" s="50">
        <v>21780</v>
      </c>
      <c r="F16" s="21">
        <f t="shared" si="0"/>
        <v>0.20646739130434782</v>
      </c>
      <c r="G16" s="2">
        <f t="shared" si="1"/>
        <v>0.29982441923284708</v>
      </c>
      <c r="H16" s="2">
        <f t="shared" si="2"/>
        <v>0.35036300505050505</v>
      </c>
      <c r="I16" s="46">
        <v>9.0429999999999993</v>
      </c>
      <c r="J16" s="50">
        <v>8.8680000000000003</v>
      </c>
      <c r="K16" s="21">
        <f t="shared" si="3"/>
        <v>-1.9351984960743002E-2</v>
      </c>
      <c r="L16" s="22">
        <f t="shared" si="4"/>
        <v>0.81143279900635201</v>
      </c>
      <c r="M16" s="66">
        <v>1</v>
      </c>
      <c r="N16" s="66">
        <v>1</v>
      </c>
      <c r="O16" s="50">
        <v>0</v>
      </c>
      <c r="P16" s="50">
        <v>0</v>
      </c>
      <c r="Q16" s="50" t="s">
        <v>175</v>
      </c>
    </row>
    <row r="17" spans="1:17">
      <c r="A17" s="79">
        <v>46126</v>
      </c>
      <c r="B17" s="46">
        <v>20564</v>
      </c>
      <c r="C17" s="46">
        <v>18400</v>
      </c>
      <c r="D17" s="50">
        <v>21626</v>
      </c>
      <c r="E17" s="50">
        <v>21210</v>
      </c>
      <c r="F17" s="21">
        <f t="shared" si="0"/>
        <v>0.17532608695652174</v>
      </c>
      <c r="G17" s="2">
        <f t="shared" si="1"/>
        <v>0.29208535926526202</v>
      </c>
      <c r="H17" s="2">
        <f t="shared" si="2"/>
        <v>0.34131944444444445</v>
      </c>
      <c r="I17" s="46">
        <v>9.0429999999999993</v>
      </c>
      <c r="J17" s="50">
        <v>9.1300000000000008</v>
      </c>
      <c r="K17" s="21">
        <f t="shared" si="3"/>
        <v>9.6207010947696042E-3</v>
      </c>
      <c r="L17" s="22">
        <f t="shared" si="4"/>
        <v>0.76780379215402927</v>
      </c>
      <c r="M17" s="66">
        <v>1</v>
      </c>
      <c r="N17" s="66">
        <v>0.95589999999999997</v>
      </c>
      <c r="O17" s="50">
        <v>1225</v>
      </c>
      <c r="P17" s="50">
        <v>0</v>
      </c>
      <c r="Q17" s="50" t="s">
        <v>496</v>
      </c>
    </row>
    <row r="18" spans="1:17">
      <c r="A18" s="79">
        <v>46127</v>
      </c>
      <c r="B18" s="46">
        <v>20564</v>
      </c>
      <c r="C18" s="46">
        <v>18400</v>
      </c>
      <c r="D18" s="50">
        <v>20369</v>
      </c>
      <c r="E18" s="50">
        <v>20010</v>
      </c>
      <c r="F18" s="21">
        <f t="shared" si="0"/>
        <v>0.1070108695652174</v>
      </c>
      <c r="G18" s="2">
        <f t="shared" si="1"/>
        <v>0.27510804970286334</v>
      </c>
      <c r="H18" s="2">
        <f t="shared" si="2"/>
        <v>0.3214804292929293</v>
      </c>
      <c r="I18" s="46">
        <v>9.0429999999999993</v>
      </c>
      <c r="J18" s="50">
        <v>8.5879999999999992</v>
      </c>
      <c r="K18" s="21">
        <f t="shared" si="3"/>
        <v>-5.0315160897932115E-2</v>
      </c>
      <c r="L18" s="22">
        <f t="shared" si="4"/>
        <v>0.76881616125625529</v>
      </c>
      <c r="M18" s="66">
        <v>1</v>
      </c>
      <c r="N18" s="66">
        <v>0.95309999999999995</v>
      </c>
      <c r="O18" s="50">
        <v>1224</v>
      </c>
      <c r="P18" s="50">
        <v>0</v>
      </c>
      <c r="Q18" s="50" t="s">
        <v>497</v>
      </c>
    </row>
    <row r="19" spans="1:17">
      <c r="A19" s="79">
        <v>46128</v>
      </c>
      <c r="B19" s="46">
        <v>20564</v>
      </c>
      <c r="C19" s="46">
        <v>18400</v>
      </c>
      <c r="D19" s="50">
        <v>21677</v>
      </c>
      <c r="E19" s="50">
        <v>21210</v>
      </c>
      <c r="F19" s="21">
        <f t="shared" si="0"/>
        <v>0.17809782608695651</v>
      </c>
      <c r="G19" s="2">
        <f t="shared" si="1"/>
        <v>0.29277417612101569</v>
      </c>
      <c r="H19" s="2">
        <f t="shared" si="2"/>
        <v>0.34212436868686869</v>
      </c>
      <c r="I19" s="46">
        <v>9.0429999999999993</v>
      </c>
      <c r="J19" s="50">
        <v>9.0129999999999999</v>
      </c>
      <c r="K19" s="21">
        <f t="shared" si="3"/>
        <v>-3.3174831361273208E-3</v>
      </c>
      <c r="L19" s="22">
        <f t="shared" si="4"/>
        <v>0.77960504015359766</v>
      </c>
      <c r="M19" s="66">
        <v>1</v>
      </c>
      <c r="N19" s="66">
        <v>0.97389999999999999</v>
      </c>
      <c r="O19" s="50">
        <v>670</v>
      </c>
      <c r="P19" s="50">
        <v>0</v>
      </c>
      <c r="Q19" s="50" t="s">
        <v>497</v>
      </c>
    </row>
    <row r="20" spans="1:17">
      <c r="A20" s="79">
        <v>46129</v>
      </c>
      <c r="B20" s="46">
        <v>20564</v>
      </c>
      <c r="C20" s="46">
        <v>18400</v>
      </c>
      <c r="D20" s="50">
        <v>21581</v>
      </c>
      <c r="E20" s="50">
        <v>21180</v>
      </c>
      <c r="F20" s="21">
        <f t="shared" si="0"/>
        <v>0.1728804347826087</v>
      </c>
      <c r="G20" s="2">
        <f t="shared" si="1"/>
        <v>0.29147757968665589</v>
      </c>
      <c r="H20" s="2">
        <f t="shared" si="2"/>
        <v>0.34060921717171716</v>
      </c>
      <c r="I20" s="46">
        <v>9.0429999999999993</v>
      </c>
      <c r="J20" s="50">
        <v>9.4429999999999996</v>
      </c>
      <c r="K20" s="21">
        <f t="shared" si="3"/>
        <v>4.4233108481698591E-2</v>
      </c>
      <c r="L20" s="22">
        <f t="shared" si="4"/>
        <v>0.7408092674446406</v>
      </c>
      <c r="M20" s="66">
        <v>1</v>
      </c>
      <c r="N20" s="66">
        <v>0.9496</v>
      </c>
      <c r="O20" s="50">
        <v>1445</v>
      </c>
      <c r="P20" s="50">
        <v>0</v>
      </c>
      <c r="Q20" s="50" t="s">
        <v>497</v>
      </c>
    </row>
    <row r="21" spans="1:17">
      <c r="A21" s="79">
        <v>46130</v>
      </c>
      <c r="B21" s="46">
        <v>20564</v>
      </c>
      <c r="C21" s="46">
        <v>18400</v>
      </c>
      <c r="D21" s="50">
        <v>22816</v>
      </c>
      <c r="E21" s="50">
        <v>22350</v>
      </c>
      <c r="F21" s="21">
        <f t="shared" si="0"/>
        <v>0.24</v>
      </c>
      <c r="G21" s="2">
        <f t="shared" si="1"/>
        <v>0.30815775256618044</v>
      </c>
      <c r="H21" s="2">
        <f t="shared" si="2"/>
        <v>0.36010101010101009</v>
      </c>
      <c r="I21" s="46">
        <v>9.0429999999999993</v>
      </c>
      <c r="J21" s="50">
        <v>9.7799999999999994</v>
      </c>
      <c r="K21" s="21">
        <f t="shared" si="3"/>
        <v>8.1499502377529592E-2</v>
      </c>
      <c r="L21" s="22">
        <f t="shared" si="4"/>
        <v>0.75621534372068822</v>
      </c>
      <c r="M21" s="66">
        <v>1</v>
      </c>
      <c r="N21" s="66">
        <v>0.96730000000000005</v>
      </c>
      <c r="O21" s="50">
        <v>927</v>
      </c>
      <c r="P21" s="50">
        <v>0</v>
      </c>
      <c r="Q21" s="50" t="s">
        <v>498</v>
      </c>
    </row>
    <row r="22" spans="1:17">
      <c r="A22" s="79">
        <v>46131</v>
      </c>
      <c r="B22" s="46">
        <v>20564</v>
      </c>
      <c r="C22" s="46">
        <v>18400</v>
      </c>
      <c r="D22" s="50">
        <v>21541</v>
      </c>
      <c r="E22" s="50">
        <v>21150</v>
      </c>
      <c r="F22" s="21">
        <f t="shared" si="0"/>
        <v>0.17070652173913042</v>
      </c>
      <c r="G22" s="2">
        <f t="shared" si="1"/>
        <v>0.29093733117233928</v>
      </c>
      <c r="H22" s="2">
        <f t="shared" si="2"/>
        <v>0.33997790404040407</v>
      </c>
      <c r="I22" s="46">
        <v>9.0429999999999993</v>
      </c>
      <c r="J22" s="50">
        <v>9.4260000000000002</v>
      </c>
      <c r="K22" s="21">
        <f t="shared" si="3"/>
        <v>4.2353201371226466E-2</v>
      </c>
      <c r="L22" s="22">
        <f t="shared" si="4"/>
        <v>0.7407697801969173</v>
      </c>
      <c r="M22" s="66">
        <v>1</v>
      </c>
      <c r="N22" s="66">
        <v>0.94379999999999997</v>
      </c>
      <c r="O22" s="50">
        <v>1563</v>
      </c>
      <c r="P22" s="50">
        <v>0</v>
      </c>
      <c r="Q22" s="50" t="s">
        <v>499</v>
      </c>
    </row>
    <row r="23" spans="1:17">
      <c r="A23" s="79">
        <v>46132</v>
      </c>
      <c r="B23" s="46">
        <v>20564</v>
      </c>
      <c r="C23" s="46">
        <v>18400</v>
      </c>
      <c r="D23" s="50">
        <v>22527</v>
      </c>
      <c r="E23" s="50">
        <v>22140</v>
      </c>
      <c r="F23" s="21">
        <f t="shared" si="0"/>
        <v>0.22429347826086957</v>
      </c>
      <c r="G23" s="2">
        <f t="shared" si="1"/>
        <v>0.30425445705024312</v>
      </c>
      <c r="H23" s="2">
        <f t="shared" si="2"/>
        <v>0.35553977272727272</v>
      </c>
      <c r="I23" s="46">
        <v>9.0429999999999993</v>
      </c>
      <c r="J23" s="50">
        <v>9.4529999999999994</v>
      </c>
      <c r="K23" s="21">
        <f t="shared" si="3"/>
        <v>4.5338936193741033E-2</v>
      </c>
      <c r="L23" s="22">
        <f t="shared" si="4"/>
        <v>0.77246450536399403</v>
      </c>
      <c r="M23" s="66">
        <v>1</v>
      </c>
      <c r="N23" s="66">
        <v>0.96579999999999999</v>
      </c>
      <c r="O23" s="50">
        <v>1008</v>
      </c>
      <c r="P23" s="50">
        <v>0</v>
      </c>
      <c r="Q23" s="50" t="s">
        <v>499</v>
      </c>
    </row>
    <row r="24" spans="1:17">
      <c r="A24" s="79">
        <v>46133</v>
      </c>
      <c r="B24" s="46">
        <v>20564</v>
      </c>
      <c r="C24" s="46">
        <v>18400</v>
      </c>
      <c r="D24" s="50">
        <v>23038</v>
      </c>
      <c r="E24" s="50">
        <v>22590</v>
      </c>
      <c r="F24" s="21">
        <f t="shared" si="0"/>
        <v>0.25206521739130433</v>
      </c>
      <c r="G24" s="2">
        <f t="shared" si="1"/>
        <v>0.3111561318206375</v>
      </c>
      <c r="H24" s="2">
        <f t="shared" si="2"/>
        <v>0.363604797979798</v>
      </c>
      <c r="I24" s="46">
        <v>9.0429999999999993</v>
      </c>
      <c r="J24" s="50">
        <v>9.6129999999999995</v>
      </c>
      <c r="K24" s="21">
        <f t="shared" si="3"/>
        <v>6.3032179586420475E-2</v>
      </c>
      <c r="L24" s="22">
        <f t="shared" si="4"/>
        <v>0.77683836093782377</v>
      </c>
      <c r="M24" s="66">
        <v>1</v>
      </c>
      <c r="N24" s="66">
        <v>0.96509999999999996</v>
      </c>
      <c r="O24" s="50">
        <v>1041</v>
      </c>
      <c r="P24" s="50">
        <v>0</v>
      </c>
      <c r="Q24" s="50" t="s">
        <v>500</v>
      </c>
    </row>
    <row r="25" spans="1:17">
      <c r="A25" s="79">
        <v>46134</v>
      </c>
      <c r="B25" s="46">
        <v>20564</v>
      </c>
      <c r="C25" s="46">
        <v>18400</v>
      </c>
      <c r="D25" s="50">
        <v>23079</v>
      </c>
      <c r="E25" s="50">
        <v>22620</v>
      </c>
      <c r="F25" s="21">
        <f t="shared" si="0"/>
        <v>0.25429347826086957</v>
      </c>
      <c r="G25" s="2">
        <f t="shared" si="1"/>
        <v>0.31170988654781201</v>
      </c>
      <c r="H25" s="2">
        <f t="shared" si="2"/>
        <v>0.36425189393939394</v>
      </c>
      <c r="I25" s="46">
        <v>9.0429999999999993</v>
      </c>
      <c r="J25" s="50">
        <v>9.6809999999999992</v>
      </c>
      <c r="K25" s="21">
        <f t="shared" si="3"/>
        <v>7.0551808028309182E-2</v>
      </c>
      <c r="L25" s="22">
        <f t="shared" si="4"/>
        <v>0.77275459943678215</v>
      </c>
      <c r="M25" s="66">
        <v>1</v>
      </c>
      <c r="N25" s="66">
        <v>0.95530000000000004</v>
      </c>
      <c r="O25" s="50">
        <v>1329</v>
      </c>
      <c r="P25" s="50">
        <v>0</v>
      </c>
      <c r="Q25" s="50" t="s">
        <v>500</v>
      </c>
    </row>
    <row r="26" spans="1:17">
      <c r="A26" s="79">
        <v>46135</v>
      </c>
      <c r="B26" s="46">
        <v>20564</v>
      </c>
      <c r="C26" s="46">
        <v>18400</v>
      </c>
      <c r="D26" s="50">
        <v>22584</v>
      </c>
      <c r="E26" s="50">
        <v>22140</v>
      </c>
      <c r="F26" s="21">
        <f t="shared" si="0"/>
        <v>0.22739130434782609</v>
      </c>
      <c r="G26" s="2">
        <f t="shared" si="1"/>
        <v>0.30502431118314427</v>
      </c>
      <c r="H26" s="2">
        <f t="shared" si="2"/>
        <v>0.35643939393939394</v>
      </c>
      <c r="I26" s="46">
        <v>9.0429999999999993</v>
      </c>
      <c r="J26" s="50">
        <v>9.4030000000000005</v>
      </c>
      <c r="K26" s="21">
        <f t="shared" si="3"/>
        <v>3.9809797633528834E-2</v>
      </c>
      <c r="L26" s="22">
        <f t="shared" si="4"/>
        <v>0.77853700610395216</v>
      </c>
      <c r="M26" s="66">
        <v>1</v>
      </c>
      <c r="N26" s="66">
        <v>0.96750000000000003</v>
      </c>
      <c r="O26" s="50">
        <v>921</v>
      </c>
      <c r="P26" s="50">
        <v>0</v>
      </c>
      <c r="Q26" s="50" t="s">
        <v>499</v>
      </c>
    </row>
    <row r="27" spans="1:17">
      <c r="A27" s="79">
        <v>46136</v>
      </c>
      <c r="B27" s="46">
        <v>20564</v>
      </c>
      <c r="C27" s="46">
        <v>18400</v>
      </c>
      <c r="D27" s="50">
        <v>22482</v>
      </c>
      <c r="E27" s="50">
        <v>22050</v>
      </c>
      <c r="F27" s="21">
        <f t="shared" si="0"/>
        <v>0.22184782608695652</v>
      </c>
      <c r="G27" s="2">
        <f t="shared" si="1"/>
        <v>0.30364667747163693</v>
      </c>
      <c r="H27" s="2">
        <f t="shared" si="2"/>
        <v>0.35482954545454548</v>
      </c>
      <c r="I27" s="46">
        <v>9.0429999999999993</v>
      </c>
      <c r="J27" s="50">
        <v>9.3339999999999996</v>
      </c>
      <c r="K27" s="21">
        <f t="shared" si="3"/>
        <v>3.2179586420435738E-2</v>
      </c>
      <c r="L27" s="22">
        <f t="shared" si="4"/>
        <v>0.78074997421462256</v>
      </c>
      <c r="M27" s="66">
        <v>1</v>
      </c>
      <c r="N27" s="66">
        <v>0.98319999999999996</v>
      </c>
      <c r="O27" s="50">
        <v>462</v>
      </c>
      <c r="P27" s="50">
        <v>0</v>
      </c>
      <c r="Q27" s="50" t="s">
        <v>499</v>
      </c>
    </row>
    <row r="28" spans="1:17">
      <c r="A28" s="79">
        <v>46137</v>
      </c>
      <c r="B28" s="46">
        <v>20564</v>
      </c>
      <c r="C28" s="46">
        <v>18400</v>
      </c>
      <c r="D28" s="50">
        <v>22663</v>
      </c>
      <c r="E28" s="50">
        <v>22230</v>
      </c>
      <c r="F28" s="21">
        <f t="shared" si="0"/>
        <v>0.23168478260869566</v>
      </c>
      <c r="G28" s="2">
        <f t="shared" ref="G28" si="5">D28/($D$2*24)</f>
        <v>0.30609130199891948</v>
      </c>
      <c r="H28" s="2">
        <f t="shared" ref="H28" si="6">D28/($H$2*24)</f>
        <v>0.35768623737373739</v>
      </c>
      <c r="I28" s="46">
        <v>9.0429999999999993</v>
      </c>
      <c r="J28" s="50">
        <v>9.2729999999999997</v>
      </c>
      <c r="K28" s="21">
        <f t="shared" ref="K28" si="7">(IF(ISBLANK(J28),0,J28-I28))/I28</f>
        <v>2.5434037376976717E-2</v>
      </c>
      <c r="L28" s="22">
        <f t="shared" ref="L28" si="8">D28/($D$2*J28)</f>
        <v>0.79221301067336014</v>
      </c>
      <c r="M28" s="66">
        <v>1</v>
      </c>
      <c r="N28" s="66">
        <v>1</v>
      </c>
      <c r="O28" s="50">
        <v>0</v>
      </c>
      <c r="P28" s="50">
        <v>0</v>
      </c>
      <c r="Q28" s="50"/>
    </row>
    <row r="29" spans="1:17">
      <c r="A29" s="79">
        <v>46138</v>
      </c>
      <c r="B29" s="46">
        <v>20564</v>
      </c>
      <c r="C29" s="46">
        <v>18400</v>
      </c>
      <c r="D29" s="50">
        <v>21813</v>
      </c>
      <c r="E29" s="50">
        <v>21450</v>
      </c>
      <c r="F29" s="21">
        <f t="shared" si="0"/>
        <v>0.1854891304347826</v>
      </c>
      <c r="G29" s="2">
        <f t="shared" ref="G29" si="9">D29/($D$2*24)</f>
        <v>0.29461102106969206</v>
      </c>
      <c r="H29" s="2">
        <f t="shared" ref="H29" si="10">D29/($H$2*24)</f>
        <v>0.34427083333333336</v>
      </c>
      <c r="I29" s="46">
        <v>9.0429999999999993</v>
      </c>
      <c r="J29" s="50">
        <v>9.6229999999999993</v>
      </c>
      <c r="K29" s="21">
        <f t="shared" ref="K29" si="11">(IF(ISBLANK(J29),0,J29-I29))/I29</f>
        <v>6.4138007298462918E-2</v>
      </c>
      <c r="L29" s="22">
        <f t="shared" ref="L29" si="12">D29/($D$2*J29)</f>
        <v>0.73476717298894423</v>
      </c>
      <c r="M29" s="66">
        <v>1</v>
      </c>
      <c r="N29" s="66">
        <v>0.9536</v>
      </c>
      <c r="O29" s="50">
        <v>1340</v>
      </c>
      <c r="P29" s="50">
        <v>0</v>
      </c>
      <c r="Q29" s="50" t="s">
        <v>499</v>
      </c>
    </row>
    <row r="30" spans="1:17">
      <c r="A30" s="79">
        <v>46139</v>
      </c>
      <c r="B30" s="46">
        <v>20564</v>
      </c>
      <c r="C30" s="46">
        <v>18400</v>
      </c>
      <c r="D30" s="50">
        <v>21989</v>
      </c>
      <c r="E30" s="50">
        <v>21570</v>
      </c>
      <c r="F30" s="21">
        <f t="shared" si="0"/>
        <v>0.19505434782608697</v>
      </c>
      <c r="G30" s="2">
        <f t="shared" ref="G30" si="13">D30/($D$2*24)</f>
        <v>0.29698811453268503</v>
      </c>
      <c r="H30" s="2">
        <f t="shared" ref="H30" si="14">D30/($H$2*24)</f>
        <v>0.34704861111111113</v>
      </c>
      <c r="I30" s="46">
        <v>9.0429999999999993</v>
      </c>
      <c r="J30" s="50">
        <v>9.2810000000000006</v>
      </c>
      <c r="K30" s="21">
        <f t="shared" ref="K30" si="15">(IF(ISBLANK(J30),0,J30-I30))/I30</f>
        <v>2.6318699546610785E-2</v>
      </c>
      <c r="L30" s="22">
        <f t="shared" ref="L30" si="16">D30/($D$2*J30)</f>
        <v>0.76798995246034263</v>
      </c>
      <c r="M30" s="66">
        <v>1</v>
      </c>
      <c r="N30" s="66">
        <v>0.97170000000000001</v>
      </c>
      <c r="O30" s="50">
        <v>826</v>
      </c>
      <c r="P30" s="50">
        <v>0</v>
      </c>
      <c r="Q30" s="50" t="s">
        <v>500</v>
      </c>
    </row>
    <row r="31" spans="1:17">
      <c r="A31" s="79">
        <v>46140</v>
      </c>
      <c r="B31" s="46">
        <v>20564</v>
      </c>
      <c r="C31" s="46">
        <v>18400</v>
      </c>
      <c r="D31" s="50">
        <v>21055</v>
      </c>
      <c r="E31" s="50">
        <v>20640</v>
      </c>
      <c r="F31" s="21">
        <f t="shared" si="0"/>
        <v>0.14429347826086958</v>
      </c>
      <c r="G31" s="2">
        <f t="shared" ref="G31" si="17">D31/($D$2*24)</f>
        <v>0.28437331172339275</v>
      </c>
      <c r="H31" s="2">
        <f t="shared" ref="H31" si="18">D31/($H$2*24)</f>
        <v>0.3323074494949495</v>
      </c>
      <c r="I31" s="46">
        <v>9.0429999999999993</v>
      </c>
      <c r="J31" s="50">
        <v>8.7949999999999999</v>
      </c>
      <c r="K31" s="21">
        <f t="shared" ref="K31" si="19">(IF(ISBLANK(J31),0,J31-I31))/I31</f>
        <v>-2.742452725865303E-2</v>
      </c>
      <c r="L31" s="22">
        <f t="shared" ref="L31" si="20">D31/($D$2*J31)</f>
        <v>0.77600448906895125</v>
      </c>
      <c r="M31" s="66">
        <v>1</v>
      </c>
      <c r="N31" s="66">
        <v>0.96189999999999998</v>
      </c>
      <c r="O31" s="50">
        <v>1079</v>
      </c>
      <c r="P31" s="50">
        <v>0</v>
      </c>
      <c r="Q31" s="50" t="s">
        <v>499</v>
      </c>
    </row>
    <row r="32" spans="1:17">
      <c r="A32" s="79">
        <v>46141</v>
      </c>
      <c r="B32" s="46">
        <v>20564</v>
      </c>
      <c r="C32" s="46">
        <v>18400</v>
      </c>
      <c r="D32" s="50">
        <v>20594</v>
      </c>
      <c r="E32" s="50">
        <v>20220</v>
      </c>
      <c r="F32" s="21">
        <f t="shared" si="0"/>
        <v>0.11923913043478261</v>
      </c>
      <c r="G32" s="2">
        <f t="shared" ref="G32" si="21">D32/($D$2*24)</f>
        <v>0.27814694759589409</v>
      </c>
      <c r="H32" s="2">
        <f t="shared" ref="H32" si="22">D32/($H$2*24)</f>
        <v>0.32503156565656566</v>
      </c>
      <c r="I32" s="46">
        <v>9.0429999999999993</v>
      </c>
      <c r="J32" s="50">
        <v>8.7759999999999998</v>
      </c>
      <c r="K32" s="21">
        <f t="shared" ref="K32" si="23">(IF(ISBLANK(J32),0,J32-I32))/I32</f>
        <v>-2.9525599911533727E-2</v>
      </c>
      <c r="L32" s="22">
        <f t="shared" ref="L32" si="24">D32/($D$2*J32)</f>
        <v>0.76065710372623729</v>
      </c>
      <c r="M32" s="66">
        <v>1</v>
      </c>
      <c r="N32" s="66">
        <v>0.95779999999999998</v>
      </c>
      <c r="O32" s="50">
        <v>1215</v>
      </c>
      <c r="P32" s="50">
        <v>0</v>
      </c>
      <c r="Q32" s="50" t="s">
        <v>499</v>
      </c>
    </row>
    <row r="33" spans="1:17">
      <c r="A33" s="79">
        <v>46142</v>
      </c>
      <c r="B33" s="46">
        <v>20564</v>
      </c>
      <c r="C33" s="46">
        <v>18400</v>
      </c>
      <c r="D33" s="50">
        <v>19296</v>
      </c>
      <c r="E33" s="50">
        <v>18960</v>
      </c>
      <c r="F33" s="21">
        <f t="shared" si="0"/>
        <v>4.8695652173913043E-2</v>
      </c>
      <c r="G33" s="2">
        <f t="shared" ref="G33" si="25">D33/($D$2*24)</f>
        <v>0.26061588330632091</v>
      </c>
      <c r="H33" s="2">
        <f t="shared" ref="H33" si="26">D33/($H$2*24)</f>
        <v>0.30454545454545456</v>
      </c>
      <c r="I33" s="46">
        <v>9.0429999999999993</v>
      </c>
      <c r="J33" s="50">
        <v>8.0009999999999994</v>
      </c>
      <c r="K33" s="21">
        <f t="shared" ref="K33" si="27">(IF(ISBLANK(J33),0,J33-I33))/I33</f>
        <v>-0.11522724759482472</v>
      </c>
      <c r="L33" s="22">
        <f t="shared" ref="L33" si="28">D33/($D$2*J33)</f>
        <v>0.78174993117756553</v>
      </c>
      <c r="M33" s="66">
        <v>1</v>
      </c>
      <c r="N33" s="66">
        <v>0.96260000000000001</v>
      </c>
      <c r="O33" s="50">
        <v>958</v>
      </c>
      <c r="P33" s="50">
        <v>0</v>
      </c>
      <c r="Q33" s="50" t="s">
        <v>499</v>
      </c>
    </row>
    <row r="34" spans="1:17">
      <c r="A34" s="349">
        <v>46113</v>
      </c>
      <c r="B34" s="84">
        <f>SUM(B4:B33)</f>
        <v>616920</v>
      </c>
      <c r="C34" s="84">
        <f>SUM(C4:C33)</f>
        <v>552000</v>
      </c>
      <c r="D34" s="84">
        <f t="shared" ref="D34:E34" si="29">SUM(D4:D33)</f>
        <v>627664</v>
      </c>
      <c r="E34" s="84">
        <f t="shared" si="29"/>
        <v>615720</v>
      </c>
      <c r="F34" s="160">
        <f>(IF(ISBLANK(D34),0,D34-C34))/C34</f>
        <v>0.13707246376811594</v>
      </c>
      <c r="G34" s="167">
        <f>AVERAGE(G4:G33)</f>
        <v>0.28257878624167115</v>
      </c>
      <c r="H34" s="167">
        <f>AVERAGE(H4:H33)</f>
        <v>0.33021043771043768</v>
      </c>
      <c r="I34" s="84">
        <f t="shared" ref="I34:J34" si="30">SUM(I4:I33)</f>
        <v>271.29000000000013</v>
      </c>
      <c r="J34" s="84">
        <f t="shared" si="30"/>
        <v>260.66899999999998</v>
      </c>
      <c r="K34" s="160">
        <f>(IF(ISBLANK(J34),0,J34-I34))/I34</f>
        <v>-3.914998709867723E-2</v>
      </c>
      <c r="L34" s="167">
        <f t="shared" ref="L34:N34" si="31">AVERAGE(L4:L33)</f>
        <v>0.78168007483645019</v>
      </c>
      <c r="M34" s="167">
        <f t="shared" si="31"/>
        <v>0.99955666666666665</v>
      </c>
      <c r="N34" s="167">
        <f t="shared" si="31"/>
        <v>0.96418333333333328</v>
      </c>
      <c r="O34" s="84">
        <f t="shared" ref="O34:P34" si="32">SUM(O4:O33)</f>
        <v>26217</v>
      </c>
      <c r="P34" s="84">
        <f t="shared" si="32"/>
        <v>253</v>
      </c>
      <c r="Q34" s="84" t="s">
        <v>175</v>
      </c>
    </row>
    <row r="35" spans="1:17">
      <c r="A35" s="13">
        <v>46143</v>
      </c>
      <c r="B35" s="127">
        <v>21370</v>
      </c>
      <c r="C35" s="127">
        <v>19122</v>
      </c>
      <c r="D35" s="33">
        <v>20104</v>
      </c>
      <c r="E35" s="33">
        <v>19680</v>
      </c>
      <c r="F35" s="20">
        <f>(IF(ISBLANK(E35),0,E35-C35))/C35</f>
        <v>2.9181048007530592E-2</v>
      </c>
      <c r="G35" s="2">
        <f t="shared" ref="G35:G57" si="33">D35/($D$2*24)</f>
        <v>0.27152890329551593</v>
      </c>
      <c r="H35" s="2">
        <f t="shared" ref="H35:H61" si="34">D35/($H$2*24)</f>
        <v>0.3172979797979798</v>
      </c>
      <c r="I35" s="28">
        <v>8.9390000000000001</v>
      </c>
      <c r="J35" s="371">
        <v>8.25</v>
      </c>
      <c r="K35" s="20">
        <f>(IF(ISBLANK(J35),0,J35-I35))/I35</f>
        <v>-7.7077972927620544E-2</v>
      </c>
      <c r="L35" s="4">
        <f t="shared" ref="L35:L66" si="35">D35/($D$2*J35)</f>
        <v>0.78990226413241005</v>
      </c>
      <c r="M35" s="370">
        <v>1</v>
      </c>
      <c r="N35" s="370">
        <v>0.97729999999999995</v>
      </c>
      <c r="O35" s="33">
        <v>671</v>
      </c>
      <c r="P35" s="6">
        <v>0</v>
      </c>
      <c r="Q35" s="50" t="s">
        <v>499</v>
      </c>
    </row>
    <row r="36" spans="1:17">
      <c r="A36" s="13">
        <f>A35+1</f>
        <v>46144</v>
      </c>
      <c r="B36" s="127">
        <v>21370</v>
      </c>
      <c r="C36" s="127">
        <v>19122</v>
      </c>
      <c r="D36" s="34">
        <v>19126</v>
      </c>
      <c r="E36" s="34">
        <v>18750</v>
      </c>
      <c r="F36" s="20">
        <f t="shared" ref="F36:F54" si="36">(IF(ISBLANK(E36),0,E36-C36))/C36</f>
        <v>-1.9454032005020397E-2</v>
      </c>
      <c r="G36" s="2">
        <f t="shared" si="33"/>
        <v>0.25831982712047541</v>
      </c>
      <c r="H36" s="2">
        <f t="shared" si="34"/>
        <v>0.30186237373737373</v>
      </c>
      <c r="I36" s="28">
        <v>8.9390000000000001</v>
      </c>
      <c r="J36" s="372">
        <v>7.835</v>
      </c>
      <c r="K36" s="20">
        <f t="shared" ref="K36:K54" si="37">(IF(ISBLANK(J36),0,J36-I36))/I36</f>
        <v>-0.12350374762277661</v>
      </c>
      <c r="L36" s="4">
        <f t="shared" si="35"/>
        <v>0.79127962359813786</v>
      </c>
      <c r="M36" s="370">
        <v>1</v>
      </c>
      <c r="N36" s="370">
        <v>0.97870000000000001</v>
      </c>
      <c r="O36" s="34">
        <v>576</v>
      </c>
      <c r="P36" s="6">
        <v>0</v>
      </c>
      <c r="Q36" s="50" t="s">
        <v>499</v>
      </c>
    </row>
    <row r="37" spans="1:17">
      <c r="A37" s="13">
        <f t="shared" ref="A37:A65" si="38">A36+1</f>
        <v>46145</v>
      </c>
      <c r="B37" s="127">
        <v>21370</v>
      </c>
      <c r="C37" s="127">
        <v>19122</v>
      </c>
      <c r="D37" s="34">
        <v>19688</v>
      </c>
      <c r="E37" s="34">
        <v>19320</v>
      </c>
      <c r="F37" s="20">
        <f t="shared" si="36"/>
        <v>1.0354565422026984E-2</v>
      </c>
      <c r="G37" s="2">
        <f t="shared" si="33"/>
        <v>0.26591031874662346</v>
      </c>
      <c r="H37" s="2">
        <f t="shared" si="34"/>
        <v>0.31073232323232325</v>
      </c>
      <c r="I37" s="28">
        <v>8.9390000000000001</v>
      </c>
      <c r="J37" s="372">
        <v>8.4789999999999992</v>
      </c>
      <c r="K37" s="20">
        <f t="shared" si="37"/>
        <v>-5.1459894842823678E-2</v>
      </c>
      <c r="L37" s="4">
        <f t="shared" si="35"/>
        <v>0.75266513149179903</v>
      </c>
      <c r="M37" s="370">
        <v>1</v>
      </c>
      <c r="N37" s="370">
        <v>0.95479999999999998</v>
      </c>
      <c r="O37" s="34">
        <v>1351</v>
      </c>
      <c r="P37" s="6">
        <v>0</v>
      </c>
      <c r="Q37" s="50" t="s">
        <v>499</v>
      </c>
    </row>
    <row r="38" spans="1:17">
      <c r="A38" s="13">
        <f t="shared" si="38"/>
        <v>46146</v>
      </c>
      <c r="B38" s="127">
        <v>21370</v>
      </c>
      <c r="C38" s="127">
        <v>19122</v>
      </c>
      <c r="D38" s="34">
        <v>20346</v>
      </c>
      <c r="E38" s="34">
        <v>19950</v>
      </c>
      <c r="F38" s="20">
        <f t="shared" si="36"/>
        <v>4.3300909946658299E-2</v>
      </c>
      <c r="G38" s="2">
        <f t="shared" si="33"/>
        <v>0.27479740680713127</v>
      </c>
      <c r="H38" s="2">
        <f t="shared" si="34"/>
        <v>0.32111742424242423</v>
      </c>
      <c r="I38" s="28">
        <v>8.9390000000000001</v>
      </c>
      <c r="J38" s="372">
        <v>8.2629999999999999</v>
      </c>
      <c r="K38" s="20">
        <f t="shared" si="37"/>
        <v>-7.5623671551627719E-2</v>
      </c>
      <c r="L38" s="4">
        <f t="shared" si="35"/>
        <v>0.79815294243872092</v>
      </c>
      <c r="M38" s="370">
        <v>1</v>
      </c>
      <c r="N38" s="370">
        <v>1</v>
      </c>
      <c r="O38" s="34">
        <v>0</v>
      </c>
      <c r="P38" s="6">
        <v>0</v>
      </c>
      <c r="Q38" s="14"/>
    </row>
    <row r="39" spans="1:17">
      <c r="A39" s="13">
        <f t="shared" si="38"/>
        <v>46147</v>
      </c>
      <c r="B39" s="127">
        <v>21370</v>
      </c>
      <c r="C39" s="127">
        <v>19122</v>
      </c>
      <c r="D39" s="34">
        <v>19274</v>
      </c>
      <c r="E39" s="34">
        <v>18900</v>
      </c>
      <c r="F39" s="20">
        <f t="shared" si="36"/>
        <v>-1.1609664261060559E-2</v>
      </c>
      <c r="G39" s="2">
        <f t="shared" si="33"/>
        <v>0.26031874662344678</v>
      </c>
      <c r="H39" s="2">
        <f t="shared" si="34"/>
        <v>0.30419823232323234</v>
      </c>
      <c r="I39" s="28">
        <v>8.9390000000000001</v>
      </c>
      <c r="J39" s="34">
        <v>7.7549999999999999</v>
      </c>
      <c r="K39" s="20">
        <f t="shared" si="37"/>
        <v>-0.13245329455196334</v>
      </c>
      <c r="L39" s="4">
        <f t="shared" si="35"/>
        <v>0.80562861624277537</v>
      </c>
      <c r="M39" s="370">
        <v>1</v>
      </c>
      <c r="N39" s="370">
        <v>1</v>
      </c>
      <c r="O39" s="34">
        <v>0</v>
      </c>
      <c r="P39" s="6">
        <v>0</v>
      </c>
      <c r="Q39" s="14"/>
    </row>
    <row r="40" spans="1:17">
      <c r="A40" s="13">
        <f t="shared" si="38"/>
        <v>46148</v>
      </c>
      <c r="B40" s="127"/>
      <c r="C40" s="127"/>
      <c r="D40" s="34"/>
      <c r="E40" s="34"/>
      <c r="F40" s="20" t="e">
        <f t="shared" si="36"/>
        <v>#DIV/0!</v>
      </c>
      <c r="G40" s="2">
        <f t="shared" si="33"/>
        <v>0</v>
      </c>
      <c r="H40" s="2">
        <f t="shared" si="34"/>
        <v>0</v>
      </c>
      <c r="I40" s="29"/>
      <c r="J40" s="34"/>
      <c r="K40" s="20" t="e">
        <f t="shared" si="37"/>
        <v>#DIV/0!</v>
      </c>
      <c r="L40" s="4" t="e">
        <f t="shared" si="35"/>
        <v>#DIV/0!</v>
      </c>
      <c r="M40" s="103"/>
      <c r="N40" s="103"/>
      <c r="O40" s="34"/>
      <c r="P40" s="6"/>
      <c r="Q40" s="14"/>
    </row>
    <row r="41" spans="1:17">
      <c r="A41" s="13">
        <f t="shared" si="38"/>
        <v>46149</v>
      </c>
      <c r="B41" s="127"/>
      <c r="C41" s="127"/>
      <c r="D41" s="34"/>
      <c r="E41" s="34"/>
      <c r="F41" s="20" t="e">
        <f t="shared" si="36"/>
        <v>#DIV/0!</v>
      </c>
      <c r="G41" s="2">
        <f t="shared" si="33"/>
        <v>0</v>
      </c>
      <c r="H41" s="2">
        <f t="shared" si="34"/>
        <v>0</v>
      </c>
      <c r="I41" s="29"/>
      <c r="J41" s="34"/>
      <c r="K41" s="20" t="e">
        <f t="shared" si="37"/>
        <v>#DIV/0!</v>
      </c>
      <c r="L41" s="4" t="e">
        <f t="shared" si="35"/>
        <v>#DIV/0!</v>
      </c>
      <c r="M41" s="103"/>
      <c r="N41" s="103"/>
      <c r="O41" s="34"/>
      <c r="P41" s="6"/>
      <c r="Q41" s="202"/>
    </row>
    <row r="42" spans="1:17">
      <c r="A42" s="13">
        <f t="shared" si="38"/>
        <v>46150</v>
      </c>
      <c r="B42" s="127"/>
      <c r="C42" s="127"/>
      <c r="D42" s="34"/>
      <c r="E42" s="34"/>
      <c r="F42" s="20" t="e">
        <f t="shared" si="36"/>
        <v>#DIV/0!</v>
      </c>
      <c r="G42" s="2">
        <f t="shared" si="33"/>
        <v>0</v>
      </c>
      <c r="H42" s="2">
        <f t="shared" si="34"/>
        <v>0</v>
      </c>
      <c r="I42" s="29"/>
      <c r="J42" s="34"/>
      <c r="K42" s="20" t="e">
        <f t="shared" si="37"/>
        <v>#DIV/0!</v>
      </c>
      <c r="L42" s="4" t="e">
        <f t="shared" si="35"/>
        <v>#DIV/0!</v>
      </c>
      <c r="M42" s="103"/>
      <c r="N42" s="103"/>
      <c r="O42" s="34"/>
      <c r="P42" s="6"/>
      <c r="Q42" s="14"/>
    </row>
    <row r="43" spans="1:17">
      <c r="A43" s="13">
        <f t="shared" si="38"/>
        <v>46151</v>
      </c>
      <c r="B43" s="127"/>
      <c r="C43" s="127"/>
      <c r="D43" s="34"/>
      <c r="E43" s="34"/>
      <c r="F43" s="20" t="e">
        <f t="shared" si="36"/>
        <v>#DIV/0!</v>
      </c>
      <c r="G43" s="2">
        <f t="shared" si="33"/>
        <v>0</v>
      </c>
      <c r="H43" s="2">
        <f t="shared" si="34"/>
        <v>0</v>
      </c>
      <c r="I43" s="29"/>
      <c r="J43" s="34"/>
      <c r="K43" s="20" t="e">
        <f t="shared" si="37"/>
        <v>#DIV/0!</v>
      </c>
      <c r="L43" s="4" t="e">
        <f t="shared" si="35"/>
        <v>#DIV/0!</v>
      </c>
      <c r="M43" s="103"/>
      <c r="N43" s="103"/>
      <c r="O43" s="34"/>
      <c r="P43" s="6"/>
      <c r="Q43" s="6"/>
    </row>
    <row r="44" spans="1:17">
      <c r="A44" s="13">
        <f t="shared" si="38"/>
        <v>46152</v>
      </c>
      <c r="B44" s="127"/>
      <c r="C44" s="127"/>
      <c r="D44" s="34"/>
      <c r="E44" s="34"/>
      <c r="F44" s="20" t="e">
        <f t="shared" si="36"/>
        <v>#DIV/0!</v>
      </c>
      <c r="G44" s="2">
        <f t="shared" si="33"/>
        <v>0</v>
      </c>
      <c r="H44" s="2">
        <f t="shared" si="34"/>
        <v>0</v>
      </c>
      <c r="I44" s="29"/>
      <c r="J44" s="34"/>
      <c r="K44" s="20" t="e">
        <f t="shared" si="37"/>
        <v>#DIV/0!</v>
      </c>
      <c r="L44" s="4" t="e">
        <f t="shared" si="35"/>
        <v>#DIV/0!</v>
      </c>
      <c r="M44" s="103"/>
      <c r="N44" s="103"/>
      <c r="O44" s="34"/>
      <c r="P44" s="6"/>
      <c r="Q44" s="16"/>
    </row>
    <row r="45" spans="1:17">
      <c r="A45" s="13">
        <f t="shared" si="38"/>
        <v>46153</v>
      </c>
      <c r="B45" s="127"/>
      <c r="C45" s="127"/>
      <c r="D45" s="34"/>
      <c r="E45" s="34"/>
      <c r="F45" s="20" t="e">
        <f t="shared" si="36"/>
        <v>#DIV/0!</v>
      </c>
      <c r="G45" s="2">
        <f t="shared" si="33"/>
        <v>0</v>
      </c>
      <c r="H45" s="2">
        <f t="shared" si="34"/>
        <v>0</v>
      </c>
      <c r="I45" s="29"/>
      <c r="J45" s="34"/>
      <c r="K45" s="20" t="e">
        <f t="shared" si="37"/>
        <v>#DIV/0!</v>
      </c>
      <c r="L45" s="4" t="e">
        <f t="shared" si="35"/>
        <v>#DIV/0!</v>
      </c>
      <c r="M45" s="103"/>
      <c r="N45" s="103"/>
      <c r="O45" s="34"/>
      <c r="P45" s="6"/>
      <c r="Q45" s="6"/>
    </row>
    <row r="46" spans="1:17">
      <c r="A46" s="13">
        <f t="shared" si="38"/>
        <v>46154</v>
      </c>
      <c r="B46" s="127"/>
      <c r="C46" s="127"/>
      <c r="D46" s="34"/>
      <c r="E46" s="34"/>
      <c r="F46" s="20" t="e">
        <f t="shared" si="36"/>
        <v>#DIV/0!</v>
      </c>
      <c r="G46" s="2">
        <f t="shared" si="33"/>
        <v>0</v>
      </c>
      <c r="H46" s="2">
        <f t="shared" si="34"/>
        <v>0</v>
      </c>
      <c r="I46" s="29"/>
      <c r="J46" s="34"/>
      <c r="K46" s="20" t="e">
        <f t="shared" si="37"/>
        <v>#DIV/0!</v>
      </c>
      <c r="L46" s="4" t="e">
        <f t="shared" si="35"/>
        <v>#DIV/0!</v>
      </c>
      <c r="M46" s="104"/>
      <c r="N46" s="103"/>
      <c r="O46" s="34"/>
      <c r="P46" s="6"/>
      <c r="Q46" s="6"/>
    </row>
    <row r="47" spans="1:17">
      <c r="A47" s="13">
        <f t="shared" si="38"/>
        <v>46155</v>
      </c>
      <c r="B47" s="127"/>
      <c r="C47" s="127"/>
      <c r="D47" s="34"/>
      <c r="E47" s="34"/>
      <c r="F47" s="20" t="e">
        <f t="shared" si="36"/>
        <v>#DIV/0!</v>
      </c>
      <c r="G47" s="2">
        <f t="shared" si="33"/>
        <v>0</v>
      </c>
      <c r="H47" s="2">
        <f t="shared" si="34"/>
        <v>0</v>
      </c>
      <c r="I47" s="29"/>
      <c r="J47" s="34"/>
      <c r="K47" s="20" t="e">
        <f t="shared" si="37"/>
        <v>#DIV/0!</v>
      </c>
      <c r="L47" s="4" t="e">
        <f t="shared" si="35"/>
        <v>#DIV/0!</v>
      </c>
      <c r="M47" s="104"/>
      <c r="N47" s="103"/>
      <c r="O47" s="34"/>
      <c r="P47" s="6"/>
      <c r="Q47" s="31"/>
    </row>
    <row r="48" spans="1:17">
      <c r="A48" s="13">
        <f t="shared" si="38"/>
        <v>46156</v>
      </c>
      <c r="B48" s="127"/>
      <c r="C48" s="127"/>
      <c r="D48" s="34"/>
      <c r="E48" s="34"/>
      <c r="F48" s="20" t="e">
        <f t="shared" si="36"/>
        <v>#DIV/0!</v>
      </c>
      <c r="G48" s="2">
        <f t="shared" si="33"/>
        <v>0</v>
      </c>
      <c r="H48" s="2">
        <f t="shared" si="34"/>
        <v>0</v>
      </c>
      <c r="I48" s="29"/>
      <c r="J48" s="34"/>
      <c r="K48" s="20" t="e">
        <f t="shared" si="37"/>
        <v>#DIV/0!</v>
      </c>
      <c r="L48" s="4" t="e">
        <f t="shared" si="35"/>
        <v>#DIV/0!</v>
      </c>
      <c r="M48" s="104"/>
      <c r="N48" s="103"/>
      <c r="O48" s="34"/>
      <c r="P48" s="6"/>
      <c r="Q48" s="32"/>
    </row>
    <row r="49" spans="1:17">
      <c r="A49" s="13">
        <f t="shared" si="38"/>
        <v>46157</v>
      </c>
      <c r="B49" s="127"/>
      <c r="C49" s="127"/>
      <c r="D49" s="34"/>
      <c r="E49" s="34"/>
      <c r="F49" s="20" t="e">
        <f t="shared" si="36"/>
        <v>#DIV/0!</v>
      </c>
      <c r="G49" s="2">
        <f t="shared" si="33"/>
        <v>0</v>
      </c>
      <c r="H49" s="2">
        <f t="shared" si="34"/>
        <v>0</v>
      </c>
      <c r="I49" s="29"/>
      <c r="J49" s="34"/>
      <c r="K49" s="20" t="e">
        <f t="shared" si="37"/>
        <v>#DIV/0!</v>
      </c>
      <c r="L49" s="4" t="e">
        <f t="shared" si="35"/>
        <v>#DIV/0!</v>
      </c>
      <c r="M49" s="104"/>
      <c r="N49" s="103"/>
      <c r="O49" s="34"/>
      <c r="P49" s="6"/>
      <c r="Q49" s="32"/>
    </row>
    <row r="50" spans="1:17">
      <c r="A50" s="13">
        <f t="shared" si="38"/>
        <v>46158</v>
      </c>
      <c r="B50" s="127"/>
      <c r="C50" s="127"/>
      <c r="D50" s="34"/>
      <c r="E50" s="34"/>
      <c r="F50" s="20" t="e">
        <f t="shared" si="36"/>
        <v>#DIV/0!</v>
      </c>
      <c r="G50" s="2">
        <f t="shared" si="33"/>
        <v>0</v>
      </c>
      <c r="H50" s="2">
        <f t="shared" si="34"/>
        <v>0</v>
      </c>
      <c r="I50" s="29"/>
      <c r="J50" s="34"/>
      <c r="K50" s="20" t="e">
        <f t="shared" si="37"/>
        <v>#DIV/0!</v>
      </c>
      <c r="L50" s="4" t="e">
        <f t="shared" si="35"/>
        <v>#DIV/0!</v>
      </c>
      <c r="M50" s="104"/>
      <c r="N50" s="103"/>
      <c r="O50" s="34"/>
      <c r="P50" s="6"/>
      <c r="Q50" s="32"/>
    </row>
    <row r="51" spans="1:17">
      <c r="A51" s="13">
        <f t="shared" si="38"/>
        <v>46159</v>
      </c>
      <c r="B51" s="127"/>
      <c r="C51" s="127"/>
      <c r="D51" s="34"/>
      <c r="E51" s="34"/>
      <c r="F51" s="20" t="e">
        <f t="shared" si="36"/>
        <v>#DIV/0!</v>
      </c>
      <c r="G51" s="2">
        <f t="shared" si="33"/>
        <v>0</v>
      </c>
      <c r="H51" s="2">
        <f t="shared" si="34"/>
        <v>0</v>
      </c>
      <c r="I51" s="29"/>
      <c r="J51" s="34"/>
      <c r="K51" s="20" t="e">
        <f t="shared" si="37"/>
        <v>#DIV/0!</v>
      </c>
      <c r="L51" s="4" t="e">
        <f t="shared" si="35"/>
        <v>#DIV/0!</v>
      </c>
      <c r="M51" s="103"/>
      <c r="N51" s="103"/>
      <c r="O51" s="34"/>
      <c r="P51" s="6"/>
      <c r="Q51" s="6"/>
    </row>
    <row r="52" spans="1:17">
      <c r="A52" s="13">
        <f t="shared" si="38"/>
        <v>46160</v>
      </c>
      <c r="B52" s="127"/>
      <c r="C52" s="127"/>
      <c r="D52" s="34"/>
      <c r="E52" s="34"/>
      <c r="F52" s="20" t="e">
        <f t="shared" si="36"/>
        <v>#DIV/0!</v>
      </c>
      <c r="G52" s="2">
        <f t="shared" si="33"/>
        <v>0</v>
      </c>
      <c r="H52" s="2">
        <f t="shared" si="34"/>
        <v>0</v>
      </c>
      <c r="I52" s="29"/>
      <c r="J52" s="34"/>
      <c r="K52" s="20" t="e">
        <f t="shared" si="37"/>
        <v>#DIV/0!</v>
      </c>
      <c r="L52" s="4" t="e">
        <f t="shared" si="35"/>
        <v>#DIV/0!</v>
      </c>
      <c r="M52" s="103"/>
      <c r="N52" s="103"/>
      <c r="O52" s="34"/>
      <c r="P52" s="6"/>
      <c r="Q52" s="14"/>
    </row>
    <row r="53" spans="1:17">
      <c r="A53" s="13">
        <f t="shared" si="38"/>
        <v>46161</v>
      </c>
      <c r="B53" s="127"/>
      <c r="C53" s="127"/>
      <c r="D53" s="34"/>
      <c r="E53" s="34"/>
      <c r="F53" s="20" t="e">
        <f t="shared" si="36"/>
        <v>#DIV/0!</v>
      </c>
      <c r="G53" s="2">
        <f t="shared" si="33"/>
        <v>0</v>
      </c>
      <c r="H53" s="2">
        <f t="shared" si="34"/>
        <v>0</v>
      </c>
      <c r="I53" s="29"/>
      <c r="J53" s="34"/>
      <c r="K53" s="20" t="e">
        <f t="shared" si="37"/>
        <v>#DIV/0!</v>
      </c>
      <c r="L53" s="4" t="e">
        <f t="shared" si="35"/>
        <v>#DIV/0!</v>
      </c>
      <c r="M53" s="103"/>
      <c r="N53" s="103"/>
      <c r="O53" s="34"/>
      <c r="P53" s="6"/>
      <c r="Q53" s="14"/>
    </row>
    <row r="54" spans="1:17">
      <c r="A54" s="13">
        <f t="shared" si="38"/>
        <v>46162</v>
      </c>
      <c r="B54" s="127"/>
      <c r="C54" s="127"/>
      <c r="D54" s="34"/>
      <c r="E54" s="34"/>
      <c r="F54" s="20" t="e">
        <f t="shared" si="36"/>
        <v>#DIV/0!</v>
      </c>
      <c r="G54" s="2">
        <f t="shared" si="33"/>
        <v>0</v>
      </c>
      <c r="H54" s="2">
        <f t="shared" si="34"/>
        <v>0</v>
      </c>
      <c r="I54" s="29"/>
      <c r="J54" s="34"/>
      <c r="K54" s="20" t="e">
        <f t="shared" si="37"/>
        <v>#DIV/0!</v>
      </c>
      <c r="L54" s="4" t="e">
        <f t="shared" si="35"/>
        <v>#DIV/0!</v>
      </c>
      <c r="M54" s="103"/>
      <c r="N54" s="103"/>
      <c r="O54" s="34"/>
      <c r="P54" s="6"/>
      <c r="Q54" s="14"/>
    </row>
    <row r="55" spans="1:17">
      <c r="A55" s="13">
        <f t="shared" si="38"/>
        <v>46163</v>
      </c>
      <c r="B55" s="127"/>
      <c r="C55" s="127"/>
      <c r="D55" s="34"/>
      <c r="E55" s="34"/>
      <c r="F55" s="20" t="e">
        <f>(IF(ISBLANK(E55),0,E55-C55))/C55</f>
        <v>#DIV/0!</v>
      </c>
      <c r="G55" s="2">
        <f t="shared" si="33"/>
        <v>0</v>
      </c>
      <c r="H55" s="2">
        <f t="shared" si="34"/>
        <v>0</v>
      </c>
      <c r="I55" s="29"/>
      <c r="J55" s="34"/>
      <c r="K55" s="20" t="e">
        <f>(IF(ISBLANK(J55),0,J55-I55))/I55</f>
        <v>#DIV/0!</v>
      </c>
      <c r="L55" s="4" t="e">
        <f t="shared" si="35"/>
        <v>#DIV/0!</v>
      </c>
      <c r="M55" s="103"/>
      <c r="N55" s="103"/>
      <c r="O55" s="34"/>
      <c r="P55" s="6"/>
      <c r="Q55" s="6"/>
    </row>
    <row r="56" spans="1:17">
      <c r="A56" s="13">
        <f t="shared" si="38"/>
        <v>46164</v>
      </c>
      <c r="B56" s="127"/>
      <c r="C56" s="127"/>
      <c r="D56" s="34"/>
      <c r="E56" s="34"/>
      <c r="F56" s="20" t="e">
        <f t="shared" ref="F56:F65" si="39">(IF(ISBLANK(E56),0,E56-C56))/C56</f>
        <v>#DIV/0!</v>
      </c>
      <c r="G56" s="2">
        <f t="shared" si="33"/>
        <v>0</v>
      </c>
      <c r="H56" s="2">
        <f t="shared" si="34"/>
        <v>0</v>
      </c>
      <c r="I56" s="29"/>
      <c r="J56" s="34"/>
      <c r="K56" s="20" t="e">
        <f t="shared" ref="K56:K65" si="40">(IF(ISBLANK(J56),0,J56-I56))/I56</f>
        <v>#DIV/0!</v>
      </c>
      <c r="L56" s="4" t="e">
        <f t="shared" si="35"/>
        <v>#DIV/0!</v>
      </c>
      <c r="M56" s="103"/>
      <c r="N56" s="103"/>
      <c r="O56" s="34"/>
      <c r="P56" s="6"/>
      <c r="Q56" s="6"/>
    </row>
    <row r="57" spans="1:17">
      <c r="A57" s="13">
        <f t="shared" si="38"/>
        <v>46165</v>
      </c>
      <c r="B57" s="127"/>
      <c r="C57" s="127"/>
      <c r="D57" s="14"/>
      <c r="E57" s="14"/>
      <c r="F57" s="20" t="e">
        <f t="shared" si="39"/>
        <v>#DIV/0!</v>
      </c>
      <c r="G57" s="2">
        <f t="shared" si="33"/>
        <v>0</v>
      </c>
      <c r="H57" s="2">
        <f t="shared" si="34"/>
        <v>0</v>
      </c>
      <c r="I57" s="29"/>
      <c r="J57" s="14"/>
      <c r="K57" s="20" t="e">
        <f t="shared" si="40"/>
        <v>#DIV/0!</v>
      </c>
      <c r="L57" s="4" t="e">
        <f t="shared" si="35"/>
        <v>#DIV/0!</v>
      </c>
      <c r="M57" s="103"/>
      <c r="N57" s="103"/>
      <c r="O57" s="34"/>
      <c r="P57" s="6"/>
      <c r="Q57" s="6"/>
    </row>
    <row r="58" spans="1:17">
      <c r="A58" s="13">
        <f t="shared" si="38"/>
        <v>46166</v>
      </c>
      <c r="B58" s="127"/>
      <c r="C58" s="127"/>
      <c r="D58" s="14"/>
      <c r="E58" s="14"/>
      <c r="F58" s="20" t="e">
        <f t="shared" si="39"/>
        <v>#DIV/0!</v>
      </c>
      <c r="G58" s="2">
        <f t="shared" ref="G58:G65" si="41">D58/($D$2*24)</f>
        <v>0</v>
      </c>
      <c r="H58" s="2">
        <f t="shared" si="34"/>
        <v>0</v>
      </c>
      <c r="I58" s="29"/>
      <c r="J58" s="14"/>
      <c r="K58" s="20" t="e">
        <f t="shared" si="40"/>
        <v>#DIV/0!</v>
      </c>
      <c r="L58" s="4" t="e">
        <f t="shared" si="35"/>
        <v>#DIV/0!</v>
      </c>
      <c r="M58" s="103"/>
      <c r="N58" s="103"/>
      <c r="O58" s="34"/>
      <c r="P58" s="6"/>
      <c r="Q58" s="288"/>
    </row>
    <row r="59" spans="1:17">
      <c r="A59" s="13">
        <f t="shared" si="38"/>
        <v>46167</v>
      </c>
      <c r="B59" s="1"/>
      <c r="C59" s="1"/>
      <c r="D59" s="14"/>
      <c r="E59" s="14"/>
      <c r="F59" s="20" t="e">
        <f t="shared" si="39"/>
        <v>#DIV/0!</v>
      </c>
      <c r="G59" s="2">
        <f t="shared" si="41"/>
        <v>0</v>
      </c>
      <c r="H59" s="2">
        <f t="shared" si="34"/>
        <v>0</v>
      </c>
      <c r="I59" s="29"/>
      <c r="J59" s="14"/>
      <c r="K59" s="20" t="e">
        <f t="shared" si="40"/>
        <v>#DIV/0!</v>
      </c>
      <c r="L59" s="4" t="e">
        <f t="shared" si="35"/>
        <v>#DIV/0!</v>
      </c>
      <c r="M59" s="103"/>
      <c r="N59" s="103"/>
      <c r="O59" s="34"/>
      <c r="P59" s="155"/>
      <c r="Q59" s="6"/>
    </row>
    <row r="60" spans="1:17">
      <c r="A60" s="13">
        <f t="shared" si="38"/>
        <v>46168</v>
      </c>
      <c r="B60" s="1"/>
      <c r="C60" s="1"/>
      <c r="D60" s="14"/>
      <c r="E60" s="14"/>
      <c r="F60" s="20" t="e">
        <f t="shared" si="39"/>
        <v>#DIV/0!</v>
      </c>
      <c r="G60" s="2">
        <f t="shared" si="41"/>
        <v>0</v>
      </c>
      <c r="H60" s="2">
        <f t="shared" si="34"/>
        <v>0</v>
      </c>
      <c r="I60" s="29"/>
      <c r="J60" s="14"/>
      <c r="K60" s="20" t="e">
        <f t="shared" si="40"/>
        <v>#DIV/0!</v>
      </c>
      <c r="L60" s="4" t="e">
        <f t="shared" si="35"/>
        <v>#DIV/0!</v>
      </c>
      <c r="M60" s="103"/>
      <c r="N60" s="103"/>
      <c r="O60" s="34"/>
      <c r="P60" s="6"/>
      <c r="Q60" s="123"/>
    </row>
    <row r="61" spans="1:17">
      <c r="A61" s="13">
        <f t="shared" si="38"/>
        <v>46169</v>
      </c>
      <c r="B61" s="1"/>
      <c r="C61" s="1"/>
      <c r="D61" s="14"/>
      <c r="E61" s="14"/>
      <c r="F61" s="20" t="e">
        <f t="shared" si="39"/>
        <v>#DIV/0!</v>
      </c>
      <c r="G61" s="2">
        <f t="shared" si="41"/>
        <v>0</v>
      </c>
      <c r="H61" s="2">
        <f t="shared" si="34"/>
        <v>0</v>
      </c>
      <c r="I61" s="29"/>
      <c r="J61" s="14"/>
      <c r="K61" s="20" t="e">
        <f t="shared" si="40"/>
        <v>#DIV/0!</v>
      </c>
      <c r="L61" s="4" t="e">
        <f t="shared" si="35"/>
        <v>#DIV/0!</v>
      </c>
      <c r="M61" s="103"/>
      <c r="N61" s="103"/>
      <c r="O61" s="34"/>
      <c r="P61" s="6"/>
      <c r="Q61" s="6"/>
    </row>
    <row r="62" spans="1:17">
      <c r="A62" s="13">
        <f t="shared" si="38"/>
        <v>46170</v>
      </c>
      <c r="B62" s="1"/>
      <c r="C62" s="1"/>
      <c r="D62" s="14"/>
      <c r="E62" s="14"/>
      <c r="F62" s="20" t="e">
        <f t="shared" si="39"/>
        <v>#DIV/0!</v>
      </c>
      <c r="G62" s="2">
        <f t="shared" si="41"/>
        <v>0</v>
      </c>
      <c r="H62" s="2">
        <f t="shared" ref="H62:H65" si="42">D62/($H$2*24)</f>
        <v>0</v>
      </c>
      <c r="I62" s="29"/>
      <c r="J62" s="14"/>
      <c r="K62" s="20" t="e">
        <f t="shared" si="40"/>
        <v>#DIV/0!</v>
      </c>
      <c r="L62" s="4" t="e">
        <f t="shared" si="35"/>
        <v>#DIV/0!</v>
      </c>
      <c r="M62" s="103"/>
      <c r="N62" s="103"/>
      <c r="O62" s="34"/>
      <c r="P62" s="6"/>
      <c r="Q62" s="6"/>
    </row>
    <row r="63" spans="1:17">
      <c r="A63" s="13">
        <f t="shared" si="38"/>
        <v>46171</v>
      </c>
      <c r="B63" s="1"/>
      <c r="C63" s="1"/>
      <c r="D63" s="14"/>
      <c r="E63" s="14"/>
      <c r="F63" s="20" t="e">
        <f t="shared" si="39"/>
        <v>#DIV/0!</v>
      </c>
      <c r="G63" s="2">
        <f t="shared" si="41"/>
        <v>0</v>
      </c>
      <c r="H63" s="2">
        <f t="shared" si="42"/>
        <v>0</v>
      </c>
      <c r="I63" s="29"/>
      <c r="J63" s="14"/>
      <c r="K63" s="20" t="e">
        <f t="shared" si="40"/>
        <v>#DIV/0!</v>
      </c>
      <c r="L63" s="4" t="e">
        <f t="shared" si="35"/>
        <v>#DIV/0!</v>
      </c>
      <c r="M63" s="103"/>
      <c r="N63" s="103"/>
      <c r="O63" s="34"/>
      <c r="P63" s="6"/>
      <c r="Q63" s="6"/>
    </row>
    <row r="64" spans="1:17">
      <c r="A64" s="13">
        <f t="shared" si="38"/>
        <v>46172</v>
      </c>
      <c r="B64" s="1"/>
      <c r="C64" s="1"/>
      <c r="D64" s="14"/>
      <c r="E64" s="14"/>
      <c r="F64" s="20" t="e">
        <f t="shared" si="39"/>
        <v>#DIV/0!</v>
      </c>
      <c r="G64" s="2">
        <f t="shared" si="41"/>
        <v>0</v>
      </c>
      <c r="H64" s="2">
        <f t="shared" si="42"/>
        <v>0</v>
      </c>
      <c r="I64" s="29"/>
      <c r="J64" s="14"/>
      <c r="K64" s="20" t="e">
        <f t="shared" si="40"/>
        <v>#DIV/0!</v>
      </c>
      <c r="L64" s="4" t="e">
        <f t="shared" si="35"/>
        <v>#DIV/0!</v>
      </c>
      <c r="M64" s="103"/>
      <c r="N64" s="103"/>
      <c r="O64" s="34"/>
      <c r="P64" s="6"/>
      <c r="Q64" s="6"/>
    </row>
    <row r="65" spans="1:17">
      <c r="A65" s="13">
        <f t="shared" si="38"/>
        <v>46173</v>
      </c>
      <c r="B65" s="1"/>
      <c r="C65" s="1"/>
      <c r="D65" s="14"/>
      <c r="E65" s="14"/>
      <c r="F65" s="20" t="e">
        <f t="shared" si="39"/>
        <v>#DIV/0!</v>
      </c>
      <c r="G65" s="2">
        <f t="shared" si="41"/>
        <v>0</v>
      </c>
      <c r="H65" s="2">
        <f t="shared" si="42"/>
        <v>0</v>
      </c>
      <c r="I65" s="29"/>
      <c r="J65" s="14"/>
      <c r="K65" s="20" t="e">
        <f t="shared" si="40"/>
        <v>#DIV/0!</v>
      </c>
      <c r="L65" s="4" t="e">
        <f t="shared" si="35"/>
        <v>#DIV/0!</v>
      </c>
      <c r="M65" s="103"/>
      <c r="N65" s="103"/>
      <c r="O65" s="34"/>
      <c r="P65" s="6"/>
      <c r="Q65" s="6"/>
    </row>
    <row r="66" spans="1:17">
      <c r="A66" s="349">
        <v>46143</v>
      </c>
      <c r="B66" s="89">
        <f>SUM(B35:B65)</f>
        <v>106850</v>
      </c>
      <c r="C66" s="89">
        <f>SUM(C35:C65)</f>
        <v>95610</v>
      </c>
      <c r="D66" s="89">
        <f>SUM(D35:D65)</f>
        <v>98538</v>
      </c>
      <c r="E66" s="89">
        <f>SUM(E35:E65)</f>
        <v>96600</v>
      </c>
      <c r="F66" s="160">
        <f>(IF(ISBLANK(E66),0,E66-C66))/C66</f>
        <v>1.0354565422026984E-2</v>
      </c>
      <c r="G66" s="90">
        <f>AVERAGE(G35:G65)</f>
        <v>4.2931458148167505E-2</v>
      </c>
      <c r="H66" s="90">
        <f>AVERAGE(H35:H65)</f>
        <v>5.0168010752688182E-2</v>
      </c>
      <c r="I66" s="89">
        <f>SUM(I35:I65)</f>
        <v>44.695</v>
      </c>
      <c r="J66" s="89">
        <f>SUM(J35:J65)</f>
        <v>40.582000000000001</v>
      </c>
      <c r="K66" s="160">
        <f>(IF(ISBLANK(J66),0,J66-I66))/I66</f>
        <v>-9.2023716299362332E-2</v>
      </c>
      <c r="L66" s="161">
        <f t="shared" si="35"/>
        <v>0.78707320640275558</v>
      </c>
      <c r="M66" s="90">
        <f>AVERAGE(M35:M65)</f>
        <v>1</v>
      </c>
      <c r="N66" s="90">
        <f>AVERAGE(N35:N65)</f>
        <v>0.98216000000000003</v>
      </c>
      <c r="O66" s="89">
        <f>SUM(O35:O65)</f>
        <v>2598</v>
      </c>
      <c r="P66" s="89">
        <f>SUM(P35:P65)</f>
        <v>0</v>
      </c>
      <c r="Q66" s="19"/>
    </row>
  </sheetData>
  <mergeCells count="4">
    <mergeCell ref="A1:Q1"/>
    <mergeCell ref="B2:C2"/>
    <mergeCell ref="E2:G2"/>
    <mergeCell ref="I2:J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AEB4-E867-4EFF-9C8D-A1643F5E8EFA}">
  <dimension ref="A1:Q66"/>
  <sheetViews>
    <sheetView topLeftCell="A32" workbookViewId="0">
      <selection activeCell="A39" sqref="A39"/>
    </sheetView>
  </sheetViews>
  <sheetFormatPr defaultRowHeight="14.5"/>
  <cols>
    <col min="1" max="1" width="11.26953125" bestFit="1" customWidth="1"/>
    <col min="17" max="17" width="81.26953125" bestFit="1" customWidth="1"/>
  </cols>
  <sheetData>
    <row r="1" spans="1:17" ht="18.5">
      <c r="A1" s="417" t="s">
        <v>501</v>
      </c>
      <c r="B1" s="418"/>
      <c r="C1" s="418"/>
      <c r="D1" s="418"/>
      <c r="E1" s="418"/>
      <c r="F1" s="418"/>
      <c r="G1" s="418"/>
      <c r="H1" s="418"/>
      <c r="I1" s="418"/>
      <c r="J1" s="418"/>
      <c r="K1" s="418"/>
      <c r="L1" s="418"/>
      <c r="M1" s="418"/>
      <c r="N1" s="418"/>
      <c r="O1" s="418"/>
      <c r="P1" s="418"/>
      <c r="Q1" s="418"/>
    </row>
    <row r="2" spans="1:17" ht="18.5">
      <c r="A2" s="69">
        <v>46138</v>
      </c>
      <c r="B2" s="415" t="s">
        <v>172</v>
      </c>
      <c r="C2" s="416"/>
      <c r="D2" s="70">
        <v>4805</v>
      </c>
      <c r="E2" s="415" t="s">
        <v>173</v>
      </c>
      <c r="F2" s="415"/>
      <c r="G2" s="416"/>
      <c r="H2" s="70">
        <v>3960</v>
      </c>
      <c r="I2" s="415" t="s">
        <v>174</v>
      </c>
      <c r="J2" s="416"/>
      <c r="K2" s="71">
        <v>45569</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34953</v>
      </c>
      <c r="C4" s="39">
        <v>30015</v>
      </c>
      <c r="D4" s="49">
        <v>29416</v>
      </c>
      <c r="E4" s="49">
        <v>28800</v>
      </c>
      <c r="F4" s="21">
        <f>(IF(ISBLANK(D4),0,D4-C4))/C4</f>
        <v>-1.9956688322505415E-2</v>
      </c>
      <c r="G4" s="2">
        <f>D4/($D$2*24)</f>
        <v>0.25508151231356224</v>
      </c>
      <c r="H4" s="2">
        <f>D4/($H$2*24)</f>
        <v>0.30951178451178452</v>
      </c>
      <c r="I4" s="39">
        <v>9.0429999999999993</v>
      </c>
      <c r="J4" s="49">
        <v>7.4480000000000004</v>
      </c>
      <c r="K4" s="21">
        <f>(IF(ISBLANK(J4),0,J4-I4))/I4</f>
        <v>-0.17637952007077287</v>
      </c>
      <c r="L4" s="22">
        <f>D4/($D$2*J4)</f>
        <v>0.82195976040890095</v>
      </c>
      <c r="M4" s="68">
        <v>1</v>
      </c>
      <c r="N4" s="68">
        <v>0.98270000000000002</v>
      </c>
      <c r="O4" s="49">
        <v>737</v>
      </c>
      <c r="P4" s="49">
        <v>0</v>
      </c>
      <c r="Q4" s="49" t="s">
        <v>492</v>
      </c>
    </row>
    <row r="5" spans="1:17">
      <c r="A5" s="79">
        <v>46114</v>
      </c>
      <c r="B5" s="46">
        <v>34953</v>
      </c>
      <c r="C5" s="46">
        <v>30015</v>
      </c>
      <c r="D5" s="50">
        <v>28439</v>
      </c>
      <c r="E5" s="50">
        <v>27800</v>
      </c>
      <c r="F5" s="21">
        <f t="shared" ref="F5:F27" si="0">(IF(ISBLANK(D5),0,D5-C5))/C5</f>
        <v>-5.2507079793436613E-2</v>
      </c>
      <c r="G5" s="2">
        <f t="shared" ref="G5:G27" si="1">D5/($D$2*24)</f>
        <v>0.24660943461671869</v>
      </c>
      <c r="H5" s="2">
        <f t="shared" ref="H5:H27" si="2">D5/($H$2*24)</f>
        <v>0.29923190235690234</v>
      </c>
      <c r="I5" s="46">
        <v>9.0429999999999993</v>
      </c>
      <c r="J5" s="50">
        <v>7.05</v>
      </c>
      <c r="K5" s="21">
        <f t="shared" ref="K5:K27" si="3">(IF(ISBLANK(J5),0,J5-I5))/I5</f>
        <v>-0.22039146301006299</v>
      </c>
      <c r="L5" s="22">
        <f t="shared" ref="L5:L27" si="4">D5/($D$2*J5)</f>
        <v>0.83952147954627643</v>
      </c>
      <c r="M5" s="66">
        <v>1</v>
      </c>
      <c r="N5" s="66">
        <v>1</v>
      </c>
      <c r="O5" s="50">
        <v>0</v>
      </c>
      <c r="P5" s="50">
        <v>0</v>
      </c>
      <c r="Q5" s="50" t="s">
        <v>175</v>
      </c>
    </row>
    <row r="6" spans="1:17">
      <c r="A6" s="79">
        <v>46115</v>
      </c>
      <c r="B6" s="46">
        <v>34953</v>
      </c>
      <c r="C6" s="46">
        <v>30015</v>
      </c>
      <c r="D6" s="50">
        <v>19294</v>
      </c>
      <c r="E6" s="50">
        <v>18800</v>
      </c>
      <c r="F6" s="21">
        <f t="shared" si="0"/>
        <v>-0.35718807263035152</v>
      </c>
      <c r="G6" s="2">
        <f t="shared" si="1"/>
        <v>0.1673083593479015</v>
      </c>
      <c r="H6" s="2">
        <f t="shared" si="2"/>
        <v>0.20300925925925925</v>
      </c>
      <c r="I6" s="46">
        <v>9.0429999999999993</v>
      </c>
      <c r="J6" s="50">
        <v>4.625</v>
      </c>
      <c r="K6" s="21">
        <f t="shared" si="3"/>
        <v>-0.48855468318036044</v>
      </c>
      <c r="L6" s="22">
        <f t="shared" si="4"/>
        <v>0.86819472958911048</v>
      </c>
      <c r="M6" s="66">
        <v>1</v>
      </c>
      <c r="N6" s="66">
        <v>0.95289999999999997</v>
      </c>
      <c r="O6" s="50">
        <v>630</v>
      </c>
      <c r="P6" s="50">
        <v>0</v>
      </c>
      <c r="Q6" s="50" t="s">
        <v>502</v>
      </c>
    </row>
    <row r="7" spans="1:17">
      <c r="A7" s="79">
        <v>46116</v>
      </c>
      <c r="B7" s="46">
        <v>34953</v>
      </c>
      <c r="C7" s="46">
        <v>30015</v>
      </c>
      <c r="D7" s="50">
        <v>36235</v>
      </c>
      <c r="E7" s="50">
        <v>35450</v>
      </c>
      <c r="F7" s="21">
        <f t="shared" si="0"/>
        <v>0.2072297184740963</v>
      </c>
      <c r="G7" s="2">
        <f t="shared" si="1"/>
        <v>0.31421262573707942</v>
      </c>
      <c r="H7" s="2">
        <f t="shared" si="2"/>
        <v>0.3812605218855219</v>
      </c>
      <c r="I7" s="46">
        <v>9.0429999999999993</v>
      </c>
      <c r="J7" s="50">
        <v>8.9600000000000009</v>
      </c>
      <c r="K7" s="21">
        <f t="shared" si="3"/>
        <v>-9.1783700099522733E-3</v>
      </c>
      <c r="L7" s="22">
        <f t="shared" si="4"/>
        <v>0.84164096179574843</v>
      </c>
      <c r="M7" s="66">
        <v>1</v>
      </c>
      <c r="N7" s="66">
        <v>1</v>
      </c>
      <c r="O7" s="50">
        <v>0</v>
      </c>
      <c r="P7" s="50">
        <v>0</v>
      </c>
      <c r="Q7" s="50" t="s">
        <v>175</v>
      </c>
    </row>
    <row r="8" spans="1:17">
      <c r="A8" s="79">
        <v>46117</v>
      </c>
      <c r="B8" s="46">
        <v>34953</v>
      </c>
      <c r="C8" s="46">
        <v>30015</v>
      </c>
      <c r="D8" s="50">
        <v>32471</v>
      </c>
      <c r="E8" s="50">
        <v>31750</v>
      </c>
      <c r="F8" s="21">
        <f t="shared" si="0"/>
        <v>8.1825753789771777E-2</v>
      </c>
      <c r="G8" s="2">
        <f t="shared" si="1"/>
        <v>0.28157301422129727</v>
      </c>
      <c r="H8" s="2">
        <f t="shared" si="2"/>
        <v>0.34165614478114475</v>
      </c>
      <c r="I8" s="46">
        <v>9.0429999999999993</v>
      </c>
      <c r="J8" s="50">
        <v>8.4179999999999993</v>
      </c>
      <c r="K8" s="21">
        <f t="shared" si="3"/>
        <v>-6.9114232002653986E-2</v>
      </c>
      <c r="L8" s="22">
        <f t="shared" si="4"/>
        <v>0.80277409614054818</v>
      </c>
      <c r="M8" s="66">
        <v>0.99739999999999995</v>
      </c>
      <c r="N8" s="66">
        <v>0.95760000000000001</v>
      </c>
      <c r="O8" s="50">
        <v>1998</v>
      </c>
      <c r="P8" s="50">
        <v>70</v>
      </c>
      <c r="Q8" s="50" t="s">
        <v>503</v>
      </c>
    </row>
    <row r="9" spans="1:17">
      <c r="A9" s="79">
        <v>46118</v>
      </c>
      <c r="B9" s="46">
        <v>34953</v>
      </c>
      <c r="C9" s="46">
        <v>30015</v>
      </c>
      <c r="D9" s="50">
        <v>33917</v>
      </c>
      <c r="E9" s="50">
        <v>33150</v>
      </c>
      <c r="F9" s="21">
        <f t="shared" si="0"/>
        <v>0.13000166583374978</v>
      </c>
      <c r="G9" s="2">
        <f t="shared" si="1"/>
        <v>0.29411203607353453</v>
      </c>
      <c r="H9" s="2">
        <f t="shared" si="2"/>
        <v>0.35687079124579124</v>
      </c>
      <c r="I9" s="46">
        <v>9.0429999999999993</v>
      </c>
      <c r="J9" s="50">
        <v>8.859</v>
      </c>
      <c r="K9" s="21">
        <f t="shared" si="3"/>
        <v>-2.0347229901581255E-2</v>
      </c>
      <c r="L9" s="22">
        <f t="shared" si="4"/>
        <v>0.79678167578336467</v>
      </c>
      <c r="M9" s="66">
        <v>1</v>
      </c>
      <c r="N9" s="66">
        <v>0.96479999999999999</v>
      </c>
      <c r="O9" s="50">
        <v>1539</v>
      </c>
      <c r="P9" s="50">
        <v>0</v>
      </c>
      <c r="Q9" s="50" t="s">
        <v>492</v>
      </c>
    </row>
    <row r="10" spans="1:17">
      <c r="A10" s="79">
        <v>46119</v>
      </c>
      <c r="B10" s="46">
        <v>34953</v>
      </c>
      <c r="C10" s="46">
        <v>30015</v>
      </c>
      <c r="D10" s="50">
        <v>21457</v>
      </c>
      <c r="E10" s="50">
        <v>20950</v>
      </c>
      <c r="F10" s="21">
        <f t="shared" si="0"/>
        <v>-0.2851241046143595</v>
      </c>
      <c r="G10" s="2">
        <f t="shared" si="1"/>
        <v>0.18606486298994104</v>
      </c>
      <c r="H10" s="2">
        <f t="shared" si="2"/>
        <v>0.22576809764309763</v>
      </c>
      <c r="I10" s="46">
        <v>9.0429999999999993</v>
      </c>
      <c r="J10" s="50">
        <v>5.5860000000000003</v>
      </c>
      <c r="K10" s="21">
        <f t="shared" si="3"/>
        <v>-0.38228464005307966</v>
      </c>
      <c r="L10" s="22">
        <f t="shared" si="4"/>
        <v>0.79941938986011174</v>
      </c>
      <c r="M10" s="66">
        <v>1</v>
      </c>
      <c r="N10" s="66">
        <v>0.92830000000000001</v>
      </c>
      <c r="O10" s="50">
        <v>2156</v>
      </c>
      <c r="P10" s="50">
        <v>0</v>
      </c>
      <c r="Q10" s="50" t="s">
        <v>492</v>
      </c>
    </row>
    <row r="11" spans="1:17">
      <c r="A11" s="79">
        <v>46120</v>
      </c>
      <c r="B11" s="46">
        <v>34953</v>
      </c>
      <c r="C11" s="46">
        <v>30015</v>
      </c>
      <c r="D11" s="50">
        <v>30096</v>
      </c>
      <c r="E11" s="50">
        <v>29450</v>
      </c>
      <c r="F11" s="21">
        <f t="shared" si="0"/>
        <v>2.6986506746626685E-3</v>
      </c>
      <c r="G11" s="2">
        <f t="shared" si="1"/>
        <v>0.26097814776274714</v>
      </c>
      <c r="H11" s="2">
        <f t="shared" si="2"/>
        <v>0.31666666666666665</v>
      </c>
      <c r="I11" s="46">
        <v>9.0429999999999993</v>
      </c>
      <c r="J11" s="50">
        <v>8.5860000000000003</v>
      </c>
      <c r="K11" s="21">
        <f t="shared" si="3"/>
        <v>-5.0536326440340486E-2</v>
      </c>
      <c r="L11" s="22">
        <f t="shared" si="4"/>
        <v>0.72949866600348601</v>
      </c>
      <c r="M11" s="66">
        <v>1</v>
      </c>
      <c r="N11" s="66">
        <v>0.9103</v>
      </c>
      <c r="O11" s="50">
        <v>3757</v>
      </c>
      <c r="P11" s="50">
        <v>0</v>
      </c>
      <c r="Q11" s="50" t="s">
        <v>492</v>
      </c>
    </row>
    <row r="12" spans="1:17">
      <c r="A12" s="79">
        <v>46121</v>
      </c>
      <c r="B12" s="46">
        <v>34953</v>
      </c>
      <c r="C12" s="46">
        <v>30015</v>
      </c>
      <c r="D12" s="50">
        <v>32457</v>
      </c>
      <c r="E12" s="50">
        <v>31700</v>
      </c>
      <c r="F12" s="21">
        <f t="shared" si="0"/>
        <v>8.135932033983008E-2</v>
      </c>
      <c r="G12" s="2">
        <f t="shared" si="1"/>
        <v>0.28145161290322579</v>
      </c>
      <c r="H12" s="2">
        <f t="shared" si="2"/>
        <v>0.34150883838383839</v>
      </c>
      <c r="I12" s="46">
        <v>9.0429999999999993</v>
      </c>
      <c r="J12" s="50">
        <v>8.65</v>
      </c>
      <c r="K12" s="21">
        <f t="shared" si="3"/>
        <v>-4.3459029083268708E-2</v>
      </c>
      <c r="L12" s="22">
        <f t="shared" si="4"/>
        <v>0.7809062092112623</v>
      </c>
      <c r="M12" s="66">
        <v>1</v>
      </c>
      <c r="N12" s="66">
        <v>0.96220000000000006</v>
      </c>
      <c r="O12" s="50">
        <v>1702</v>
      </c>
      <c r="P12" s="50">
        <v>0</v>
      </c>
      <c r="Q12" s="50" t="s">
        <v>492</v>
      </c>
    </row>
    <row r="13" spans="1:17">
      <c r="A13" s="79">
        <v>46122</v>
      </c>
      <c r="B13" s="46">
        <v>34953</v>
      </c>
      <c r="C13" s="46">
        <v>30015</v>
      </c>
      <c r="D13" s="50">
        <v>34163</v>
      </c>
      <c r="E13" s="50">
        <v>33450</v>
      </c>
      <c r="F13" s="21">
        <f t="shared" si="0"/>
        <v>0.1381975678827253</v>
      </c>
      <c r="G13" s="2">
        <f t="shared" si="1"/>
        <v>0.29624523066250436</v>
      </c>
      <c r="H13" s="2">
        <f t="shared" si="2"/>
        <v>0.35945917508417508</v>
      </c>
      <c r="I13" s="46">
        <v>9.0429999999999993</v>
      </c>
      <c r="J13" s="50">
        <v>9.0990000000000002</v>
      </c>
      <c r="K13" s="21">
        <f t="shared" si="3"/>
        <v>6.1926351874379013E-3</v>
      </c>
      <c r="L13" s="22">
        <f t="shared" si="4"/>
        <v>0.78139197009562633</v>
      </c>
      <c r="M13" s="66">
        <v>1</v>
      </c>
      <c r="N13" s="66">
        <v>0.96330000000000005</v>
      </c>
      <c r="O13" s="50">
        <v>1701</v>
      </c>
      <c r="P13" s="50">
        <v>0</v>
      </c>
      <c r="Q13" s="50" t="s">
        <v>504</v>
      </c>
    </row>
    <row r="14" spans="1:17">
      <c r="A14" s="79">
        <v>46123</v>
      </c>
      <c r="B14" s="46">
        <v>34953</v>
      </c>
      <c r="C14" s="46">
        <v>30015</v>
      </c>
      <c r="D14" s="50">
        <v>34250</v>
      </c>
      <c r="E14" s="50">
        <v>33400</v>
      </c>
      <c r="F14" s="21">
        <f t="shared" si="0"/>
        <v>0.14109611860736299</v>
      </c>
      <c r="G14" s="2">
        <f t="shared" si="1"/>
        <v>0.29699965313909121</v>
      </c>
      <c r="H14" s="2">
        <f t="shared" si="2"/>
        <v>0.3603745791245791</v>
      </c>
      <c r="I14" s="46">
        <v>9.0429999999999993</v>
      </c>
      <c r="J14" s="50">
        <v>8.8520000000000003</v>
      </c>
      <c r="K14" s="21">
        <f t="shared" si="3"/>
        <v>-2.1121309300010944E-2</v>
      </c>
      <c r="L14" s="22">
        <f t="shared" si="4"/>
        <v>0.80524081284886906</v>
      </c>
      <c r="M14" s="66">
        <v>1</v>
      </c>
      <c r="N14" s="66">
        <v>1</v>
      </c>
      <c r="O14" s="50">
        <v>0</v>
      </c>
      <c r="P14" s="50">
        <v>0</v>
      </c>
      <c r="Q14" s="50" t="s">
        <v>175</v>
      </c>
    </row>
    <row r="15" spans="1:17">
      <c r="A15" s="79">
        <v>46124</v>
      </c>
      <c r="B15" s="46">
        <v>34953</v>
      </c>
      <c r="C15" s="46">
        <v>30015</v>
      </c>
      <c r="D15" s="50">
        <v>35393</v>
      </c>
      <c r="E15" s="50">
        <v>34400</v>
      </c>
      <c r="F15" s="21">
        <f t="shared" si="0"/>
        <v>0.17917707812760286</v>
      </c>
      <c r="G15" s="2">
        <f t="shared" si="1"/>
        <v>0.30691120360735347</v>
      </c>
      <c r="H15" s="2">
        <f t="shared" si="2"/>
        <v>0.3724010942760943</v>
      </c>
      <c r="I15" s="46">
        <v>9.0429999999999993</v>
      </c>
      <c r="J15" s="50">
        <v>9.1349999999999998</v>
      </c>
      <c r="K15" s="21">
        <f t="shared" si="3"/>
        <v>1.0173614950790727E-2</v>
      </c>
      <c r="L15" s="22">
        <f t="shared" si="4"/>
        <v>0.80633485348401568</v>
      </c>
      <c r="M15" s="66">
        <v>1</v>
      </c>
      <c r="N15" s="66">
        <v>1</v>
      </c>
      <c r="O15" s="50">
        <v>0</v>
      </c>
      <c r="P15" s="50">
        <v>0</v>
      </c>
      <c r="Q15" s="50" t="s">
        <v>175</v>
      </c>
    </row>
    <row r="16" spans="1:17">
      <c r="A16" s="79">
        <v>46125</v>
      </c>
      <c r="B16" s="46">
        <v>34953</v>
      </c>
      <c r="C16" s="46">
        <v>30015</v>
      </c>
      <c r="D16" s="50">
        <v>34867</v>
      </c>
      <c r="E16" s="50">
        <v>34350</v>
      </c>
      <c r="F16" s="21">
        <f t="shared" si="0"/>
        <v>0.16165250707979345</v>
      </c>
      <c r="G16" s="2">
        <f t="shared" si="1"/>
        <v>0.30234998265695456</v>
      </c>
      <c r="H16" s="2">
        <f t="shared" si="2"/>
        <v>0.36686658249158249</v>
      </c>
      <c r="I16" s="46">
        <v>9.0429999999999993</v>
      </c>
      <c r="J16" s="50">
        <v>8.9779999999999998</v>
      </c>
      <c r="K16" s="21">
        <f t="shared" si="3"/>
        <v>-7.18788012827596E-3</v>
      </c>
      <c r="L16" s="22">
        <f t="shared" si="4"/>
        <v>0.80824232387691131</v>
      </c>
      <c r="M16" s="66">
        <v>1</v>
      </c>
      <c r="N16" s="66">
        <v>1</v>
      </c>
      <c r="O16" s="50">
        <v>0</v>
      </c>
      <c r="P16" s="50">
        <v>0</v>
      </c>
      <c r="Q16" s="50" t="s">
        <v>175</v>
      </c>
    </row>
    <row r="17" spans="1:17">
      <c r="A17" s="79">
        <v>46126</v>
      </c>
      <c r="B17" s="46">
        <v>34953</v>
      </c>
      <c r="C17" s="46">
        <v>30015</v>
      </c>
      <c r="D17" s="50">
        <v>34005</v>
      </c>
      <c r="E17" s="50">
        <v>33250</v>
      </c>
      <c r="F17" s="21">
        <f t="shared" si="0"/>
        <v>0.13293353323338331</v>
      </c>
      <c r="G17" s="2">
        <f t="shared" si="1"/>
        <v>0.29487513007284077</v>
      </c>
      <c r="H17" s="2">
        <f t="shared" si="2"/>
        <v>0.35779671717171718</v>
      </c>
      <c r="I17" s="46">
        <v>9.0429999999999993</v>
      </c>
      <c r="J17" s="50">
        <v>9.2479999999999993</v>
      </c>
      <c r="K17" s="21">
        <f t="shared" si="3"/>
        <v>2.2669468096870517E-2</v>
      </c>
      <c r="L17" s="22">
        <f t="shared" si="4"/>
        <v>0.76524687735166297</v>
      </c>
      <c r="M17" s="66">
        <v>1</v>
      </c>
      <c r="N17" s="66">
        <v>0.95399999999999996</v>
      </c>
      <c r="O17" s="50">
        <v>2137</v>
      </c>
      <c r="P17" s="50">
        <v>0</v>
      </c>
      <c r="Q17" s="50" t="s">
        <v>505</v>
      </c>
    </row>
    <row r="18" spans="1:17">
      <c r="A18" s="79">
        <v>46127</v>
      </c>
      <c r="B18" s="46">
        <v>34953</v>
      </c>
      <c r="C18" s="46">
        <v>30015</v>
      </c>
      <c r="D18" s="50">
        <v>31842</v>
      </c>
      <c r="E18" s="50">
        <v>31100</v>
      </c>
      <c r="F18" s="21">
        <f t="shared" si="0"/>
        <v>6.0869565217391307E-2</v>
      </c>
      <c r="G18" s="2">
        <f t="shared" si="1"/>
        <v>0.27611862643080126</v>
      </c>
      <c r="H18" s="2">
        <f t="shared" si="2"/>
        <v>0.33503787878787877</v>
      </c>
      <c r="I18" s="46">
        <v>9.0429999999999993</v>
      </c>
      <c r="J18" s="50">
        <v>8.77</v>
      </c>
      <c r="K18" s="21">
        <f t="shared" si="3"/>
        <v>-3.018909653875923E-2</v>
      </c>
      <c r="L18" s="22">
        <f t="shared" si="4"/>
        <v>0.75562679981063063</v>
      </c>
      <c r="M18" s="66">
        <v>1</v>
      </c>
      <c r="N18" s="66">
        <v>0.9486</v>
      </c>
      <c r="O18" s="50">
        <v>2326</v>
      </c>
      <c r="P18" s="50">
        <v>0</v>
      </c>
      <c r="Q18" s="50" t="s">
        <v>497</v>
      </c>
    </row>
    <row r="19" spans="1:17">
      <c r="A19" s="79">
        <v>46128</v>
      </c>
      <c r="B19" s="46">
        <v>34953</v>
      </c>
      <c r="C19" s="46">
        <v>30015</v>
      </c>
      <c r="D19" s="50">
        <v>33851</v>
      </c>
      <c r="E19" s="50">
        <v>33150</v>
      </c>
      <c r="F19" s="21">
        <f t="shared" si="0"/>
        <v>0.12780276528402465</v>
      </c>
      <c r="G19" s="2">
        <f t="shared" si="1"/>
        <v>0.29353971557405478</v>
      </c>
      <c r="H19" s="2">
        <f t="shared" si="2"/>
        <v>0.3561763468013468</v>
      </c>
      <c r="I19" s="46">
        <v>9.0429999999999993</v>
      </c>
      <c r="J19" s="50">
        <v>9.1999999999999993</v>
      </c>
      <c r="K19" s="21">
        <f t="shared" si="3"/>
        <v>1.7361495079066685E-2</v>
      </c>
      <c r="L19" s="22">
        <f t="shared" si="4"/>
        <v>0.76575577975840381</v>
      </c>
      <c r="M19" s="66">
        <v>1</v>
      </c>
      <c r="N19" s="66">
        <v>0.97199999999999998</v>
      </c>
      <c r="O19" s="50">
        <v>1286</v>
      </c>
      <c r="P19" s="50">
        <v>0</v>
      </c>
      <c r="Q19" s="50" t="s">
        <v>497</v>
      </c>
    </row>
    <row r="20" spans="1:17">
      <c r="A20" s="79">
        <v>46129</v>
      </c>
      <c r="B20" s="46">
        <v>34953</v>
      </c>
      <c r="C20" s="46">
        <v>30015</v>
      </c>
      <c r="D20" s="50">
        <v>33512</v>
      </c>
      <c r="E20" s="50">
        <v>32750</v>
      </c>
      <c r="F20" s="21">
        <f t="shared" si="0"/>
        <v>0.11650841246043644</v>
      </c>
      <c r="G20" s="2">
        <f t="shared" si="1"/>
        <v>0.29060006937218175</v>
      </c>
      <c r="H20" s="2">
        <f t="shared" si="2"/>
        <v>0.35260942760942759</v>
      </c>
      <c r="I20" s="46">
        <v>9.0429999999999993</v>
      </c>
      <c r="J20" s="50">
        <v>9.2509999999999994</v>
      </c>
      <c r="K20" s="21">
        <f t="shared" si="3"/>
        <v>2.300121641048327E-2</v>
      </c>
      <c r="L20" s="22">
        <f t="shared" si="4"/>
        <v>0.75390786562883605</v>
      </c>
      <c r="M20" s="66">
        <v>1</v>
      </c>
      <c r="N20" s="66">
        <v>0.9456</v>
      </c>
      <c r="O20" s="50">
        <v>2679</v>
      </c>
      <c r="P20" s="50">
        <v>0</v>
      </c>
      <c r="Q20" s="50" t="s">
        <v>497</v>
      </c>
    </row>
    <row r="21" spans="1:17">
      <c r="A21" s="79">
        <v>46130</v>
      </c>
      <c r="B21" s="46">
        <v>34953</v>
      </c>
      <c r="C21" s="46">
        <v>30015</v>
      </c>
      <c r="D21" s="50">
        <v>35399</v>
      </c>
      <c r="E21" s="50">
        <v>34650</v>
      </c>
      <c r="F21" s="21">
        <f t="shared" si="0"/>
        <v>0.17937697817757789</v>
      </c>
      <c r="G21" s="2">
        <f t="shared" si="1"/>
        <v>0.30696323274366977</v>
      </c>
      <c r="H21" s="2">
        <f t="shared" si="2"/>
        <v>0.37246422558922559</v>
      </c>
      <c r="I21" s="46">
        <v>9.0429999999999993</v>
      </c>
      <c r="J21" s="50">
        <v>9.7100000000000009</v>
      </c>
      <c r="K21" s="21">
        <f t="shared" si="3"/>
        <v>7.3758708393232522E-2</v>
      </c>
      <c r="L21" s="22">
        <f t="shared" si="4"/>
        <v>0.75871447846015183</v>
      </c>
      <c r="M21" s="66">
        <v>1</v>
      </c>
      <c r="N21" s="66">
        <v>0.96630000000000005</v>
      </c>
      <c r="O21" s="50">
        <v>1642</v>
      </c>
      <c r="P21" s="50">
        <v>0</v>
      </c>
      <c r="Q21" s="50" t="s">
        <v>498</v>
      </c>
    </row>
    <row r="22" spans="1:17">
      <c r="A22" s="79">
        <v>46131</v>
      </c>
      <c r="B22" s="46">
        <v>34953</v>
      </c>
      <c r="C22" s="46">
        <v>30015</v>
      </c>
      <c r="D22" s="50">
        <v>30745</v>
      </c>
      <c r="E22" s="50">
        <v>30150</v>
      </c>
      <c r="F22" s="21">
        <f t="shared" si="0"/>
        <v>2.4321172746959854E-2</v>
      </c>
      <c r="G22" s="2">
        <f t="shared" si="1"/>
        <v>0.26660596600763092</v>
      </c>
      <c r="H22" s="2">
        <f t="shared" si="2"/>
        <v>0.32349537037037035</v>
      </c>
      <c r="I22" s="46">
        <v>9.0429999999999993</v>
      </c>
      <c r="J22" s="50">
        <v>9.3989999999999991</v>
      </c>
      <c r="K22" s="21">
        <f t="shared" si="3"/>
        <v>3.9367466548711698E-2</v>
      </c>
      <c r="L22" s="22">
        <f t="shared" si="4"/>
        <v>0.68076850560518609</v>
      </c>
      <c r="M22" s="66">
        <v>0.81510000000000005</v>
      </c>
      <c r="N22" s="66">
        <v>0.94379999999999997</v>
      </c>
      <c r="O22" s="50">
        <v>2641</v>
      </c>
      <c r="P22" s="50">
        <v>2788</v>
      </c>
      <c r="Q22" s="50" t="s">
        <v>506</v>
      </c>
    </row>
    <row r="23" spans="1:17">
      <c r="A23" s="79">
        <v>46132</v>
      </c>
      <c r="B23" s="46">
        <v>34953</v>
      </c>
      <c r="C23" s="46">
        <v>30015</v>
      </c>
      <c r="D23" s="50">
        <v>34432</v>
      </c>
      <c r="E23" s="50">
        <v>33700</v>
      </c>
      <c r="F23" s="21">
        <f t="shared" si="0"/>
        <v>0.14715975345660504</v>
      </c>
      <c r="G23" s="2">
        <f t="shared" si="1"/>
        <v>0.29857787027402011</v>
      </c>
      <c r="H23" s="2">
        <f t="shared" si="2"/>
        <v>0.36228956228956227</v>
      </c>
      <c r="I23" s="46">
        <v>9.0429999999999993</v>
      </c>
      <c r="J23" s="50">
        <v>9.3699999999999992</v>
      </c>
      <c r="K23" s="21">
        <f t="shared" si="3"/>
        <v>3.6160566183788566E-2</v>
      </c>
      <c r="L23" s="22">
        <f t="shared" si="4"/>
        <v>0.7647672237541604</v>
      </c>
      <c r="M23" s="66">
        <v>0.98799999999999999</v>
      </c>
      <c r="N23" s="66">
        <v>0.96579999999999999</v>
      </c>
      <c r="O23" s="50">
        <v>1631</v>
      </c>
      <c r="P23" s="50">
        <v>544</v>
      </c>
      <c r="Q23" s="50" t="s">
        <v>507</v>
      </c>
    </row>
    <row r="24" spans="1:17">
      <c r="A24" s="79">
        <v>46133</v>
      </c>
      <c r="B24" s="46">
        <v>34953</v>
      </c>
      <c r="C24" s="46">
        <v>30015</v>
      </c>
      <c r="D24" s="50">
        <v>35783</v>
      </c>
      <c r="E24" s="50">
        <v>34950</v>
      </c>
      <c r="F24" s="21">
        <f t="shared" si="0"/>
        <v>0.19217058137597867</v>
      </c>
      <c r="G24" s="2">
        <f t="shared" si="1"/>
        <v>0.31029309746791539</v>
      </c>
      <c r="H24" s="2">
        <f t="shared" si="2"/>
        <v>0.37650462962962961</v>
      </c>
      <c r="I24" s="46">
        <v>9.0429999999999993</v>
      </c>
      <c r="J24" s="50">
        <v>9.5709999999999997</v>
      </c>
      <c r="K24" s="21">
        <f t="shared" si="3"/>
        <v>5.8387703195842147E-2</v>
      </c>
      <c r="L24" s="22">
        <f t="shared" si="4"/>
        <v>0.77808320334656456</v>
      </c>
      <c r="M24" s="66">
        <v>1</v>
      </c>
      <c r="N24" s="66">
        <v>0.96509999999999996</v>
      </c>
      <c r="O24" s="50">
        <v>1686</v>
      </c>
      <c r="P24" s="50">
        <v>0</v>
      </c>
      <c r="Q24" s="50" t="s">
        <v>508</v>
      </c>
    </row>
    <row r="25" spans="1:17">
      <c r="A25" s="79">
        <v>46134</v>
      </c>
      <c r="B25" s="46">
        <v>34953</v>
      </c>
      <c r="C25" s="46">
        <v>30015</v>
      </c>
      <c r="D25" s="50">
        <v>36065</v>
      </c>
      <c r="E25" s="50">
        <v>35250</v>
      </c>
      <c r="F25" s="21">
        <f t="shared" si="0"/>
        <v>0.20156588372480427</v>
      </c>
      <c r="G25" s="2">
        <f t="shared" si="1"/>
        <v>0.31273846687478324</v>
      </c>
      <c r="H25" s="2">
        <f t="shared" si="2"/>
        <v>0.37947180134680136</v>
      </c>
      <c r="I25" s="46">
        <v>9.0429999999999993</v>
      </c>
      <c r="J25" s="50">
        <v>9.8000000000000007</v>
      </c>
      <c r="K25" s="21">
        <f t="shared" si="3"/>
        <v>8.3711157801614672E-2</v>
      </c>
      <c r="L25" s="22">
        <f t="shared" si="4"/>
        <v>0.76589012295865277</v>
      </c>
      <c r="M25" s="66">
        <v>1</v>
      </c>
      <c r="N25" s="66">
        <v>0.95530000000000004</v>
      </c>
      <c r="O25" s="50">
        <v>2193</v>
      </c>
      <c r="P25" s="50">
        <v>0</v>
      </c>
      <c r="Q25" s="50" t="s">
        <v>508</v>
      </c>
    </row>
    <row r="26" spans="1:17">
      <c r="A26" s="79">
        <v>46135</v>
      </c>
      <c r="B26" s="46">
        <v>34953</v>
      </c>
      <c r="C26" s="46">
        <v>30015</v>
      </c>
      <c r="D26" s="50">
        <v>35008</v>
      </c>
      <c r="E26" s="50">
        <v>34250</v>
      </c>
      <c r="F26" s="21">
        <f t="shared" si="0"/>
        <v>0.16635015825420624</v>
      </c>
      <c r="G26" s="2">
        <f t="shared" si="1"/>
        <v>0.30357266736038846</v>
      </c>
      <c r="H26" s="2">
        <f t="shared" si="2"/>
        <v>0.36835016835016837</v>
      </c>
      <c r="I26" s="46">
        <v>9.0429999999999993</v>
      </c>
      <c r="J26" s="50">
        <v>9.5069999999999997</v>
      </c>
      <c r="K26" s="21">
        <f t="shared" si="3"/>
        <v>5.1310405838770369E-2</v>
      </c>
      <c r="L26" s="22">
        <f t="shared" si="4"/>
        <v>0.76635573962862347</v>
      </c>
      <c r="M26" s="66">
        <v>1</v>
      </c>
      <c r="N26" s="66">
        <v>0.96750000000000003</v>
      </c>
      <c r="O26" s="50">
        <v>1566</v>
      </c>
      <c r="P26" s="50">
        <v>0</v>
      </c>
      <c r="Q26" s="50" t="s">
        <v>492</v>
      </c>
    </row>
    <row r="27" spans="1:17">
      <c r="A27" s="79">
        <v>46136</v>
      </c>
      <c r="B27" s="46">
        <v>34953</v>
      </c>
      <c r="C27" s="46">
        <v>30015</v>
      </c>
      <c r="D27" s="50">
        <v>34949</v>
      </c>
      <c r="E27" s="50">
        <v>34200</v>
      </c>
      <c r="F27" s="21">
        <f t="shared" si="0"/>
        <v>0.16438447442945195</v>
      </c>
      <c r="G27" s="2">
        <f t="shared" si="1"/>
        <v>0.3030610475199445</v>
      </c>
      <c r="H27" s="2">
        <f t="shared" si="2"/>
        <v>0.36772937710437709</v>
      </c>
      <c r="I27" s="46">
        <v>9.0429999999999993</v>
      </c>
      <c r="J27" s="50">
        <v>9.1679999999999993</v>
      </c>
      <c r="K27" s="21">
        <f t="shared" si="3"/>
        <v>1.3822846400530799E-2</v>
      </c>
      <c r="L27" s="22">
        <f t="shared" si="4"/>
        <v>0.79335352753912181</v>
      </c>
      <c r="M27" s="66">
        <v>1</v>
      </c>
      <c r="N27" s="66">
        <v>0.98319999999999996</v>
      </c>
      <c r="O27" s="50">
        <v>801</v>
      </c>
      <c r="P27" s="50">
        <v>0</v>
      </c>
      <c r="Q27" s="50" t="s">
        <v>492</v>
      </c>
    </row>
    <row r="28" spans="1:17">
      <c r="A28" s="79">
        <v>46137</v>
      </c>
      <c r="B28" s="46">
        <v>34953</v>
      </c>
      <c r="C28" s="46">
        <v>30015</v>
      </c>
      <c r="D28" s="50">
        <v>35332</v>
      </c>
      <c r="E28" s="50">
        <v>34550</v>
      </c>
      <c r="F28" s="21">
        <f t="shared" ref="F28" si="5">(IF(ISBLANK(D28),0,D28-C28))/C28</f>
        <v>0.17714476095285692</v>
      </c>
      <c r="G28" s="2">
        <f t="shared" ref="G28" si="6">D28/($D$2*24)</f>
        <v>0.30638224072147069</v>
      </c>
      <c r="H28" s="2">
        <f t="shared" ref="H28" si="7">D28/($H$2*24)</f>
        <v>0.37175925925925923</v>
      </c>
      <c r="I28" s="46">
        <v>9.0429999999999993</v>
      </c>
      <c r="J28" s="50">
        <v>9.2850000000000001</v>
      </c>
      <c r="K28" s="21">
        <f t="shared" ref="K28" si="8">(IF(ISBLANK(J28),0,J28-I28))/I28</f>
        <v>2.6761030631427724E-2</v>
      </c>
      <c r="L28" s="22">
        <f t="shared" ref="L28" si="9">D28/($D$2*J28)</f>
        <v>0.79194117149330057</v>
      </c>
      <c r="M28" s="66">
        <v>1</v>
      </c>
      <c r="N28" s="66">
        <v>1</v>
      </c>
      <c r="O28" s="50">
        <v>0</v>
      </c>
      <c r="P28" s="50">
        <v>0</v>
      </c>
      <c r="Q28" s="50"/>
    </row>
    <row r="29" spans="1:17">
      <c r="A29" s="79">
        <v>46138</v>
      </c>
      <c r="B29" s="46">
        <v>34953</v>
      </c>
      <c r="C29" s="46">
        <v>30015</v>
      </c>
      <c r="D29" s="50">
        <v>34166</v>
      </c>
      <c r="E29" s="50">
        <v>33400</v>
      </c>
      <c r="F29" s="21">
        <f t="shared" ref="F29" si="10">(IF(ISBLANK(D29),0,D29-C29))/C29</f>
        <v>0.1382975179077128</v>
      </c>
      <c r="G29" s="2">
        <f t="shared" ref="G29" si="11">D29/($D$2*24)</f>
        <v>0.29627124523066251</v>
      </c>
      <c r="H29" s="2">
        <f t="shared" ref="H29" si="12">D29/($H$2*24)</f>
        <v>0.35949074074074072</v>
      </c>
      <c r="I29" s="46">
        <v>9.0429999999999993</v>
      </c>
      <c r="J29" s="50">
        <v>9.6219999999999999</v>
      </c>
      <c r="K29" s="21">
        <f t="shared" ref="K29" si="13">(IF(ISBLANK(J29),0,J29-I29))/I29</f>
        <v>6.4027424527258722E-2</v>
      </c>
      <c r="L29" s="22">
        <f t="shared" ref="L29" si="14">D29/($D$2*J29)</f>
        <v>0.73898460668633348</v>
      </c>
      <c r="M29" s="66">
        <v>1</v>
      </c>
      <c r="N29" s="66">
        <v>0.9536</v>
      </c>
      <c r="O29" s="50">
        <v>2255</v>
      </c>
      <c r="P29" s="50">
        <v>0</v>
      </c>
      <c r="Q29" s="50" t="s">
        <v>492</v>
      </c>
    </row>
    <row r="30" spans="1:17">
      <c r="A30" s="79">
        <v>46139</v>
      </c>
      <c r="B30" s="46">
        <v>34953</v>
      </c>
      <c r="C30" s="46">
        <v>30015</v>
      </c>
      <c r="D30" s="50">
        <v>34527</v>
      </c>
      <c r="E30" s="50">
        <v>33750</v>
      </c>
      <c r="F30" s="21">
        <f t="shared" ref="F30" si="15">(IF(ISBLANK(D30),0,D30-C30))/C30</f>
        <v>0.1503248375812094</v>
      </c>
      <c r="G30" s="2">
        <f t="shared" ref="G30" si="16">D30/($D$2*24)</f>
        <v>0.29940166493236214</v>
      </c>
      <c r="H30" s="2">
        <f t="shared" ref="H30" si="17">D30/($H$2*24)</f>
        <v>0.36328914141414143</v>
      </c>
      <c r="I30" s="46">
        <v>9.0429999999999993</v>
      </c>
      <c r="J30" s="50">
        <v>9.3279999999999994</v>
      </c>
      <c r="K30" s="21">
        <f t="shared" ref="K30" si="18">(IF(ISBLANK(J30),0,J30-I30))/I30</f>
        <v>3.1516089793210238E-2</v>
      </c>
      <c r="L30" s="22">
        <f t="shared" ref="L30" si="19">D30/($D$2*J30)</f>
        <v>0.77033018421705535</v>
      </c>
      <c r="M30" s="66">
        <v>1</v>
      </c>
      <c r="N30" s="66">
        <v>0.97170000000000001</v>
      </c>
      <c r="O30" s="50">
        <v>1376</v>
      </c>
      <c r="P30" s="50">
        <v>0</v>
      </c>
      <c r="Q30" s="50" t="s">
        <v>508</v>
      </c>
    </row>
    <row r="31" spans="1:17">
      <c r="A31" s="79">
        <v>46140</v>
      </c>
      <c r="B31" s="46">
        <v>34953</v>
      </c>
      <c r="C31" s="46">
        <v>30015</v>
      </c>
      <c r="D31" s="50">
        <v>32890</v>
      </c>
      <c r="E31" s="50">
        <v>32150</v>
      </c>
      <c r="F31" s="21">
        <f t="shared" ref="F31" si="20">(IF(ISBLANK(D31),0,D31-C31))/C31</f>
        <v>9.5785440613026823E-2</v>
      </c>
      <c r="G31" s="2">
        <f t="shared" ref="G31" si="21">D31/($D$2*24)</f>
        <v>0.28520638224072148</v>
      </c>
      <c r="H31" s="2">
        <f t="shared" ref="H31" si="22">D31/($H$2*24)</f>
        <v>0.34606481481481483</v>
      </c>
      <c r="I31" s="46">
        <v>9.0429999999999993</v>
      </c>
      <c r="J31" s="50">
        <v>8.9429999999999996</v>
      </c>
      <c r="K31" s="21">
        <f t="shared" ref="K31" si="23">(IF(ISBLANK(J31),0,J31-I31))/I31</f>
        <v>-1.1058277120424599E-2</v>
      </c>
      <c r="L31" s="22">
        <f t="shared" ref="L31" si="24">D31/($D$2*J31)</f>
        <v>0.76539787250109759</v>
      </c>
      <c r="M31" s="66">
        <v>1</v>
      </c>
      <c r="N31" s="66">
        <v>0.96189999999999998</v>
      </c>
      <c r="O31" s="50">
        <v>1822</v>
      </c>
      <c r="P31" s="50">
        <v>0</v>
      </c>
      <c r="Q31" s="50" t="s">
        <v>492</v>
      </c>
    </row>
    <row r="32" spans="1:17">
      <c r="A32" s="79">
        <v>46141</v>
      </c>
      <c r="B32" s="46">
        <v>34953</v>
      </c>
      <c r="C32" s="46">
        <v>30015</v>
      </c>
      <c r="D32" s="50">
        <v>32262</v>
      </c>
      <c r="E32" s="50">
        <v>31550</v>
      </c>
      <c r="F32" s="21">
        <f t="shared" ref="F32" si="25">(IF(ISBLANK(D32),0,D32-C32))/C32</f>
        <v>7.4862568715642175E-2</v>
      </c>
      <c r="G32" s="2">
        <f t="shared" ref="G32" si="26">D32/($D$2*24)</f>
        <v>0.27976066597294486</v>
      </c>
      <c r="H32" s="2">
        <f t="shared" ref="H32" si="27">D32/($H$2*24)</f>
        <v>0.33945707070707071</v>
      </c>
      <c r="I32" s="46">
        <v>9.0429999999999993</v>
      </c>
      <c r="J32" s="50">
        <v>8.8770000000000007</v>
      </c>
      <c r="K32" s="21">
        <f t="shared" ref="K32" si="28">(IF(ISBLANK(J32),0,J32-I32))/I32</f>
        <v>-1.8356740019904744E-2</v>
      </c>
      <c r="L32" s="22">
        <f t="shared" ref="L32" si="29">D32/($D$2*J32)</f>
        <v>0.7563654368988032</v>
      </c>
      <c r="M32" s="66">
        <v>1</v>
      </c>
      <c r="N32" s="66">
        <v>0.95779999999999998</v>
      </c>
      <c r="O32" s="50">
        <v>1980</v>
      </c>
      <c r="P32" s="50">
        <v>0</v>
      </c>
      <c r="Q32" s="50" t="s">
        <v>492</v>
      </c>
    </row>
    <row r="33" spans="1:17">
      <c r="A33" s="79">
        <v>46142</v>
      </c>
      <c r="B33" s="46">
        <v>34953</v>
      </c>
      <c r="C33" s="46">
        <v>30015</v>
      </c>
      <c r="D33" s="50">
        <v>29882</v>
      </c>
      <c r="E33" s="50">
        <v>29300</v>
      </c>
      <c r="F33" s="21">
        <f t="shared" ref="F33" si="30">(IF(ISBLANK(D33),0,D33-C33))/C33</f>
        <v>-4.4311177744461106E-3</v>
      </c>
      <c r="G33" s="2">
        <f t="shared" ref="G33" si="31">D33/($D$2*24)</f>
        <v>0.25912244190079781</v>
      </c>
      <c r="H33" s="2">
        <f t="shared" ref="H33" si="32">D33/($H$2*24)</f>
        <v>0.31441498316498318</v>
      </c>
      <c r="I33" s="46">
        <v>9.0429999999999993</v>
      </c>
      <c r="J33" s="50">
        <v>8.07</v>
      </c>
      <c r="K33" s="21">
        <f t="shared" ref="K33" si="33">(IF(ISBLANK(J33),0,J33-I33))/I33</f>
        <v>-0.10759703638173163</v>
      </c>
      <c r="L33" s="22">
        <f t="shared" ref="L33" si="34">D33/($D$2*J33)</f>
        <v>0.77062436253025368</v>
      </c>
      <c r="M33" s="66">
        <v>0.99480000000000002</v>
      </c>
      <c r="N33" s="66">
        <v>0.96260000000000001</v>
      </c>
      <c r="O33" s="50">
        <v>1676</v>
      </c>
      <c r="P33" s="50">
        <v>170</v>
      </c>
      <c r="Q33" s="50" t="s">
        <v>509</v>
      </c>
    </row>
    <row r="34" spans="1:17">
      <c r="A34" s="349">
        <v>46113</v>
      </c>
      <c r="B34" s="84">
        <f>SUM(B4:B33)</f>
        <v>1048590</v>
      </c>
      <c r="C34" s="84">
        <f t="shared" ref="C34:E34" si="35">SUM(C4:C33)</f>
        <v>900450</v>
      </c>
      <c r="D34" s="84">
        <f t="shared" si="35"/>
        <v>977105</v>
      </c>
      <c r="E34" s="84">
        <f t="shared" si="35"/>
        <v>955550</v>
      </c>
      <c r="F34" s="160">
        <f>(IF(ISBLANK(D34),0,D34-C34))/C34</f>
        <v>8.512965739352546E-2</v>
      </c>
      <c r="G34" s="167">
        <f>AVERAGE(G4:G33)</f>
        <v>0.28243294022430343</v>
      </c>
      <c r="H34" s="167">
        <f>AVERAGE(H4:H33)</f>
        <v>0.3426995650953984</v>
      </c>
      <c r="I34" s="84">
        <f t="shared" ref="I34:J34" si="36">SUM(I4:I33)</f>
        <v>271.29000000000013</v>
      </c>
      <c r="J34" s="84">
        <f t="shared" si="36"/>
        <v>261.36500000000007</v>
      </c>
      <c r="K34" s="160">
        <f>(IF(ISBLANK(J34),0,J34-I34))/I34</f>
        <v>-3.6584466806738408E-2</v>
      </c>
      <c r="L34" s="167">
        <f t="shared" ref="L34:N34" si="37">AVERAGE(L4:L33)</f>
        <v>0.78080068956043547</v>
      </c>
      <c r="M34" s="167">
        <f t="shared" si="37"/>
        <v>0.99317666666666671</v>
      </c>
      <c r="N34" s="167">
        <f t="shared" si="37"/>
        <v>0.96656333333333344</v>
      </c>
      <c r="O34" s="84">
        <f t="shared" ref="O34:P34" si="38">SUM(O4:O33)</f>
        <v>43917</v>
      </c>
      <c r="P34" s="84">
        <f t="shared" si="38"/>
        <v>3572</v>
      </c>
      <c r="Q34" s="84" t="s">
        <v>175</v>
      </c>
    </row>
    <row r="35" spans="1:17">
      <c r="A35" s="13">
        <v>46143</v>
      </c>
      <c r="B35" s="127">
        <v>34490</v>
      </c>
      <c r="C35" s="127">
        <v>29617</v>
      </c>
      <c r="D35" s="33">
        <v>31642</v>
      </c>
      <c r="E35" s="33">
        <v>30900</v>
      </c>
      <c r="F35" s="20">
        <f>(IF(ISBLANK(E35),0,E35-C35))/C35</f>
        <v>4.3319715028530908E-2</v>
      </c>
      <c r="G35" s="2">
        <f t="shared" ref="G35:G57" si="39">D35/($D$2*24)</f>
        <v>0.27438432188692335</v>
      </c>
      <c r="H35" s="2">
        <f t="shared" ref="H35:H61" si="40">D35/($H$2*24)</f>
        <v>0.33293350168350166</v>
      </c>
      <c r="I35" s="28">
        <v>8.9390000000000001</v>
      </c>
      <c r="J35" s="33">
        <v>8.3320000000000007</v>
      </c>
      <c r="K35" s="20">
        <f>(IF(ISBLANK(J35),0,J35-I35))/I35</f>
        <v>-6.7904687325204091E-2</v>
      </c>
      <c r="L35" s="4">
        <f t="shared" ref="L35:L66" si="41">D35/($D$2*J35)</f>
        <v>0.79035330356290923</v>
      </c>
      <c r="M35" s="104">
        <v>0.99139999999999995</v>
      </c>
      <c r="N35" s="104">
        <v>0.9849</v>
      </c>
      <c r="O35" s="33">
        <v>695</v>
      </c>
      <c r="P35" s="6">
        <v>265</v>
      </c>
      <c r="Q35" s="6" t="s">
        <v>510</v>
      </c>
    </row>
    <row r="36" spans="1:17">
      <c r="A36" s="13">
        <f>A35+1</f>
        <v>46144</v>
      </c>
      <c r="B36" s="127">
        <v>34490</v>
      </c>
      <c r="C36" s="127">
        <v>29617</v>
      </c>
      <c r="D36" s="34">
        <v>30108</v>
      </c>
      <c r="E36" s="34">
        <v>29400</v>
      </c>
      <c r="F36" s="20">
        <f t="shared" ref="F36:F54" si="42">(IF(ISBLANK(E36),0,E36-C36))/C36</f>
        <v>-7.3268730796502007E-3</v>
      </c>
      <c r="G36" s="2">
        <f t="shared" si="39"/>
        <v>0.26108220603537979</v>
      </c>
      <c r="H36" s="2">
        <f t="shared" si="40"/>
        <v>0.31679292929292929</v>
      </c>
      <c r="I36" s="28">
        <v>8.9390000000000001</v>
      </c>
      <c r="J36" s="34">
        <v>7.915</v>
      </c>
      <c r="K36" s="20">
        <f t="shared" ref="K36:K54" si="43">(IF(ISBLANK(J36),0,J36-I36))/I36</f>
        <v>-0.11455420069358989</v>
      </c>
      <c r="L36" s="4">
        <f t="shared" si="41"/>
        <v>0.79165798418813849</v>
      </c>
      <c r="M36" s="104">
        <v>0.99139999999999995</v>
      </c>
      <c r="N36" s="104">
        <v>0.98580000000000001</v>
      </c>
      <c r="O36" s="34">
        <v>639</v>
      </c>
      <c r="P36" s="6">
        <v>251</v>
      </c>
      <c r="Q36" s="6" t="s">
        <v>510</v>
      </c>
    </row>
    <row r="37" spans="1:17">
      <c r="A37" s="13">
        <f t="shared" ref="A37:A65" si="44">A36+1</f>
        <v>46145</v>
      </c>
      <c r="B37" s="127">
        <v>34490</v>
      </c>
      <c r="C37" s="127">
        <v>29617</v>
      </c>
      <c r="D37" s="34">
        <v>30997</v>
      </c>
      <c r="E37" s="34">
        <v>30400</v>
      </c>
      <c r="F37" s="20">
        <f t="shared" si="42"/>
        <v>2.643751899247054E-2</v>
      </c>
      <c r="G37" s="2">
        <f t="shared" si="39"/>
        <v>0.2687911897329171</v>
      </c>
      <c r="H37" s="2">
        <f t="shared" si="40"/>
        <v>0.32614688552188553</v>
      </c>
      <c r="I37" s="28">
        <v>8.9390000000000001</v>
      </c>
      <c r="J37" s="34">
        <v>8.5630000000000006</v>
      </c>
      <c r="K37" s="20">
        <f t="shared" si="43"/>
        <v>-4.2062870567177474E-2</v>
      </c>
      <c r="L37" s="4">
        <f t="shared" si="41"/>
        <v>0.75335613144809177</v>
      </c>
      <c r="M37" s="104">
        <v>0.99139999999999995</v>
      </c>
      <c r="N37" s="104">
        <v>0.95479999999999998</v>
      </c>
      <c r="O37" s="34">
        <v>2100</v>
      </c>
      <c r="P37" s="6">
        <v>271</v>
      </c>
      <c r="Q37" s="6" t="s">
        <v>510</v>
      </c>
    </row>
    <row r="38" spans="1:17">
      <c r="A38" s="13">
        <f t="shared" si="44"/>
        <v>46146</v>
      </c>
      <c r="B38" s="127">
        <v>34490</v>
      </c>
      <c r="C38" s="127">
        <v>29617</v>
      </c>
      <c r="D38" s="34">
        <v>31798</v>
      </c>
      <c r="E38" s="34">
        <v>31150</v>
      </c>
      <c r="F38" s="20">
        <f t="shared" si="42"/>
        <v>5.1760813046561098E-2</v>
      </c>
      <c r="G38" s="2">
        <f t="shared" si="39"/>
        <v>0.27573707943114811</v>
      </c>
      <c r="H38" s="2">
        <f t="shared" si="40"/>
        <v>0.33457491582491583</v>
      </c>
      <c r="I38" s="28">
        <v>8.9390000000000001</v>
      </c>
      <c r="J38" s="34">
        <v>8.4320000000000004</v>
      </c>
      <c r="K38" s="20">
        <f t="shared" si="43"/>
        <v>-5.6717753663720734E-2</v>
      </c>
      <c r="L38" s="4">
        <f t="shared" si="41"/>
        <v>0.78483039686285039</v>
      </c>
      <c r="M38" s="104">
        <v>0.99139999999999995</v>
      </c>
      <c r="N38" s="104">
        <v>1</v>
      </c>
      <c r="O38" s="34">
        <v>0</v>
      </c>
      <c r="P38" s="6">
        <v>268</v>
      </c>
      <c r="Q38" s="6" t="s">
        <v>511</v>
      </c>
    </row>
    <row r="39" spans="1:17">
      <c r="A39" s="13">
        <f t="shared" si="44"/>
        <v>46147</v>
      </c>
      <c r="B39" s="127">
        <v>34490</v>
      </c>
      <c r="C39" s="127">
        <v>29617</v>
      </c>
      <c r="D39" s="34">
        <v>29977</v>
      </c>
      <c r="E39" s="34">
        <v>29250</v>
      </c>
      <c r="F39" s="20">
        <f t="shared" si="42"/>
        <v>-1.2391531890468313E-2</v>
      </c>
      <c r="G39" s="2">
        <f t="shared" si="39"/>
        <v>0.25994623655913979</v>
      </c>
      <c r="H39" s="2">
        <f t="shared" si="40"/>
        <v>0.31541456228956227</v>
      </c>
      <c r="I39" s="28">
        <v>8.9390000000000001</v>
      </c>
      <c r="J39" s="34">
        <v>7.7869999999999999</v>
      </c>
      <c r="K39" s="20">
        <f t="shared" si="43"/>
        <v>-0.12887347578028863</v>
      </c>
      <c r="L39" s="4">
        <f t="shared" si="41"/>
        <v>0.801169857123328</v>
      </c>
      <c r="M39" s="104">
        <v>0.99139999999999995</v>
      </c>
      <c r="N39" s="104">
        <v>1</v>
      </c>
      <c r="O39" s="34">
        <v>0</v>
      </c>
      <c r="P39" s="6">
        <v>247</v>
      </c>
      <c r="Q39" s="6" t="s">
        <v>511</v>
      </c>
    </row>
    <row r="40" spans="1:17">
      <c r="A40" s="13">
        <f t="shared" si="44"/>
        <v>46148</v>
      </c>
      <c r="B40" s="127"/>
      <c r="C40" s="127"/>
      <c r="D40" s="34"/>
      <c r="E40" s="34"/>
      <c r="F40" s="20" t="e">
        <f t="shared" si="42"/>
        <v>#DIV/0!</v>
      </c>
      <c r="G40" s="2">
        <f t="shared" si="39"/>
        <v>0</v>
      </c>
      <c r="H40" s="2">
        <f t="shared" si="40"/>
        <v>0</v>
      </c>
      <c r="I40" s="29"/>
      <c r="J40" s="34"/>
      <c r="K40" s="20" t="e">
        <f t="shared" si="43"/>
        <v>#DIV/0!</v>
      </c>
      <c r="L40" s="4" t="e">
        <f t="shared" si="41"/>
        <v>#DIV/0!</v>
      </c>
      <c r="M40" s="103"/>
      <c r="N40" s="103"/>
      <c r="O40" s="34"/>
      <c r="P40" s="6"/>
      <c r="Q40" s="14"/>
    </row>
    <row r="41" spans="1:17">
      <c r="A41" s="13">
        <f t="shared" si="44"/>
        <v>46149</v>
      </c>
      <c r="B41" s="127"/>
      <c r="C41" s="127"/>
      <c r="D41" s="34"/>
      <c r="E41" s="34"/>
      <c r="F41" s="20" t="e">
        <f t="shared" si="42"/>
        <v>#DIV/0!</v>
      </c>
      <c r="G41" s="2">
        <f t="shared" si="39"/>
        <v>0</v>
      </c>
      <c r="H41" s="2">
        <f t="shared" si="40"/>
        <v>0</v>
      </c>
      <c r="I41" s="29"/>
      <c r="J41" s="34"/>
      <c r="K41" s="20" t="e">
        <f t="shared" si="43"/>
        <v>#DIV/0!</v>
      </c>
      <c r="L41" s="4" t="e">
        <f t="shared" si="41"/>
        <v>#DIV/0!</v>
      </c>
      <c r="M41" s="103"/>
      <c r="N41" s="103"/>
      <c r="O41" s="34"/>
      <c r="P41" s="6"/>
      <c r="Q41" s="202"/>
    </row>
    <row r="42" spans="1:17">
      <c r="A42" s="13">
        <f t="shared" si="44"/>
        <v>46150</v>
      </c>
      <c r="B42" s="127"/>
      <c r="C42" s="127"/>
      <c r="D42" s="34"/>
      <c r="E42" s="34"/>
      <c r="F42" s="20" t="e">
        <f t="shared" si="42"/>
        <v>#DIV/0!</v>
      </c>
      <c r="G42" s="2">
        <f t="shared" si="39"/>
        <v>0</v>
      </c>
      <c r="H42" s="2">
        <f t="shared" si="40"/>
        <v>0</v>
      </c>
      <c r="I42" s="29"/>
      <c r="J42" s="34"/>
      <c r="K42" s="20" t="e">
        <f t="shared" si="43"/>
        <v>#DIV/0!</v>
      </c>
      <c r="L42" s="4" t="e">
        <f t="shared" si="41"/>
        <v>#DIV/0!</v>
      </c>
      <c r="M42" s="103"/>
      <c r="N42" s="103"/>
      <c r="O42" s="34"/>
      <c r="P42" s="6"/>
      <c r="Q42" s="14"/>
    </row>
    <row r="43" spans="1:17">
      <c r="A43" s="13">
        <f t="shared" si="44"/>
        <v>46151</v>
      </c>
      <c r="B43" s="127"/>
      <c r="C43" s="127"/>
      <c r="D43" s="34"/>
      <c r="E43" s="34"/>
      <c r="F43" s="20" t="e">
        <f t="shared" si="42"/>
        <v>#DIV/0!</v>
      </c>
      <c r="G43" s="2">
        <f t="shared" si="39"/>
        <v>0</v>
      </c>
      <c r="H43" s="2">
        <f t="shared" si="40"/>
        <v>0</v>
      </c>
      <c r="I43" s="29"/>
      <c r="J43" s="34"/>
      <c r="K43" s="20" t="e">
        <f t="shared" si="43"/>
        <v>#DIV/0!</v>
      </c>
      <c r="L43" s="4" t="e">
        <f t="shared" si="41"/>
        <v>#DIV/0!</v>
      </c>
      <c r="M43" s="103"/>
      <c r="N43" s="103"/>
      <c r="O43" s="34"/>
      <c r="P43" s="6"/>
      <c r="Q43" s="6"/>
    </row>
    <row r="44" spans="1:17">
      <c r="A44" s="13">
        <f t="shared" si="44"/>
        <v>46152</v>
      </c>
      <c r="B44" s="127"/>
      <c r="C44" s="127"/>
      <c r="D44" s="34"/>
      <c r="E44" s="34"/>
      <c r="F44" s="20" t="e">
        <f t="shared" si="42"/>
        <v>#DIV/0!</v>
      </c>
      <c r="G44" s="2">
        <f t="shared" si="39"/>
        <v>0</v>
      </c>
      <c r="H44" s="2">
        <f t="shared" si="40"/>
        <v>0</v>
      </c>
      <c r="I44" s="29"/>
      <c r="J44" s="34"/>
      <c r="K44" s="20" t="e">
        <f t="shared" si="43"/>
        <v>#DIV/0!</v>
      </c>
      <c r="L44" s="4" t="e">
        <f t="shared" si="41"/>
        <v>#DIV/0!</v>
      </c>
      <c r="M44" s="103"/>
      <c r="N44" s="103"/>
      <c r="O44" s="34"/>
      <c r="P44" s="6"/>
      <c r="Q44" s="16"/>
    </row>
    <row r="45" spans="1:17">
      <c r="A45" s="13">
        <f t="shared" si="44"/>
        <v>46153</v>
      </c>
      <c r="B45" s="127"/>
      <c r="C45" s="127"/>
      <c r="D45" s="34"/>
      <c r="E45" s="34"/>
      <c r="F45" s="20" t="e">
        <f t="shared" si="42"/>
        <v>#DIV/0!</v>
      </c>
      <c r="G45" s="2">
        <f t="shared" si="39"/>
        <v>0</v>
      </c>
      <c r="H45" s="2">
        <f t="shared" si="40"/>
        <v>0</v>
      </c>
      <c r="I45" s="29"/>
      <c r="J45" s="34"/>
      <c r="K45" s="20" t="e">
        <f t="shared" si="43"/>
        <v>#DIV/0!</v>
      </c>
      <c r="L45" s="4" t="e">
        <f t="shared" si="41"/>
        <v>#DIV/0!</v>
      </c>
      <c r="M45" s="103"/>
      <c r="N45" s="103"/>
      <c r="O45" s="34"/>
      <c r="P45" s="6"/>
      <c r="Q45" s="6"/>
    </row>
    <row r="46" spans="1:17">
      <c r="A46" s="13">
        <f t="shared" si="44"/>
        <v>46154</v>
      </c>
      <c r="B46" s="127"/>
      <c r="C46" s="127"/>
      <c r="D46" s="34"/>
      <c r="E46" s="34"/>
      <c r="F46" s="20" t="e">
        <f t="shared" si="42"/>
        <v>#DIV/0!</v>
      </c>
      <c r="G46" s="2">
        <f t="shared" si="39"/>
        <v>0</v>
      </c>
      <c r="H46" s="2">
        <f t="shared" si="40"/>
        <v>0</v>
      </c>
      <c r="I46" s="29"/>
      <c r="J46" s="34"/>
      <c r="K46" s="20" t="e">
        <f t="shared" si="43"/>
        <v>#DIV/0!</v>
      </c>
      <c r="L46" s="4" t="e">
        <f t="shared" si="41"/>
        <v>#DIV/0!</v>
      </c>
      <c r="M46" s="104"/>
      <c r="N46" s="103"/>
      <c r="O46" s="34"/>
      <c r="P46" s="6"/>
      <c r="Q46" s="6"/>
    </row>
    <row r="47" spans="1:17">
      <c r="A47" s="13">
        <f t="shared" si="44"/>
        <v>46155</v>
      </c>
      <c r="B47" s="127"/>
      <c r="C47" s="127"/>
      <c r="D47" s="34"/>
      <c r="E47" s="34"/>
      <c r="F47" s="20" t="e">
        <f t="shared" si="42"/>
        <v>#DIV/0!</v>
      </c>
      <c r="G47" s="2">
        <f t="shared" si="39"/>
        <v>0</v>
      </c>
      <c r="H47" s="2">
        <f t="shared" si="40"/>
        <v>0</v>
      </c>
      <c r="I47" s="29"/>
      <c r="J47" s="34"/>
      <c r="K47" s="20" t="e">
        <f t="shared" si="43"/>
        <v>#DIV/0!</v>
      </c>
      <c r="L47" s="4" t="e">
        <f t="shared" si="41"/>
        <v>#DIV/0!</v>
      </c>
      <c r="M47" s="104"/>
      <c r="N47" s="103"/>
      <c r="O47" s="34"/>
      <c r="P47" s="6"/>
      <c r="Q47" s="31"/>
    </row>
    <row r="48" spans="1:17">
      <c r="A48" s="13">
        <f t="shared" si="44"/>
        <v>46156</v>
      </c>
      <c r="B48" s="127"/>
      <c r="C48" s="127"/>
      <c r="D48" s="34"/>
      <c r="E48" s="34"/>
      <c r="F48" s="20" t="e">
        <f t="shared" si="42"/>
        <v>#DIV/0!</v>
      </c>
      <c r="G48" s="2">
        <f t="shared" si="39"/>
        <v>0</v>
      </c>
      <c r="H48" s="2">
        <f t="shared" si="40"/>
        <v>0</v>
      </c>
      <c r="I48" s="29"/>
      <c r="J48" s="34"/>
      <c r="K48" s="20" t="e">
        <f t="shared" si="43"/>
        <v>#DIV/0!</v>
      </c>
      <c r="L48" s="4" t="e">
        <f t="shared" si="41"/>
        <v>#DIV/0!</v>
      </c>
      <c r="M48" s="104"/>
      <c r="N48" s="103"/>
      <c r="O48" s="34"/>
      <c r="P48" s="6"/>
      <c r="Q48" s="32"/>
    </row>
    <row r="49" spans="1:17">
      <c r="A49" s="13">
        <f t="shared" si="44"/>
        <v>46157</v>
      </c>
      <c r="B49" s="127"/>
      <c r="C49" s="127"/>
      <c r="D49" s="34"/>
      <c r="E49" s="34"/>
      <c r="F49" s="20" t="e">
        <f t="shared" si="42"/>
        <v>#DIV/0!</v>
      </c>
      <c r="G49" s="2">
        <f t="shared" si="39"/>
        <v>0</v>
      </c>
      <c r="H49" s="2">
        <f t="shared" si="40"/>
        <v>0</v>
      </c>
      <c r="I49" s="29"/>
      <c r="J49" s="34"/>
      <c r="K49" s="20" t="e">
        <f t="shared" si="43"/>
        <v>#DIV/0!</v>
      </c>
      <c r="L49" s="4" t="e">
        <f t="shared" si="41"/>
        <v>#DIV/0!</v>
      </c>
      <c r="M49" s="104"/>
      <c r="N49" s="103"/>
      <c r="O49" s="34"/>
      <c r="P49" s="6"/>
      <c r="Q49" s="32"/>
    </row>
    <row r="50" spans="1:17">
      <c r="A50" s="13">
        <f t="shared" si="44"/>
        <v>46158</v>
      </c>
      <c r="B50" s="127"/>
      <c r="C50" s="127"/>
      <c r="D50" s="34"/>
      <c r="E50" s="34"/>
      <c r="F50" s="20" t="e">
        <f t="shared" si="42"/>
        <v>#DIV/0!</v>
      </c>
      <c r="G50" s="2">
        <f t="shared" si="39"/>
        <v>0</v>
      </c>
      <c r="H50" s="2">
        <f t="shared" si="40"/>
        <v>0</v>
      </c>
      <c r="I50" s="29"/>
      <c r="J50" s="34"/>
      <c r="K50" s="20" t="e">
        <f t="shared" si="43"/>
        <v>#DIV/0!</v>
      </c>
      <c r="L50" s="4" t="e">
        <f t="shared" si="41"/>
        <v>#DIV/0!</v>
      </c>
      <c r="M50" s="104"/>
      <c r="N50" s="103"/>
      <c r="O50" s="34"/>
      <c r="P50" s="6"/>
      <c r="Q50" s="32"/>
    </row>
    <row r="51" spans="1:17">
      <c r="A51" s="13">
        <f t="shared" si="44"/>
        <v>46159</v>
      </c>
      <c r="B51" s="127"/>
      <c r="C51" s="127"/>
      <c r="D51" s="34"/>
      <c r="E51" s="34"/>
      <c r="F51" s="20" t="e">
        <f t="shared" si="42"/>
        <v>#DIV/0!</v>
      </c>
      <c r="G51" s="2">
        <f t="shared" si="39"/>
        <v>0</v>
      </c>
      <c r="H51" s="2">
        <f t="shared" si="40"/>
        <v>0</v>
      </c>
      <c r="I51" s="29"/>
      <c r="J51" s="34"/>
      <c r="K51" s="20" t="e">
        <f t="shared" si="43"/>
        <v>#DIV/0!</v>
      </c>
      <c r="L51" s="4" t="e">
        <f t="shared" si="41"/>
        <v>#DIV/0!</v>
      </c>
      <c r="M51" s="103"/>
      <c r="N51" s="103"/>
      <c r="O51" s="34"/>
      <c r="P51" s="6"/>
      <c r="Q51" s="6"/>
    </row>
    <row r="52" spans="1:17">
      <c r="A52" s="13">
        <f t="shared" si="44"/>
        <v>46160</v>
      </c>
      <c r="B52" s="127"/>
      <c r="C52" s="127"/>
      <c r="D52" s="34"/>
      <c r="E52" s="34"/>
      <c r="F52" s="20" t="e">
        <f t="shared" si="42"/>
        <v>#DIV/0!</v>
      </c>
      <c r="G52" s="2">
        <f t="shared" si="39"/>
        <v>0</v>
      </c>
      <c r="H52" s="2">
        <f t="shared" si="40"/>
        <v>0</v>
      </c>
      <c r="I52" s="29"/>
      <c r="J52" s="34"/>
      <c r="K52" s="20" t="e">
        <f t="shared" si="43"/>
        <v>#DIV/0!</v>
      </c>
      <c r="L52" s="4" t="e">
        <f t="shared" si="41"/>
        <v>#DIV/0!</v>
      </c>
      <c r="M52" s="103"/>
      <c r="N52" s="103"/>
      <c r="O52" s="34"/>
      <c r="P52" s="6"/>
      <c r="Q52" s="14"/>
    </row>
    <row r="53" spans="1:17">
      <c r="A53" s="13">
        <f t="shared" si="44"/>
        <v>46161</v>
      </c>
      <c r="B53" s="127"/>
      <c r="C53" s="127"/>
      <c r="D53" s="34"/>
      <c r="E53" s="34"/>
      <c r="F53" s="20" t="e">
        <f t="shared" si="42"/>
        <v>#DIV/0!</v>
      </c>
      <c r="G53" s="2">
        <f t="shared" si="39"/>
        <v>0</v>
      </c>
      <c r="H53" s="2">
        <f t="shared" si="40"/>
        <v>0</v>
      </c>
      <c r="I53" s="29"/>
      <c r="J53" s="34"/>
      <c r="K53" s="20" t="e">
        <f t="shared" si="43"/>
        <v>#DIV/0!</v>
      </c>
      <c r="L53" s="4" t="e">
        <f t="shared" si="41"/>
        <v>#DIV/0!</v>
      </c>
      <c r="M53" s="103"/>
      <c r="N53" s="103"/>
      <c r="O53" s="34"/>
      <c r="P53" s="6"/>
      <c r="Q53" s="14"/>
    </row>
    <row r="54" spans="1:17">
      <c r="A54" s="13">
        <f t="shared" si="44"/>
        <v>46162</v>
      </c>
      <c r="B54" s="127"/>
      <c r="C54" s="127"/>
      <c r="D54" s="34"/>
      <c r="E54" s="34"/>
      <c r="F54" s="20" t="e">
        <f t="shared" si="42"/>
        <v>#DIV/0!</v>
      </c>
      <c r="G54" s="2">
        <f t="shared" si="39"/>
        <v>0</v>
      </c>
      <c r="H54" s="2">
        <f t="shared" si="40"/>
        <v>0</v>
      </c>
      <c r="I54" s="29"/>
      <c r="J54" s="34"/>
      <c r="K54" s="20" t="e">
        <f t="shared" si="43"/>
        <v>#DIV/0!</v>
      </c>
      <c r="L54" s="4" t="e">
        <f t="shared" si="41"/>
        <v>#DIV/0!</v>
      </c>
      <c r="M54" s="103"/>
      <c r="N54" s="103"/>
      <c r="O54" s="34"/>
      <c r="P54" s="6"/>
      <c r="Q54" s="14"/>
    </row>
    <row r="55" spans="1:17">
      <c r="A55" s="13">
        <f t="shared" si="44"/>
        <v>46163</v>
      </c>
      <c r="B55" s="127"/>
      <c r="C55" s="127"/>
      <c r="D55" s="34"/>
      <c r="E55" s="34"/>
      <c r="F55" s="20" t="e">
        <f>(IF(ISBLANK(E55),0,E55-C55))/C55</f>
        <v>#DIV/0!</v>
      </c>
      <c r="G55" s="2">
        <f t="shared" si="39"/>
        <v>0</v>
      </c>
      <c r="H55" s="2">
        <f t="shared" si="40"/>
        <v>0</v>
      </c>
      <c r="I55" s="29"/>
      <c r="J55" s="34"/>
      <c r="K55" s="20" t="e">
        <f>(IF(ISBLANK(J55),0,J55-I55))/I55</f>
        <v>#DIV/0!</v>
      </c>
      <c r="L55" s="4" t="e">
        <f t="shared" si="41"/>
        <v>#DIV/0!</v>
      </c>
      <c r="M55" s="103"/>
      <c r="N55" s="103"/>
      <c r="O55" s="34"/>
      <c r="P55" s="6"/>
      <c r="Q55" s="6"/>
    </row>
    <row r="56" spans="1:17">
      <c r="A56" s="13">
        <f t="shared" si="44"/>
        <v>46164</v>
      </c>
      <c r="B56" s="127"/>
      <c r="C56" s="127"/>
      <c r="D56" s="34"/>
      <c r="E56" s="34"/>
      <c r="F56" s="20" t="e">
        <f t="shared" ref="F56:F65" si="45">(IF(ISBLANK(E56),0,E56-C56))/C56</f>
        <v>#DIV/0!</v>
      </c>
      <c r="G56" s="2">
        <f t="shared" si="39"/>
        <v>0</v>
      </c>
      <c r="H56" s="2">
        <f t="shared" si="40"/>
        <v>0</v>
      </c>
      <c r="I56" s="29"/>
      <c r="J56" s="34"/>
      <c r="K56" s="20" t="e">
        <f t="shared" ref="K56:K65" si="46">(IF(ISBLANK(J56),0,J56-I56))/I56</f>
        <v>#DIV/0!</v>
      </c>
      <c r="L56" s="4" t="e">
        <f t="shared" si="41"/>
        <v>#DIV/0!</v>
      </c>
      <c r="M56" s="103"/>
      <c r="N56" s="103"/>
      <c r="O56" s="34"/>
      <c r="P56" s="6"/>
      <c r="Q56" s="6"/>
    </row>
    <row r="57" spans="1:17">
      <c r="A57" s="13">
        <f t="shared" si="44"/>
        <v>46165</v>
      </c>
      <c r="B57" s="127"/>
      <c r="C57" s="127"/>
      <c r="D57" s="14"/>
      <c r="E57" s="14"/>
      <c r="F57" s="20" t="e">
        <f t="shared" si="45"/>
        <v>#DIV/0!</v>
      </c>
      <c r="G57" s="2">
        <f t="shared" si="39"/>
        <v>0</v>
      </c>
      <c r="H57" s="2">
        <f t="shared" si="40"/>
        <v>0</v>
      </c>
      <c r="I57" s="29"/>
      <c r="J57" s="14"/>
      <c r="K57" s="20" t="e">
        <f t="shared" si="46"/>
        <v>#DIV/0!</v>
      </c>
      <c r="L57" s="4" t="e">
        <f t="shared" si="41"/>
        <v>#DIV/0!</v>
      </c>
      <c r="M57" s="103"/>
      <c r="N57" s="103"/>
      <c r="O57" s="34"/>
      <c r="P57" s="6"/>
      <c r="Q57" s="6"/>
    </row>
    <row r="58" spans="1:17">
      <c r="A58" s="13">
        <f t="shared" si="44"/>
        <v>46166</v>
      </c>
      <c r="B58" s="127"/>
      <c r="C58" s="127"/>
      <c r="D58" s="14"/>
      <c r="E58" s="14"/>
      <c r="F58" s="20" t="e">
        <f t="shared" si="45"/>
        <v>#DIV/0!</v>
      </c>
      <c r="G58" s="2">
        <f t="shared" ref="G58:G65" si="47">D58/($D$2*24)</f>
        <v>0</v>
      </c>
      <c r="H58" s="2">
        <f t="shared" si="40"/>
        <v>0</v>
      </c>
      <c r="I58" s="29"/>
      <c r="J58" s="14"/>
      <c r="K58" s="20" t="e">
        <f t="shared" si="46"/>
        <v>#DIV/0!</v>
      </c>
      <c r="L58" s="4" t="e">
        <f t="shared" si="41"/>
        <v>#DIV/0!</v>
      </c>
      <c r="M58" s="103"/>
      <c r="N58" s="103"/>
      <c r="O58" s="34"/>
      <c r="P58" s="6"/>
      <c r="Q58" s="288"/>
    </row>
    <row r="59" spans="1:17">
      <c r="A59" s="13">
        <f t="shared" si="44"/>
        <v>46167</v>
      </c>
      <c r="B59" s="1"/>
      <c r="C59" s="1"/>
      <c r="D59" s="14"/>
      <c r="E59" s="14"/>
      <c r="F59" s="20" t="e">
        <f t="shared" si="45"/>
        <v>#DIV/0!</v>
      </c>
      <c r="G59" s="2">
        <f t="shared" si="47"/>
        <v>0</v>
      </c>
      <c r="H59" s="2">
        <f t="shared" si="40"/>
        <v>0</v>
      </c>
      <c r="I59" s="29"/>
      <c r="J59" s="14"/>
      <c r="K59" s="20" t="e">
        <f t="shared" si="46"/>
        <v>#DIV/0!</v>
      </c>
      <c r="L59" s="4" t="e">
        <f t="shared" si="41"/>
        <v>#DIV/0!</v>
      </c>
      <c r="M59" s="103"/>
      <c r="N59" s="103"/>
      <c r="O59" s="34"/>
      <c r="P59" s="155"/>
      <c r="Q59" s="6"/>
    </row>
    <row r="60" spans="1:17">
      <c r="A60" s="13">
        <f t="shared" si="44"/>
        <v>46168</v>
      </c>
      <c r="B60" s="1"/>
      <c r="C60" s="1"/>
      <c r="D60" s="14"/>
      <c r="E60" s="14"/>
      <c r="F60" s="20" t="e">
        <f t="shared" si="45"/>
        <v>#DIV/0!</v>
      </c>
      <c r="G60" s="2">
        <f t="shared" si="47"/>
        <v>0</v>
      </c>
      <c r="H60" s="2">
        <f t="shared" si="40"/>
        <v>0</v>
      </c>
      <c r="I60" s="29"/>
      <c r="J60" s="14"/>
      <c r="K60" s="20" t="e">
        <f t="shared" si="46"/>
        <v>#DIV/0!</v>
      </c>
      <c r="L60" s="4" t="e">
        <f t="shared" si="41"/>
        <v>#DIV/0!</v>
      </c>
      <c r="M60" s="103"/>
      <c r="N60" s="103"/>
      <c r="O60" s="34"/>
      <c r="P60" s="6"/>
      <c r="Q60" s="123"/>
    </row>
    <row r="61" spans="1:17">
      <c r="A61" s="13">
        <f t="shared" si="44"/>
        <v>46169</v>
      </c>
      <c r="B61" s="1"/>
      <c r="C61" s="1"/>
      <c r="D61" s="14"/>
      <c r="E61" s="14"/>
      <c r="F61" s="20" t="e">
        <f t="shared" si="45"/>
        <v>#DIV/0!</v>
      </c>
      <c r="G61" s="2">
        <f t="shared" si="47"/>
        <v>0</v>
      </c>
      <c r="H61" s="2">
        <f t="shared" si="40"/>
        <v>0</v>
      </c>
      <c r="I61" s="29"/>
      <c r="J61" s="14"/>
      <c r="K61" s="20" t="e">
        <f t="shared" si="46"/>
        <v>#DIV/0!</v>
      </c>
      <c r="L61" s="4" t="e">
        <f t="shared" si="41"/>
        <v>#DIV/0!</v>
      </c>
      <c r="M61" s="103"/>
      <c r="N61" s="103"/>
      <c r="O61" s="34"/>
      <c r="P61" s="6"/>
      <c r="Q61" s="6"/>
    </row>
    <row r="62" spans="1:17">
      <c r="A62" s="13">
        <f t="shared" si="44"/>
        <v>46170</v>
      </c>
      <c r="B62" s="1"/>
      <c r="C62" s="1"/>
      <c r="D62" s="14"/>
      <c r="E62" s="14"/>
      <c r="F62" s="20" t="e">
        <f t="shared" si="45"/>
        <v>#DIV/0!</v>
      </c>
      <c r="G62" s="2">
        <f t="shared" si="47"/>
        <v>0</v>
      </c>
      <c r="H62" s="2">
        <f t="shared" ref="H62:H65" si="48">D62/($H$2*24)</f>
        <v>0</v>
      </c>
      <c r="I62" s="29"/>
      <c r="J62" s="14"/>
      <c r="K62" s="20" t="e">
        <f t="shared" si="46"/>
        <v>#DIV/0!</v>
      </c>
      <c r="L62" s="4" t="e">
        <f t="shared" si="41"/>
        <v>#DIV/0!</v>
      </c>
      <c r="M62" s="103"/>
      <c r="N62" s="103"/>
      <c r="O62" s="34"/>
      <c r="P62" s="6"/>
      <c r="Q62" s="6"/>
    </row>
    <row r="63" spans="1:17">
      <c r="A63" s="13">
        <f t="shared" si="44"/>
        <v>46171</v>
      </c>
      <c r="B63" s="1"/>
      <c r="C63" s="1"/>
      <c r="D63" s="14"/>
      <c r="E63" s="14"/>
      <c r="F63" s="20" t="e">
        <f t="shared" si="45"/>
        <v>#DIV/0!</v>
      </c>
      <c r="G63" s="2">
        <f t="shared" si="47"/>
        <v>0</v>
      </c>
      <c r="H63" s="2">
        <f t="shared" si="48"/>
        <v>0</v>
      </c>
      <c r="I63" s="29"/>
      <c r="J63" s="14"/>
      <c r="K63" s="20" t="e">
        <f t="shared" si="46"/>
        <v>#DIV/0!</v>
      </c>
      <c r="L63" s="4" t="e">
        <f t="shared" si="41"/>
        <v>#DIV/0!</v>
      </c>
      <c r="M63" s="103"/>
      <c r="N63" s="103"/>
      <c r="O63" s="34"/>
      <c r="P63" s="6"/>
      <c r="Q63" s="6"/>
    </row>
    <row r="64" spans="1:17">
      <c r="A64" s="13">
        <f t="shared" si="44"/>
        <v>46172</v>
      </c>
      <c r="B64" s="1"/>
      <c r="C64" s="1"/>
      <c r="D64" s="14"/>
      <c r="E64" s="14"/>
      <c r="F64" s="20" t="e">
        <f t="shared" si="45"/>
        <v>#DIV/0!</v>
      </c>
      <c r="G64" s="2">
        <f t="shared" si="47"/>
        <v>0</v>
      </c>
      <c r="H64" s="2">
        <f t="shared" si="48"/>
        <v>0</v>
      </c>
      <c r="I64" s="29"/>
      <c r="J64" s="14"/>
      <c r="K64" s="20" t="e">
        <f t="shared" si="46"/>
        <v>#DIV/0!</v>
      </c>
      <c r="L64" s="4" t="e">
        <f t="shared" si="41"/>
        <v>#DIV/0!</v>
      </c>
      <c r="M64" s="103"/>
      <c r="N64" s="103"/>
      <c r="O64" s="34"/>
      <c r="P64" s="6"/>
      <c r="Q64" s="6"/>
    </row>
    <row r="65" spans="1:17">
      <c r="A65" s="13">
        <f t="shared" si="44"/>
        <v>46173</v>
      </c>
      <c r="B65" s="1"/>
      <c r="C65" s="1"/>
      <c r="D65" s="14"/>
      <c r="E65" s="14"/>
      <c r="F65" s="20" t="e">
        <f t="shared" si="45"/>
        <v>#DIV/0!</v>
      </c>
      <c r="G65" s="2">
        <f t="shared" si="47"/>
        <v>0</v>
      </c>
      <c r="H65" s="2">
        <f t="shared" si="48"/>
        <v>0</v>
      </c>
      <c r="I65" s="29"/>
      <c r="J65" s="14"/>
      <c r="K65" s="20" t="e">
        <f t="shared" si="46"/>
        <v>#DIV/0!</v>
      </c>
      <c r="L65" s="4" t="e">
        <f t="shared" si="41"/>
        <v>#DIV/0!</v>
      </c>
      <c r="M65" s="103"/>
      <c r="N65" s="103"/>
      <c r="O65" s="34"/>
      <c r="P65" s="6"/>
      <c r="Q65" s="6"/>
    </row>
    <row r="66" spans="1:17">
      <c r="A66" s="349">
        <v>46143</v>
      </c>
      <c r="B66" s="89">
        <f>SUM(B35:B65)</f>
        <v>172450</v>
      </c>
      <c r="C66" s="89">
        <f>SUM(C35:C65)</f>
        <v>148085</v>
      </c>
      <c r="D66" s="89">
        <f>SUM(D35:D65)</f>
        <v>154522</v>
      </c>
      <c r="E66" s="89">
        <f>SUM(E35:E65)</f>
        <v>151100</v>
      </c>
      <c r="F66" s="160">
        <f>(IF(ISBLANK(E66),0,E66-C66))/C66</f>
        <v>2.0359928419488808E-2</v>
      </c>
      <c r="G66" s="90">
        <f>AVERAGE(G35:G65)</f>
        <v>4.3223904311145436E-2</v>
      </c>
      <c r="H66" s="90">
        <f>AVERAGE(H35:H65)</f>
        <v>5.2447186922993376E-2</v>
      </c>
      <c r="I66" s="89">
        <f>SUM(I35:I65)</f>
        <v>44.695</v>
      </c>
      <c r="J66" s="89">
        <f>SUM(J35:J65)</f>
        <v>41.029000000000003</v>
      </c>
      <c r="K66" s="160">
        <f>(IF(ISBLANK(J66),0,J66-I66))/I66</f>
        <v>-8.2022597605996131E-2</v>
      </c>
      <c r="L66" s="161">
        <f t="shared" si="41"/>
        <v>0.78380133094865068</v>
      </c>
      <c r="M66" s="90">
        <f>AVERAGE(M35:M65)</f>
        <v>0.99139999999999995</v>
      </c>
      <c r="N66" s="90">
        <f>AVERAGE(N35:N65)</f>
        <v>0.98509999999999986</v>
      </c>
      <c r="O66" s="89">
        <f>SUM(O35:O65)</f>
        <v>3434</v>
      </c>
      <c r="P66" s="89">
        <f>SUM(P35:P65)</f>
        <v>1302</v>
      </c>
      <c r="Q66" s="19"/>
    </row>
  </sheetData>
  <mergeCells count="4">
    <mergeCell ref="A1:Q1"/>
    <mergeCell ref="B2:C2"/>
    <mergeCell ref="E2:G2"/>
    <mergeCell ref="I2:J2"/>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0084-C1D8-447C-A438-88C999407D6C}">
  <dimension ref="A1:Q66"/>
  <sheetViews>
    <sheetView topLeftCell="A33" workbookViewId="0">
      <selection activeCell="O41" sqref="O41"/>
    </sheetView>
  </sheetViews>
  <sheetFormatPr defaultRowHeight="14.5"/>
  <cols>
    <col min="1" max="1" width="11.26953125" bestFit="1" customWidth="1"/>
    <col min="17" max="17" width="40" bestFit="1" customWidth="1"/>
  </cols>
  <sheetData>
    <row r="1" spans="1:17" ht="18.5">
      <c r="A1" s="417" t="s">
        <v>512</v>
      </c>
      <c r="B1" s="418"/>
      <c r="C1" s="418"/>
      <c r="D1" s="418"/>
      <c r="E1" s="418"/>
      <c r="F1" s="418"/>
      <c r="G1" s="418"/>
      <c r="H1" s="418"/>
      <c r="I1" s="418"/>
      <c r="J1" s="418"/>
      <c r="K1" s="418"/>
      <c r="L1" s="418"/>
      <c r="M1" s="418"/>
      <c r="N1" s="418"/>
      <c r="O1" s="418"/>
      <c r="P1" s="418"/>
      <c r="Q1" s="418"/>
    </row>
    <row r="2" spans="1:17" ht="18.5">
      <c r="A2" s="69">
        <v>46138</v>
      </c>
      <c r="B2" s="415" t="s">
        <v>172</v>
      </c>
      <c r="C2" s="416"/>
      <c r="D2" s="70">
        <v>1353</v>
      </c>
      <c r="E2" s="415" t="s">
        <v>173</v>
      </c>
      <c r="F2" s="415"/>
      <c r="G2" s="416"/>
      <c r="H2" s="70">
        <v>1100</v>
      </c>
      <c r="I2" s="415" t="s">
        <v>174</v>
      </c>
      <c r="J2" s="416"/>
      <c r="K2" s="71">
        <v>45569</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9326</v>
      </c>
      <c r="C4" s="39">
        <v>8046</v>
      </c>
      <c r="D4" s="49">
        <v>8135</v>
      </c>
      <c r="E4" s="49">
        <v>8055</v>
      </c>
      <c r="F4" s="21">
        <f t="shared" ref="F4:F34" si="0">(IF(ISBLANK(D4),0,D4-C4))/C4</f>
        <v>1.1061396967437236E-2</v>
      </c>
      <c r="G4" s="2">
        <f t="shared" ref="G4:G33" si="1">D4/($D$2*24)</f>
        <v>0.25052352796255234</v>
      </c>
      <c r="H4" s="2">
        <f t="shared" ref="H4:H33" si="2">D4/($H$2*24)</f>
        <v>0.30814393939393941</v>
      </c>
      <c r="I4" s="39">
        <v>9.0429999999999993</v>
      </c>
      <c r="J4" s="49">
        <v>7.4539999999999997</v>
      </c>
      <c r="K4" s="21">
        <f t="shared" ref="K4:K35" si="3">(IF(ISBLANK(J4),0,J4-I4))/I4</f>
        <v>-0.17571602344354745</v>
      </c>
      <c r="L4" s="22">
        <f t="shared" ref="L4:L33" si="4">D4/($D$2*J4)</f>
        <v>0.806622574604408</v>
      </c>
      <c r="M4" s="68">
        <v>1</v>
      </c>
      <c r="N4" s="68">
        <v>0.98040000000000005</v>
      </c>
      <c r="O4" s="49">
        <v>229</v>
      </c>
      <c r="P4" s="49">
        <v>0</v>
      </c>
      <c r="Q4" s="49" t="s">
        <v>492</v>
      </c>
    </row>
    <row r="5" spans="1:17">
      <c r="A5" s="79">
        <v>46114</v>
      </c>
      <c r="B5" s="46">
        <v>9326</v>
      </c>
      <c r="C5" s="46">
        <v>8046</v>
      </c>
      <c r="D5" s="50">
        <v>7926</v>
      </c>
      <c r="E5" s="50">
        <v>7800</v>
      </c>
      <c r="F5" s="21">
        <f t="shared" si="0"/>
        <v>-1.4914243102162566E-2</v>
      </c>
      <c r="G5" s="2">
        <f t="shared" si="1"/>
        <v>0.24408721359940871</v>
      </c>
      <c r="H5" s="2">
        <f t="shared" si="2"/>
        <v>0.30022727272727273</v>
      </c>
      <c r="I5" s="46">
        <v>9.0429999999999993</v>
      </c>
      <c r="J5" s="50">
        <v>6.9089999999999998</v>
      </c>
      <c r="K5" s="21">
        <f t="shared" si="3"/>
        <v>-0.23598363374986173</v>
      </c>
      <c r="L5" s="22">
        <f t="shared" si="4"/>
        <v>0.84789305635921397</v>
      </c>
      <c r="M5" s="66">
        <v>1</v>
      </c>
      <c r="N5" s="66">
        <v>1</v>
      </c>
      <c r="O5" s="50">
        <v>0</v>
      </c>
      <c r="P5" s="50">
        <v>0</v>
      </c>
      <c r="Q5" s="50" t="s">
        <v>175</v>
      </c>
    </row>
    <row r="6" spans="1:17">
      <c r="A6" s="79">
        <v>46115</v>
      </c>
      <c r="B6" s="46">
        <v>9326</v>
      </c>
      <c r="C6" s="46">
        <v>8046</v>
      </c>
      <c r="D6" s="50">
        <v>5089</v>
      </c>
      <c r="E6" s="50">
        <v>4995</v>
      </c>
      <c r="F6" s="21">
        <f t="shared" si="0"/>
        <v>-0.36751180710912257</v>
      </c>
      <c r="G6" s="2">
        <f t="shared" si="1"/>
        <v>0.15671963537817196</v>
      </c>
      <c r="H6" s="2">
        <f t="shared" si="2"/>
        <v>0.19276515151515153</v>
      </c>
      <c r="I6" s="46">
        <v>9.0429999999999993</v>
      </c>
      <c r="J6" s="50">
        <v>4.7380000000000004</v>
      </c>
      <c r="K6" s="21">
        <f t="shared" si="3"/>
        <v>-0.47605883003428057</v>
      </c>
      <c r="L6" s="22">
        <f t="shared" si="4"/>
        <v>0.79385209984721961</v>
      </c>
      <c r="M6" s="66">
        <v>1</v>
      </c>
      <c r="N6" s="66">
        <v>0.85199999999999998</v>
      </c>
      <c r="O6" s="50">
        <v>380</v>
      </c>
      <c r="P6" s="50">
        <v>0</v>
      </c>
      <c r="Q6" s="50" t="s">
        <v>513</v>
      </c>
    </row>
    <row r="7" spans="1:17">
      <c r="A7" s="79">
        <v>46116</v>
      </c>
      <c r="B7" s="46">
        <v>9326</v>
      </c>
      <c r="C7" s="46">
        <v>8046</v>
      </c>
      <c r="D7" s="50">
        <v>9999</v>
      </c>
      <c r="E7" s="50">
        <v>9885</v>
      </c>
      <c r="F7" s="21">
        <f t="shared" si="0"/>
        <v>0.24272930648769575</v>
      </c>
      <c r="G7" s="2">
        <f t="shared" si="1"/>
        <v>0.30792682926829268</v>
      </c>
      <c r="H7" s="2">
        <f t="shared" si="2"/>
        <v>0.37874999999999998</v>
      </c>
      <c r="I7" s="46">
        <v>9.0429999999999993</v>
      </c>
      <c r="J7" s="50">
        <v>8.7959999999999994</v>
      </c>
      <c r="K7" s="21">
        <f t="shared" si="3"/>
        <v>-2.7313944487448845E-2</v>
      </c>
      <c r="L7" s="22">
        <f t="shared" si="4"/>
        <v>0.84018234452467311</v>
      </c>
      <c r="M7" s="66">
        <v>1</v>
      </c>
      <c r="N7" s="66">
        <v>1</v>
      </c>
      <c r="O7" s="50">
        <v>0</v>
      </c>
      <c r="P7" s="50">
        <v>0</v>
      </c>
      <c r="Q7" s="50" t="s">
        <v>175</v>
      </c>
    </row>
    <row r="8" spans="1:17">
      <c r="A8" s="79">
        <v>46117</v>
      </c>
      <c r="B8" s="46">
        <v>9326</v>
      </c>
      <c r="C8" s="46">
        <v>8046</v>
      </c>
      <c r="D8" s="50">
        <v>8933</v>
      </c>
      <c r="E8" s="50">
        <v>8820</v>
      </c>
      <c r="F8" s="21">
        <f t="shared" si="0"/>
        <v>0.11024111359681829</v>
      </c>
      <c r="G8" s="2">
        <f t="shared" si="1"/>
        <v>0.27509854644000986</v>
      </c>
      <c r="H8" s="2">
        <f t="shared" si="2"/>
        <v>0.33837121212121213</v>
      </c>
      <c r="I8" s="46">
        <v>9.0429999999999993</v>
      </c>
      <c r="J8" s="50">
        <v>8.2750000000000004</v>
      </c>
      <c r="K8" s="21">
        <f t="shared" si="3"/>
        <v>-8.4927568284861102E-2</v>
      </c>
      <c r="L8" s="22">
        <f t="shared" si="4"/>
        <v>0.79786889601936384</v>
      </c>
      <c r="M8" s="66">
        <v>1</v>
      </c>
      <c r="N8" s="66">
        <v>0.95069999999999999</v>
      </c>
      <c r="O8" s="50">
        <v>637</v>
      </c>
      <c r="P8" s="50">
        <v>0</v>
      </c>
      <c r="Q8" s="50" t="s">
        <v>492</v>
      </c>
    </row>
    <row r="9" spans="1:17">
      <c r="A9" s="79">
        <v>46118</v>
      </c>
      <c r="B9" s="46">
        <v>9326</v>
      </c>
      <c r="C9" s="46">
        <v>8046</v>
      </c>
      <c r="D9" s="50">
        <v>9273</v>
      </c>
      <c r="E9" s="50">
        <v>9150</v>
      </c>
      <c r="F9" s="21">
        <f t="shared" si="0"/>
        <v>0.15249813571961224</v>
      </c>
      <c r="G9" s="2">
        <f t="shared" si="1"/>
        <v>0.28556910569105692</v>
      </c>
      <c r="H9" s="2">
        <f t="shared" si="2"/>
        <v>0.35125000000000001</v>
      </c>
      <c r="I9" s="46">
        <v>9.0429999999999993</v>
      </c>
      <c r="J9" s="50">
        <v>8.7309999999999999</v>
      </c>
      <c r="K9" s="21">
        <f t="shared" si="3"/>
        <v>-3.4501824615724805E-2</v>
      </c>
      <c r="L9" s="22">
        <f t="shared" si="4"/>
        <v>0.78497978886557851</v>
      </c>
      <c r="M9" s="66">
        <v>1</v>
      </c>
      <c r="N9" s="66">
        <v>0.95730000000000004</v>
      </c>
      <c r="O9" s="50">
        <v>522</v>
      </c>
      <c r="P9" s="50">
        <v>0</v>
      </c>
      <c r="Q9" s="50" t="s">
        <v>492</v>
      </c>
    </row>
    <row r="10" spans="1:17">
      <c r="A10" s="79">
        <v>46119</v>
      </c>
      <c r="B10" s="46">
        <v>9326</v>
      </c>
      <c r="C10" s="46">
        <v>8046</v>
      </c>
      <c r="D10" s="50">
        <v>5853</v>
      </c>
      <c r="E10" s="50">
        <v>5775</v>
      </c>
      <c r="F10" s="21">
        <f t="shared" si="0"/>
        <v>-0.27255779269202091</v>
      </c>
      <c r="G10" s="2">
        <f t="shared" si="1"/>
        <v>0.18024759793052475</v>
      </c>
      <c r="H10" s="2">
        <f t="shared" si="2"/>
        <v>0.22170454545454546</v>
      </c>
      <c r="I10" s="46">
        <v>9.0429999999999993</v>
      </c>
      <c r="J10" s="50">
        <v>5.6870000000000003</v>
      </c>
      <c r="K10" s="21">
        <f t="shared" si="3"/>
        <v>-0.37111578016145075</v>
      </c>
      <c r="L10" s="22">
        <f t="shared" si="4"/>
        <v>0.76067212068447232</v>
      </c>
      <c r="M10" s="66">
        <v>1</v>
      </c>
      <c r="N10" s="66">
        <v>0.91610000000000003</v>
      </c>
      <c r="O10" s="50">
        <v>682</v>
      </c>
      <c r="P10" s="50">
        <v>0</v>
      </c>
      <c r="Q10" s="50" t="s">
        <v>492</v>
      </c>
    </row>
    <row r="11" spans="1:17">
      <c r="A11" s="79">
        <v>46120</v>
      </c>
      <c r="B11" s="46">
        <v>9326</v>
      </c>
      <c r="C11" s="46">
        <v>8046</v>
      </c>
      <c r="D11" s="50">
        <v>8189</v>
      </c>
      <c r="E11" s="50">
        <v>8085</v>
      </c>
      <c r="F11" s="21">
        <f t="shared" si="0"/>
        <v>1.7772806363410391E-2</v>
      </c>
      <c r="G11" s="2">
        <f t="shared" si="1"/>
        <v>0.25218649913771862</v>
      </c>
      <c r="H11" s="2">
        <f t="shared" si="2"/>
        <v>0.31018939393939393</v>
      </c>
      <c r="I11" s="46">
        <v>9.0429999999999993</v>
      </c>
      <c r="J11" s="50">
        <v>8.6159999999999997</v>
      </c>
      <c r="K11" s="21">
        <f t="shared" si="3"/>
        <v>-4.7218843304213165E-2</v>
      </c>
      <c r="L11" s="22">
        <f t="shared" si="4"/>
        <v>0.70246935692957835</v>
      </c>
      <c r="M11" s="66">
        <v>1</v>
      </c>
      <c r="N11" s="66">
        <v>0.89319999999999999</v>
      </c>
      <c r="O11" s="50">
        <v>1186</v>
      </c>
      <c r="P11" s="50">
        <v>0</v>
      </c>
      <c r="Q11" s="50" t="s">
        <v>492</v>
      </c>
    </row>
    <row r="12" spans="1:17">
      <c r="A12" s="79">
        <v>46121</v>
      </c>
      <c r="B12" s="46">
        <v>9326</v>
      </c>
      <c r="C12" s="46">
        <v>8046</v>
      </c>
      <c r="D12" s="50">
        <v>8819</v>
      </c>
      <c r="E12" s="50">
        <v>8700</v>
      </c>
      <c r="F12" s="21">
        <f t="shared" si="0"/>
        <v>9.6072582649763857E-2</v>
      </c>
      <c r="G12" s="2">
        <f t="shared" si="1"/>
        <v>0.27158782951465876</v>
      </c>
      <c r="H12" s="2">
        <f t="shared" si="2"/>
        <v>0.3340530303030303</v>
      </c>
      <c r="I12" s="46">
        <v>9.0429999999999993</v>
      </c>
      <c r="J12" s="50">
        <v>8.5500000000000007</v>
      </c>
      <c r="K12" s="21">
        <f t="shared" si="3"/>
        <v>-5.4517306203693307E-2</v>
      </c>
      <c r="L12" s="22">
        <f t="shared" si="4"/>
        <v>0.76235180214641052</v>
      </c>
      <c r="M12" s="66">
        <v>1</v>
      </c>
      <c r="N12" s="66">
        <v>0.95220000000000005</v>
      </c>
      <c r="O12" s="50">
        <v>564</v>
      </c>
      <c r="P12" s="50">
        <v>0</v>
      </c>
      <c r="Q12" s="50" t="s">
        <v>492</v>
      </c>
    </row>
    <row r="13" spans="1:17">
      <c r="A13" s="79">
        <v>46122</v>
      </c>
      <c r="B13" s="46">
        <v>9326</v>
      </c>
      <c r="C13" s="46">
        <v>8046</v>
      </c>
      <c r="D13" s="50">
        <v>9302</v>
      </c>
      <c r="E13" s="50">
        <v>9210</v>
      </c>
      <c r="F13" s="21">
        <f t="shared" si="0"/>
        <v>0.15610241113596818</v>
      </c>
      <c r="G13" s="2">
        <f t="shared" si="1"/>
        <v>0.28646218280364621</v>
      </c>
      <c r="H13" s="2">
        <f t="shared" si="2"/>
        <v>0.35234848484848486</v>
      </c>
      <c r="I13" s="46">
        <v>9.0429999999999993</v>
      </c>
      <c r="J13" s="50">
        <v>9.0410000000000004</v>
      </c>
      <c r="K13" s="21">
        <f t="shared" si="3"/>
        <v>-2.211655424083702E-4</v>
      </c>
      <c r="L13" s="22">
        <f t="shared" si="4"/>
        <v>0.76043495047975995</v>
      </c>
      <c r="M13" s="66">
        <v>1</v>
      </c>
      <c r="N13" s="66">
        <v>0.95640000000000003</v>
      </c>
      <c r="O13" s="50">
        <v>561</v>
      </c>
      <c r="P13" s="50">
        <v>0</v>
      </c>
      <c r="Q13" s="50" t="s">
        <v>504</v>
      </c>
    </row>
    <row r="14" spans="1:17">
      <c r="A14" s="79">
        <v>46123</v>
      </c>
      <c r="B14" s="46">
        <v>9326</v>
      </c>
      <c r="C14" s="46">
        <v>8046</v>
      </c>
      <c r="D14" s="50">
        <v>9488</v>
      </c>
      <c r="E14" s="50">
        <v>9390</v>
      </c>
      <c r="F14" s="21">
        <f t="shared" si="0"/>
        <v>0.17921948794432016</v>
      </c>
      <c r="G14" s="2">
        <f t="shared" si="1"/>
        <v>0.29219019462921902</v>
      </c>
      <c r="H14" s="2">
        <f t="shared" si="2"/>
        <v>0.35939393939393938</v>
      </c>
      <c r="I14" s="46">
        <v>9.0429999999999993</v>
      </c>
      <c r="J14" s="50">
        <v>8.7289999999999992</v>
      </c>
      <c r="K14" s="21">
        <f t="shared" si="3"/>
        <v>-3.472299015813337E-2</v>
      </c>
      <c r="L14" s="22">
        <f t="shared" si="4"/>
        <v>0.80336403609820795</v>
      </c>
      <c r="M14" s="66">
        <v>1</v>
      </c>
      <c r="N14" s="66">
        <v>1</v>
      </c>
      <c r="O14" s="50">
        <v>0</v>
      </c>
      <c r="P14" s="50">
        <v>0</v>
      </c>
      <c r="Q14" s="50" t="s">
        <v>175</v>
      </c>
    </row>
    <row r="15" spans="1:17">
      <c r="A15" s="79">
        <v>46124</v>
      </c>
      <c r="B15" s="46">
        <v>9326</v>
      </c>
      <c r="C15" s="46">
        <v>8046</v>
      </c>
      <c r="D15" s="50">
        <v>9882</v>
      </c>
      <c r="E15" s="50">
        <v>9750</v>
      </c>
      <c r="F15" s="21">
        <f t="shared" si="0"/>
        <v>0.22818791946308725</v>
      </c>
      <c r="G15" s="2">
        <f t="shared" si="1"/>
        <v>0.30432372505543237</v>
      </c>
      <c r="H15" s="2">
        <f t="shared" si="2"/>
        <v>0.37431818181818183</v>
      </c>
      <c r="I15" s="46">
        <v>9.0429999999999993</v>
      </c>
      <c r="J15" s="50">
        <v>9.032</v>
      </c>
      <c r="K15" s="21">
        <f t="shared" si="3"/>
        <v>-1.2164104832466255E-3</v>
      </c>
      <c r="L15" s="22">
        <f t="shared" si="4"/>
        <v>0.80865471671062628</v>
      </c>
      <c r="M15" s="66">
        <v>1</v>
      </c>
      <c r="N15" s="66">
        <v>1</v>
      </c>
      <c r="O15" s="50">
        <v>0</v>
      </c>
      <c r="P15" s="50">
        <v>0</v>
      </c>
      <c r="Q15" s="50" t="s">
        <v>175</v>
      </c>
    </row>
    <row r="16" spans="1:17">
      <c r="A16" s="79">
        <v>46125</v>
      </c>
      <c r="B16" s="46">
        <v>9326</v>
      </c>
      <c r="C16" s="46">
        <v>8046</v>
      </c>
      <c r="D16" s="50">
        <v>9755</v>
      </c>
      <c r="E16" s="50">
        <v>9690</v>
      </c>
      <c r="F16" s="21">
        <f t="shared" si="0"/>
        <v>0.21240367884663186</v>
      </c>
      <c r="G16" s="2">
        <f t="shared" si="1"/>
        <v>0.30041266321754129</v>
      </c>
      <c r="H16" s="2">
        <f t="shared" si="2"/>
        <v>0.36950757575757576</v>
      </c>
      <c r="I16" s="46">
        <v>9.0429999999999993</v>
      </c>
      <c r="J16" s="50">
        <v>8.8889999999999993</v>
      </c>
      <c r="K16" s="21">
        <f t="shared" si="3"/>
        <v>-1.7029746765453935E-2</v>
      </c>
      <c r="L16" s="22">
        <f t="shared" si="4"/>
        <v>0.81110405188671286</v>
      </c>
      <c r="M16" s="66">
        <v>1</v>
      </c>
      <c r="N16" s="66">
        <v>1</v>
      </c>
      <c r="O16" s="50">
        <v>0</v>
      </c>
      <c r="P16" s="50">
        <v>0</v>
      </c>
      <c r="Q16" s="50" t="s">
        <v>175</v>
      </c>
    </row>
    <row r="17" spans="1:17">
      <c r="A17" s="79">
        <v>46126</v>
      </c>
      <c r="B17" s="46">
        <v>9326</v>
      </c>
      <c r="C17" s="46">
        <v>8046</v>
      </c>
      <c r="D17" s="50">
        <v>9659</v>
      </c>
      <c r="E17" s="50">
        <v>9570</v>
      </c>
      <c r="F17" s="21">
        <f t="shared" si="0"/>
        <v>0.2004722843649018</v>
      </c>
      <c r="G17" s="2">
        <f t="shared" si="1"/>
        <v>0.29745627001724562</v>
      </c>
      <c r="H17" s="2">
        <f t="shared" si="2"/>
        <v>0.3658712121212121</v>
      </c>
      <c r="I17" s="46">
        <v>9.0429999999999993</v>
      </c>
      <c r="J17" s="50">
        <v>9.1639999999999997</v>
      </c>
      <c r="K17" s="21">
        <f t="shared" si="3"/>
        <v>1.3380515315713862E-2</v>
      </c>
      <c r="L17" s="22">
        <f t="shared" si="4"/>
        <v>0.77902122221888859</v>
      </c>
      <c r="M17" s="66">
        <v>1</v>
      </c>
      <c r="N17" s="66">
        <v>0.96489999999999998</v>
      </c>
      <c r="O17" s="50">
        <v>451</v>
      </c>
      <c r="P17" s="50">
        <v>0</v>
      </c>
      <c r="Q17" s="50" t="s">
        <v>505</v>
      </c>
    </row>
    <row r="18" spans="1:17">
      <c r="A18" s="79">
        <v>46127</v>
      </c>
      <c r="B18" s="46">
        <v>9326</v>
      </c>
      <c r="C18" s="46">
        <v>8046</v>
      </c>
      <c r="D18" s="50">
        <v>9057</v>
      </c>
      <c r="E18" s="50">
        <v>8970</v>
      </c>
      <c r="F18" s="21">
        <f t="shared" si="0"/>
        <v>0.1256524981357196</v>
      </c>
      <c r="G18" s="2">
        <f t="shared" si="1"/>
        <v>0.27891722099039173</v>
      </c>
      <c r="H18" s="2">
        <f t="shared" si="2"/>
        <v>0.34306818181818183</v>
      </c>
      <c r="I18" s="46">
        <v>9.0429999999999993</v>
      </c>
      <c r="J18" s="50">
        <v>8.6129999999999995</v>
      </c>
      <c r="K18" s="21">
        <f t="shared" si="3"/>
        <v>-4.7550591617825919E-2</v>
      </c>
      <c r="L18" s="22">
        <f t="shared" si="4"/>
        <v>0.77719880457092783</v>
      </c>
      <c r="M18" s="66">
        <v>1</v>
      </c>
      <c r="N18" s="66">
        <v>0.96099999999999997</v>
      </c>
      <c r="O18" s="50">
        <v>484</v>
      </c>
      <c r="P18" s="50">
        <v>0</v>
      </c>
      <c r="Q18" s="50" t="s">
        <v>497</v>
      </c>
    </row>
    <row r="19" spans="1:17">
      <c r="A19" s="79">
        <v>46128</v>
      </c>
      <c r="B19" s="46">
        <v>9326</v>
      </c>
      <c r="C19" s="46">
        <v>8046</v>
      </c>
      <c r="D19" s="50">
        <v>9563</v>
      </c>
      <c r="E19" s="50">
        <v>9465</v>
      </c>
      <c r="F19" s="21">
        <f t="shared" si="0"/>
        <v>0.18854088988317177</v>
      </c>
      <c r="G19" s="2">
        <f t="shared" si="1"/>
        <v>0.29449987681695</v>
      </c>
      <c r="H19" s="2">
        <f t="shared" si="2"/>
        <v>0.36223484848484849</v>
      </c>
      <c r="I19" s="46">
        <v>9.0429999999999993</v>
      </c>
      <c r="J19" s="50">
        <v>9.0449999999999999</v>
      </c>
      <c r="K19" s="21">
        <f t="shared" si="3"/>
        <v>2.2116554240856663E-4</v>
      </c>
      <c r="L19" s="22">
        <f t="shared" si="4"/>
        <v>0.78142587546786069</v>
      </c>
      <c r="M19" s="66">
        <v>1</v>
      </c>
      <c r="N19" s="66">
        <v>0.97819999999999996</v>
      </c>
      <c r="O19" s="50">
        <v>259</v>
      </c>
      <c r="P19" s="50">
        <v>0</v>
      </c>
      <c r="Q19" s="50" t="s">
        <v>497</v>
      </c>
    </row>
    <row r="20" spans="1:17">
      <c r="A20" s="79">
        <v>46129</v>
      </c>
      <c r="B20" s="46">
        <v>9326</v>
      </c>
      <c r="C20" s="46">
        <v>8046</v>
      </c>
      <c r="D20" s="50">
        <v>9549</v>
      </c>
      <c r="E20" s="50">
        <v>9450</v>
      </c>
      <c r="F20" s="21">
        <f t="shared" si="0"/>
        <v>0.18680089485458612</v>
      </c>
      <c r="G20" s="2">
        <f t="shared" si="1"/>
        <v>0.29406873614190687</v>
      </c>
      <c r="H20" s="2">
        <f t="shared" si="2"/>
        <v>0.36170454545454545</v>
      </c>
      <c r="I20" s="46">
        <v>9.0429999999999993</v>
      </c>
      <c r="J20" s="50">
        <v>9.0719999999999992</v>
      </c>
      <c r="K20" s="21">
        <f t="shared" si="3"/>
        <v>3.2069003649231359E-3</v>
      </c>
      <c r="L20" s="22">
        <f t="shared" si="4"/>
        <v>0.77795961942303415</v>
      </c>
      <c r="M20" s="66">
        <v>1</v>
      </c>
      <c r="N20" s="66">
        <v>0.95740000000000003</v>
      </c>
      <c r="O20" s="50">
        <v>543</v>
      </c>
      <c r="P20" s="50">
        <v>0</v>
      </c>
      <c r="Q20" s="50" t="s">
        <v>497</v>
      </c>
    </row>
    <row r="21" spans="1:17">
      <c r="A21" s="79">
        <v>46130</v>
      </c>
      <c r="B21" s="46">
        <v>9326</v>
      </c>
      <c r="C21" s="46">
        <v>8046</v>
      </c>
      <c r="D21" s="50">
        <v>9891</v>
      </c>
      <c r="E21" s="50">
        <v>9795</v>
      </c>
      <c r="F21" s="21">
        <f t="shared" si="0"/>
        <v>0.22930648769574943</v>
      </c>
      <c r="G21" s="2">
        <f t="shared" si="1"/>
        <v>0.30460088691796011</v>
      </c>
      <c r="H21" s="2">
        <f t="shared" si="2"/>
        <v>0.37465909090909089</v>
      </c>
      <c r="I21" s="46">
        <v>9.0429999999999993</v>
      </c>
      <c r="J21" s="50">
        <v>9.5210000000000008</v>
      </c>
      <c r="K21" s="21">
        <f t="shared" si="3"/>
        <v>5.2858564635629941E-2</v>
      </c>
      <c r="L21" s="22">
        <f t="shared" si="4"/>
        <v>0.76782074215219431</v>
      </c>
      <c r="M21" s="66">
        <v>1</v>
      </c>
      <c r="N21" s="66">
        <v>0.96430000000000005</v>
      </c>
      <c r="O21" s="50">
        <v>452</v>
      </c>
      <c r="P21" s="50">
        <v>0</v>
      </c>
      <c r="Q21" s="50" t="s">
        <v>498</v>
      </c>
    </row>
    <row r="22" spans="1:17">
      <c r="A22" s="79">
        <v>46131</v>
      </c>
      <c r="B22" s="46">
        <v>9326</v>
      </c>
      <c r="C22" s="46">
        <v>8046</v>
      </c>
      <c r="D22" s="50">
        <v>9110</v>
      </c>
      <c r="E22" s="50">
        <v>9000</v>
      </c>
      <c r="F22" s="21">
        <f t="shared" si="0"/>
        <v>0.13223962217250809</v>
      </c>
      <c r="G22" s="2">
        <f t="shared" si="1"/>
        <v>0.28054939640305493</v>
      </c>
      <c r="H22" s="2">
        <f t="shared" si="2"/>
        <v>0.34507575757575759</v>
      </c>
      <c r="I22" s="46">
        <v>9.0429999999999993</v>
      </c>
      <c r="J22" s="50">
        <v>9.3840000000000003</v>
      </c>
      <c r="K22" s="21">
        <f t="shared" si="3"/>
        <v>3.7708724980648138E-2</v>
      </c>
      <c r="L22" s="22">
        <f t="shared" si="4"/>
        <v>0.71751763785947553</v>
      </c>
      <c r="M22" s="66">
        <v>1</v>
      </c>
      <c r="N22" s="66">
        <v>0.93259999999999998</v>
      </c>
      <c r="O22" s="50">
        <v>887</v>
      </c>
      <c r="P22" s="50">
        <v>0</v>
      </c>
      <c r="Q22" s="50" t="s">
        <v>499</v>
      </c>
    </row>
    <row r="23" spans="1:17">
      <c r="A23" s="79">
        <v>46132</v>
      </c>
      <c r="B23" s="46">
        <v>9326</v>
      </c>
      <c r="C23" s="46">
        <v>8046</v>
      </c>
      <c r="D23" s="50">
        <v>9564</v>
      </c>
      <c r="E23" s="50">
        <v>9480</v>
      </c>
      <c r="F23" s="21">
        <f t="shared" si="0"/>
        <v>0.18866517524235646</v>
      </c>
      <c r="G23" s="2">
        <f t="shared" si="1"/>
        <v>0.29453067257945309</v>
      </c>
      <c r="H23" s="2">
        <f t="shared" si="2"/>
        <v>0.36227272727272725</v>
      </c>
      <c r="I23" s="46">
        <v>9.0429999999999993</v>
      </c>
      <c r="J23" s="50">
        <v>9.5250000000000004</v>
      </c>
      <c r="K23" s="21">
        <f t="shared" si="3"/>
        <v>5.3300895720446877E-2</v>
      </c>
      <c r="L23" s="22">
        <f t="shared" si="4"/>
        <v>0.74212452933405493</v>
      </c>
      <c r="M23" s="66">
        <v>1</v>
      </c>
      <c r="N23" s="66">
        <v>0.95899999999999996</v>
      </c>
      <c r="O23" s="50">
        <v>554</v>
      </c>
      <c r="P23" s="50">
        <v>0</v>
      </c>
      <c r="Q23" s="50" t="s">
        <v>499</v>
      </c>
    </row>
    <row r="24" spans="1:17">
      <c r="A24" s="79">
        <v>46133</v>
      </c>
      <c r="B24" s="46">
        <v>9326</v>
      </c>
      <c r="C24" s="46">
        <v>8046</v>
      </c>
      <c r="D24" s="50">
        <v>9920</v>
      </c>
      <c r="E24" s="50">
        <v>9810</v>
      </c>
      <c r="F24" s="21">
        <f t="shared" si="0"/>
        <v>0.2329107631121054</v>
      </c>
      <c r="G24" s="2">
        <f t="shared" si="1"/>
        <v>0.3054939640305494</v>
      </c>
      <c r="H24" s="2">
        <f t="shared" si="2"/>
        <v>0.37575757575757573</v>
      </c>
      <c r="I24" s="46">
        <v>9.0429999999999993</v>
      </c>
      <c r="J24" s="50">
        <v>9.6080000000000005</v>
      </c>
      <c r="K24" s="21">
        <f t="shared" si="3"/>
        <v>6.2479265730399351E-2</v>
      </c>
      <c r="L24" s="22">
        <f t="shared" si="4"/>
        <v>0.76309899424783356</v>
      </c>
      <c r="M24" s="66">
        <v>1</v>
      </c>
      <c r="N24" s="66">
        <v>0.95820000000000005</v>
      </c>
      <c r="O24" s="50">
        <v>571</v>
      </c>
      <c r="P24" s="50">
        <v>0</v>
      </c>
      <c r="Q24" s="50" t="s">
        <v>500</v>
      </c>
    </row>
    <row r="25" spans="1:17">
      <c r="A25" s="79">
        <v>46134</v>
      </c>
      <c r="B25" s="46">
        <v>9326</v>
      </c>
      <c r="C25" s="46">
        <v>8046</v>
      </c>
      <c r="D25" s="50">
        <v>9968</v>
      </c>
      <c r="E25" s="50">
        <v>9870</v>
      </c>
      <c r="F25" s="21">
        <f t="shared" si="0"/>
        <v>0.23887646035297042</v>
      </c>
      <c r="G25" s="2">
        <f t="shared" si="1"/>
        <v>0.30697216063069721</v>
      </c>
      <c r="H25" s="2">
        <f t="shared" si="2"/>
        <v>0.37757575757575756</v>
      </c>
      <c r="I25" s="46">
        <v>9.0429999999999993</v>
      </c>
      <c r="J25" s="50">
        <v>9.66</v>
      </c>
      <c r="K25" s="21">
        <f t="shared" si="3"/>
        <v>6.8229569833020115E-2</v>
      </c>
      <c r="L25" s="22">
        <f t="shared" si="4"/>
        <v>0.76266375311974466</v>
      </c>
      <c r="M25" s="66">
        <v>1</v>
      </c>
      <c r="N25" s="66">
        <v>0.94640000000000002</v>
      </c>
      <c r="O25" s="50">
        <v>729</v>
      </c>
      <c r="P25" s="50">
        <v>0</v>
      </c>
      <c r="Q25" s="50" t="s">
        <v>500</v>
      </c>
    </row>
    <row r="26" spans="1:17">
      <c r="A26" s="79">
        <v>46135</v>
      </c>
      <c r="B26" s="46">
        <v>9326</v>
      </c>
      <c r="C26" s="46">
        <v>8046</v>
      </c>
      <c r="D26" s="50">
        <v>9778</v>
      </c>
      <c r="E26" s="50">
        <v>9690</v>
      </c>
      <c r="F26" s="21">
        <f t="shared" si="0"/>
        <v>0.2152622421078797</v>
      </c>
      <c r="G26" s="2">
        <f t="shared" si="1"/>
        <v>0.3011209657551121</v>
      </c>
      <c r="H26" s="2">
        <f t="shared" si="2"/>
        <v>0.37037878787878786</v>
      </c>
      <c r="I26" s="46">
        <v>9.0429999999999993</v>
      </c>
      <c r="J26" s="50">
        <v>9.3889999999999993</v>
      </c>
      <c r="K26" s="21">
        <f t="shared" si="3"/>
        <v>3.8261638836669262E-2</v>
      </c>
      <c r="L26" s="22">
        <f t="shared" si="4"/>
        <v>0.76972022346604441</v>
      </c>
      <c r="M26" s="66">
        <v>1</v>
      </c>
      <c r="N26" s="66">
        <v>0.96099999999999997</v>
      </c>
      <c r="O26" s="50">
        <v>491</v>
      </c>
      <c r="P26" s="50">
        <v>0</v>
      </c>
      <c r="Q26" s="50" t="s">
        <v>499</v>
      </c>
    </row>
    <row r="27" spans="1:17">
      <c r="A27" s="79">
        <v>46136</v>
      </c>
      <c r="B27" s="46">
        <v>9326</v>
      </c>
      <c r="C27" s="46">
        <v>8046</v>
      </c>
      <c r="D27" s="50">
        <v>9829</v>
      </c>
      <c r="E27" s="50">
        <v>9720</v>
      </c>
      <c r="F27" s="21">
        <f t="shared" si="0"/>
        <v>0.22160079542629879</v>
      </c>
      <c r="G27" s="2">
        <f t="shared" si="1"/>
        <v>0.30269154964276918</v>
      </c>
      <c r="H27" s="2">
        <f t="shared" si="2"/>
        <v>0.37231060606060606</v>
      </c>
      <c r="I27" s="46">
        <v>9.0429999999999993</v>
      </c>
      <c r="J27" s="50">
        <v>9.2520000000000007</v>
      </c>
      <c r="K27" s="21">
        <f t="shared" si="3"/>
        <v>2.311179918168765E-2</v>
      </c>
      <c r="L27" s="22">
        <f t="shared" si="4"/>
        <v>0.78519208727047773</v>
      </c>
      <c r="M27" s="66">
        <v>1</v>
      </c>
      <c r="N27" s="66">
        <v>0.97989999999999999</v>
      </c>
      <c r="O27" s="50">
        <v>253</v>
      </c>
      <c r="P27" s="50">
        <v>0</v>
      </c>
      <c r="Q27" s="50" t="s">
        <v>499</v>
      </c>
    </row>
    <row r="28" spans="1:17">
      <c r="A28" s="79">
        <v>46137</v>
      </c>
      <c r="B28" s="46">
        <v>9326</v>
      </c>
      <c r="C28" s="46">
        <v>8046</v>
      </c>
      <c r="D28" s="50">
        <v>9893</v>
      </c>
      <c r="E28" s="50">
        <v>9810</v>
      </c>
      <c r="F28" s="21">
        <f t="shared" si="0"/>
        <v>0.22955505841411883</v>
      </c>
      <c r="G28" s="2">
        <f t="shared" si="1"/>
        <v>0.30466247844296623</v>
      </c>
      <c r="H28" s="2">
        <f t="shared" si="2"/>
        <v>0.3747348484848485</v>
      </c>
      <c r="I28" s="46">
        <v>9.0429999999999993</v>
      </c>
      <c r="J28" s="50">
        <v>9.2200000000000006</v>
      </c>
      <c r="K28" s="21">
        <f t="shared" si="3"/>
        <v>1.9573150503151764E-2</v>
      </c>
      <c r="L28" s="22">
        <f t="shared" si="4"/>
        <v>0.79304766622897926</v>
      </c>
      <c r="M28" s="66">
        <v>1</v>
      </c>
      <c r="N28" s="66">
        <v>1</v>
      </c>
      <c r="O28" s="50">
        <v>0</v>
      </c>
      <c r="P28" s="50">
        <v>0</v>
      </c>
      <c r="Q28" s="50"/>
    </row>
    <row r="29" spans="1:17">
      <c r="A29" s="79">
        <v>46138</v>
      </c>
      <c r="B29" s="46">
        <v>9326</v>
      </c>
      <c r="C29" s="46">
        <v>8046</v>
      </c>
      <c r="D29" s="50">
        <v>9339</v>
      </c>
      <c r="E29" s="50">
        <v>9255</v>
      </c>
      <c r="F29" s="21">
        <f t="shared" si="0"/>
        <v>0.16070096942580164</v>
      </c>
      <c r="G29" s="2">
        <f t="shared" si="1"/>
        <v>0.28760162601626016</v>
      </c>
      <c r="H29" s="2">
        <f t="shared" si="2"/>
        <v>0.35375000000000001</v>
      </c>
      <c r="I29" s="46">
        <v>9.0429999999999993</v>
      </c>
      <c r="J29" s="50">
        <v>9.6280000000000001</v>
      </c>
      <c r="K29" s="21">
        <f t="shared" si="3"/>
        <v>6.4690921154484229E-2</v>
      </c>
      <c r="L29" s="22">
        <f t="shared" si="4"/>
        <v>0.71691306859059456</v>
      </c>
      <c r="M29" s="66">
        <v>1</v>
      </c>
      <c r="N29" s="66">
        <v>0.94430000000000003</v>
      </c>
      <c r="O29" s="50">
        <v>710</v>
      </c>
      <c r="P29" s="50">
        <v>0</v>
      </c>
      <c r="Q29" s="50" t="s">
        <v>499</v>
      </c>
    </row>
    <row r="30" spans="1:17">
      <c r="A30" s="79">
        <v>46139</v>
      </c>
      <c r="B30" s="46">
        <v>9326</v>
      </c>
      <c r="C30" s="46">
        <v>8046</v>
      </c>
      <c r="D30" s="50">
        <v>9531</v>
      </c>
      <c r="E30" s="50">
        <v>9435</v>
      </c>
      <c r="F30" s="21">
        <f t="shared" si="0"/>
        <v>0.18456375838926176</v>
      </c>
      <c r="G30" s="2">
        <f t="shared" si="1"/>
        <v>0.29351441241685144</v>
      </c>
      <c r="H30" s="2">
        <f t="shared" si="2"/>
        <v>0.36102272727272727</v>
      </c>
      <c r="I30" s="46">
        <v>9.0429999999999993</v>
      </c>
      <c r="J30" s="50">
        <v>9.3179999999999996</v>
      </c>
      <c r="K30" s="21">
        <f t="shared" si="3"/>
        <v>3.0410262081167795E-2</v>
      </c>
      <c r="L30" s="22">
        <f t="shared" si="4"/>
        <v>0.75599333526555434</v>
      </c>
      <c r="M30" s="66">
        <v>1</v>
      </c>
      <c r="N30" s="66">
        <v>0.96609999999999996</v>
      </c>
      <c r="O30" s="50">
        <v>456</v>
      </c>
      <c r="P30" s="50">
        <v>0</v>
      </c>
      <c r="Q30" s="50" t="s">
        <v>500</v>
      </c>
    </row>
    <row r="31" spans="1:17">
      <c r="A31" s="79">
        <v>46140</v>
      </c>
      <c r="B31" s="46">
        <v>9326</v>
      </c>
      <c r="C31" s="46">
        <v>8046</v>
      </c>
      <c r="D31" s="50">
        <v>9148</v>
      </c>
      <c r="E31" s="50">
        <v>9045</v>
      </c>
      <c r="F31" s="21">
        <f t="shared" si="0"/>
        <v>0.13696246582152621</v>
      </c>
      <c r="G31" s="2">
        <f t="shared" si="1"/>
        <v>0.28171963537817196</v>
      </c>
      <c r="H31" s="2">
        <f t="shared" si="2"/>
        <v>0.3465151515151515</v>
      </c>
      <c r="I31" s="46">
        <v>9.0429999999999993</v>
      </c>
      <c r="J31" s="50">
        <v>8.9190000000000005</v>
      </c>
      <c r="K31" s="21">
        <f t="shared" si="3"/>
        <v>-1.3712263629326416E-2</v>
      </c>
      <c r="L31" s="22">
        <f t="shared" si="4"/>
        <v>0.75807503633547779</v>
      </c>
      <c r="M31" s="66">
        <v>1</v>
      </c>
      <c r="N31" s="66">
        <v>0.95430000000000004</v>
      </c>
      <c r="O31" s="50">
        <v>579</v>
      </c>
      <c r="P31" s="50">
        <v>0</v>
      </c>
      <c r="Q31" s="50" t="s">
        <v>499</v>
      </c>
    </row>
    <row r="32" spans="1:17">
      <c r="A32" s="79">
        <v>46141</v>
      </c>
      <c r="B32" s="46">
        <v>9326</v>
      </c>
      <c r="C32" s="46">
        <v>8046</v>
      </c>
      <c r="D32" s="50">
        <v>8917</v>
      </c>
      <c r="E32" s="50">
        <v>8820</v>
      </c>
      <c r="F32" s="21">
        <f t="shared" si="0"/>
        <v>0.10825254784986328</v>
      </c>
      <c r="G32" s="2">
        <f t="shared" si="1"/>
        <v>0.27460581423996056</v>
      </c>
      <c r="H32" s="2">
        <f t="shared" si="2"/>
        <v>0.33776515151515152</v>
      </c>
      <c r="I32" s="46">
        <v>9.0429999999999993</v>
      </c>
      <c r="J32" s="50">
        <v>8.8439999999999994</v>
      </c>
      <c r="K32" s="21">
        <f t="shared" si="3"/>
        <v>-2.2005971469645013E-2</v>
      </c>
      <c r="L32" s="22">
        <f t="shared" si="4"/>
        <v>0.74519895316135853</v>
      </c>
      <c r="M32" s="66">
        <v>1</v>
      </c>
      <c r="N32" s="66">
        <v>0.94940000000000002</v>
      </c>
      <c r="O32" s="50">
        <v>658</v>
      </c>
      <c r="P32" s="50">
        <v>0</v>
      </c>
      <c r="Q32" s="50" t="s">
        <v>499</v>
      </c>
    </row>
    <row r="33" spans="1:17">
      <c r="A33" s="79">
        <v>46142</v>
      </c>
      <c r="B33" s="46">
        <v>9326</v>
      </c>
      <c r="C33" s="46">
        <v>8046</v>
      </c>
      <c r="D33" s="50">
        <v>8232</v>
      </c>
      <c r="E33" s="50">
        <v>8130</v>
      </c>
      <c r="F33" s="21">
        <f t="shared" si="0"/>
        <v>2.3117076808351976E-2</v>
      </c>
      <c r="G33" s="2">
        <f t="shared" si="1"/>
        <v>0.2535107169253511</v>
      </c>
      <c r="H33" s="2">
        <f t="shared" si="2"/>
        <v>0.31181818181818183</v>
      </c>
      <c r="I33" s="46">
        <v>9.0429999999999993</v>
      </c>
      <c r="J33" s="50">
        <v>8.0120000000000005</v>
      </c>
      <c r="K33" s="21">
        <f t="shared" si="3"/>
        <v>-0.11401083711157789</v>
      </c>
      <c r="L33" s="22">
        <f t="shared" si="4"/>
        <v>0.75939306118427674</v>
      </c>
      <c r="M33" s="66">
        <v>1</v>
      </c>
      <c r="N33" s="66">
        <v>0.95509999999999995</v>
      </c>
      <c r="O33" s="50">
        <v>562</v>
      </c>
      <c r="P33" s="50">
        <v>0</v>
      </c>
      <c r="Q33" s="50" t="s">
        <v>499</v>
      </c>
    </row>
    <row r="34" spans="1:17">
      <c r="A34" s="349">
        <v>46113</v>
      </c>
      <c r="B34" s="84">
        <f>SUM(B4:B33)</f>
        <v>279780</v>
      </c>
      <c r="C34" s="84">
        <f>SUM(C4:C33)</f>
        <v>241380</v>
      </c>
      <c r="D34" s="84">
        <f>SUM(D4:D33)</f>
        <v>271591</v>
      </c>
      <c r="E34" s="84">
        <f>SUM(E4:E33)</f>
        <v>268620</v>
      </c>
      <c r="F34" s="160">
        <f t="shared" si="0"/>
        <v>0.12515949954428701</v>
      </c>
      <c r="G34" s="167">
        <f>AVERAGE(G4:G33)</f>
        <v>0.27879506446579622</v>
      </c>
      <c r="H34" s="167">
        <f>AVERAGE(H4:H33)</f>
        <v>0.34291792929292936</v>
      </c>
      <c r="I34" s="84">
        <f>SUM(I4:I33)</f>
        <v>271.29000000000013</v>
      </c>
      <c r="J34" s="84">
        <f>SUM(J4:J33)</f>
        <v>259.62100000000004</v>
      </c>
      <c r="K34" s="160">
        <f t="shared" si="3"/>
        <v>-4.3013011906078702E-2</v>
      </c>
      <c r="L34" s="167">
        <f>AVERAGE(L4:L33)</f>
        <v>0.77442714683510006</v>
      </c>
      <c r="M34" s="167">
        <f>AVERAGE(M4:M33)</f>
        <v>1</v>
      </c>
      <c r="N34" s="167">
        <f>AVERAGE(N4:N33)</f>
        <v>0.9596800000000002</v>
      </c>
      <c r="O34" s="84">
        <f>SUM(O4:O33)</f>
        <v>13400</v>
      </c>
      <c r="P34" s="84">
        <f>SUM(P4:P33)</f>
        <v>0</v>
      </c>
      <c r="Q34" s="84" t="s">
        <v>175</v>
      </c>
    </row>
    <row r="35" spans="1:17">
      <c r="A35" s="13">
        <v>46143</v>
      </c>
      <c r="B35" s="127">
        <v>9718</v>
      </c>
      <c r="C35" s="127">
        <v>8383</v>
      </c>
      <c r="D35" s="33">
        <v>8686</v>
      </c>
      <c r="E35" s="33">
        <v>8580</v>
      </c>
      <c r="F35" s="20">
        <f>(IF(ISBLANK(E35),0,E35-C35))/C35</f>
        <v>2.3499940355481332E-2</v>
      </c>
      <c r="G35" s="2">
        <f t="shared" ref="G35:G57" si="5">D35/($D$2*24)</f>
        <v>0.2674919931017492</v>
      </c>
      <c r="H35" s="2">
        <f t="shared" ref="H35:H61" si="6">D35/($H$2*24)</f>
        <v>0.32901515151515154</v>
      </c>
      <c r="I35" s="28">
        <v>8.9390000000000001</v>
      </c>
      <c r="J35" s="33">
        <v>8.1869999999999994</v>
      </c>
      <c r="K35" s="20">
        <f t="shared" si="3"/>
        <v>-8.4125741134355142E-2</v>
      </c>
      <c r="L35" s="4">
        <f t="shared" ref="L35:L66" si="7">D35/($D$2*J35)</f>
        <v>0.78414655361450858</v>
      </c>
      <c r="M35" s="104">
        <v>1</v>
      </c>
      <c r="N35" s="104">
        <v>0.97399999999999998</v>
      </c>
      <c r="O35" s="33">
        <v>341</v>
      </c>
      <c r="P35" s="6">
        <v>0</v>
      </c>
      <c r="Q35" s="50" t="s">
        <v>499</v>
      </c>
    </row>
    <row r="36" spans="1:17">
      <c r="A36" s="13">
        <f>A35+1</f>
        <v>46144</v>
      </c>
      <c r="B36" s="127">
        <v>9718</v>
      </c>
      <c r="C36" s="127">
        <v>8383</v>
      </c>
      <c r="D36" s="34">
        <v>8466</v>
      </c>
      <c r="E36" s="34">
        <v>8340</v>
      </c>
      <c r="F36" s="20">
        <f t="shared" ref="F36:F54" si="8">(IF(ISBLANK(E36),0,E36-C36))/C36</f>
        <v>-5.1294286055111535E-3</v>
      </c>
      <c r="G36" s="2">
        <f t="shared" si="5"/>
        <v>0.26071692535107172</v>
      </c>
      <c r="H36" s="2">
        <f t="shared" si="6"/>
        <v>0.32068181818181818</v>
      </c>
      <c r="I36" s="28">
        <v>8.9390000000000001</v>
      </c>
      <c r="J36" s="34">
        <v>7.8869999999999996</v>
      </c>
      <c r="K36" s="20">
        <f t="shared" ref="K36:K54" si="9">(IF(ISBLANK(J36),0,J36-I36))/I36</f>
        <v>-0.11768654211880529</v>
      </c>
      <c r="L36" s="4">
        <f t="shared" si="7"/>
        <v>0.7933569428712719</v>
      </c>
      <c r="M36" s="104">
        <v>1</v>
      </c>
      <c r="N36" s="104">
        <v>0.97499999999999998</v>
      </c>
      <c r="O36" s="34">
        <v>321</v>
      </c>
      <c r="P36" s="6">
        <v>0</v>
      </c>
      <c r="Q36" s="50" t="s">
        <v>499</v>
      </c>
    </row>
    <row r="37" spans="1:17">
      <c r="A37" s="13">
        <f t="shared" ref="A37:A65" si="10">A36+1</f>
        <v>46145</v>
      </c>
      <c r="B37" s="127">
        <v>9718</v>
      </c>
      <c r="C37" s="127">
        <v>8383</v>
      </c>
      <c r="D37" s="34">
        <v>8729</v>
      </c>
      <c r="E37" s="34">
        <v>8640</v>
      </c>
      <c r="F37" s="20">
        <f t="shared" si="8"/>
        <v>3.0657282595729453E-2</v>
      </c>
      <c r="G37" s="2">
        <f t="shared" si="5"/>
        <v>0.26881621088938162</v>
      </c>
      <c r="H37" s="2">
        <f t="shared" si="6"/>
        <v>0.33064393939393938</v>
      </c>
      <c r="I37" s="28">
        <v>8.9390000000000001</v>
      </c>
      <c r="J37" s="34">
        <v>8.5329999999999995</v>
      </c>
      <c r="K37" s="20">
        <f t="shared" si="9"/>
        <v>-4.5418950665622619E-2</v>
      </c>
      <c r="L37" s="4">
        <f t="shared" si="7"/>
        <v>0.75607512731104642</v>
      </c>
      <c r="M37" s="104">
        <v>1</v>
      </c>
      <c r="N37" s="104">
        <v>0.94579999999999997</v>
      </c>
      <c r="O37" s="34">
        <v>747</v>
      </c>
      <c r="P37" s="6">
        <v>0</v>
      </c>
      <c r="Q37" s="50" t="s">
        <v>499</v>
      </c>
    </row>
    <row r="38" spans="1:17">
      <c r="A38" s="13">
        <f t="shared" si="10"/>
        <v>46146</v>
      </c>
      <c r="B38" s="127">
        <v>9718</v>
      </c>
      <c r="C38" s="127">
        <v>8383</v>
      </c>
      <c r="D38" s="34">
        <v>9050</v>
      </c>
      <c r="E38" s="34">
        <v>8940</v>
      </c>
      <c r="F38" s="20">
        <f t="shared" si="8"/>
        <v>6.6443993796970052E-2</v>
      </c>
      <c r="G38" s="2">
        <f t="shared" si="5"/>
        <v>0.27870165065287017</v>
      </c>
      <c r="H38" s="2">
        <f t="shared" si="6"/>
        <v>0.34280303030303028</v>
      </c>
      <c r="I38" s="28">
        <v>8.9390000000000001</v>
      </c>
      <c r="J38" s="34">
        <v>8.1359999999999992</v>
      </c>
      <c r="K38" s="20">
        <f t="shared" si="9"/>
        <v>-8.9831077301711693E-2</v>
      </c>
      <c r="L38" s="4">
        <f t="shared" si="7"/>
        <v>0.82212876298781756</v>
      </c>
      <c r="M38" s="104">
        <v>1</v>
      </c>
      <c r="N38" s="104">
        <v>1</v>
      </c>
      <c r="O38" s="34">
        <v>0</v>
      </c>
      <c r="P38" s="6">
        <v>0</v>
      </c>
      <c r="Q38" s="14"/>
    </row>
    <row r="39" spans="1:17">
      <c r="A39" s="13">
        <f t="shared" si="10"/>
        <v>46147</v>
      </c>
      <c r="B39" s="127">
        <v>9718</v>
      </c>
      <c r="C39" s="127">
        <v>8383</v>
      </c>
      <c r="D39" s="34">
        <v>8413</v>
      </c>
      <c r="E39" s="34">
        <v>8295</v>
      </c>
      <c r="F39" s="20">
        <f t="shared" si="8"/>
        <v>-1.0497435285697245E-2</v>
      </c>
      <c r="G39" s="2">
        <f t="shared" si="5"/>
        <v>0.25908474993840847</v>
      </c>
      <c r="H39" s="2">
        <f t="shared" si="6"/>
        <v>0.31867424242424242</v>
      </c>
      <c r="I39" s="28">
        <v>8.9390000000000001</v>
      </c>
      <c r="J39" s="34">
        <v>7.58</v>
      </c>
      <c r="K39" s="20">
        <f t="shared" si="9"/>
        <v>-0.15203042845955922</v>
      </c>
      <c r="L39" s="4">
        <f t="shared" si="7"/>
        <v>0.82032110798440683</v>
      </c>
      <c r="M39" s="104">
        <v>1</v>
      </c>
      <c r="N39" s="104">
        <v>1</v>
      </c>
      <c r="O39" s="34">
        <v>0</v>
      </c>
      <c r="P39" s="6">
        <v>0</v>
      </c>
      <c r="Q39" s="14"/>
    </row>
    <row r="40" spans="1:17">
      <c r="A40" s="13">
        <f t="shared" si="10"/>
        <v>46148</v>
      </c>
      <c r="B40" s="127"/>
      <c r="C40" s="127"/>
      <c r="D40" s="34"/>
      <c r="E40" s="34"/>
      <c r="F40" s="20" t="e">
        <f t="shared" si="8"/>
        <v>#DIV/0!</v>
      </c>
      <c r="G40" s="2">
        <f t="shared" si="5"/>
        <v>0</v>
      </c>
      <c r="H40" s="2">
        <f t="shared" si="6"/>
        <v>0</v>
      </c>
      <c r="I40" s="29"/>
      <c r="J40" s="34"/>
      <c r="K40" s="20" t="e">
        <f t="shared" si="9"/>
        <v>#DIV/0!</v>
      </c>
      <c r="L40" s="4" t="e">
        <f t="shared" si="7"/>
        <v>#DIV/0!</v>
      </c>
      <c r="M40" s="103"/>
      <c r="N40" s="103"/>
      <c r="O40" s="34"/>
      <c r="P40" s="6"/>
      <c r="Q40" s="14"/>
    </row>
    <row r="41" spans="1:17">
      <c r="A41" s="13">
        <f t="shared" si="10"/>
        <v>46149</v>
      </c>
      <c r="B41" s="127"/>
      <c r="C41" s="127"/>
      <c r="D41" s="34"/>
      <c r="E41" s="34"/>
      <c r="F41" s="20" t="e">
        <f t="shared" si="8"/>
        <v>#DIV/0!</v>
      </c>
      <c r="G41" s="2">
        <f t="shared" si="5"/>
        <v>0</v>
      </c>
      <c r="H41" s="2">
        <f t="shared" si="6"/>
        <v>0</v>
      </c>
      <c r="I41" s="29"/>
      <c r="J41" s="34"/>
      <c r="K41" s="20" t="e">
        <f t="shared" si="9"/>
        <v>#DIV/0!</v>
      </c>
      <c r="L41" s="4" t="e">
        <f t="shared" si="7"/>
        <v>#DIV/0!</v>
      </c>
      <c r="M41" s="103"/>
      <c r="N41" s="103"/>
      <c r="O41" s="34"/>
      <c r="P41" s="6"/>
      <c r="Q41" s="202"/>
    </row>
    <row r="42" spans="1:17">
      <c r="A42" s="13">
        <f t="shared" si="10"/>
        <v>46150</v>
      </c>
      <c r="B42" s="127"/>
      <c r="C42" s="127"/>
      <c r="D42" s="34"/>
      <c r="E42" s="34"/>
      <c r="F42" s="20" t="e">
        <f t="shared" si="8"/>
        <v>#DIV/0!</v>
      </c>
      <c r="G42" s="2">
        <f t="shared" si="5"/>
        <v>0</v>
      </c>
      <c r="H42" s="2">
        <f t="shared" si="6"/>
        <v>0</v>
      </c>
      <c r="I42" s="29"/>
      <c r="J42" s="34"/>
      <c r="K42" s="20" t="e">
        <f t="shared" si="9"/>
        <v>#DIV/0!</v>
      </c>
      <c r="L42" s="4" t="e">
        <f t="shared" si="7"/>
        <v>#DIV/0!</v>
      </c>
      <c r="M42" s="103"/>
      <c r="N42" s="103"/>
      <c r="O42" s="34"/>
      <c r="P42" s="6"/>
      <c r="Q42" s="14"/>
    </row>
    <row r="43" spans="1:17">
      <c r="A43" s="13">
        <f t="shared" si="10"/>
        <v>46151</v>
      </c>
      <c r="B43" s="127"/>
      <c r="C43" s="127"/>
      <c r="D43" s="34"/>
      <c r="E43" s="34"/>
      <c r="F43" s="20" t="e">
        <f t="shared" si="8"/>
        <v>#DIV/0!</v>
      </c>
      <c r="G43" s="2">
        <f t="shared" si="5"/>
        <v>0</v>
      </c>
      <c r="H43" s="2">
        <f t="shared" si="6"/>
        <v>0</v>
      </c>
      <c r="I43" s="29"/>
      <c r="J43" s="34"/>
      <c r="K43" s="20" t="e">
        <f t="shared" si="9"/>
        <v>#DIV/0!</v>
      </c>
      <c r="L43" s="4" t="e">
        <f t="shared" si="7"/>
        <v>#DIV/0!</v>
      </c>
      <c r="M43" s="103"/>
      <c r="N43" s="103"/>
      <c r="O43" s="34"/>
      <c r="P43" s="6"/>
      <c r="Q43" s="6"/>
    </row>
    <row r="44" spans="1:17">
      <c r="A44" s="13">
        <f t="shared" si="10"/>
        <v>46152</v>
      </c>
      <c r="B44" s="127"/>
      <c r="C44" s="127"/>
      <c r="D44" s="34"/>
      <c r="E44" s="34"/>
      <c r="F44" s="20" t="e">
        <f t="shared" si="8"/>
        <v>#DIV/0!</v>
      </c>
      <c r="G44" s="2">
        <f t="shared" si="5"/>
        <v>0</v>
      </c>
      <c r="H44" s="2">
        <f t="shared" si="6"/>
        <v>0</v>
      </c>
      <c r="I44" s="29"/>
      <c r="J44" s="34"/>
      <c r="K44" s="20" t="e">
        <f t="shared" si="9"/>
        <v>#DIV/0!</v>
      </c>
      <c r="L44" s="4" t="e">
        <f t="shared" si="7"/>
        <v>#DIV/0!</v>
      </c>
      <c r="M44" s="103"/>
      <c r="N44" s="103"/>
      <c r="O44" s="34"/>
      <c r="P44" s="6"/>
      <c r="Q44" s="16"/>
    </row>
    <row r="45" spans="1:17">
      <c r="A45" s="13">
        <f t="shared" si="10"/>
        <v>46153</v>
      </c>
      <c r="B45" s="127"/>
      <c r="C45" s="127"/>
      <c r="D45" s="34"/>
      <c r="E45" s="34"/>
      <c r="F45" s="20" t="e">
        <f t="shared" si="8"/>
        <v>#DIV/0!</v>
      </c>
      <c r="G45" s="2">
        <f t="shared" si="5"/>
        <v>0</v>
      </c>
      <c r="H45" s="2">
        <f t="shared" si="6"/>
        <v>0</v>
      </c>
      <c r="I45" s="29"/>
      <c r="J45" s="34"/>
      <c r="K45" s="20" t="e">
        <f t="shared" si="9"/>
        <v>#DIV/0!</v>
      </c>
      <c r="L45" s="4" t="e">
        <f t="shared" si="7"/>
        <v>#DIV/0!</v>
      </c>
      <c r="M45" s="103"/>
      <c r="N45" s="103"/>
      <c r="O45" s="34"/>
      <c r="P45" s="6"/>
      <c r="Q45" s="6"/>
    </row>
    <row r="46" spans="1:17">
      <c r="A46" s="13">
        <f t="shared" si="10"/>
        <v>46154</v>
      </c>
      <c r="B46" s="127"/>
      <c r="C46" s="127"/>
      <c r="D46" s="34"/>
      <c r="E46" s="34"/>
      <c r="F46" s="20" t="e">
        <f t="shared" si="8"/>
        <v>#DIV/0!</v>
      </c>
      <c r="G46" s="2">
        <f t="shared" si="5"/>
        <v>0</v>
      </c>
      <c r="H46" s="2">
        <f t="shared" si="6"/>
        <v>0</v>
      </c>
      <c r="I46" s="29"/>
      <c r="J46" s="34"/>
      <c r="K46" s="20" t="e">
        <f t="shared" si="9"/>
        <v>#DIV/0!</v>
      </c>
      <c r="L46" s="4" t="e">
        <f t="shared" si="7"/>
        <v>#DIV/0!</v>
      </c>
      <c r="M46" s="104"/>
      <c r="N46" s="103"/>
      <c r="O46" s="34"/>
      <c r="P46" s="6"/>
      <c r="Q46" s="6"/>
    </row>
    <row r="47" spans="1:17">
      <c r="A47" s="13">
        <f t="shared" si="10"/>
        <v>46155</v>
      </c>
      <c r="B47" s="127"/>
      <c r="C47" s="127"/>
      <c r="D47" s="34"/>
      <c r="E47" s="34"/>
      <c r="F47" s="20" t="e">
        <f t="shared" si="8"/>
        <v>#DIV/0!</v>
      </c>
      <c r="G47" s="2">
        <f t="shared" si="5"/>
        <v>0</v>
      </c>
      <c r="H47" s="2">
        <f t="shared" si="6"/>
        <v>0</v>
      </c>
      <c r="I47" s="29"/>
      <c r="J47" s="34"/>
      <c r="K47" s="20" t="e">
        <f t="shared" si="9"/>
        <v>#DIV/0!</v>
      </c>
      <c r="L47" s="4" t="e">
        <f t="shared" si="7"/>
        <v>#DIV/0!</v>
      </c>
      <c r="M47" s="104"/>
      <c r="N47" s="103"/>
      <c r="O47" s="34"/>
      <c r="P47" s="6"/>
      <c r="Q47" s="31"/>
    </row>
    <row r="48" spans="1:17">
      <c r="A48" s="13">
        <f t="shared" si="10"/>
        <v>46156</v>
      </c>
      <c r="B48" s="127"/>
      <c r="C48" s="127"/>
      <c r="D48" s="34"/>
      <c r="E48" s="34"/>
      <c r="F48" s="20" t="e">
        <f t="shared" si="8"/>
        <v>#DIV/0!</v>
      </c>
      <c r="G48" s="2">
        <f t="shared" si="5"/>
        <v>0</v>
      </c>
      <c r="H48" s="2">
        <f t="shared" si="6"/>
        <v>0</v>
      </c>
      <c r="I48" s="29"/>
      <c r="J48" s="34"/>
      <c r="K48" s="20" t="e">
        <f t="shared" si="9"/>
        <v>#DIV/0!</v>
      </c>
      <c r="L48" s="4" t="e">
        <f t="shared" si="7"/>
        <v>#DIV/0!</v>
      </c>
      <c r="M48" s="104"/>
      <c r="N48" s="103"/>
      <c r="O48" s="34"/>
      <c r="P48" s="6"/>
      <c r="Q48" s="32"/>
    </row>
    <row r="49" spans="1:17">
      <c r="A49" s="13">
        <f t="shared" si="10"/>
        <v>46157</v>
      </c>
      <c r="B49" s="127"/>
      <c r="C49" s="127"/>
      <c r="D49" s="34"/>
      <c r="E49" s="34"/>
      <c r="F49" s="20" t="e">
        <f t="shared" si="8"/>
        <v>#DIV/0!</v>
      </c>
      <c r="G49" s="2">
        <f t="shared" si="5"/>
        <v>0</v>
      </c>
      <c r="H49" s="2">
        <f t="shared" si="6"/>
        <v>0</v>
      </c>
      <c r="I49" s="29"/>
      <c r="J49" s="34"/>
      <c r="K49" s="20" t="e">
        <f t="shared" si="9"/>
        <v>#DIV/0!</v>
      </c>
      <c r="L49" s="4" t="e">
        <f t="shared" si="7"/>
        <v>#DIV/0!</v>
      </c>
      <c r="M49" s="104"/>
      <c r="N49" s="103"/>
      <c r="O49" s="34"/>
      <c r="P49" s="6"/>
      <c r="Q49" s="32"/>
    </row>
    <row r="50" spans="1:17">
      <c r="A50" s="13">
        <f t="shared" si="10"/>
        <v>46158</v>
      </c>
      <c r="B50" s="127"/>
      <c r="C50" s="127"/>
      <c r="D50" s="34"/>
      <c r="E50" s="34"/>
      <c r="F50" s="20" t="e">
        <f t="shared" si="8"/>
        <v>#DIV/0!</v>
      </c>
      <c r="G50" s="2">
        <f t="shared" si="5"/>
        <v>0</v>
      </c>
      <c r="H50" s="2">
        <f t="shared" si="6"/>
        <v>0</v>
      </c>
      <c r="I50" s="29"/>
      <c r="J50" s="34"/>
      <c r="K50" s="20" t="e">
        <f t="shared" si="9"/>
        <v>#DIV/0!</v>
      </c>
      <c r="L50" s="4" t="e">
        <f t="shared" si="7"/>
        <v>#DIV/0!</v>
      </c>
      <c r="M50" s="104"/>
      <c r="N50" s="103"/>
      <c r="O50" s="34"/>
      <c r="P50" s="6"/>
      <c r="Q50" s="32"/>
    </row>
    <row r="51" spans="1:17">
      <c r="A51" s="13">
        <f t="shared" si="10"/>
        <v>46159</v>
      </c>
      <c r="B51" s="127"/>
      <c r="C51" s="127"/>
      <c r="D51" s="34"/>
      <c r="E51" s="34"/>
      <c r="F51" s="20" t="e">
        <f t="shared" si="8"/>
        <v>#DIV/0!</v>
      </c>
      <c r="G51" s="2">
        <f t="shared" si="5"/>
        <v>0</v>
      </c>
      <c r="H51" s="2">
        <f t="shared" si="6"/>
        <v>0</v>
      </c>
      <c r="I51" s="29"/>
      <c r="J51" s="34"/>
      <c r="K51" s="20" t="e">
        <f t="shared" si="9"/>
        <v>#DIV/0!</v>
      </c>
      <c r="L51" s="4" t="e">
        <f t="shared" si="7"/>
        <v>#DIV/0!</v>
      </c>
      <c r="M51" s="103"/>
      <c r="N51" s="103"/>
      <c r="O51" s="34"/>
      <c r="P51" s="6"/>
      <c r="Q51" s="6"/>
    </row>
    <row r="52" spans="1:17">
      <c r="A52" s="13">
        <f t="shared" si="10"/>
        <v>46160</v>
      </c>
      <c r="B52" s="127"/>
      <c r="C52" s="127"/>
      <c r="D52" s="34"/>
      <c r="E52" s="34"/>
      <c r="F52" s="20" t="e">
        <f t="shared" si="8"/>
        <v>#DIV/0!</v>
      </c>
      <c r="G52" s="2">
        <f t="shared" si="5"/>
        <v>0</v>
      </c>
      <c r="H52" s="2">
        <f t="shared" si="6"/>
        <v>0</v>
      </c>
      <c r="I52" s="29"/>
      <c r="J52" s="34"/>
      <c r="K52" s="20" t="e">
        <f t="shared" si="9"/>
        <v>#DIV/0!</v>
      </c>
      <c r="L52" s="4" t="e">
        <f t="shared" si="7"/>
        <v>#DIV/0!</v>
      </c>
      <c r="M52" s="103"/>
      <c r="N52" s="103"/>
      <c r="O52" s="34"/>
      <c r="P52" s="6"/>
      <c r="Q52" s="14"/>
    </row>
    <row r="53" spans="1:17">
      <c r="A53" s="13">
        <f t="shared" si="10"/>
        <v>46161</v>
      </c>
      <c r="B53" s="127"/>
      <c r="C53" s="127"/>
      <c r="D53" s="34"/>
      <c r="E53" s="34"/>
      <c r="F53" s="20" t="e">
        <f t="shared" si="8"/>
        <v>#DIV/0!</v>
      </c>
      <c r="G53" s="2">
        <f t="shared" si="5"/>
        <v>0</v>
      </c>
      <c r="H53" s="2">
        <f t="shared" si="6"/>
        <v>0</v>
      </c>
      <c r="I53" s="29"/>
      <c r="J53" s="34"/>
      <c r="K53" s="20" t="e">
        <f t="shared" si="9"/>
        <v>#DIV/0!</v>
      </c>
      <c r="L53" s="4" t="e">
        <f t="shared" si="7"/>
        <v>#DIV/0!</v>
      </c>
      <c r="M53" s="103"/>
      <c r="N53" s="103"/>
      <c r="O53" s="34"/>
      <c r="P53" s="6"/>
      <c r="Q53" s="14"/>
    </row>
    <row r="54" spans="1:17">
      <c r="A54" s="13">
        <f t="shared" si="10"/>
        <v>46162</v>
      </c>
      <c r="B54" s="127"/>
      <c r="C54" s="127"/>
      <c r="D54" s="34"/>
      <c r="E54" s="34"/>
      <c r="F54" s="20" t="e">
        <f t="shared" si="8"/>
        <v>#DIV/0!</v>
      </c>
      <c r="G54" s="2">
        <f t="shared" si="5"/>
        <v>0</v>
      </c>
      <c r="H54" s="2">
        <f t="shared" si="6"/>
        <v>0</v>
      </c>
      <c r="I54" s="29"/>
      <c r="J54" s="34"/>
      <c r="K54" s="20" t="e">
        <f t="shared" si="9"/>
        <v>#DIV/0!</v>
      </c>
      <c r="L54" s="4" t="e">
        <f t="shared" si="7"/>
        <v>#DIV/0!</v>
      </c>
      <c r="M54" s="103"/>
      <c r="N54" s="103"/>
      <c r="O54" s="34"/>
      <c r="P54" s="6"/>
      <c r="Q54" s="14"/>
    </row>
    <row r="55" spans="1:17">
      <c r="A55" s="13">
        <f t="shared" si="10"/>
        <v>46163</v>
      </c>
      <c r="B55" s="127"/>
      <c r="C55" s="127"/>
      <c r="D55" s="34"/>
      <c r="E55" s="34"/>
      <c r="F55" s="20" t="e">
        <f>(IF(ISBLANK(E55),0,E55-C55))/C55</f>
        <v>#DIV/0!</v>
      </c>
      <c r="G55" s="2">
        <f t="shared" si="5"/>
        <v>0</v>
      </c>
      <c r="H55" s="2">
        <f t="shared" si="6"/>
        <v>0</v>
      </c>
      <c r="I55" s="29"/>
      <c r="J55" s="34"/>
      <c r="K55" s="20" t="e">
        <f>(IF(ISBLANK(J55),0,J55-I55))/I55</f>
        <v>#DIV/0!</v>
      </c>
      <c r="L55" s="4" t="e">
        <f t="shared" si="7"/>
        <v>#DIV/0!</v>
      </c>
      <c r="M55" s="103"/>
      <c r="N55" s="103"/>
      <c r="O55" s="34"/>
      <c r="P55" s="6"/>
      <c r="Q55" s="6"/>
    </row>
    <row r="56" spans="1:17">
      <c r="A56" s="13">
        <f t="shared" si="10"/>
        <v>46164</v>
      </c>
      <c r="B56" s="127"/>
      <c r="C56" s="127"/>
      <c r="D56" s="34"/>
      <c r="E56" s="34"/>
      <c r="F56" s="20" t="e">
        <f t="shared" ref="F56:F65" si="11">(IF(ISBLANK(E56),0,E56-C56))/C56</f>
        <v>#DIV/0!</v>
      </c>
      <c r="G56" s="2">
        <f t="shared" si="5"/>
        <v>0</v>
      </c>
      <c r="H56" s="2">
        <f t="shared" si="6"/>
        <v>0</v>
      </c>
      <c r="I56" s="29"/>
      <c r="J56" s="34"/>
      <c r="K56" s="20" t="e">
        <f t="shared" ref="K56:K65" si="12">(IF(ISBLANK(J56),0,J56-I56))/I56</f>
        <v>#DIV/0!</v>
      </c>
      <c r="L56" s="4" t="e">
        <f t="shared" si="7"/>
        <v>#DIV/0!</v>
      </c>
      <c r="M56" s="103"/>
      <c r="N56" s="103"/>
      <c r="O56" s="34"/>
      <c r="P56" s="6"/>
      <c r="Q56" s="6"/>
    </row>
    <row r="57" spans="1:17">
      <c r="A57" s="13">
        <f t="shared" si="10"/>
        <v>46165</v>
      </c>
      <c r="B57" s="127"/>
      <c r="C57" s="127"/>
      <c r="D57" s="14"/>
      <c r="E57" s="14"/>
      <c r="F57" s="20" t="e">
        <f t="shared" si="11"/>
        <v>#DIV/0!</v>
      </c>
      <c r="G57" s="2">
        <f t="shared" si="5"/>
        <v>0</v>
      </c>
      <c r="H57" s="2">
        <f t="shared" si="6"/>
        <v>0</v>
      </c>
      <c r="I57" s="29"/>
      <c r="J57" s="14"/>
      <c r="K57" s="20" t="e">
        <f t="shared" si="12"/>
        <v>#DIV/0!</v>
      </c>
      <c r="L57" s="4" t="e">
        <f t="shared" si="7"/>
        <v>#DIV/0!</v>
      </c>
      <c r="M57" s="103"/>
      <c r="N57" s="103"/>
      <c r="O57" s="34"/>
      <c r="P57" s="6"/>
      <c r="Q57" s="6"/>
    </row>
    <row r="58" spans="1:17">
      <c r="A58" s="13">
        <f t="shared" si="10"/>
        <v>46166</v>
      </c>
      <c r="B58" s="127"/>
      <c r="C58" s="127"/>
      <c r="D58" s="14"/>
      <c r="E58" s="14"/>
      <c r="F58" s="20" t="e">
        <f t="shared" si="11"/>
        <v>#DIV/0!</v>
      </c>
      <c r="G58" s="2">
        <f t="shared" ref="G58:G65" si="13">D58/($D$2*24)</f>
        <v>0</v>
      </c>
      <c r="H58" s="2">
        <f t="shared" si="6"/>
        <v>0</v>
      </c>
      <c r="I58" s="29"/>
      <c r="J58" s="14"/>
      <c r="K58" s="20" t="e">
        <f t="shared" si="12"/>
        <v>#DIV/0!</v>
      </c>
      <c r="L58" s="4" t="e">
        <f t="shared" si="7"/>
        <v>#DIV/0!</v>
      </c>
      <c r="M58" s="103"/>
      <c r="N58" s="103"/>
      <c r="O58" s="34"/>
      <c r="P58" s="6"/>
      <c r="Q58" s="288"/>
    </row>
    <row r="59" spans="1:17">
      <c r="A59" s="13">
        <f t="shared" si="10"/>
        <v>46167</v>
      </c>
      <c r="B59" s="1"/>
      <c r="C59" s="1"/>
      <c r="D59" s="14"/>
      <c r="E59" s="14"/>
      <c r="F59" s="20" t="e">
        <f t="shared" si="11"/>
        <v>#DIV/0!</v>
      </c>
      <c r="G59" s="2">
        <f t="shared" si="13"/>
        <v>0</v>
      </c>
      <c r="H59" s="2">
        <f t="shared" si="6"/>
        <v>0</v>
      </c>
      <c r="I59" s="29"/>
      <c r="J59" s="14"/>
      <c r="K59" s="20" t="e">
        <f t="shared" si="12"/>
        <v>#DIV/0!</v>
      </c>
      <c r="L59" s="4" t="e">
        <f t="shared" si="7"/>
        <v>#DIV/0!</v>
      </c>
      <c r="M59" s="103"/>
      <c r="N59" s="103"/>
      <c r="O59" s="34"/>
      <c r="P59" s="155"/>
      <c r="Q59" s="6"/>
    </row>
    <row r="60" spans="1:17">
      <c r="A60" s="13">
        <f t="shared" si="10"/>
        <v>46168</v>
      </c>
      <c r="B60" s="1"/>
      <c r="C60" s="1"/>
      <c r="D60" s="14"/>
      <c r="E60" s="14"/>
      <c r="F60" s="20" t="e">
        <f t="shared" si="11"/>
        <v>#DIV/0!</v>
      </c>
      <c r="G60" s="2">
        <f t="shared" si="13"/>
        <v>0</v>
      </c>
      <c r="H60" s="2">
        <f t="shared" si="6"/>
        <v>0</v>
      </c>
      <c r="I60" s="29"/>
      <c r="J60" s="14"/>
      <c r="K60" s="20" t="e">
        <f t="shared" si="12"/>
        <v>#DIV/0!</v>
      </c>
      <c r="L60" s="4" t="e">
        <f t="shared" si="7"/>
        <v>#DIV/0!</v>
      </c>
      <c r="M60" s="103"/>
      <c r="N60" s="103"/>
      <c r="O60" s="34"/>
      <c r="P60" s="6"/>
      <c r="Q60" s="123"/>
    </row>
    <row r="61" spans="1:17">
      <c r="A61" s="13">
        <f t="shared" si="10"/>
        <v>46169</v>
      </c>
      <c r="B61" s="1"/>
      <c r="C61" s="1"/>
      <c r="D61" s="14"/>
      <c r="E61" s="14"/>
      <c r="F61" s="20" t="e">
        <f t="shared" si="11"/>
        <v>#DIV/0!</v>
      </c>
      <c r="G61" s="2">
        <f t="shared" si="13"/>
        <v>0</v>
      </c>
      <c r="H61" s="2">
        <f t="shared" si="6"/>
        <v>0</v>
      </c>
      <c r="I61" s="29"/>
      <c r="J61" s="14"/>
      <c r="K61" s="20" t="e">
        <f t="shared" si="12"/>
        <v>#DIV/0!</v>
      </c>
      <c r="L61" s="4" t="e">
        <f t="shared" si="7"/>
        <v>#DIV/0!</v>
      </c>
      <c r="M61" s="103"/>
      <c r="N61" s="103"/>
      <c r="O61" s="34"/>
      <c r="P61" s="6"/>
      <c r="Q61" s="6"/>
    </row>
    <row r="62" spans="1:17">
      <c r="A62" s="13">
        <f t="shared" si="10"/>
        <v>46170</v>
      </c>
      <c r="B62" s="1"/>
      <c r="C62" s="1"/>
      <c r="D62" s="14"/>
      <c r="E62" s="14"/>
      <c r="F62" s="20" t="e">
        <f t="shared" si="11"/>
        <v>#DIV/0!</v>
      </c>
      <c r="G62" s="2">
        <f t="shared" si="13"/>
        <v>0</v>
      </c>
      <c r="H62" s="2">
        <f t="shared" ref="H62:H65" si="14">D62/($H$2*24)</f>
        <v>0</v>
      </c>
      <c r="I62" s="29"/>
      <c r="J62" s="14"/>
      <c r="K62" s="20" t="e">
        <f t="shared" si="12"/>
        <v>#DIV/0!</v>
      </c>
      <c r="L62" s="4" t="e">
        <f t="shared" si="7"/>
        <v>#DIV/0!</v>
      </c>
      <c r="M62" s="103"/>
      <c r="N62" s="103"/>
      <c r="O62" s="34"/>
      <c r="P62" s="6"/>
      <c r="Q62" s="6"/>
    </row>
    <row r="63" spans="1:17">
      <c r="A63" s="13">
        <f t="shared" si="10"/>
        <v>46171</v>
      </c>
      <c r="B63" s="1"/>
      <c r="C63" s="1"/>
      <c r="D63" s="14"/>
      <c r="E63" s="14"/>
      <c r="F63" s="20" t="e">
        <f t="shared" si="11"/>
        <v>#DIV/0!</v>
      </c>
      <c r="G63" s="2">
        <f t="shared" si="13"/>
        <v>0</v>
      </c>
      <c r="H63" s="2">
        <f t="shared" si="14"/>
        <v>0</v>
      </c>
      <c r="I63" s="29"/>
      <c r="J63" s="14"/>
      <c r="K63" s="20" t="e">
        <f t="shared" si="12"/>
        <v>#DIV/0!</v>
      </c>
      <c r="L63" s="4" t="e">
        <f t="shared" si="7"/>
        <v>#DIV/0!</v>
      </c>
      <c r="M63" s="103"/>
      <c r="N63" s="103"/>
      <c r="O63" s="34"/>
      <c r="P63" s="6"/>
      <c r="Q63" s="6"/>
    </row>
    <row r="64" spans="1:17">
      <c r="A64" s="13">
        <f t="shared" si="10"/>
        <v>46172</v>
      </c>
      <c r="B64" s="1"/>
      <c r="C64" s="1"/>
      <c r="D64" s="14"/>
      <c r="E64" s="14"/>
      <c r="F64" s="20" t="e">
        <f t="shared" si="11"/>
        <v>#DIV/0!</v>
      </c>
      <c r="G64" s="2">
        <f t="shared" si="13"/>
        <v>0</v>
      </c>
      <c r="H64" s="2">
        <f t="shared" si="14"/>
        <v>0</v>
      </c>
      <c r="I64" s="29"/>
      <c r="J64" s="14"/>
      <c r="K64" s="20" t="e">
        <f t="shared" si="12"/>
        <v>#DIV/0!</v>
      </c>
      <c r="L64" s="4" t="e">
        <f t="shared" si="7"/>
        <v>#DIV/0!</v>
      </c>
      <c r="M64" s="103"/>
      <c r="N64" s="103"/>
      <c r="O64" s="34"/>
      <c r="P64" s="6"/>
      <c r="Q64" s="6"/>
    </row>
    <row r="65" spans="1:17">
      <c r="A65" s="13">
        <f t="shared" si="10"/>
        <v>46173</v>
      </c>
      <c r="B65" s="1"/>
      <c r="C65" s="1"/>
      <c r="D65" s="14"/>
      <c r="E65" s="14"/>
      <c r="F65" s="20" t="e">
        <f t="shared" si="11"/>
        <v>#DIV/0!</v>
      </c>
      <c r="G65" s="2">
        <f t="shared" si="13"/>
        <v>0</v>
      </c>
      <c r="H65" s="2">
        <f t="shared" si="14"/>
        <v>0</v>
      </c>
      <c r="I65" s="29"/>
      <c r="J65" s="14"/>
      <c r="K65" s="20" t="e">
        <f t="shared" si="12"/>
        <v>#DIV/0!</v>
      </c>
      <c r="L65" s="4" t="e">
        <f t="shared" si="7"/>
        <v>#DIV/0!</v>
      </c>
      <c r="M65" s="103"/>
      <c r="N65" s="103"/>
      <c r="O65" s="34"/>
      <c r="P65" s="6"/>
      <c r="Q65" s="6"/>
    </row>
    <row r="66" spans="1:17">
      <c r="A66" s="349">
        <v>46143</v>
      </c>
      <c r="B66" s="89">
        <f>SUM(B35:B65)</f>
        <v>48590</v>
      </c>
      <c r="C66" s="89">
        <f>SUM(C35:C65)</f>
        <v>41915</v>
      </c>
      <c r="D66" s="89">
        <f>SUM(D35:D65)</f>
        <v>43344</v>
      </c>
      <c r="E66" s="89">
        <f>SUM(E35:E65)</f>
        <v>42795</v>
      </c>
      <c r="F66" s="160">
        <f>(IF(ISBLANK(E66),0,E66-C66))/C66</f>
        <v>2.099487057139449E-2</v>
      </c>
      <c r="G66" s="90">
        <f>AVERAGE(G35:G65)</f>
        <v>4.3058436449467136E-2</v>
      </c>
      <c r="H66" s="90">
        <f>AVERAGE(H35:H65)</f>
        <v>5.2961876832844569E-2</v>
      </c>
      <c r="I66" s="89">
        <f>SUM(I35:I65)</f>
        <v>44.695</v>
      </c>
      <c r="J66" s="89">
        <f>SUM(J35:J65)</f>
        <v>40.322999999999993</v>
      </c>
      <c r="K66" s="160">
        <f>(IF(ISBLANK(J66),0,J66-I66))/I66</f>
        <v>-9.7818547936010899E-2</v>
      </c>
      <c r="L66" s="161">
        <f t="shared" si="7"/>
        <v>0.7944715601121829</v>
      </c>
      <c r="M66" s="90">
        <f>AVERAGE(M35:M65)</f>
        <v>1</v>
      </c>
      <c r="N66" s="90">
        <f>AVERAGE(N35:N65)</f>
        <v>0.97896000000000005</v>
      </c>
      <c r="O66" s="89">
        <f>SUM(O35:O65)</f>
        <v>1409</v>
      </c>
      <c r="P66" s="89">
        <f>SUM(P35:P65)</f>
        <v>0</v>
      </c>
      <c r="Q66" s="19"/>
    </row>
  </sheetData>
  <mergeCells count="4">
    <mergeCell ref="A1:Q1"/>
    <mergeCell ref="B2:C2"/>
    <mergeCell ref="E2:G2"/>
    <mergeCell ref="I2:J2"/>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FED24-A697-49A3-A192-188A2E981B21}">
  <dimension ref="A1:Q66"/>
  <sheetViews>
    <sheetView topLeftCell="A32" workbookViewId="0">
      <selection activeCell="A34" sqref="A34"/>
    </sheetView>
  </sheetViews>
  <sheetFormatPr defaultRowHeight="14.5"/>
  <cols>
    <col min="1" max="1" width="11.26953125" bestFit="1" customWidth="1"/>
    <col min="11" max="11" width="10.26953125" bestFit="1" customWidth="1"/>
    <col min="17" max="17" width="77" bestFit="1" customWidth="1"/>
  </cols>
  <sheetData>
    <row r="1" spans="1:17" ht="18.5">
      <c r="A1" s="417" t="s">
        <v>514</v>
      </c>
      <c r="B1" s="418"/>
      <c r="C1" s="418"/>
      <c r="D1" s="418"/>
      <c r="E1" s="418"/>
      <c r="F1" s="418"/>
      <c r="G1" s="418"/>
      <c r="H1" s="418"/>
      <c r="I1" s="418"/>
      <c r="J1" s="418"/>
      <c r="K1" s="418"/>
      <c r="L1" s="418"/>
      <c r="M1" s="418"/>
      <c r="N1" s="418"/>
      <c r="O1" s="418"/>
      <c r="P1" s="418"/>
      <c r="Q1" s="418"/>
    </row>
    <row r="2" spans="1:17" ht="18.5">
      <c r="A2" s="69">
        <v>46138</v>
      </c>
      <c r="B2" s="415" t="s">
        <v>172</v>
      </c>
      <c r="C2" s="416"/>
      <c r="D2" s="70">
        <v>5051.2</v>
      </c>
      <c r="E2" s="415" t="s">
        <v>173</v>
      </c>
      <c r="F2" s="415"/>
      <c r="G2" s="416"/>
      <c r="H2" s="70">
        <v>3960</v>
      </c>
      <c r="I2" s="415" t="s">
        <v>174</v>
      </c>
      <c r="J2" s="416"/>
      <c r="K2" s="231">
        <v>45455</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6">
        <v>28913</v>
      </c>
      <c r="C4" s="36">
        <v>24628</v>
      </c>
      <c r="D4" s="37">
        <v>27432</v>
      </c>
      <c r="E4" s="37">
        <v>27000</v>
      </c>
      <c r="F4" s="21">
        <f t="shared" ref="F4:F29" si="0">(IF(ISBLANK(D4),0,D4-C4))/C4</f>
        <v>0.11385414974825402</v>
      </c>
      <c r="G4" s="2">
        <f t="shared" ref="G4:G29" si="1">D4/($D$2*24)</f>
        <v>0.22628286347798546</v>
      </c>
      <c r="H4" s="2">
        <f t="shared" ref="H4:H29" si="2">D4/($H$2*24)</f>
        <v>0.28863636363636364</v>
      </c>
      <c r="I4" s="36">
        <v>7.42</v>
      </c>
      <c r="J4" s="37">
        <v>6.8769999999999998</v>
      </c>
      <c r="K4" s="21">
        <f t="shared" ref="K4:K29" si="3">(IF(ISBLANK(J4),0,J4-I4))/I4</f>
        <v>-7.3180592991913762E-2</v>
      </c>
      <c r="L4" s="22">
        <f t="shared" ref="L4:L29" si="4">D4/($D$2*J4)</f>
        <v>0.78970317339997831</v>
      </c>
      <c r="M4" s="41">
        <v>1</v>
      </c>
      <c r="N4" s="41">
        <v>0.97160000000000002</v>
      </c>
      <c r="O4" s="37">
        <v>1217</v>
      </c>
      <c r="P4" s="37">
        <v>0</v>
      </c>
      <c r="Q4" s="37" t="s">
        <v>515</v>
      </c>
    </row>
    <row r="5" spans="1:17">
      <c r="A5" s="79">
        <v>46114</v>
      </c>
      <c r="B5" s="43">
        <v>28913</v>
      </c>
      <c r="C5" s="43">
        <v>24628</v>
      </c>
      <c r="D5" s="44">
        <v>26219</v>
      </c>
      <c r="E5" s="44">
        <v>25350</v>
      </c>
      <c r="F5" s="21">
        <f t="shared" si="0"/>
        <v>6.4601266850738998E-2</v>
      </c>
      <c r="G5" s="2">
        <f t="shared" si="1"/>
        <v>0.21627699028613664</v>
      </c>
      <c r="H5" s="2">
        <f t="shared" si="2"/>
        <v>0.27587331649831648</v>
      </c>
      <c r="I5" s="43">
        <v>7.42</v>
      </c>
      <c r="J5" s="44">
        <v>6.3129999999999997</v>
      </c>
      <c r="K5" s="21">
        <f t="shared" si="3"/>
        <v>-0.14919137466307281</v>
      </c>
      <c r="L5" s="22">
        <f t="shared" si="4"/>
        <v>0.82221570835851088</v>
      </c>
      <c r="M5" s="48">
        <v>1</v>
      </c>
      <c r="N5" s="48">
        <v>0.97440000000000004</v>
      </c>
      <c r="O5" s="44">
        <v>958</v>
      </c>
      <c r="P5" s="44">
        <v>0</v>
      </c>
      <c r="Q5" s="44" t="s">
        <v>516</v>
      </c>
    </row>
    <row r="6" spans="1:17">
      <c r="A6" s="79">
        <v>46115</v>
      </c>
      <c r="B6" s="43">
        <v>28913</v>
      </c>
      <c r="C6" s="43">
        <v>24628</v>
      </c>
      <c r="D6" s="44">
        <v>20669</v>
      </c>
      <c r="E6" s="44">
        <v>20750</v>
      </c>
      <c r="F6" s="21">
        <f t="shared" si="0"/>
        <v>-0.16075198960532727</v>
      </c>
      <c r="G6" s="2">
        <f t="shared" si="1"/>
        <v>0.17049578977932639</v>
      </c>
      <c r="H6" s="2">
        <f t="shared" si="2"/>
        <v>0.21747685185185187</v>
      </c>
      <c r="I6" s="43">
        <v>7.42</v>
      </c>
      <c r="J6" s="44">
        <v>4.899</v>
      </c>
      <c r="K6" s="21">
        <f t="shared" si="3"/>
        <v>-0.33975741239892182</v>
      </c>
      <c r="L6" s="22">
        <f t="shared" si="4"/>
        <v>0.8352518788944342</v>
      </c>
      <c r="M6" s="48">
        <v>1</v>
      </c>
      <c r="N6" s="48">
        <v>1</v>
      </c>
      <c r="O6" s="44">
        <v>0</v>
      </c>
      <c r="P6" s="44">
        <v>0</v>
      </c>
      <c r="Q6" s="179" t="s">
        <v>517</v>
      </c>
    </row>
    <row r="7" spans="1:17">
      <c r="A7" s="79">
        <v>46116</v>
      </c>
      <c r="B7" s="43">
        <v>28913</v>
      </c>
      <c r="C7" s="43">
        <v>24628</v>
      </c>
      <c r="D7" s="44">
        <v>31447</v>
      </c>
      <c r="E7" s="44">
        <v>30950</v>
      </c>
      <c r="F7" s="21">
        <f t="shared" si="0"/>
        <v>0.27687997401331815</v>
      </c>
      <c r="G7" s="2">
        <f t="shared" si="1"/>
        <v>0.25940205627705631</v>
      </c>
      <c r="H7" s="2">
        <f t="shared" si="2"/>
        <v>0.33088173400673399</v>
      </c>
      <c r="I7" s="43">
        <v>7.42</v>
      </c>
      <c r="J7" s="44">
        <v>7.34</v>
      </c>
      <c r="K7" s="21">
        <f t="shared" si="3"/>
        <v>-1.0781671159029659E-2</v>
      </c>
      <c r="L7" s="22">
        <f t="shared" si="4"/>
        <v>0.84818111044269084</v>
      </c>
      <c r="M7" s="48">
        <v>1</v>
      </c>
      <c r="N7" s="48">
        <v>1</v>
      </c>
      <c r="O7" s="44">
        <v>0</v>
      </c>
      <c r="P7" s="44">
        <v>0</v>
      </c>
      <c r="Q7" s="179" t="s">
        <v>517</v>
      </c>
    </row>
    <row r="8" spans="1:17">
      <c r="A8" s="79">
        <v>46117</v>
      </c>
      <c r="B8" s="43">
        <v>28913</v>
      </c>
      <c r="C8" s="43">
        <v>24628</v>
      </c>
      <c r="D8" s="44">
        <v>28408</v>
      </c>
      <c r="E8" s="44">
        <v>27850</v>
      </c>
      <c r="F8" s="21">
        <f t="shared" si="0"/>
        <v>0.15348383953223974</v>
      </c>
      <c r="G8" s="2">
        <f t="shared" si="1"/>
        <v>0.23433375567521911</v>
      </c>
      <c r="H8" s="2">
        <f t="shared" si="2"/>
        <v>0.2989057239057239</v>
      </c>
      <c r="I8" s="43">
        <v>7.42</v>
      </c>
      <c r="J8" s="44">
        <v>7.173</v>
      </c>
      <c r="K8" s="21">
        <f t="shared" si="3"/>
        <v>-3.3288409703504031E-2</v>
      </c>
      <c r="L8" s="22">
        <f t="shared" si="4"/>
        <v>0.78405271660466447</v>
      </c>
      <c r="M8" s="48">
        <v>1</v>
      </c>
      <c r="N8" s="48">
        <v>0.95009999999999994</v>
      </c>
      <c r="O8" s="44">
        <v>2057</v>
      </c>
      <c r="P8" s="44">
        <v>0</v>
      </c>
      <c r="Q8" s="44" t="s">
        <v>518</v>
      </c>
    </row>
    <row r="9" spans="1:17">
      <c r="A9" s="79">
        <v>46118</v>
      </c>
      <c r="B9" s="43">
        <v>28913</v>
      </c>
      <c r="C9" s="43">
        <v>24628</v>
      </c>
      <c r="D9" s="44">
        <v>28628</v>
      </c>
      <c r="E9" s="44">
        <v>28250</v>
      </c>
      <c r="F9" s="21">
        <f t="shared" si="0"/>
        <v>0.16241676140977748</v>
      </c>
      <c r="G9" s="2">
        <f t="shared" si="1"/>
        <v>0.23614850596557915</v>
      </c>
      <c r="H9" s="2">
        <f t="shared" si="2"/>
        <v>0.30122053872053872</v>
      </c>
      <c r="I9" s="43">
        <v>7.42</v>
      </c>
      <c r="J9" s="44">
        <v>7.3739999999999997</v>
      </c>
      <c r="K9" s="21">
        <f t="shared" si="3"/>
        <v>-6.1994609164420841E-3</v>
      </c>
      <c r="L9" s="22">
        <f t="shared" si="4"/>
        <v>0.76858748890343098</v>
      </c>
      <c r="M9" s="48">
        <v>1</v>
      </c>
      <c r="N9" s="48">
        <v>0.94550000000000001</v>
      </c>
      <c r="O9" s="44">
        <v>2152</v>
      </c>
      <c r="P9" s="44">
        <v>0</v>
      </c>
      <c r="Q9" s="44" t="s">
        <v>519</v>
      </c>
    </row>
    <row r="10" spans="1:17" ht="26.5">
      <c r="A10" s="332">
        <v>46119</v>
      </c>
      <c r="B10" s="333">
        <v>28913</v>
      </c>
      <c r="C10" s="333">
        <v>24628</v>
      </c>
      <c r="D10" s="334">
        <v>17579</v>
      </c>
      <c r="E10" s="334">
        <v>17250</v>
      </c>
      <c r="F10" s="21">
        <f t="shared" si="0"/>
        <v>-0.2862189377943804</v>
      </c>
      <c r="G10" s="342">
        <f t="shared" si="1"/>
        <v>0.14500679706472391</v>
      </c>
      <c r="H10" s="342">
        <f t="shared" si="2"/>
        <v>0.18496422558922559</v>
      </c>
      <c r="I10" s="340">
        <v>7.42</v>
      </c>
      <c r="J10" s="341">
        <v>4.7380000000000004</v>
      </c>
      <c r="K10" s="21">
        <f t="shared" si="3"/>
        <v>-0.36145552560646893</v>
      </c>
      <c r="L10" s="22">
        <f t="shared" si="4"/>
        <v>0.73452155541438857</v>
      </c>
      <c r="M10" s="343">
        <v>0.98309999999999997</v>
      </c>
      <c r="N10" s="343">
        <v>0.95030000000000003</v>
      </c>
      <c r="O10" s="341">
        <v>1484</v>
      </c>
      <c r="P10" s="341">
        <v>0</v>
      </c>
      <c r="Q10" s="180" t="s">
        <v>520</v>
      </c>
    </row>
    <row r="11" spans="1:17" ht="26.5">
      <c r="A11" s="339">
        <v>46120</v>
      </c>
      <c r="B11" s="340">
        <v>28913</v>
      </c>
      <c r="C11" s="340">
        <v>24628</v>
      </c>
      <c r="D11" s="341">
        <v>26594</v>
      </c>
      <c r="E11" s="341">
        <v>26150</v>
      </c>
      <c r="F11" s="21">
        <f t="shared" si="0"/>
        <v>7.9827838232905637E-2</v>
      </c>
      <c r="G11" s="342">
        <f t="shared" si="1"/>
        <v>0.21937031464470491</v>
      </c>
      <c r="H11" s="342">
        <f t="shared" si="2"/>
        <v>0.27981902356902355</v>
      </c>
      <c r="I11" s="340">
        <v>7.42</v>
      </c>
      <c r="J11" s="341">
        <v>7.1689999999999996</v>
      </c>
      <c r="K11" s="21">
        <f t="shared" si="3"/>
        <v>-3.3827493261455573E-2</v>
      </c>
      <c r="L11" s="22">
        <f t="shared" si="4"/>
        <v>0.73439636650480089</v>
      </c>
      <c r="M11" s="343">
        <v>0.99709999999999999</v>
      </c>
      <c r="N11" s="343">
        <v>0.91439999999999999</v>
      </c>
      <c r="O11" s="341">
        <v>3386</v>
      </c>
      <c r="P11" s="341">
        <v>16</v>
      </c>
      <c r="Q11" s="180" t="s">
        <v>521</v>
      </c>
    </row>
    <row r="12" spans="1:17">
      <c r="A12" s="79">
        <v>46121</v>
      </c>
      <c r="B12" s="43">
        <v>28913</v>
      </c>
      <c r="C12" s="43">
        <v>24628</v>
      </c>
      <c r="D12" s="44">
        <v>27635</v>
      </c>
      <c r="E12" s="44">
        <v>26500</v>
      </c>
      <c r="F12" s="21">
        <f t="shared" si="0"/>
        <v>0.12209680038980023</v>
      </c>
      <c r="G12" s="2">
        <f t="shared" si="1"/>
        <v>0.22795738306409041</v>
      </c>
      <c r="H12" s="2">
        <f t="shared" si="2"/>
        <v>0.29077230639730639</v>
      </c>
      <c r="I12" s="43">
        <v>7.42</v>
      </c>
      <c r="J12" s="44">
        <v>7.0250000000000004</v>
      </c>
      <c r="K12" s="21">
        <f t="shared" si="3"/>
        <v>-5.3234501347708837E-2</v>
      </c>
      <c r="L12" s="22">
        <f t="shared" si="4"/>
        <v>0.77878678911575361</v>
      </c>
      <c r="M12" s="48">
        <v>1</v>
      </c>
      <c r="N12" s="48">
        <v>0.96860000000000002</v>
      </c>
      <c r="O12" s="44">
        <v>1407</v>
      </c>
      <c r="P12" s="44">
        <v>0</v>
      </c>
      <c r="Q12" s="44" t="s">
        <v>522</v>
      </c>
    </row>
    <row r="13" spans="1:17">
      <c r="A13" s="79">
        <v>46122</v>
      </c>
      <c r="B13" s="43">
        <v>28913</v>
      </c>
      <c r="C13" s="43">
        <v>24628</v>
      </c>
      <c r="D13" s="44">
        <v>28702</v>
      </c>
      <c r="E13" s="44">
        <v>28200</v>
      </c>
      <c r="F13" s="21">
        <f t="shared" si="0"/>
        <v>0.16542147149585837</v>
      </c>
      <c r="G13" s="2">
        <f t="shared" si="1"/>
        <v>0.23675892197233664</v>
      </c>
      <c r="H13" s="2">
        <f t="shared" si="2"/>
        <v>0.30199915824915824</v>
      </c>
      <c r="I13" s="43">
        <v>7.42</v>
      </c>
      <c r="J13" s="44">
        <v>7.1779999999999999</v>
      </c>
      <c r="K13" s="21">
        <f t="shared" si="3"/>
        <v>-3.2614555256064687E-2</v>
      </c>
      <c r="L13" s="22">
        <f t="shared" si="4"/>
        <v>0.791615230891067</v>
      </c>
      <c r="M13" s="48">
        <v>1</v>
      </c>
      <c r="N13" s="48">
        <v>0.97260000000000002</v>
      </c>
      <c r="O13" s="44">
        <v>1224</v>
      </c>
      <c r="P13" s="44">
        <v>0</v>
      </c>
      <c r="Q13" s="44" t="s">
        <v>523</v>
      </c>
    </row>
    <row r="14" spans="1:17">
      <c r="A14" s="79">
        <v>46123</v>
      </c>
      <c r="B14" s="43">
        <v>28913</v>
      </c>
      <c r="C14" s="43">
        <v>24628</v>
      </c>
      <c r="D14" s="44">
        <v>30067</v>
      </c>
      <c r="E14" s="44">
        <v>29500</v>
      </c>
      <c r="F14" s="21">
        <f t="shared" si="0"/>
        <v>0.22084619132694494</v>
      </c>
      <c r="G14" s="2">
        <f t="shared" si="1"/>
        <v>0.24801862263752511</v>
      </c>
      <c r="H14" s="2">
        <f t="shared" si="2"/>
        <v>0.316361531986532</v>
      </c>
      <c r="I14" s="43">
        <v>7.42</v>
      </c>
      <c r="J14" s="44">
        <v>7.0229999999999997</v>
      </c>
      <c r="K14" s="21">
        <f t="shared" si="3"/>
        <v>-5.3504043126684671E-2</v>
      </c>
      <c r="L14" s="22">
        <f t="shared" si="4"/>
        <v>0.84756470785997473</v>
      </c>
      <c r="M14" s="48">
        <v>1</v>
      </c>
      <c r="N14" s="48">
        <v>1</v>
      </c>
      <c r="O14" s="44">
        <v>0</v>
      </c>
      <c r="P14" s="44">
        <v>0</v>
      </c>
      <c r="Q14" s="179" t="s">
        <v>517</v>
      </c>
    </row>
    <row r="15" spans="1:17">
      <c r="A15" s="79">
        <v>46124</v>
      </c>
      <c r="B15" s="43">
        <v>28913</v>
      </c>
      <c r="C15" s="43">
        <v>24628</v>
      </c>
      <c r="D15" s="44">
        <v>29638</v>
      </c>
      <c r="E15" s="44">
        <v>29100</v>
      </c>
      <c r="F15" s="21">
        <f t="shared" si="0"/>
        <v>0.20342699366574629</v>
      </c>
      <c r="G15" s="2">
        <f t="shared" si="1"/>
        <v>0.24447985957132301</v>
      </c>
      <c r="H15" s="2">
        <f t="shared" si="2"/>
        <v>0.31184764309764312</v>
      </c>
      <c r="I15" s="43">
        <v>7.42</v>
      </c>
      <c r="J15" s="44">
        <v>7.15</v>
      </c>
      <c r="K15" s="21">
        <f t="shared" si="3"/>
        <v>-3.6388140161725008E-2</v>
      </c>
      <c r="L15" s="22">
        <f t="shared" si="4"/>
        <v>0.82063169646318201</v>
      </c>
      <c r="M15" s="48">
        <v>1</v>
      </c>
      <c r="N15" s="48">
        <v>1</v>
      </c>
      <c r="O15" s="44">
        <v>0</v>
      </c>
      <c r="P15" s="44">
        <v>0</v>
      </c>
      <c r="Q15" s="179" t="s">
        <v>517</v>
      </c>
    </row>
    <row r="16" spans="1:17">
      <c r="A16" s="79">
        <v>46125</v>
      </c>
      <c r="B16" s="43">
        <v>28913</v>
      </c>
      <c r="C16" s="43">
        <v>24628</v>
      </c>
      <c r="D16" s="44">
        <v>29037</v>
      </c>
      <c r="E16" s="44">
        <v>27850</v>
      </c>
      <c r="F16" s="21">
        <f t="shared" si="0"/>
        <v>0.17902387526392724</v>
      </c>
      <c r="G16" s="2">
        <f t="shared" si="1"/>
        <v>0.2395222917326576</v>
      </c>
      <c r="H16" s="2">
        <f t="shared" si="2"/>
        <v>0.30552398989898988</v>
      </c>
      <c r="I16" s="43">
        <v>7.42</v>
      </c>
      <c r="J16" s="44">
        <v>7.0549999999999997</v>
      </c>
      <c r="K16" s="21">
        <f t="shared" si="3"/>
        <v>-4.9191374663072808E-2</v>
      </c>
      <c r="L16" s="22">
        <f t="shared" si="4"/>
        <v>0.81481715118125897</v>
      </c>
      <c r="M16" s="48">
        <v>1</v>
      </c>
      <c r="N16" s="48">
        <v>1</v>
      </c>
      <c r="O16" s="44">
        <v>0</v>
      </c>
      <c r="P16" s="44">
        <v>0</v>
      </c>
      <c r="Q16" s="179" t="s">
        <v>517</v>
      </c>
    </row>
    <row r="17" spans="1:17">
      <c r="A17" s="79">
        <v>46126</v>
      </c>
      <c r="B17" s="43">
        <v>28913</v>
      </c>
      <c r="C17" s="43">
        <v>24628</v>
      </c>
      <c r="D17" s="44">
        <v>28652</v>
      </c>
      <c r="E17" s="44">
        <v>28250</v>
      </c>
      <c r="F17" s="21">
        <f t="shared" si="0"/>
        <v>0.16339126197823614</v>
      </c>
      <c r="G17" s="2">
        <f t="shared" si="1"/>
        <v>0.23634647872452752</v>
      </c>
      <c r="H17" s="2">
        <f t="shared" si="2"/>
        <v>0.30147306397306395</v>
      </c>
      <c r="I17" s="43">
        <v>7.42</v>
      </c>
      <c r="J17" s="44">
        <v>7.2619999999999996</v>
      </c>
      <c r="K17" s="21">
        <f t="shared" si="3"/>
        <v>-2.1293800539083606E-2</v>
      </c>
      <c r="L17" s="22">
        <f t="shared" si="4"/>
        <v>0.78109549564702019</v>
      </c>
      <c r="M17" s="48">
        <v>1</v>
      </c>
      <c r="N17" s="48">
        <v>0.96099999999999997</v>
      </c>
      <c r="O17" s="44">
        <v>1748</v>
      </c>
      <c r="P17" s="44">
        <v>0</v>
      </c>
      <c r="Q17" s="44" t="s">
        <v>524</v>
      </c>
    </row>
    <row r="18" spans="1:17">
      <c r="A18" s="79">
        <v>46127</v>
      </c>
      <c r="B18" s="43">
        <v>28913</v>
      </c>
      <c r="C18" s="43">
        <v>24628</v>
      </c>
      <c r="D18" s="44">
        <v>26789</v>
      </c>
      <c r="E18" s="44">
        <v>26350</v>
      </c>
      <c r="F18" s="21">
        <f t="shared" si="0"/>
        <v>8.7745655351632285E-2</v>
      </c>
      <c r="G18" s="2">
        <f t="shared" si="1"/>
        <v>0.22097884331116041</v>
      </c>
      <c r="H18" s="2">
        <f t="shared" si="2"/>
        <v>0.28187079124579123</v>
      </c>
      <c r="I18" s="43">
        <v>7.42</v>
      </c>
      <c r="J18" s="44">
        <v>6.9329999999999998</v>
      </c>
      <c r="K18" s="21">
        <f t="shared" si="3"/>
        <v>-6.5633423180593009E-2</v>
      </c>
      <c r="L18" s="22">
        <f t="shared" si="4"/>
        <v>0.76496354240124764</v>
      </c>
      <c r="M18" s="48">
        <v>1</v>
      </c>
      <c r="N18" s="48">
        <v>0.96250000000000002</v>
      </c>
      <c r="O18" s="44">
        <v>1601</v>
      </c>
      <c r="P18" s="44">
        <v>0</v>
      </c>
      <c r="Q18" s="44" t="s">
        <v>525</v>
      </c>
    </row>
    <row r="19" spans="1:17">
      <c r="A19" s="79">
        <v>46128</v>
      </c>
      <c r="B19" s="43">
        <v>28913</v>
      </c>
      <c r="C19" s="43">
        <v>24628</v>
      </c>
      <c r="D19" s="44">
        <v>27632</v>
      </c>
      <c r="E19" s="44">
        <v>26450</v>
      </c>
      <c r="F19" s="21">
        <f t="shared" si="0"/>
        <v>0.1219749878187429</v>
      </c>
      <c r="G19" s="2">
        <f t="shared" si="1"/>
        <v>0.22793263646922185</v>
      </c>
      <c r="H19" s="2">
        <f t="shared" si="2"/>
        <v>0.29074074074074074</v>
      </c>
      <c r="I19" s="43">
        <v>7.42</v>
      </c>
      <c r="J19" s="44">
        <v>7.0960000000000001</v>
      </c>
      <c r="K19" s="21">
        <f t="shared" si="3"/>
        <v>-4.3665768194070059E-2</v>
      </c>
      <c r="L19" s="22">
        <f t="shared" si="4"/>
        <v>0.77091083360503443</v>
      </c>
      <c r="M19" s="48">
        <v>1</v>
      </c>
      <c r="N19" s="48">
        <v>0.97299999999999998</v>
      </c>
      <c r="O19" s="44">
        <v>1201</v>
      </c>
      <c r="P19" s="44">
        <v>0</v>
      </c>
      <c r="Q19" s="44" t="s">
        <v>526</v>
      </c>
    </row>
    <row r="20" spans="1:17" ht="26.5">
      <c r="A20" s="339">
        <v>46129</v>
      </c>
      <c r="B20" s="340">
        <v>28913</v>
      </c>
      <c r="C20" s="340">
        <v>24628</v>
      </c>
      <c r="D20" s="341">
        <v>27182</v>
      </c>
      <c r="E20" s="341">
        <v>26850</v>
      </c>
      <c r="F20" s="21">
        <f t="shared" si="0"/>
        <v>0.10370310216014293</v>
      </c>
      <c r="G20" s="342">
        <f t="shared" si="1"/>
        <v>0.22422064723893995</v>
      </c>
      <c r="H20" s="342">
        <f t="shared" si="2"/>
        <v>0.28600589225589224</v>
      </c>
      <c r="I20" s="340">
        <v>7.42</v>
      </c>
      <c r="J20" s="341">
        <v>7.258</v>
      </c>
      <c r="K20" s="21">
        <f t="shared" si="3"/>
        <v>-2.183288409703503E-2</v>
      </c>
      <c r="L20" s="22">
        <f t="shared" si="4"/>
        <v>0.74142953068814532</v>
      </c>
      <c r="M20" s="343">
        <v>1</v>
      </c>
      <c r="N20" s="343">
        <v>0.94220000000000004</v>
      </c>
      <c r="O20" s="341">
        <v>2737</v>
      </c>
      <c r="P20" s="341">
        <v>0</v>
      </c>
      <c r="Q20" s="180" t="s">
        <v>527</v>
      </c>
    </row>
    <row r="21" spans="1:17">
      <c r="A21" s="79">
        <v>46130</v>
      </c>
      <c r="B21" s="43">
        <v>28913</v>
      </c>
      <c r="C21" s="43">
        <v>24628</v>
      </c>
      <c r="D21" s="44">
        <v>30184</v>
      </c>
      <c r="E21" s="44">
        <v>29750</v>
      </c>
      <c r="F21" s="21">
        <f t="shared" si="0"/>
        <v>0.22559688159818092</v>
      </c>
      <c r="G21" s="2">
        <f t="shared" si="1"/>
        <v>0.24898373983739841</v>
      </c>
      <c r="H21" s="2">
        <f t="shared" si="2"/>
        <v>0.31759259259259259</v>
      </c>
      <c r="I21" s="43">
        <v>7.42</v>
      </c>
      <c r="J21" s="44">
        <v>7.165</v>
      </c>
      <c r="K21" s="21">
        <f t="shared" si="3"/>
        <v>-3.4366576819406996E-2</v>
      </c>
      <c r="L21" s="22">
        <f t="shared" si="4"/>
        <v>0.83399996595918513</v>
      </c>
      <c r="M21" s="48">
        <v>1</v>
      </c>
      <c r="N21" s="48">
        <v>1</v>
      </c>
      <c r="O21" s="44">
        <v>0</v>
      </c>
      <c r="P21" s="44">
        <v>0</v>
      </c>
      <c r="Q21" s="181" t="s">
        <v>517</v>
      </c>
    </row>
    <row r="22" spans="1:17" ht="26.5">
      <c r="A22" s="339">
        <v>46131</v>
      </c>
      <c r="B22" s="340">
        <v>28913</v>
      </c>
      <c r="C22" s="340">
        <v>24628</v>
      </c>
      <c r="D22" s="341">
        <v>26770</v>
      </c>
      <c r="E22" s="341">
        <v>26300</v>
      </c>
      <c r="F22" s="21">
        <f t="shared" si="0"/>
        <v>8.6974175734935849E-2</v>
      </c>
      <c r="G22" s="342">
        <f t="shared" si="1"/>
        <v>0.22082211487699294</v>
      </c>
      <c r="H22" s="342">
        <f t="shared" si="2"/>
        <v>0.28167087542087543</v>
      </c>
      <c r="I22" s="340">
        <v>7.42</v>
      </c>
      <c r="J22" s="341">
        <v>6.65</v>
      </c>
      <c r="K22" s="21">
        <f t="shared" si="3"/>
        <v>-0.10377358490566033</v>
      </c>
      <c r="L22" s="22">
        <f t="shared" si="4"/>
        <v>0.79695199354102697</v>
      </c>
      <c r="M22" s="343">
        <v>0.9819</v>
      </c>
      <c r="N22" s="343">
        <v>0.98199999999999998</v>
      </c>
      <c r="O22" s="341">
        <v>671</v>
      </c>
      <c r="P22" s="341">
        <v>618</v>
      </c>
      <c r="Q22" s="180" t="s">
        <v>528</v>
      </c>
    </row>
    <row r="23" spans="1:17">
      <c r="A23" s="79">
        <v>46132</v>
      </c>
      <c r="B23" s="43">
        <v>28913</v>
      </c>
      <c r="C23" s="43">
        <v>24628</v>
      </c>
      <c r="D23" s="44">
        <v>28314</v>
      </c>
      <c r="E23" s="44">
        <v>27900</v>
      </c>
      <c r="F23" s="21">
        <f t="shared" si="0"/>
        <v>0.14966704563910996</v>
      </c>
      <c r="G23" s="2">
        <f t="shared" si="1"/>
        <v>0.233558362369338</v>
      </c>
      <c r="H23" s="2">
        <f t="shared" si="2"/>
        <v>0.29791666666666666</v>
      </c>
      <c r="I23" s="43">
        <v>7.42</v>
      </c>
      <c r="J23" s="44">
        <v>6.8949999999999996</v>
      </c>
      <c r="K23" s="21">
        <f t="shared" si="3"/>
        <v>-7.0754716981132129E-2</v>
      </c>
      <c r="L23" s="22">
        <f t="shared" si="4"/>
        <v>0.81296601839943605</v>
      </c>
      <c r="M23" s="48">
        <v>1</v>
      </c>
      <c r="N23" s="48">
        <v>0.98899999999999999</v>
      </c>
      <c r="O23" s="44">
        <v>238</v>
      </c>
      <c r="P23" s="44">
        <v>0</v>
      </c>
      <c r="Q23" s="44" t="s">
        <v>529</v>
      </c>
    </row>
    <row r="24" spans="1:17">
      <c r="A24" s="79">
        <v>46133</v>
      </c>
      <c r="B24" s="43">
        <v>28913</v>
      </c>
      <c r="C24" s="43">
        <v>24628</v>
      </c>
      <c r="D24" s="44">
        <v>28467</v>
      </c>
      <c r="E24" s="44">
        <v>28050</v>
      </c>
      <c r="F24" s="21">
        <f t="shared" si="0"/>
        <v>0.15587948676303395</v>
      </c>
      <c r="G24" s="2">
        <f t="shared" si="1"/>
        <v>0.23482043870763386</v>
      </c>
      <c r="H24" s="2">
        <f t="shared" si="2"/>
        <v>0.29952651515151513</v>
      </c>
      <c r="I24" s="43">
        <v>7.42</v>
      </c>
      <c r="J24" s="44">
        <v>6.9320000000000004</v>
      </c>
      <c r="K24" s="21">
        <f t="shared" si="3"/>
        <v>-6.5768194070080804E-2</v>
      </c>
      <c r="L24" s="22">
        <f t="shared" si="4"/>
        <v>0.812996325589038</v>
      </c>
      <c r="M24" s="48">
        <v>1</v>
      </c>
      <c r="N24" s="48">
        <v>0.97699999999999998</v>
      </c>
      <c r="O24" s="44">
        <v>995</v>
      </c>
      <c r="P24" s="44">
        <v>0</v>
      </c>
      <c r="Q24" s="44" t="s">
        <v>530</v>
      </c>
    </row>
    <row r="25" spans="1:17">
      <c r="A25" s="79">
        <v>46134</v>
      </c>
      <c r="B25" s="43">
        <v>28913</v>
      </c>
      <c r="C25" s="43">
        <v>24628</v>
      </c>
      <c r="D25" s="44">
        <v>28246</v>
      </c>
      <c r="E25" s="44">
        <v>27750</v>
      </c>
      <c r="F25" s="21">
        <f t="shared" si="0"/>
        <v>0.14690596069514375</v>
      </c>
      <c r="G25" s="2">
        <f t="shared" si="1"/>
        <v>0.23299743955231764</v>
      </c>
      <c r="H25" s="2">
        <f t="shared" si="2"/>
        <v>0.29720117845117844</v>
      </c>
      <c r="I25" s="43">
        <v>7.42</v>
      </c>
      <c r="J25" s="44">
        <v>7.1070000000000002</v>
      </c>
      <c r="K25" s="21">
        <f t="shared" si="3"/>
        <v>-4.2183288409703465E-2</v>
      </c>
      <c r="L25" s="22">
        <f t="shared" si="4"/>
        <v>0.78682123951816829</v>
      </c>
      <c r="M25" s="48">
        <v>1</v>
      </c>
      <c r="N25" s="48">
        <v>0.97230000000000005</v>
      </c>
      <c r="O25" s="44">
        <v>1222</v>
      </c>
      <c r="P25" s="44">
        <v>0</v>
      </c>
      <c r="Q25" s="44" t="s">
        <v>531</v>
      </c>
    </row>
    <row r="26" spans="1:17">
      <c r="A26" s="79">
        <v>46135</v>
      </c>
      <c r="B26" s="43">
        <v>28913</v>
      </c>
      <c r="C26" s="43">
        <v>24628</v>
      </c>
      <c r="D26" s="44">
        <v>28922</v>
      </c>
      <c r="E26" s="44">
        <v>28500</v>
      </c>
      <c r="F26" s="21">
        <f t="shared" si="0"/>
        <v>0.17435439337339614</v>
      </c>
      <c r="G26" s="2">
        <f t="shared" si="1"/>
        <v>0.23857367226269668</v>
      </c>
      <c r="H26" s="2">
        <f t="shared" si="2"/>
        <v>0.30431397306397306</v>
      </c>
      <c r="I26" s="43">
        <v>7.42</v>
      </c>
      <c r="J26" s="44">
        <v>6.9969999999999999</v>
      </c>
      <c r="K26" s="21">
        <f t="shared" si="3"/>
        <v>-5.7008086253369276E-2</v>
      </c>
      <c r="L26" s="22">
        <f t="shared" si="4"/>
        <v>0.81831758386518794</v>
      </c>
      <c r="M26" s="48">
        <v>1</v>
      </c>
      <c r="N26" s="48">
        <v>1</v>
      </c>
      <c r="O26" s="44">
        <v>0</v>
      </c>
      <c r="P26" s="44">
        <v>0</v>
      </c>
      <c r="Q26" s="181" t="s">
        <v>517</v>
      </c>
    </row>
    <row r="27" spans="1:17">
      <c r="A27" s="79">
        <v>46136</v>
      </c>
      <c r="B27" s="43">
        <v>28913</v>
      </c>
      <c r="C27" s="43">
        <v>24628</v>
      </c>
      <c r="D27" s="44">
        <v>28768</v>
      </c>
      <c r="E27" s="44">
        <v>28250</v>
      </c>
      <c r="F27" s="21">
        <f t="shared" si="0"/>
        <v>0.16810134805911969</v>
      </c>
      <c r="G27" s="2">
        <f t="shared" si="1"/>
        <v>0.23730334705944464</v>
      </c>
      <c r="H27" s="2">
        <f t="shared" si="2"/>
        <v>0.30269360269360268</v>
      </c>
      <c r="I27" s="43">
        <v>7.42</v>
      </c>
      <c r="J27" s="44">
        <v>6.8520000000000003</v>
      </c>
      <c r="K27" s="21">
        <f t="shared" si="3"/>
        <v>-7.6549865229110461E-2</v>
      </c>
      <c r="L27" s="22">
        <f t="shared" si="4"/>
        <v>0.83118510353570807</v>
      </c>
      <c r="M27" s="48">
        <v>1</v>
      </c>
      <c r="N27" s="48">
        <v>1</v>
      </c>
      <c r="O27" s="44">
        <v>0</v>
      </c>
      <c r="P27" s="44">
        <v>0</v>
      </c>
      <c r="Q27" s="181" t="s">
        <v>517</v>
      </c>
    </row>
    <row r="28" spans="1:17">
      <c r="A28" s="79">
        <v>46137</v>
      </c>
      <c r="B28" s="43">
        <v>28913</v>
      </c>
      <c r="C28" s="43">
        <v>24628</v>
      </c>
      <c r="D28" s="44">
        <v>28696</v>
      </c>
      <c r="E28" s="44">
        <v>28250</v>
      </c>
      <c r="F28" s="21">
        <f t="shared" si="0"/>
        <v>0.16517784635374372</v>
      </c>
      <c r="G28" s="2">
        <f t="shared" si="1"/>
        <v>0.23670942878259954</v>
      </c>
      <c r="H28" s="2">
        <f t="shared" si="2"/>
        <v>0.30193602693602695</v>
      </c>
      <c r="I28" s="43">
        <v>7.42</v>
      </c>
      <c r="J28" s="44">
        <v>6.8040000000000003</v>
      </c>
      <c r="K28" s="21">
        <f t="shared" si="3"/>
        <v>-8.3018867924528256E-2</v>
      </c>
      <c r="L28" s="22">
        <f t="shared" si="4"/>
        <v>0.83495389341304938</v>
      </c>
      <c r="M28" s="48">
        <v>1</v>
      </c>
      <c r="N28" s="48">
        <v>1</v>
      </c>
      <c r="O28" s="44">
        <v>0</v>
      </c>
      <c r="P28" s="44">
        <v>0</v>
      </c>
      <c r="Q28" s="181" t="s">
        <v>517</v>
      </c>
    </row>
    <row r="29" spans="1:17">
      <c r="A29" s="79">
        <v>46138</v>
      </c>
      <c r="B29" s="43">
        <v>28913</v>
      </c>
      <c r="C29" s="43">
        <v>24628</v>
      </c>
      <c r="D29" s="44">
        <v>28543</v>
      </c>
      <c r="E29" s="44">
        <v>28100</v>
      </c>
      <c r="F29" s="21">
        <f t="shared" si="0"/>
        <v>0.15896540522981972</v>
      </c>
      <c r="G29" s="2">
        <f t="shared" si="1"/>
        <v>0.23544735244430368</v>
      </c>
      <c r="H29" s="2">
        <f t="shared" si="2"/>
        <v>0.30032617845117843</v>
      </c>
      <c r="I29" s="43">
        <v>7.42</v>
      </c>
      <c r="J29" s="44">
        <v>6.9379999999999997</v>
      </c>
      <c r="K29" s="21">
        <f t="shared" si="3"/>
        <v>-6.4959568733153672E-2</v>
      </c>
      <c r="L29" s="22">
        <f t="shared" si="4"/>
        <v>0.81446187066348918</v>
      </c>
      <c r="M29" s="48">
        <v>1</v>
      </c>
      <c r="N29" s="48">
        <v>0.99009999999999998</v>
      </c>
      <c r="O29" s="44">
        <v>384</v>
      </c>
      <c r="P29" s="44">
        <v>0</v>
      </c>
      <c r="Q29" s="44" t="s">
        <v>532</v>
      </c>
    </row>
    <row r="30" spans="1:17">
      <c r="A30" s="79">
        <v>46139</v>
      </c>
      <c r="B30" s="43">
        <v>28913</v>
      </c>
      <c r="C30" s="43">
        <v>24628</v>
      </c>
      <c r="D30" s="281">
        <v>27735</v>
      </c>
      <c r="E30" s="318">
        <v>27300</v>
      </c>
      <c r="F30" s="328">
        <v>0.126</v>
      </c>
      <c r="G30" s="323">
        <v>0.2288</v>
      </c>
      <c r="H30" s="323">
        <v>0.2918</v>
      </c>
      <c r="I30" s="322">
        <v>7.42</v>
      </c>
      <c r="J30" s="318">
        <v>6.8440000000000003</v>
      </c>
      <c r="K30" s="329">
        <v>-7.8E-2</v>
      </c>
      <c r="L30" s="344">
        <v>0.80200000000000005</v>
      </c>
      <c r="M30" s="324">
        <v>1</v>
      </c>
      <c r="N30" s="324">
        <v>0.97929999999999995</v>
      </c>
      <c r="O30" s="318">
        <v>898</v>
      </c>
      <c r="P30" s="318">
        <v>0</v>
      </c>
      <c r="Q30" s="318" t="s">
        <v>533</v>
      </c>
    </row>
    <row r="31" spans="1:17">
      <c r="A31" s="79">
        <v>46140</v>
      </c>
      <c r="B31" s="43">
        <v>28913</v>
      </c>
      <c r="C31" s="43">
        <v>24628</v>
      </c>
      <c r="D31" s="320">
        <v>28003</v>
      </c>
      <c r="E31" s="321">
        <v>27550</v>
      </c>
      <c r="F31" s="328">
        <v>0.13700000000000001</v>
      </c>
      <c r="G31" s="326">
        <v>0.23100000000000001</v>
      </c>
      <c r="H31" s="326">
        <v>0.29459999999999997</v>
      </c>
      <c r="I31" s="325">
        <v>7.42</v>
      </c>
      <c r="J31" s="321">
        <v>6.9160000000000004</v>
      </c>
      <c r="K31" s="329">
        <v>-6.8000000000000005E-2</v>
      </c>
      <c r="L31" s="345">
        <v>0.80200000000000005</v>
      </c>
      <c r="M31" s="327">
        <v>1</v>
      </c>
      <c r="N31" s="327">
        <v>0.98699999999999999</v>
      </c>
      <c r="O31" s="321">
        <v>524</v>
      </c>
      <c r="P31" s="321">
        <v>0</v>
      </c>
      <c r="Q31" s="321" t="s">
        <v>534</v>
      </c>
    </row>
    <row r="32" spans="1:17">
      <c r="A32" s="79">
        <v>46141</v>
      </c>
      <c r="B32" s="43">
        <v>28913</v>
      </c>
      <c r="C32" s="43">
        <v>24628</v>
      </c>
      <c r="D32" s="320">
        <v>27512</v>
      </c>
      <c r="E32" s="321">
        <v>27050</v>
      </c>
      <c r="F32" s="328">
        <v>0.11700000000000001</v>
      </c>
      <c r="G32" s="326">
        <v>0.22689999999999999</v>
      </c>
      <c r="H32" s="326">
        <v>0.28949999999999998</v>
      </c>
      <c r="I32" s="325">
        <v>7.42</v>
      </c>
      <c r="J32" s="321">
        <v>7.149</v>
      </c>
      <c r="K32" s="329">
        <v>-3.6999999999999998E-2</v>
      </c>
      <c r="L32" s="345">
        <v>0.76200000000000001</v>
      </c>
      <c r="M32" s="327">
        <v>1</v>
      </c>
      <c r="N32" s="327">
        <v>0.98299999999999998</v>
      </c>
      <c r="O32" s="321">
        <v>722</v>
      </c>
      <c r="P32" s="321">
        <v>0</v>
      </c>
      <c r="Q32" s="321" t="s">
        <v>535</v>
      </c>
    </row>
    <row r="33" spans="1:17">
      <c r="A33" s="79">
        <v>46142</v>
      </c>
      <c r="B33" s="43">
        <v>28913</v>
      </c>
      <c r="C33" s="43">
        <v>24628</v>
      </c>
      <c r="D33" s="320">
        <v>26355</v>
      </c>
      <c r="E33" s="321">
        <v>26000</v>
      </c>
      <c r="F33" s="328">
        <v>7.0000000000000007E-2</v>
      </c>
      <c r="G33" s="326">
        <v>0.21740000000000001</v>
      </c>
      <c r="H33" s="326">
        <v>0.27729999999999999</v>
      </c>
      <c r="I33" s="325">
        <v>7.42</v>
      </c>
      <c r="J33" s="321">
        <v>6.5030000000000001</v>
      </c>
      <c r="K33" s="329">
        <v>-0.124</v>
      </c>
      <c r="L33" s="345">
        <v>0.80200000000000005</v>
      </c>
      <c r="M33" s="327">
        <v>1</v>
      </c>
      <c r="N33" s="327">
        <v>0.99350000000000005</v>
      </c>
      <c r="O33" s="321">
        <v>252</v>
      </c>
      <c r="P33" s="321">
        <v>0</v>
      </c>
      <c r="Q33" s="321" t="s">
        <v>536</v>
      </c>
    </row>
    <row r="34" spans="1:17">
      <c r="A34" s="349">
        <v>46113</v>
      </c>
      <c r="B34" s="80">
        <f>SUM(B4:B33)</f>
        <v>867390</v>
      </c>
      <c r="C34" s="80">
        <f>SUM(C4:C33)</f>
        <v>738840</v>
      </c>
      <c r="D34" s="80">
        <f>SUM(D4:D33)</f>
        <v>828825</v>
      </c>
      <c r="E34" s="80">
        <f>SUM(E4:E33)</f>
        <v>813350</v>
      </c>
      <c r="F34" s="160">
        <f>(IF(ISBLANK(D34),0,D34-C34))/C34</f>
        <v>0.12179226896215689</v>
      </c>
      <c r="G34" s="81">
        <f>AVERAGE(G4:G33)</f>
        <v>0.22789495512617464</v>
      </c>
      <c r="H34" s="81">
        <f>AVERAGE(H4:H33)</f>
        <v>0.29069168350168356</v>
      </c>
      <c r="I34" s="80">
        <f>SUM(I4:I33)</f>
        <v>222.59999999999985</v>
      </c>
      <c r="J34" s="80">
        <f>SUM(J4:J33)</f>
        <v>205.61499999999995</v>
      </c>
      <c r="K34" s="160">
        <f>(IF(ISBLANK(J34),0,J34-I34))/I34</f>
        <v>-7.6302785265049022E-2</v>
      </c>
      <c r="L34" s="81">
        <f>AVERAGE(L4:L33)</f>
        <v>0.79797929902866249</v>
      </c>
      <c r="M34" s="81">
        <f>AVERAGE(M4:M33)</f>
        <v>0.99873666666666661</v>
      </c>
      <c r="N34" s="81">
        <f>AVERAGE(N4:N33)</f>
        <v>0.97798000000000018</v>
      </c>
      <c r="O34" s="80">
        <f>SUM(O4:O33)</f>
        <v>27078</v>
      </c>
      <c r="P34" s="80">
        <f>SUM(P4:P33)</f>
        <v>634</v>
      </c>
      <c r="Q34" s="80" t="s">
        <v>175</v>
      </c>
    </row>
    <row r="35" spans="1:17">
      <c r="A35" s="13">
        <v>46143</v>
      </c>
      <c r="B35" s="35">
        <v>27051</v>
      </c>
      <c r="C35" s="36">
        <v>23042</v>
      </c>
      <c r="D35" s="303">
        <v>27009</v>
      </c>
      <c r="E35" s="37">
        <v>26550</v>
      </c>
      <c r="F35" s="20">
        <f>(IF(ISBLANK(E35),0,E35-C35))/C35</f>
        <v>0.15224372884298237</v>
      </c>
      <c r="G35" s="2">
        <f t="shared" ref="G35:G57" si="5">D35/($D$2*24)</f>
        <v>0.22279359360152046</v>
      </c>
      <c r="H35" s="2">
        <f t="shared" ref="H35:H61" si="6">D35/($H$2*24)</f>
        <v>0.28418560606060606</v>
      </c>
      <c r="I35" s="35">
        <v>6.97</v>
      </c>
      <c r="J35" s="367">
        <v>6.8</v>
      </c>
      <c r="K35" s="20">
        <f>(IF(ISBLANK(J35),0,J35-I35))/I35</f>
        <v>-2.4390243902439015E-2</v>
      </c>
      <c r="L35" s="4">
        <f t="shared" ref="L35:L66" si="7">D35/($D$2*J35)</f>
        <v>0.78633033035830746</v>
      </c>
      <c r="M35" s="362">
        <v>1</v>
      </c>
      <c r="N35" s="41">
        <v>1</v>
      </c>
      <c r="O35" s="37">
        <v>0</v>
      </c>
      <c r="P35" s="37">
        <v>0</v>
      </c>
      <c r="Q35" s="369" t="s">
        <v>517</v>
      </c>
    </row>
    <row r="36" spans="1:17">
      <c r="A36" s="13">
        <f>A35+1</f>
        <v>46144</v>
      </c>
      <c r="B36" s="42">
        <v>27051</v>
      </c>
      <c r="C36" s="43">
        <v>23042</v>
      </c>
      <c r="D36" s="304">
        <v>26446</v>
      </c>
      <c r="E36" s="44">
        <v>26000</v>
      </c>
      <c r="F36" s="20">
        <f t="shared" ref="F36:F54" si="8">(IF(ISBLANK(E36),0,E36-C36))/C36</f>
        <v>0.12837427306657409</v>
      </c>
      <c r="G36" s="2">
        <f t="shared" si="5"/>
        <v>0.21814948263118997</v>
      </c>
      <c r="H36" s="2">
        <f t="shared" si="6"/>
        <v>0.27826178451178452</v>
      </c>
      <c r="I36" s="42">
        <v>6.97</v>
      </c>
      <c r="J36" s="368">
        <v>6.64</v>
      </c>
      <c r="K36" s="20">
        <f t="shared" ref="K36:K54" si="9">(IF(ISBLANK(J36),0,J36-I36))/I36</f>
        <v>-4.7345767575322821E-2</v>
      </c>
      <c r="L36" s="4">
        <f t="shared" si="7"/>
        <v>0.78849210589586727</v>
      </c>
      <c r="M36" s="363">
        <v>1</v>
      </c>
      <c r="N36" s="48">
        <v>0.99399999999999999</v>
      </c>
      <c r="O36" s="44">
        <v>261</v>
      </c>
      <c r="P36" s="44">
        <v>0</v>
      </c>
      <c r="Q36" s="44" t="s">
        <v>537</v>
      </c>
    </row>
    <row r="37" spans="1:17">
      <c r="A37" s="13">
        <f t="shared" ref="A37:A65" si="10">A36+1</f>
        <v>46145</v>
      </c>
      <c r="B37" s="42">
        <v>27051</v>
      </c>
      <c r="C37" s="43">
        <v>23042</v>
      </c>
      <c r="D37" s="304">
        <v>24651</v>
      </c>
      <c r="E37" s="44">
        <v>24350</v>
      </c>
      <c r="F37" s="20">
        <f t="shared" si="8"/>
        <v>5.6765905737349187E-2</v>
      </c>
      <c r="G37" s="2">
        <f t="shared" si="5"/>
        <v>0.20334277003484322</v>
      </c>
      <c r="H37" s="2">
        <f t="shared" si="6"/>
        <v>0.25937500000000002</v>
      </c>
      <c r="I37" s="42">
        <v>6.97</v>
      </c>
      <c r="J37" s="368">
        <v>6.84</v>
      </c>
      <c r="K37" s="20">
        <f t="shared" si="9"/>
        <v>-1.8651362984218062E-2</v>
      </c>
      <c r="L37" s="4">
        <f t="shared" si="7"/>
        <v>0.7134834036310288</v>
      </c>
      <c r="M37" s="363">
        <v>1</v>
      </c>
      <c r="N37" s="48">
        <v>0.93279999999999996</v>
      </c>
      <c r="O37" s="44">
        <v>2837</v>
      </c>
      <c r="P37" s="44">
        <v>0</v>
      </c>
      <c r="Q37" s="44" t="s">
        <v>538</v>
      </c>
    </row>
    <row r="38" spans="1:17">
      <c r="A38" s="13">
        <f t="shared" si="10"/>
        <v>46146</v>
      </c>
      <c r="B38" s="42">
        <v>27051</v>
      </c>
      <c r="C38" s="43">
        <v>23042</v>
      </c>
      <c r="D38" s="304">
        <v>26572</v>
      </c>
      <c r="E38" s="44">
        <v>26200</v>
      </c>
      <c r="F38" s="20">
        <f t="shared" si="8"/>
        <v>0.1370540751670862</v>
      </c>
      <c r="G38" s="2">
        <f t="shared" si="5"/>
        <v>0.2191888396156689</v>
      </c>
      <c r="H38" s="2">
        <f t="shared" si="6"/>
        <v>0.27958754208754211</v>
      </c>
      <c r="I38" s="42">
        <v>6.97</v>
      </c>
      <c r="J38" s="368">
        <v>6.62</v>
      </c>
      <c r="K38" s="20">
        <f t="shared" si="9"/>
        <v>-5.0215208034433238E-2</v>
      </c>
      <c r="L38" s="4">
        <f t="shared" si="7"/>
        <v>0.79464231884834646</v>
      </c>
      <c r="M38" s="363">
        <v>1</v>
      </c>
      <c r="N38" s="48">
        <v>1</v>
      </c>
      <c r="O38" s="44">
        <v>0</v>
      </c>
      <c r="P38" s="44">
        <v>0</v>
      </c>
      <c r="Q38" s="179" t="s">
        <v>517</v>
      </c>
    </row>
    <row r="39" spans="1:17">
      <c r="A39" s="13">
        <f t="shared" si="10"/>
        <v>46147</v>
      </c>
      <c r="B39" s="42">
        <v>27051</v>
      </c>
      <c r="C39" s="43">
        <v>23042</v>
      </c>
      <c r="D39" s="34"/>
      <c r="E39" s="34"/>
      <c r="F39" s="20">
        <f t="shared" si="8"/>
        <v>0</v>
      </c>
      <c r="G39" s="2">
        <f t="shared" si="5"/>
        <v>0</v>
      </c>
      <c r="H39" s="2">
        <f t="shared" si="6"/>
        <v>0</v>
      </c>
      <c r="I39" s="42">
        <v>6.97</v>
      </c>
      <c r="J39" s="34"/>
      <c r="K39" s="20">
        <f t="shared" si="9"/>
        <v>0</v>
      </c>
      <c r="L39" s="4" t="e">
        <f t="shared" si="7"/>
        <v>#DIV/0!</v>
      </c>
      <c r="M39" s="103"/>
      <c r="N39" s="103"/>
      <c r="O39" s="34"/>
      <c r="P39" s="6"/>
      <c r="Q39" s="14"/>
    </row>
    <row r="40" spans="1:17">
      <c r="A40" s="13">
        <f t="shared" si="10"/>
        <v>46148</v>
      </c>
      <c r="B40" s="42">
        <v>27051</v>
      </c>
      <c r="C40" s="43">
        <v>23042</v>
      </c>
      <c r="D40" s="34"/>
      <c r="E40" s="34"/>
      <c r="F40" s="20">
        <f t="shared" si="8"/>
        <v>0</v>
      </c>
      <c r="G40" s="2">
        <f t="shared" si="5"/>
        <v>0</v>
      </c>
      <c r="H40" s="2">
        <f t="shared" si="6"/>
        <v>0</v>
      </c>
      <c r="I40" s="42">
        <v>6.97</v>
      </c>
      <c r="J40" s="34"/>
      <c r="K40" s="20">
        <f t="shared" si="9"/>
        <v>0</v>
      </c>
      <c r="L40" s="4" t="e">
        <f t="shared" si="7"/>
        <v>#DIV/0!</v>
      </c>
      <c r="M40" s="103"/>
      <c r="N40" s="103"/>
      <c r="O40" s="34"/>
      <c r="P40" s="6"/>
      <c r="Q40" s="14"/>
    </row>
    <row r="41" spans="1:17">
      <c r="A41" s="13">
        <f t="shared" si="10"/>
        <v>46149</v>
      </c>
      <c r="B41" s="42">
        <v>27051</v>
      </c>
      <c r="C41" s="43">
        <v>23042</v>
      </c>
      <c r="D41" s="34"/>
      <c r="E41" s="34"/>
      <c r="F41" s="20">
        <f t="shared" si="8"/>
        <v>0</v>
      </c>
      <c r="G41" s="2">
        <f t="shared" si="5"/>
        <v>0</v>
      </c>
      <c r="H41" s="2">
        <f t="shared" si="6"/>
        <v>0</v>
      </c>
      <c r="I41" s="42">
        <v>6.97</v>
      </c>
      <c r="J41" s="34"/>
      <c r="K41" s="20">
        <f t="shared" si="9"/>
        <v>0</v>
      </c>
      <c r="L41" s="4" t="e">
        <f t="shared" si="7"/>
        <v>#DIV/0!</v>
      </c>
      <c r="M41" s="103"/>
      <c r="N41" s="103"/>
      <c r="O41" s="34"/>
      <c r="P41" s="6"/>
      <c r="Q41" s="202"/>
    </row>
    <row r="42" spans="1:17">
      <c r="A42" s="13">
        <f t="shared" si="10"/>
        <v>46150</v>
      </c>
      <c r="B42" s="42">
        <v>27051</v>
      </c>
      <c r="C42" s="43">
        <v>23042</v>
      </c>
      <c r="D42" s="34"/>
      <c r="E42" s="34"/>
      <c r="F42" s="20">
        <f t="shared" si="8"/>
        <v>0</v>
      </c>
      <c r="G42" s="2">
        <f t="shared" si="5"/>
        <v>0</v>
      </c>
      <c r="H42" s="2">
        <f t="shared" si="6"/>
        <v>0</v>
      </c>
      <c r="I42" s="42">
        <v>6.97</v>
      </c>
      <c r="J42" s="34"/>
      <c r="K42" s="20">
        <f t="shared" si="9"/>
        <v>0</v>
      </c>
      <c r="L42" s="4" t="e">
        <f t="shared" si="7"/>
        <v>#DIV/0!</v>
      </c>
      <c r="M42" s="103"/>
      <c r="N42" s="103"/>
      <c r="O42" s="34"/>
      <c r="P42" s="6"/>
      <c r="Q42" s="14"/>
    </row>
    <row r="43" spans="1:17">
      <c r="A43" s="13">
        <f t="shared" si="10"/>
        <v>46151</v>
      </c>
      <c r="B43" s="42">
        <v>27051</v>
      </c>
      <c r="C43" s="43">
        <v>23042</v>
      </c>
      <c r="D43" s="34"/>
      <c r="E43" s="34"/>
      <c r="F43" s="20">
        <f t="shared" si="8"/>
        <v>0</v>
      </c>
      <c r="G43" s="2">
        <f t="shared" si="5"/>
        <v>0</v>
      </c>
      <c r="H43" s="2">
        <f t="shared" si="6"/>
        <v>0</v>
      </c>
      <c r="I43" s="42">
        <v>6.97</v>
      </c>
      <c r="J43" s="34"/>
      <c r="K43" s="20">
        <f t="shared" si="9"/>
        <v>0</v>
      </c>
      <c r="L43" s="4" t="e">
        <f t="shared" si="7"/>
        <v>#DIV/0!</v>
      </c>
      <c r="M43" s="103"/>
      <c r="N43" s="103"/>
      <c r="O43" s="34"/>
      <c r="P43" s="6"/>
      <c r="Q43" s="6"/>
    </row>
    <row r="44" spans="1:17">
      <c r="A44" s="13">
        <f t="shared" si="10"/>
        <v>46152</v>
      </c>
      <c r="B44" s="42">
        <v>27051</v>
      </c>
      <c r="C44" s="43">
        <v>23042</v>
      </c>
      <c r="D44" s="34"/>
      <c r="E44" s="34"/>
      <c r="F44" s="20">
        <f t="shared" si="8"/>
        <v>0</v>
      </c>
      <c r="G44" s="2">
        <f t="shared" si="5"/>
        <v>0</v>
      </c>
      <c r="H44" s="2">
        <f t="shared" si="6"/>
        <v>0</v>
      </c>
      <c r="I44" s="42">
        <v>6.97</v>
      </c>
      <c r="J44" s="34"/>
      <c r="K44" s="20">
        <f t="shared" si="9"/>
        <v>0</v>
      </c>
      <c r="L44" s="4" t="e">
        <f t="shared" si="7"/>
        <v>#DIV/0!</v>
      </c>
      <c r="M44" s="103"/>
      <c r="N44" s="103"/>
      <c r="O44" s="34"/>
      <c r="P44" s="6"/>
      <c r="Q44" s="16"/>
    </row>
    <row r="45" spans="1:17">
      <c r="A45" s="13">
        <f t="shared" si="10"/>
        <v>46153</v>
      </c>
      <c r="B45" s="42">
        <v>27051</v>
      </c>
      <c r="C45" s="43">
        <v>23042</v>
      </c>
      <c r="D45" s="34"/>
      <c r="E45" s="34"/>
      <c r="F45" s="20">
        <f t="shared" si="8"/>
        <v>0</v>
      </c>
      <c r="G45" s="2">
        <f t="shared" si="5"/>
        <v>0</v>
      </c>
      <c r="H45" s="2">
        <f t="shared" si="6"/>
        <v>0</v>
      </c>
      <c r="I45" s="42">
        <v>6.97</v>
      </c>
      <c r="J45" s="34"/>
      <c r="K45" s="20">
        <f t="shared" si="9"/>
        <v>0</v>
      </c>
      <c r="L45" s="4" t="e">
        <f t="shared" si="7"/>
        <v>#DIV/0!</v>
      </c>
      <c r="M45" s="103"/>
      <c r="N45" s="103"/>
      <c r="O45" s="34"/>
      <c r="P45" s="6"/>
      <c r="Q45" s="6"/>
    </row>
    <row r="46" spans="1:17">
      <c r="A46" s="13">
        <f t="shared" si="10"/>
        <v>46154</v>
      </c>
      <c r="B46" s="42">
        <v>27051</v>
      </c>
      <c r="C46" s="43">
        <v>23042</v>
      </c>
      <c r="D46" s="34"/>
      <c r="E46" s="34"/>
      <c r="F46" s="20">
        <f t="shared" si="8"/>
        <v>0</v>
      </c>
      <c r="G46" s="2">
        <f t="shared" si="5"/>
        <v>0</v>
      </c>
      <c r="H46" s="2">
        <f t="shared" si="6"/>
        <v>0</v>
      </c>
      <c r="I46" s="42">
        <v>6.97</v>
      </c>
      <c r="J46" s="34"/>
      <c r="K46" s="20">
        <f t="shared" si="9"/>
        <v>0</v>
      </c>
      <c r="L46" s="4" t="e">
        <f t="shared" si="7"/>
        <v>#DIV/0!</v>
      </c>
      <c r="M46" s="104"/>
      <c r="N46" s="103"/>
      <c r="O46" s="34"/>
      <c r="P46" s="6"/>
      <c r="Q46" s="6"/>
    </row>
    <row r="47" spans="1:17">
      <c r="A47" s="13">
        <f t="shared" si="10"/>
        <v>46155</v>
      </c>
      <c r="B47" s="42">
        <v>27051</v>
      </c>
      <c r="C47" s="43">
        <v>23042</v>
      </c>
      <c r="D47" s="34"/>
      <c r="E47" s="34"/>
      <c r="F47" s="20">
        <f t="shared" si="8"/>
        <v>0</v>
      </c>
      <c r="G47" s="2">
        <f t="shared" si="5"/>
        <v>0</v>
      </c>
      <c r="H47" s="2">
        <f t="shared" si="6"/>
        <v>0</v>
      </c>
      <c r="I47" s="42">
        <v>6.97</v>
      </c>
      <c r="J47" s="34"/>
      <c r="K47" s="20">
        <f t="shared" si="9"/>
        <v>0</v>
      </c>
      <c r="L47" s="4" t="e">
        <f t="shared" si="7"/>
        <v>#DIV/0!</v>
      </c>
      <c r="M47" s="104"/>
      <c r="N47" s="103"/>
      <c r="O47" s="34"/>
      <c r="P47" s="6"/>
      <c r="Q47" s="31"/>
    </row>
    <row r="48" spans="1:17">
      <c r="A48" s="13">
        <f t="shared" si="10"/>
        <v>46156</v>
      </c>
      <c r="B48" s="42">
        <v>27051</v>
      </c>
      <c r="C48" s="43">
        <v>23042</v>
      </c>
      <c r="D48" s="34"/>
      <c r="E48" s="34"/>
      <c r="F48" s="20">
        <f t="shared" si="8"/>
        <v>0</v>
      </c>
      <c r="G48" s="2">
        <f t="shared" si="5"/>
        <v>0</v>
      </c>
      <c r="H48" s="2">
        <f t="shared" si="6"/>
        <v>0</v>
      </c>
      <c r="I48" s="42">
        <v>6.97</v>
      </c>
      <c r="J48" s="34"/>
      <c r="K48" s="20">
        <f t="shared" si="9"/>
        <v>0</v>
      </c>
      <c r="L48" s="4" t="e">
        <f t="shared" si="7"/>
        <v>#DIV/0!</v>
      </c>
      <c r="M48" s="104"/>
      <c r="N48" s="103"/>
      <c r="O48" s="34"/>
      <c r="P48" s="6"/>
      <c r="Q48" s="32"/>
    </row>
    <row r="49" spans="1:17">
      <c r="A49" s="13">
        <f t="shared" si="10"/>
        <v>46157</v>
      </c>
      <c r="B49" s="42">
        <v>27051</v>
      </c>
      <c r="C49" s="43">
        <v>23042</v>
      </c>
      <c r="D49" s="34"/>
      <c r="E49" s="34"/>
      <c r="F49" s="20">
        <f t="shared" si="8"/>
        <v>0</v>
      </c>
      <c r="G49" s="2">
        <f t="shared" si="5"/>
        <v>0</v>
      </c>
      <c r="H49" s="2">
        <f t="shared" si="6"/>
        <v>0</v>
      </c>
      <c r="I49" s="42">
        <v>6.97</v>
      </c>
      <c r="J49" s="34"/>
      <c r="K49" s="20">
        <f t="shared" si="9"/>
        <v>0</v>
      </c>
      <c r="L49" s="4" t="e">
        <f t="shared" si="7"/>
        <v>#DIV/0!</v>
      </c>
      <c r="M49" s="104"/>
      <c r="N49" s="103"/>
      <c r="O49" s="34"/>
      <c r="P49" s="6"/>
      <c r="Q49" s="32"/>
    </row>
    <row r="50" spans="1:17">
      <c r="A50" s="13">
        <f t="shared" si="10"/>
        <v>46158</v>
      </c>
      <c r="B50" s="42">
        <v>27051</v>
      </c>
      <c r="C50" s="43">
        <v>23042</v>
      </c>
      <c r="D50" s="34"/>
      <c r="E50" s="34"/>
      <c r="F50" s="20">
        <f t="shared" si="8"/>
        <v>0</v>
      </c>
      <c r="G50" s="2">
        <f t="shared" si="5"/>
        <v>0</v>
      </c>
      <c r="H50" s="2">
        <f t="shared" si="6"/>
        <v>0</v>
      </c>
      <c r="I50" s="42">
        <v>6.97</v>
      </c>
      <c r="J50" s="34"/>
      <c r="K50" s="20">
        <f t="shared" si="9"/>
        <v>0</v>
      </c>
      <c r="L50" s="4" t="e">
        <f t="shared" si="7"/>
        <v>#DIV/0!</v>
      </c>
      <c r="M50" s="104"/>
      <c r="N50" s="103"/>
      <c r="O50" s="34"/>
      <c r="P50" s="6"/>
      <c r="Q50" s="32"/>
    </row>
    <row r="51" spans="1:17">
      <c r="A51" s="13">
        <f t="shared" si="10"/>
        <v>46159</v>
      </c>
      <c r="B51" s="42">
        <v>27051</v>
      </c>
      <c r="C51" s="43">
        <v>23042</v>
      </c>
      <c r="D51" s="34"/>
      <c r="E51" s="34"/>
      <c r="F51" s="20">
        <f t="shared" si="8"/>
        <v>0</v>
      </c>
      <c r="G51" s="2">
        <f t="shared" si="5"/>
        <v>0</v>
      </c>
      <c r="H51" s="2">
        <f t="shared" si="6"/>
        <v>0</v>
      </c>
      <c r="I51" s="42">
        <v>6.97</v>
      </c>
      <c r="J51" s="34"/>
      <c r="K51" s="20">
        <f t="shared" si="9"/>
        <v>0</v>
      </c>
      <c r="L51" s="4" t="e">
        <f t="shared" si="7"/>
        <v>#DIV/0!</v>
      </c>
      <c r="M51" s="103"/>
      <c r="N51" s="103"/>
      <c r="O51" s="34"/>
      <c r="P51" s="6"/>
      <c r="Q51" s="6"/>
    </row>
    <row r="52" spans="1:17">
      <c r="A52" s="13">
        <f t="shared" si="10"/>
        <v>46160</v>
      </c>
      <c r="B52" s="42">
        <v>27051</v>
      </c>
      <c r="C52" s="43">
        <v>23042</v>
      </c>
      <c r="D52" s="34"/>
      <c r="E52" s="34"/>
      <c r="F52" s="20">
        <f t="shared" si="8"/>
        <v>0</v>
      </c>
      <c r="G52" s="2">
        <f t="shared" si="5"/>
        <v>0</v>
      </c>
      <c r="H52" s="2">
        <f t="shared" si="6"/>
        <v>0</v>
      </c>
      <c r="I52" s="42">
        <v>6.97</v>
      </c>
      <c r="J52" s="34"/>
      <c r="K52" s="20">
        <f t="shared" si="9"/>
        <v>0</v>
      </c>
      <c r="L52" s="4" t="e">
        <f t="shared" si="7"/>
        <v>#DIV/0!</v>
      </c>
      <c r="M52" s="103"/>
      <c r="N52" s="103"/>
      <c r="O52" s="34"/>
      <c r="P52" s="6"/>
      <c r="Q52" s="14"/>
    </row>
    <row r="53" spans="1:17">
      <c r="A53" s="13">
        <f t="shared" si="10"/>
        <v>46161</v>
      </c>
      <c r="B53" s="42">
        <v>27051</v>
      </c>
      <c r="C53" s="43">
        <v>23042</v>
      </c>
      <c r="D53" s="34"/>
      <c r="E53" s="34"/>
      <c r="F53" s="20">
        <f t="shared" si="8"/>
        <v>0</v>
      </c>
      <c r="G53" s="2">
        <f t="shared" si="5"/>
        <v>0</v>
      </c>
      <c r="H53" s="2">
        <f t="shared" si="6"/>
        <v>0</v>
      </c>
      <c r="I53" s="42">
        <v>6.97</v>
      </c>
      <c r="J53" s="34"/>
      <c r="K53" s="20">
        <f t="shared" si="9"/>
        <v>0</v>
      </c>
      <c r="L53" s="4" t="e">
        <f t="shared" si="7"/>
        <v>#DIV/0!</v>
      </c>
      <c r="M53" s="103"/>
      <c r="N53" s="103"/>
      <c r="O53" s="34"/>
      <c r="P53" s="6"/>
      <c r="Q53" s="14"/>
    </row>
    <row r="54" spans="1:17">
      <c r="A54" s="13">
        <f t="shared" si="10"/>
        <v>46162</v>
      </c>
      <c r="B54" s="42">
        <v>27051</v>
      </c>
      <c r="C54" s="43">
        <v>23042</v>
      </c>
      <c r="D54" s="34"/>
      <c r="E54" s="34"/>
      <c r="F54" s="20">
        <f t="shared" si="8"/>
        <v>0</v>
      </c>
      <c r="G54" s="2">
        <f t="shared" si="5"/>
        <v>0</v>
      </c>
      <c r="H54" s="2">
        <f t="shared" si="6"/>
        <v>0</v>
      </c>
      <c r="I54" s="42">
        <v>6.97</v>
      </c>
      <c r="J54" s="34"/>
      <c r="K54" s="20">
        <f t="shared" si="9"/>
        <v>0</v>
      </c>
      <c r="L54" s="4" t="e">
        <f t="shared" si="7"/>
        <v>#DIV/0!</v>
      </c>
      <c r="M54" s="103"/>
      <c r="N54" s="103"/>
      <c r="O54" s="34"/>
      <c r="P54" s="6"/>
      <c r="Q54" s="14"/>
    </row>
    <row r="55" spans="1:17">
      <c r="A55" s="13">
        <f t="shared" si="10"/>
        <v>46163</v>
      </c>
      <c r="B55" s="42">
        <v>27051</v>
      </c>
      <c r="C55" s="43">
        <v>23042</v>
      </c>
      <c r="D55" s="34"/>
      <c r="E55" s="34"/>
      <c r="F55" s="20">
        <f>(IF(ISBLANK(E55),0,E55-C55))/C55</f>
        <v>0</v>
      </c>
      <c r="G55" s="2">
        <f t="shared" si="5"/>
        <v>0</v>
      </c>
      <c r="H55" s="2">
        <f t="shared" si="6"/>
        <v>0</v>
      </c>
      <c r="I55" s="42">
        <v>6.97</v>
      </c>
      <c r="J55" s="34"/>
      <c r="K55" s="20">
        <f>(IF(ISBLANK(J55),0,J55-I55))/I55</f>
        <v>0</v>
      </c>
      <c r="L55" s="4" t="e">
        <f t="shared" si="7"/>
        <v>#DIV/0!</v>
      </c>
      <c r="M55" s="103"/>
      <c r="N55" s="103"/>
      <c r="O55" s="34"/>
      <c r="P55" s="6"/>
      <c r="Q55" s="6"/>
    </row>
    <row r="56" spans="1:17">
      <c r="A56" s="13">
        <f t="shared" si="10"/>
        <v>46164</v>
      </c>
      <c r="B56" s="42">
        <v>27051</v>
      </c>
      <c r="C56" s="43">
        <v>23042</v>
      </c>
      <c r="D56" s="34"/>
      <c r="E56" s="34"/>
      <c r="F56" s="20">
        <f t="shared" ref="F56:F65" si="11">(IF(ISBLANK(E56),0,E56-C56))/C56</f>
        <v>0</v>
      </c>
      <c r="G56" s="2">
        <f t="shared" si="5"/>
        <v>0</v>
      </c>
      <c r="H56" s="2">
        <f t="shared" si="6"/>
        <v>0</v>
      </c>
      <c r="I56" s="42">
        <v>6.97</v>
      </c>
      <c r="J56" s="34"/>
      <c r="K56" s="20">
        <f t="shared" ref="K56:K65" si="12">(IF(ISBLANK(J56),0,J56-I56))/I56</f>
        <v>0</v>
      </c>
      <c r="L56" s="4" t="e">
        <f t="shared" si="7"/>
        <v>#DIV/0!</v>
      </c>
      <c r="M56" s="103"/>
      <c r="N56" s="103"/>
      <c r="O56" s="34"/>
      <c r="P56" s="6"/>
      <c r="Q56" s="6"/>
    </row>
    <row r="57" spans="1:17">
      <c r="A57" s="13">
        <f t="shared" si="10"/>
        <v>46165</v>
      </c>
      <c r="B57" s="42">
        <v>27051</v>
      </c>
      <c r="C57" s="43">
        <v>23042</v>
      </c>
      <c r="D57" s="14"/>
      <c r="E57" s="14"/>
      <c r="F57" s="20">
        <f t="shared" si="11"/>
        <v>0</v>
      </c>
      <c r="G57" s="2">
        <f t="shared" si="5"/>
        <v>0</v>
      </c>
      <c r="H57" s="2">
        <f t="shared" si="6"/>
        <v>0</v>
      </c>
      <c r="I57" s="42">
        <v>6.97</v>
      </c>
      <c r="J57" s="14"/>
      <c r="K57" s="20">
        <f t="shared" si="12"/>
        <v>0</v>
      </c>
      <c r="L57" s="4" t="e">
        <f t="shared" si="7"/>
        <v>#DIV/0!</v>
      </c>
      <c r="M57" s="103"/>
      <c r="N57" s="103"/>
      <c r="O57" s="34"/>
      <c r="P57" s="6"/>
      <c r="Q57" s="6"/>
    </row>
    <row r="58" spans="1:17">
      <c r="A58" s="13">
        <f t="shared" si="10"/>
        <v>46166</v>
      </c>
      <c r="B58" s="42">
        <v>27051</v>
      </c>
      <c r="C58" s="43">
        <v>23042</v>
      </c>
      <c r="D58" s="14"/>
      <c r="E58" s="14"/>
      <c r="F58" s="20">
        <f t="shared" si="11"/>
        <v>0</v>
      </c>
      <c r="G58" s="2">
        <f t="shared" ref="G58:G65" si="13">D58/($D$2*24)</f>
        <v>0</v>
      </c>
      <c r="H58" s="2">
        <f t="shared" si="6"/>
        <v>0</v>
      </c>
      <c r="I58" s="42">
        <v>6.97</v>
      </c>
      <c r="J58" s="14"/>
      <c r="K58" s="20">
        <f t="shared" si="12"/>
        <v>0</v>
      </c>
      <c r="L58" s="4" t="e">
        <f t="shared" si="7"/>
        <v>#DIV/0!</v>
      </c>
      <c r="M58" s="103"/>
      <c r="N58" s="103"/>
      <c r="O58" s="34"/>
      <c r="P58" s="6"/>
      <c r="Q58" s="288"/>
    </row>
    <row r="59" spans="1:17">
      <c r="A59" s="13">
        <f t="shared" si="10"/>
        <v>46167</v>
      </c>
      <c r="B59" s="42">
        <v>27051</v>
      </c>
      <c r="C59" s="43">
        <v>23042</v>
      </c>
      <c r="D59" s="14"/>
      <c r="E59" s="14"/>
      <c r="F59" s="20">
        <f t="shared" si="11"/>
        <v>0</v>
      </c>
      <c r="G59" s="2">
        <f t="shared" si="13"/>
        <v>0</v>
      </c>
      <c r="H59" s="2">
        <f t="shared" si="6"/>
        <v>0</v>
      </c>
      <c r="I59" s="42">
        <v>6.97</v>
      </c>
      <c r="J59" s="14"/>
      <c r="K59" s="20">
        <f t="shared" si="12"/>
        <v>0</v>
      </c>
      <c r="L59" s="4" t="e">
        <f t="shared" si="7"/>
        <v>#DIV/0!</v>
      </c>
      <c r="M59" s="103"/>
      <c r="N59" s="103"/>
      <c r="O59" s="34"/>
      <c r="P59" s="155"/>
      <c r="Q59" s="6"/>
    </row>
    <row r="60" spans="1:17">
      <c r="A60" s="13">
        <f t="shared" si="10"/>
        <v>46168</v>
      </c>
      <c r="B60" s="42">
        <v>27051</v>
      </c>
      <c r="C60" s="43">
        <v>23042</v>
      </c>
      <c r="D60" s="14"/>
      <c r="E60" s="14"/>
      <c r="F60" s="20">
        <f t="shared" si="11"/>
        <v>0</v>
      </c>
      <c r="G60" s="2">
        <f t="shared" si="13"/>
        <v>0</v>
      </c>
      <c r="H60" s="2">
        <f t="shared" si="6"/>
        <v>0</v>
      </c>
      <c r="I60" s="42">
        <v>6.97</v>
      </c>
      <c r="J60" s="14"/>
      <c r="K60" s="20">
        <f t="shared" si="12"/>
        <v>0</v>
      </c>
      <c r="L60" s="4" t="e">
        <f t="shared" si="7"/>
        <v>#DIV/0!</v>
      </c>
      <c r="M60" s="103"/>
      <c r="N60" s="103"/>
      <c r="O60" s="34"/>
      <c r="P60" s="6"/>
      <c r="Q60" s="123"/>
    </row>
    <row r="61" spans="1:17">
      <c r="A61" s="13">
        <f t="shared" si="10"/>
        <v>46169</v>
      </c>
      <c r="B61" s="42">
        <v>27051</v>
      </c>
      <c r="C61" s="43">
        <v>23042</v>
      </c>
      <c r="D61" s="14"/>
      <c r="E61" s="14"/>
      <c r="F61" s="20">
        <f t="shared" si="11"/>
        <v>0</v>
      </c>
      <c r="G61" s="2">
        <f t="shared" si="13"/>
        <v>0</v>
      </c>
      <c r="H61" s="2">
        <f t="shared" si="6"/>
        <v>0</v>
      </c>
      <c r="I61" s="42">
        <v>6.97</v>
      </c>
      <c r="J61" s="14"/>
      <c r="K61" s="20">
        <f t="shared" si="12"/>
        <v>0</v>
      </c>
      <c r="L61" s="4" t="e">
        <f t="shared" si="7"/>
        <v>#DIV/0!</v>
      </c>
      <c r="M61" s="103"/>
      <c r="N61" s="103"/>
      <c r="O61" s="34"/>
      <c r="P61" s="6"/>
      <c r="Q61" s="6"/>
    </row>
    <row r="62" spans="1:17">
      <c r="A62" s="13">
        <f t="shared" si="10"/>
        <v>46170</v>
      </c>
      <c r="B62" s="42">
        <v>27051</v>
      </c>
      <c r="C62" s="43">
        <v>23042</v>
      </c>
      <c r="D62" s="14"/>
      <c r="E62" s="14"/>
      <c r="F62" s="20">
        <f t="shared" si="11"/>
        <v>0</v>
      </c>
      <c r="G62" s="2">
        <f t="shared" si="13"/>
        <v>0</v>
      </c>
      <c r="H62" s="2">
        <f t="shared" ref="H62:H65" si="14">D62/($H$2*24)</f>
        <v>0</v>
      </c>
      <c r="I62" s="42">
        <v>6.97</v>
      </c>
      <c r="J62" s="14"/>
      <c r="K62" s="20">
        <f t="shared" si="12"/>
        <v>0</v>
      </c>
      <c r="L62" s="4" t="e">
        <f t="shared" si="7"/>
        <v>#DIV/0!</v>
      </c>
      <c r="M62" s="103"/>
      <c r="N62" s="103"/>
      <c r="O62" s="34"/>
      <c r="P62" s="6"/>
      <c r="Q62" s="6"/>
    </row>
    <row r="63" spans="1:17">
      <c r="A63" s="13">
        <f t="shared" si="10"/>
        <v>46171</v>
      </c>
      <c r="B63" s="42">
        <v>27051</v>
      </c>
      <c r="C63" s="43">
        <v>23042</v>
      </c>
      <c r="D63" s="14"/>
      <c r="E63" s="14"/>
      <c r="F63" s="20">
        <f t="shared" si="11"/>
        <v>0</v>
      </c>
      <c r="G63" s="2">
        <f t="shared" si="13"/>
        <v>0</v>
      </c>
      <c r="H63" s="2">
        <f t="shared" si="14"/>
        <v>0</v>
      </c>
      <c r="I63" s="42">
        <v>6.97</v>
      </c>
      <c r="J63" s="14"/>
      <c r="K63" s="20">
        <f t="shared" si="12"/>
        <v>0</v>
      </c>
      <c r="L63" s="4" t="e">
        <f t="shared" si="7"/>
        <v>#DIV/0!</v>
      </c>
      <c r="M63" s="103"/>
      <c r="N63" s="103"/>
      <c r="O63" s="34"/>
      <c r="P63" s="6"/>
      <c r="Q63" s="6"/>
    </row>
    <row r="64" spans="1:17">
      <c r="A64" s="13">
        <f t="shared" si="10"/>
        <v>46172</v>
      </c>
      <c r="B64" s="42">
        <v>27051</v>
      </c>
      <c r="C64" s="43">
        <v>23042</v>
      </c>
      <c r="D64" s="14"/>
      <c r="E64" s="14"/>
      <c r="F64" s="20">
        <f t="shared" si="11"/>
        <v>0</v>
      </c>
      <c r="G64" s="2">
        <f t="shared" si="13"/>
        <v>0</v>
      </c>
      <c r="H64" s="2">
        <f t="shared" si="14"/>
        <v>0</v>
      </c>
      <c r="I64" s="42">
        <v>6.97</v>
      </c>
      <c r="J64" s="14"/>
      <c r="K64" s="20">
        <f t="shared" si="12"/>
        <v>0</v>
      </c>
      <c r="L64" s="4" t="e">
        <f t="shared" si="7"/>
        <v>#DIV/0!</v>
      </c>
      <c r="M64" s="103"/>
      <c r="N64" s="103"/>
      <c r="O64" s="34"/>
      <c r="P64" s="6"/>
      <c r="Q64" s="6"/>
    </row>
    <row r="65" spans="1:17">
      <c r="A65" s="13">
        <f t="shared" si="10"/>
        <v>46173</v>
      </c>
      <c r="B65" s="42">
        <v>27051</v>
      </c>
      <c r="C65" s="43">
        <v>23042</v>
      </c>
      <c r="D65" s="14"/>
      <c r="E65" s="14"/>
      <c r="F65" s="20">
        <f t="shared" si="11"/>
        <v>0</v>
      </c>
      <c r="G65" s="2">
        <f t="shared" si="13"/>
        <v>0</v>
      </c>
      <c r="H65" s="2">
        <f t="shared" si="14"/>
        <v>0</v>
      </c>
      <c r="I65" s="42">
        <v>6.97</v>
      </c>
      <c r="J65" s="14"/>
      <c r="K65" s="20">
        <f t="shared" si="12"/>
        <v>0</v>
      </c>
      <c r="L65" s="4" t="e">
        <f t="shared" si="7"/>
        <v>#DIV/0!</v>
      </c>
      <c r="M65" s="103"/>
      <c r="N65" s="103"/>
      <c r="O65" s="34"/>
      <c r="P65" s="6"/>
      <c r="Q65" s="6"/>
    </row>
    <row r="66" spans="1:17">
      <c r="A66" s="349">
        <v>46143</v>
      </c>
      <c r="B66" s="89">
        <f>SUM(B35:B65)</f>
        <v>838581</v>
      </c>
      <c r="C66" s="89">
        <f>SUM(C35:C65)</f>
        <v>714302</v>
      </c>
      <c r="D66" s="89">
        <f>SUM(D35:D65)</f>
        <v>104678</v>
      </c>
      <c r="E66" s="89">
        <f>SUM(E35:E65)</f>
        <v>103100</v>
      </c>
      <c r="F66" s="160">
        <f>(IF(ISBLANK(E66),0,E66-C66))/C66</f>
        <v>-0.85566329087696802</v>
      </c>
      <c r="G66" s="90">
        <f>AVERAGE(G35:G65)</f>
        <v>2.7854022125265245E-2</v>
      </c>
      <c r="H66" s="90">
        <f>AVERAGE(H35:H65)</f>
        <v>3.5529352666449444E-2</v>
      </c>
      <c r="I66" s="89">
        <f>SUM(I35:I65)</f>
        <v>216.07</v>
      </c>
      <c r="J66" s="89">
        <f>SUM(J35:J65)</f>
        <v>26.900000000000002</v>
      </c>
      <c r="K66" s="160">
        <f>(IF(ISBLANK(J66),0,J66-I66))/I66</f>
        <v>-0.87550330911278751</v>
      </c>
      <c r="L66" s="161">
        <f t="shared" si="7"/>
        <v>0.7703863368474847</v>
      </c>
      <c r="M66" s="90">
        <f>AVERAGE(M35:M65)</f>
        <v>1</v>
      </c>
      <c r="N66" s="90">
        <f>AVERAGE(N35:N65)</f>
        <v>0.98170000000000002</v>
      </c>
      <c r="O66" s="89">
        <f>SUM(O35:O65)</f>
        <v>3098</v>
      </c>
      <c r="P66" s="89">
        <f>SUM(P35:P65)</f>
        <v>0</v>
      </c>
      <c r="Q66" s="19"/>
    </row>
  </sheetData>
  <mergeCells count="4">
    <mergeCell ref="A1:Q1"/>
    <mergeCell ref="B2:C2"/>
    <mergeCell ref="E2:G2"/>
    <mergeCell ref="I2:J2"/>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5898-DCA5-4109-B7E4-896DC27914FC}">
  <dimension ref="A1:Q66"/>
  <sheetViews>
    <sheetView workbookViewId="0">
      <selection sqref="A1:Q1"/>
    </sheetView>
  </sheetViews>
  <sheetFormatPr defaultRowHeight="14.5"/>
  <cols>
    <col min="1" max="1" width="11.26953125" bestFit="1" customWidth="1"/>
    <col min="17" max="17" width="71.453125" bestFit="1" customWidth="1"/>
  </cols>
  <sheetData>
    <row r="1" spans="1:17" ht="18.5">
      <c r="A1" s="420" t="s">
        <v>539</v>
      </c>
      <c r="B1" s="421"/>
      <c r="C1" s="421"/>
      <c r="D1" s="421"/>
      <c r="E1" s="421"/>
      <c r="F1" s="421"/>
      <c r="G1" s="421"/>
      <c r="H1" s="421"/>
      <c r="I1" s="421"/>
      <c r="J1" s="421"/>
      <c r="K1" s="421"/>
      <c r="L1" s="421"/>
      <c r="M1" s="421"/>
      <c r="N1" s="421"/>
      <c r="O1" s="421"/>
      <c r="P1" s="421"/>
      <c r="Q1" s="421"/>
    </row>
    <row r="2" spans="1:17" ht="18.5">
      <c r="A2" s="69">
        <v>46138</v>
      </c>
      <c r="B2" s="415" t="s">
        <v>172</v>
      </c>
      <c r="C2" s="416"/>
      <c r="D2" s="70">
        <v>2525.6</v>
      </c>
      <c r="E2" s="415" t="s">
        <v>173</v>
      </c>
      <c r="F2" s="415"/>
      <c r="G2" s="416"/>
      <c r="H2" s="70">
        <v>1760</v>
      </c>
      <c r="I2" s="415" t="s">
        <v>174</v>
      </c>
      <c r="J2" s="416"/>
      <c r="K2" s="71">
        <v>45632</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37">
        <v>14021</v>
      </c>
      <c r="C4" s="322">
        <v>11915</v>
      </c>
      <c r="D4" s="37">
        <v>13608</v>
      </c>
      <c r="E4" s="37">
        <v>13420</v>
      </c>
      <c r="F4" s="21">
        <f t="shared" ref="F4:F29" si="0">(IF(ISBLANK(D4),0,D4-C4))/C4</f>
        <v>0.14208980276961813</v>
      </c>
      <c r="G4" s="2">
        <f t="shared" ref="G4:G29" si="1">D4/($D$2*24)</f>
        <v>0.22450110864745013</v>
      </c>
      <c r="H4" s="2">
        <f t="shared" ref="H4:H29" si="2">D4/($H$2*24)</f>
        <v>0.32215909090909089</v>
      </c>
      <c r="I4" s="36">
        <v>7.42</v>
      </c>
      <c r="J4" s="37">
        <v>6.8250000000000002</v>
      </c>
      <c r="K4" s="21">
        <f t="shared" ref="K4:K29" si="3">(IF(ISBLANK(J4),0,J4-I4))/I4</f>
        <v>-8.0188679245282987E-2</v>
      </c>
      <c r="L4" s="22">
        <f t="shared" ref="L4:L29" si="4">D4/($D$2*J4)</f>
        <v>0.78945444799103326</v>
      </c>
      <c r="M4" s="41">
        <v>1</v>
      </c>
      <c r="N4" s="41">
        <v>0.9698</v>
      </c>
      <c r="O4" s="281">
        <v>618</v>
      </c>
      <c r="P4" s="37">
        <v>0</v>
      </c>
      <c r="Q4" s="37" t="s">
        <v>540</v>
      </c>
    </row>
    <row r="5" spans="1:17">
      <c r="A5" s="79">
        <v>46114</v>
      </c>
      <c r="B5" s="338">
        <v>14021</v>
      </c>
      <c r="C5" s="325">
        <v>11915</v>
      </c>
      <c r="D5" s="44">
        <v>13640</v>
      </c>
      <c r="E5" s="44">
        <v>13440</v>
      </c>
      <c r="F5" s="21">
        <f t="shared" si="0"/>
        <v>0.14477549307595469</v>
      </c>
      <c r="G5" s="2">
        <f t="shared" si="1"/>
        <v>0.22502903600464577</v>
      </c>
      <c r="H5" s="2">
        <f t="shared" si="2"/>
        <v>0.32291666666666669</v>
      </c>
      <c r="I5" s="43">
        <v>7.42</v>
      </c>
      <c r="J5" s="44">
        <v>6.6660000000000004</v>
      </c>
      <c r="K5" s="21">
        <f t="shared" si="3"/>
        <v>-0.1016172506738544</v>
      </c>
      <c r="L5" s="22">
        <f t="shared" si="4"/>
        <v>0.81018554817154187</v>
      </c>
      <c r="M5" s="48">
        <v>1</v>
      </c>
      <c r="N5" s="48">
        <v>0.98699999999999999</v>
      </c>
      <c r="O5" s="44">
        <v>267</v>
      </c>
      <c r="P5" s="44">
        <v>0</v>
      </c>
      <c r="Q5" s="44" t="s">
        <v>541</v>
      </c>
    </row>
    <row r="6" spans="1:17">
      <c r="A6" s="79">
        <v>46115</v>
      </c>
      <c r="B6" s="338">
        <v>14021</v>
      </c>
      <c r="C6" s="325">
        <v>11915</v>
      </c>
      <c r="D6" s="44">
        <v>10406</v>
      </c>
      <c r="E6" s="44">
        <v>10240</v>
      </c>
      <c r="F6" s="21">
        <f t="shared" si="0"/>
        <v>-0.12664708350818296</v>
      </c>
      <c r="G6" s="2">
        <f t="shared" si="1"/>
        <v>0.17167537746806041</v>
      </c>
      <c r="H6" s="2">
        <f t="shared" si="2"/>
        <v>0.24635416666666668</v>
      </c>
      <c r="I6" s="43">
        <v>7.42</v>
      </c>
      <c r="J6" s="44">
        <v>5.1020000000000003</v>
      </c>
      <c r="K6" s="21">
        <f t="shared" si="3"/>
        <v>-0.31239892183288404</v>
      </c>
      <c r="L6" s="22">
        <f t="shared" si="4"/>
        <v>0.8075674361492452</v>
      </c>
      <c r="M6" s="48">
        <v>1</v>
      </c>
      <c r="N6" s="48">
        <v>1</v>
      </c>
      <c r="O6" s="44">
        <v>0</v>
      </c>
      <c r="P6" s="44">
        <v>0</v>
      </c>
      <c r="Q6" s="179" t="s">
        <v>517</v>
      </c>
    </row>
    <row r="7" spans="1:17">
      <c r="A7" s="79">
        <v>46116</v>
      </c>
      <c r="B7" s="338">
        <v>14021</v>
      </c>
      <c r="C7" s="325">
        <v>11915</v>
      </c>
      <c r="D7" s="44">
        <v>15625</v>
      </c>
      <c r="E7" s="44">
        <v>15420</v>
      </c>
      <c r="F7" s="21">
        <f t="shared" si="0"/>
        <v>0.31137221989089381</v>
      </c>
      <c r="G7" s="2">
        <f t="shared" si="1"/>
        <v>0.25777702988068846</v>
      </c>
      <c r="H7" s="2">
        <f t="shared" si="2"/>
        <v>0.3699100378787879</v>
      </c>
      <c r="I7" s="43">
        <v>7.42</v>
      </c>
      <c r="J7" s="44">
        <v>7.22</v>
      </c>
      <c r="K7" s="21">
        <f t="shared" si="3"/>
        <v>-2.695417789757415E-2</v>
      </c>
      <c r="L7" s="22">
        <f t="shared" si="4"/>
        <v>0.85687655362001702</v>
      </c>
      <c r="M7" s="48">
        <v>1</v>
      </c>
      <c r="N7" s="48">
        <v>1</v>
      </c>
      <c r="O7" s="44">
        <v>0</v>
      </c>
      <c r="P7" s="44">
        <v>0</v>
      </c>
      <c r="Q7" s="179" t="s">
        <v>517</v>
      </c>
    </row>
    <row r="8" spans="1:17">
      <c r="A8" s="79">
        <v>46117</v>
      </c>
      <c r="B8" s="338">
        <v>14021</v>
      </c>
      <c r="C8" s="325">
        <v>11915</v>
      </c>
      <c r="D8" s="44">
        <v>14052</v>
      </c>
      <c r="E8" s="44">
        <v>13820</v>
      </c>
      <c r="F8" s="21">
        <f t="shared" si="0"/>
        <v>0.17935375577003776</v>
      </c>
      <c r="G8" s="2">
        <f t="shared" si="1"/>
        <v>0.23182610072853976</v>
      </c>
      <c r="H8" s="2">
        <f t="shared" si="2"/>
        <v>0.33267045454545452</v>
      </c>
      <c r="I8" s="43">
        <v>7.42</v>
      </c>
      <c r="J8" s="44">
        <v>7.2</v>
      </c>
      <c r="K8" s="21">
        <f t="shared" si="3"/>
        <v>-2.9649595687331502E-2</v>
      </c>
      <c r="L8" s="22">
        <f t="shared" si="4"/>
        <v>0.77275366909513254</v>
      </c>
      <c r="M8" s="48">
        <v>1</v>
      </c>
      <c r="N8" s="48">
        <v>0.94410000000000005</v>
      </c>
      <c r="O8" s="44">
        <v>1043</v>
      </c>
      <c r="P8" s="44">
        <v>0</v>
      </c>
      <c r="Q8" s="44" t="s">
        <v>542</v>
      </c>
    </row>
    <row r="9" spans="1:17">
      <c r="A9" s="79">
        <v>46118</v>
      </c>
      <c r="B9" s="338">
        <v>14021</v>
      </c>
      <c r="C9" s="325">
        <v>11915</v>
      </c>
      <c r="D9" s="44">
        <v>14543</v>
      </c>
      <c r="E9" s="44">
        <v>14340</v>
      </c>
      <c r="F9" s="21">
        <f t="shared" si="0"/>
        <v>0.2205623164078892</v>
      </c>
      <c r="G9" s="2">
        <f t="shared" si="1"/>
        <v>0.23992648611551054</v>
      </c>
      <c r="H9" s="2">
        <f t="shared" si="2"/>
        <v>0.34429450757575758</v>
      </c>
      <c r="I9" s="43">
        <v>7.42</v>
      </c>
      <c r="J9" s="44">
        <v>7.1470000000000002</v>
      </c>
      <c r="K9" s="21">
        <f t="shared" si="3"/>
        <v>-3.6792452830188636E-2</v>
      </c>
      <c r="L9" s="22">
        <f t="shared" si="4"/>
        <v>0.80568569564464143</v>
      </c>
      <c r="M9" s="48">
        <v>1</v>
      </c>
      <c r="N9" s="48">
        <v>0.95860000000000001</v>
      </c>
      <c r="O9" s="44">
        <v>811</v>
      </c>
      <c r="P9" s="44">
        <v>0</v>
      </c>
      <c r="Q9" s="44" t="s">
        <v>543</v>
      </c>
    </row>
    <row r="10" spans="1:17" ht="26.5">
      <c r="A10" s="332">
        <v>46119</v>
      </c>
      <c r="B10" s="338">
        <v>14021</v>
      </c>
      <c r="C10" s="325">
        <v>11915</v>
      </c>
      <c r="D10" s="334">
        <v>8554</v>
      </c>
      <c r="E10" s="334">
        <v>8420</v>
      </c>
      <c r="F10" s="21">
        <f t="shared" si="0"/>
        <v>-0.28208140998741082</v>
      </c>
      <c r="G10" s="335">
        <f t="shared" si="1"/>
        <v>0.14112158167036218</v>
      </c>
      <c r="H10" s="335">
        <f t="shared" si="2"/>
        <v>0.2025094696969697</v>
      </c>
      <c r="I10" s="333">
        <v>7.42</v>
      </c>
      <c r="J10" s="334">
        <v>4.6500000000000004</v>
      </c>
      <c r="K10" s="21">
        <f t="shared" si="3"/>
        <v>-0.37331536388140157</v>
      </c>
      <c r="L10" s="22">
        <f t="shared" si="4"/>
        <v>0.72836945378251428</v>
      </c>
      <c r="M10" s="331">
        <v>0.96899999999999997</v>
      </c>
      <c r="N10" s="331">
        <v>0.95089999999999997</v>
      </c>
      <c r="O10" s="334">
        <v>650</v>
      </c>
      <c r="P10" s="334">
        <v>142</v>
      </c>
      <c r="Q10" s="180" t="s">
        <v>544</v>
      </c>
    </row>
    <row r="11" spans="1:17">
      <c r="A11" s="79">
        <v>46120</v>
      </c>
      <c r="B11" s="338">
        <v>14021</v>
      </c>
      <c r="C11" s="325">
        <v>11915</v>
      </c>
      <c r="D11" s="44">
        <v>12877</v>
      </c>
      <c r="E11" s="44">
        <v>12700</v>
      </c>
      <c r="F11" s="21">
        <f t="shared" si="0"/>
        <v>8.0738564834242549E-2</v>
      </c>
      <c r="G11" s="2">
        <f t="shared" si="1"/>
        <v>0.21244126808151201</v>
      </c>
      <c r="H11" s="2">
        <f t="shared" si="2"/>
        <v>0.30485321969696971</v>
      </c>
      <c r="I11" s="43">
        <v>7.42</v>
      </c>
      <c r="J11" s="44">
        <v>7.173</v>
      </c>
      <c r="K11" s="21">
        <f t="shared" si="3"/>
        <v>-3.3288409703504031E-2</v>
      </c>
      <c r="L11" s="22">
        <f t="shared" si="4"/>
        <v>0.71080307179092261</v>
      </c>
      <c r="M11" s="48">
        <v>1</v>
      </c>
      <c r="N11" s="48">
        <v>0.90490000000000004</v>
      </c>
      <c r="O11" s="44">
        <v>1903</v>
      </c>
      <c r="P11" s="44">
        <v>0</v>
      </c>
      <c r="Q11" s="44" t="s">
        <v>545</v>
      </c>
    </row>
    <row r="12" spans="1:17">
      <c r="A12" s="79">
        <v>46121</v>
      </c>
      <c r="B12" s="338">
        <v>14021</v>
      </c>
      <c r="C12" s="325">
        <v>11915</v>
      </c>
      <c r="D12" s="44">
        <v>13565</v>
      </c>
      <c r="E12" s="44">
        <v>13080</v>
      </c>
      <c r="F12" s="21">
        <f t="shared" si="0"/>
        <v>0.13848090642047839</v>
      </c>
      <c r="G12" s="2">
        <f t="shared" si="1"/>
        <v>0.22379170626121847</v>
      </c>
      <c r="H12" s="2">
        <f t="shared" si="2"/>
        <v>0.32114109848484851</v>
      </c>
      <c r="I12" s="43">
        <v>7.42</v>
      </c>
      <c r="J12" s="44">
        <v>7.0179999999999998</v>
      </c>
      <c r="K12" s="21">
        <f t="shared" si="3"/>
        <v>-5.4177897574124008E-2</v>
      </c>
      <c r="L12" s="22">
        <f t="shared" si="4"/>
        <v>0.76531788975053339</v>
      </c>
      <c r="M12" s="48">
        <v>1</v>
      </c>
      <c r="N12" s="48">
        <v>0.95450000000000002</v>
      </c>
      <c r="O12" s="44">
        <v>967</v>
      </c>
      <c r="P12" s="44">
        <v>0</v>
      </c>
      <c r="Q12" s="44" t="s">
        <v>546</v>
      </c>
    </row>
    <row r="13" spans="1:17">
      <c r="A13" s="79">
        <v>46122</v>
      </c>
      <c r="B13" s="338">
        <v>14021</v>
      </c>
      <c r="C13" s="325">
        <v>11915</v>
      </c>
      <c r="D13" s="44">
        <v>14197</v>
      </c>
      <c r="E13" s="44">
        <v>14000</v>
      </c>
      <c r="F13" s="21">
        <f t="shared" si="0"/>
        <v>0.19152328997062526</v>
      </c>
      <c r="G13" s="2">
        <f t="shared" si="1"/>
        <v>0.23421827156583255</v>
      </c>
      <c r="H13" s="2">
        <f t="shared" si="2"/>
        <v>0.33610321969696971</v>
      </c>
      <c r="I13" s="43">
        <v>7.42</v>
      </c>
      <c r="J13" s="44">
        <v>7.1719999999999997</v>
      </c>
      <c r="K13" s="21">
        <f t="shared" si="3"/>
        <v>-3.3423180592991944E-2</v>
      </c>
      <c r="L13" s="22">
        <f t="shared" si="4"/>
        <v>0.78377558806190484</v>
      </c>
      <c r="M13" s="48">
        <v>1</v>
      </c>
      <c r="N13" s="48">
        <v>0.96789999999999998</v>
      </c>
      <c r="O13" s="44">
        <v>684</v>
      </c>
      <c r="P13" s="44">
        <v>0</v>
      </c>
      <c r="Q13" s="44" t="s">
        <v>547</v>
      </c>
    </row>
    <row r="14" spans="1:17">
      <c r="A14" s="79">
        <v>46123</v>
      </c>
      <c r="B14" s="338">
        <v>14021</v>
      </c>
      <c r="C14" s="325">
        <v>11915</v>
      </c>
      <c r="D14" s="44">
        <v>14888</v>
      </c>
      <c r="E14" s="44">
        <v>14700</v>
      </c>
      <c r="F14" s="21">
        <f t="shared" si="0"/>
        <v>0.24951741502308014</v>
      </c>
      <c r="G14" s="2">
        <f t="shared" si="1"/>
        <v>0.24561820293527614</v>
      </c>
      <c r="H14" s="2">
        <f t="shared" si="2"/>
        <v>0.35246212121212123</v>
      </c>
      <c r="I14" s="43">
        <v>7.42</v>
      </c>
      <c r="J14" s="44">
        <v>6.9850000000000003</v>
      </c>
      <c r="K14" s="21">
        <f t="shared" si="3"/>
        <v>-5.8625336927223666E-2</v>
      </c>
      <c r="L14" s="22">
        <f t="shared" si="4"/>
        <v>0.84392796999951714</v>
      </c>
      <c r="M14" s="48">
        <v>1</v>
      </c>
      <c r="N14" s="48">
        <v>1</v>
      </c>
      <c r="O14" s="44">
        <v>0</v>
      </c>
      <c r="P14" s="44">
        <v>0</v>
      </c>
      <c r="Q14" s="179" t="s">
        <v>517</v>
      </c>
    </row>
    <row r="15" spans="1:17">
      <c r="A15" s="79">
        <v>46124</v>
      </c>
      <c r="B15" s="338">
        <v>14021</v>
      </c>
      <c r="C15" s="325">
        <v>11915</v>
      </c>
      <c r="D15" s="44">
        <v>14732</v>
      </c>
      <c r="E15" s="44">
        <v>14520</v>
      </c>
      <c r="F15" s="21">
        <f t="shared" si="0"/>
        <v>0.23642467477968945</v>
      </c>
      <c r="G15" s="2">
        <f t="shared" si="1"/>
        <v>0.24304455706894734</v>
      </c>
      <c r="H15" s="2">
        <f t="shared" si="2"/>
        <v>0.34876893939393938</v>
      </c>
      <c r="I15" s="43">
        <v>7.42</v>
      </c>
      <c r="J15" s="44">
        <v>7.11</v>
      </c>
      <c r="K15" s="21">
        <f t="shared" si="3"/>
        <v>-4.1778975741239843E-2</v>
      </c>
      <c r="L15" s="22">
        <f t="shared" si="4"/>
        <v>0.82040356816522297</v>
      </c>
      <c r="M15" s="48">
        <v>1</v>
      </c>
      <c r="N15" s="48">
        <v>1</v>
      </c>
      <c r="O15" s="44">
        <v>0</v>
      </c>
      <c r="P15" s="44">
        <v>0</v>
      </c>
      <c r="Q15" s="179" t="s">
        <v>517</v>
      </c>
    </row>
    <row r="16" spans="1:17">
      <c r="A16" s="79">
        <v>46125</v>
      </c>
      <c r="B16" s="338">
        <v>14021</v>
      </c>
      <c r="C16" s="325">
        <v>11915</v>
      </c>
      <c r="D16" s="44">
        <v>14497</v>
      </c>
      <c r="E16" s="44">
        <v>13980</v>
      </c>
      <c r="F16" s="21">
        <f t="shared" si="0"/>
        <v>0.21670163659253042</v>
      </c>
      <c r="G16" s="2">
        <f t="shared" si="1"/>
        <v>0.23916759053954179</v>
      </c>
      <c r="H16" s="2">
        <f t="shared" si="2"/>
        <v>0.34320549242424242</v>
      </c>
      <c r="I16" s="43">
        <v>7.42</v>
      </c>
      <c r="J16" s="44">
        <v>7.0830000000000002</v>
      </c>
      <c r="K16" s="21">
        <f t="shared" si="3"/>
        <v>-4.5417789757412362E-2</v>
      </c>
      <c r="L16" s="22">
        <f t="shared" si="4"/>
        <v>0.8103942076731615</v>
      </c>
      <c r="M16" s="48">
        <v>1</v>
      </c>
      <c r="N16" s="48">
        <v>1</v>
      </c>
      <c r="O16" s="44">
        <v>0</v>
      </c>
      <c r="P16" s="44">
        <v>0</v>
      </c>
      <c r="Q16" s="179" t="s">
        <v>517</v>
      </c>
    </row>
    <row r="17" spans="1:17">
      <c r="A17" s="79">
        <v>46126</v>
      </c>
      <c r="B17" s="338">
        <v>14021</v>
      </c>
      <c r="C17" s="325">
        <v>11915</v>
      </c>
      <c r="D17" s="44">
        <v>14024</v>
      </c>
      <c r="E17" s="44">
        <v>13860</v>
      </c>
      <c r="F17" s="21">
        <f t="shared" si="0"/>
        <v>0.17700377675199327</v>
      </c>
      <c r="G17" s="2">
        <f t="shared" si="1"/>
        <v>0.23136416429099357</v>
      </c>
      <c r="H17" s="2">
        <f t="shared" si="2"/>
        <v>0.33200757575757578</v>
      </c>
      <c r="I17" s="43">
        <v>7.42</v>
      </c>
      <c r="J17" s="44">
        <v>7.2889999999999997</v>
      </c>
      <c r="K17" s="21">
        <f t="shared" si="3"/>
        <v>-1.7654986522911083E-2</v>
      </c>
      <c r="L17" s="22">
        <f t="shared" si="4"/>
        <v>0.76179722087856305</v>
      </c>
      <c r="M17" s="48">
        <v>1</v>
      </c>
      <c r="N17" s="48">
        <v>0.95509999999999995</v>
      </c>
      <c r="O17" s="44">
        <v>954</v>
      </c>
      <c r="P17" s="44">
        <v>0</v>
      </c>
      <c r="Q17" s="44" t="s">
        <v>546</v>
      </c>
    </row>
    <row r="18" spans="1:17">
      <c r="A18" s="79">
        <v>46127</v>
      </c>
      <c r="B18" s="338">
        <v>14021</v>
      </c>
      <c r="C18" s="325">
        <v>11915</v>
      </c>
      <c r="D18" s="44">
        <v>13280</v>
      </c>
      <c r="E18" s="44">
        <v>13100</v>
      </c>
      <c r="F18" s="21">
        <f t="shared" si="0"/>
        <v>0.11456147712966848</v>
      </c>
      <c r="G18" s="2">
        <f t="shared" si="1"/>
        <v>0.21908985323619473</v>
      </c>
      <c r="H18" s="2">
        <f t="shared" si="2"/>
        <v>0.31439393939393939</v>
      </c>
      <c r="I18" s="43">
        <v>7.42</v>
      </c>
      <c r="J18" s="44">
        <v>6.9340000000000002</v>
      </c>
      <c r="K18" s="21">
        <f t="shared" si="3"/>
        <v>-6.5498652291105089E-2</v>
      </c>
      <c r="L18" s="22">
        <f t="shared" si="4"/>
        <v>0.75831503860234684</v>
      </c>
      <c r="M18" s="48">
        <v>1</v>
      </c>
      <c r="N18" s="48">
        <v>0.95440000000000003</v>
      </c>
      <c r="O18" s="44">
        <v>925</v>
      </c>
      <c r="P18" s="44">
        <v>0</v>
      </c>
      <c r="Q18" s="44" t="s">
        <v>548</v>
      </c>
    </row>
    <row r="19" spans="1:17">
      <c r="A19" s="79">
        <v>46128</v>
      </c>
      <c r="B19" s="338">
        <v>14021</v>
      </c>
      <c r="C19" s="325">
        <v>11915</v>
      </c>
      <c r="D19" s="44">
        <v>13772</v>
      </c>
      <c r="E19" s="44">
        <v>13280</v>
      </c>
      <c r="F19" s="21">
        <f t="shared" si="0"/>
        <v>0.15585396558959294</v>
      </c>
      <c r="G19" s="2">
        <f t="shared" si="1"/>
        <v>0.22720673635307784</v>
      </c>
      <c r="H19" s="2">
        <f t="shared" si="2"/>
        <v>0.32604166666666667</v>
      </c>
      <c r="I19" s="43">
        <v>7.42</v>
      </c>
      <c r="J19" s="44">
        <v>7.077</v>
      </c>
      <c r="K19" s="21">
        <f t="shared" si="3"/>
        <v>-4.6226415094339619E-2</v>
      </c>
      <c r="L19" s="22">
        <f t="shared" si="4"/>
        <v>0.77051881764502861</v>
      </c>
      <c r="M19" s="48">
        <v>1</v>
      </c>
      <c r="N19" s="48">
        <v>0.97060000000000002</v>
      </c>
      <c r="O19" s="44">
        <v>614</v>
      </c>
      <c r="P19" s="44">
        <v>0</v>
      </c>
      <c r="Q19" s="44" t="s">
        <v>549</v>
      </c>
    </row>
    <row r="20" spans="1:17" ht="26.5">
      <c r="A20" s="330">
        <v>46129</v>
      </c>
      <c r="B20" s="338">
        <v>14021</v>
      </c>
      <c r="C20" s="325">
        <v>11915</v>
      </c>
      <c r="D20" s="334">
        <v>13287</v>
      </c>
      <c r="E20" s="334">
        <v>13180</v>
      </c>
      <c r="F20" s="21">
        <f t="shared" si="0"/>
        <v>0.11514897188417961</v>
      </c>
      <c r="G20" s="335">
        <f t="shared" si="1"/>
        <v>0.21920533734558126</v>
      </c>
      <c r="H20" s="335">
        <f t="shared" si="2"/>
        <v>0.31455965909090911</v>
      </c>
      <c r="I20" s="333">
        <v>7.42</v>
      </c>
      <c r="J20" s="334">
        <v>7.1689999999999996</v>
      </c>
      <c r="K20" s="21">
        <f t="shared" si="3"/>
        <v>-3.3827493261455573E-2</v>
      </c>
      <c r="L20" s="22">
        <f t="shared" si="4"/>
        <v>0.73384406420615855</v>
      </c>
      <c r="M20" s="336">
        <v>1</v>
      </c>
      <c r="N20" s="336">
        <v>0.93600000000000005</v>
      </c>
      <c r="O20" s="334">
        <v>1412</v>
      </c>
      <c r="P20" s="334">
        <v>0</v>
      </c>
      <c r="Q20" s="180" t="s">
        <v>550</v>
      </c>
    </row>
    <row r="21" spans="1:17">
      <c r="A21" s="79">
        <v>46130</v>
      </c>
      <c r="B21" s="338">
        <v>14021</v>
      </c>
      <c r="C21" s="325">
        <v>11915</v>
      </c>
      <c r="D21" s="44">
        <v>15085</v>
      </c>
      <c r="E21" s="44">
        <v>14900</v>
      </c>
      <c r="F21" s="21">
        <f t="shared" si="0"/>
        <v>0.26605119597146454</v>
      </c>
      <c r="G21" s="2">
        <f t="shared" si="1"/>
        <v>0.24886825572801186</v>
      </c>
      <c r="H21" s="2">
        <f t="shared" si="2"/>
        <v>0.35712594696969696</v>
      </c>
      <c r="I21" s="43">
        <v>7.42</v>
      </c>
      <c r="J21" s="44">
        <v>7.3819999999999997</v>
      </c>
      <c r="K21" s="21">
        <f t="shared" si="3"/>
        <v>-5.1212938005391184E-3</v>
      </c>
      <c r="L21" s="22">
        <f t="shared" si="4"/>
        <v>0.80910839033761639</v>
      </c>
      <c r="M21" s="48">
        <v>1</v>
      </c>
      <c r="N21" s="48">
        <v>1</v>
      </c>
      <c r="O21" s="44">
        <v>0</v>
      </c>
      <c r="P21" s="44">
        <v>0</v>
      </c>
      <c r="Q21" s="179" t="s">
        <v>517</v>
      </c>
    </row>
    <row r="22" spans="1:17">
      <c r="A22" s="79">
        <v>46131</v>
      </c>
      <c r="B22" s="338">
        <v>14021</v>
      </c>
      <c r="C22" s="325">
        <v>11915</v>
      </c>
      <c r="D22" s="44">
        <v>13905</v>
      </c>
      <c r="E22" s="44">
        <v>13720</v>
      </c>
      <c r="F22" s="21">
        <f t="shared" si="0"/>
        <v>0.16701636592530425</v>
      </c>
      <c r="G22" s="2">
        <f t="shared" si="1"/>
        <v>0.22940093443142226</v>
      </c>
      <c r="H22" s="2">
        <f t="shared" si="2"/>
        <v>0.32919034090909088</v>
      </c>
      <c r="I22" s="43">
        <v>7.42</v>
      </c>
      <c r="J22" s="44">
        <v>6.87</v>
      </c>
      <c r="K22" s="21">
        <f t="shared" si="3"/>
        <v>-7.4123989218328815E-2</v>
      </c>
      <c r="L22" s="22">
        <f t="shared" si="4"/>
        <v>0.80140064430191182</v>
      </c>
      <c r="M22" s="48">
        <v>1</v>
      </c>
      <c r="N22" s="48">
        <v>0.97529999999999994</v>
      </c>
      <c r="O22" s="44">
        <v>486</v>
      </c>
      <c r="P22" s="44">
        <v>0</v>
      </c>
      <c r="Q22" s="44" t="s">
        <v>551</v>
      </c>
    </row>
    <row r="23" spans="1:17">
      <c r="A23" s="79">
        <v>46132</v>
      </c>
      <c r="B23" s="338">
        <v>14021</v>
      </c>
      <c r="C23" s="325">
        <v>11915</v>
      </c>
      <c r="D23" s="44">
        <v>14087</v>
      </c>
      <c r="E23" s="44">
        <v>13880</v>
      </c>
      <c r="F23" s="21">
        <f t="shared" si="0"/>
        <v>0.18229122954259336</v>
      </c>
      <c r="G23" s="2">
        <f t="shared" si="1"/>
        <v>0.23240352127547251</v>
      </c>
      <c r="H23" s="2">
        <f t="shared" si="2"/>
        <v>0.33349905303030303</v>
      </c>
      <c r="I23" s="43">
        <v>7.42</v>
      </c>
      <c r="J23" s="44">
        <v>7.1</v>
      </c>
      <c r="K23" s="21">
        <f t="shared" si="3"/>
        <v>-4.3126684636118635E-2</v>
      </c>
      <c r="L23" s="22">
        <f t="shared" si="4"/>
        <v>0.78558936769173804</v>
      </c>
      <c r="M23" s="48">
        <v>1</v>
      </c>
      <c r="N23" s="48">
        <v>0.98280000000000001</v>
      </c>
      <c r="O23" s="44">
        <v>367</v>
      </c>
      <c r="P23" s="44">
        <v>0</v>
      </c>
      <c r="Q23" s="44" t="s">
        <v>552</v>
      </c>
    </row>
    <row r="24" spans="1:17">
      <c r="A24" s="79">
        <v>46133</v>
      </c>
      <c r="B24" s="338">
        <v>14021</v>
      </c>
      <c r="C24" s="325">
        <v>11915</v>
      </c>
      <c r="D24" s="44">
        <v>14303</v>
      </c>
      <c r="E24" s="44">
        <v>14120</v>
      </c>
      <c r="F24" s="21">
        <f t="shared" si="0"/>
        <v>0.20041963911036509</v>
      </c>
      <c r="G24" s="2">
        <f t="shared" si="1"/>
        <v>0.23596703093654314</v>
      </c>
      <c r="H24" s="2">
        <f t="shared" si="2"/>
        <v>0.3386126893939394</v>
      </c>
      <c r="I24" s="43">
        <v>7.42</v>
      </c>
      <c r="J24" s="44">
        <v>7.1470000000000002</v>
      </c>
      <c r="K24" s="21">
        <f t="shared" si="3"/>
        <v>-3.6792452830188636E-2</v>
      </c>
      <c r="L24" s="22">
        <f t="shared" si="4"/>
        <v>0.79238963795677009</v>
      </c>
      <c r="M24" s="48">
        <v>1</v>
      </c>
      <c r="N24" s="48">
        <v>0.97529999999999994</v>
      </c>
      <c r="O24" s="44">
        <v>528</v>
      </c>
      <c r="P24" s="44">
        <v>0</v>
      </c>
      <c r="Q24" s="44" t="s">
        <v>553</v>
      </c>
    </row>
    <row r="25" spans="1:17">
      <c r="A25" s="79">
        <v>46134</v>
      </c>
      <c r="B25" s="338">
        <v>14021</v>
      </c>
      <c r="C25" s="325">
        <v>11915</v>
      </c>
      <c r="D25" s="44">
        <v>13962</v>
      </c>
      <c r="E25" s="44">
        <v>13780</v>
      </c>
      <c r="F25" s="21">
        <f t="shared" si="0"/>
        <v>0.17180025178346622</v>
      </c>
      <c r="G25" s="2">
        <f t="shared" si="1"/>
        <v>0.230341305036427</v>
      </c>
      <c r="H25" s="2">
        <f t="shared" si="2"/>
        <v>0.33053977272727275</v>
      </c>
      <c r="I25" s="43">
        <v>7.42</v>
      </c>
      <c r="J25" s="44">
        <v>7.1619999999999999</v>
      </c>
      <c r="K25" s="21">
        <f t="shared" si="3"/>
        <v>-3.4770889487870618E-2</v>
      </c>
      <c r="L25" s="22">
        <f t="shared" si="4"/>
        <v>0.77187815147643779</v>
      </c>
      <c r="M25" s="48">
        <v>1</v>
      </c>
      <c r="N25" s="48">
        <v>0.96630000000000005</v>
      </c>
      <c r="O25" s="44">
        <v>700</v>
      </c>
      <c r="P25" s="44">
        <v>0</v>
      </c>
      <c r="Q25" s="44" t="s">
        <v>554</v>
      </c>
    </row>
    <row r="26" spans="1:17">
      <c r="A26" s="79">
        <v>46135</v>
      </c>
      <c r="B26" s="338">
        <v>14021</v>
      </c>
      <c r="C26" s="325">
        <v>11915</v>
      </c>
      <c r="D26" s="44">
        <v>14334</v>
      </c>
      <c r="E26" s="44">
        <v>14160</v>
      </c>
      <c r="F26" s="21">
        <f t="shared" si="0"/>
        <v>0.20302140159462861</v>
      </c>
      <c r="G26" s="2">
        <f t="shared" si="1"/>
        <v>0.23647846056382643</v>
      </c>
      <c r="H26" s="2">
        <f t="shared" si="2"/>
        <v>0.33934659090909092</v>
      </c>
      <c r="I26" s="43">
        <v>7.42</v>
      </c>
      <c r="J26" s="44">
        <v>7.0369999999999999</v>
      </c>
      <c r="K26" s="21">
        <f t="shared" si="3"/>
        <v>-5.1617250673854448E-2</v>
      </c>
      <c r="L26" s="22">
        <f t="shared" si="4"/>
        <v>0.80652025771377489</v>
      </c>
      <c r="M26" s="48">
        <v>1</v>
      </c>
      <c r="N26" s="48">
        <v>1</v>
      </c>
      <c r="O26" s="44">
        <v>0</v>
      </c>
      <c r="P26" s="44">
        <v>0</v>
      </c>
      <c r="Q26" s="179" t="s">
        <v>517</v>
      </c>
    </row>
    <row r="27" spans="1:17">
      <c r="A27" s="79">
        <v>46136</v>
      </c>
      <c r="B27" s="338">
        <v>14021</v>
      </c>
      <c r="C27" s="325">
        <v>11915</v>
      </c>
      <c r="D27" s="44">
        <v>14191</v>
      </c>
      <c r="E27" s="44">
        <v>14000</v>
      </c>
      <c r="F27" s="21">
        <f t="shared" si="0"/>
        <v>0.19101972303818715</v>
      </c>
      <c r="G27" s="2">
        <f t="shared" si="1"/>
        <v>0.23411928518635838</v>
      </c>
      <c r="H27" s="2">
        <f t="shared" si="2"/>
        <v>0.33596117424242422</v>
      </c>
      <c r="I27" s="43">
        <v>7.42</v>
      </c>
      <c r="J27" s="44">
        <v>6.9020000000000001</v>
      </c>
      <c r="K27" s="21">
        <f t="shared" si="3"/>
        <v>-6.9811320754716952E-2</v>
      </c>
      <c r="L27" s="22">
        <f t="shared" si="4"/>
        <v>0.81409197978449732</v>
      </c>
      <c r="M27" s="48">
        <v>1</v>
      </c>
      <c r="N27" s="48">
        <v>1</v>
      </c>
      <c r="O27" s="44">
        <v>0</v>
      </c>
      <c r="P27" s="44">
        <v>0</v>
      </c>
      <c r="Q27" s="179" t="s">
        <v>517</v>
      </c>
    </row>
    <row r="28" spans="1:17">
      <c r="A28" s="79">
        <v>46137</v>
      </c>
      <c r="B28" s="338">
        <v>14021</v>
      </c>
      <c r="C28" s="325">
        <v>11915</v>
      </c>
      <c r="D28" s="44">
        <v>14017</v>
      </c>
      <c r="E28" s="44">
        <v>13840</v>
      </c>
      <c r="F28" s="21">
        <f t="shared" si="0"/>
        <v>0.17641628199748216</v>
      </c>
      <c r="G28" s="2">
        <f t="shared" si="1"/>
        <v>0.23124868018160702</v>
      </c>
      <c r="H28" s="2">
        <f t="shared" si="2"/>
        <v>0.33184185606060607</v>
      </c>
      <c r="I28" s="43">
        <v>7.42</v>
      </c>
      <c r="J28" s="44">
        <v>6.8550000000000004</v>
      </c>
      <c r="K28" s="21">
        <f t="shared" si="3"/>
        <v>-7.614555256064684E-2</v>
      </c>
      <c r="L28" s="22">
        <f t="shared" si="4"/>
        <v>0.80962338794435706</v>
      </c>
      <c r="M28" s="48">
        <v>1</v>
      </c>
      <c r="N28" s="48">
        <v>1</v>
      </c>
      <c r="O28" s="44">
        <v>0</v>
      </c>
      <c r="P28" s="44">
        <v>0</v>
      </c>
      <c r="Q28" s="179" t="s">
        <v>517</v>
      </c>
    </row>
    <row r="29" spans="1:17">
      <c r="A29" s="79">
        <v>46138</v>
      </c>
      <c r="B29" s="338">
        <v>14021</v>
      </c>
      <c r="C29" s="325">
        <v>11915</v>
      </c>
      <c r="D29" s="44">
        <v>13608</v>
      </c>
      <c r="E29" s="44">
        <v>13440</v>
      </c>
      <c r="F29" s="21">
        <f t="shared" si="0"/>
        <v>0.14208980276961813</v>
      </c>
      <c r="G29" s="2">
        <f t="shared" si="1"/>
        <v>0.22450110864745013</v>
      </c>
      <c r="H29" s="2">
        <f t="shared" si="2"/>
        <v>0.32215909090909089</v>
      </c>
      <c r="I29" s="43">
        <v>7.42</v>
      </c>
      <c r="J29" s="44">
        <v>6.9969999999999999</v>
      </c>
      <c r="K29" s="21">
        <f t="shared" si="3"/>
        <v>-5.7008086253369276E-2</v>
      </c>
      <c r="L29" s="22">
        <f t="shared" si="4"/>
        <v>0.77004810740871843</v>
      </c>
      <c r="M29" s="48">
        <v>1</v>
      </c>
      <c r="N29" s="48">
        <v>0.98399999999999999</v>
      </c>
      <c r="O29" s="44">
        <v>282</v>
      </c>
      <c r="P29" s="44">
        <v>0</v>
      </c>
      <c r="Q29" s="44" t="s">
        <v>555</v>
      </c>
    </row>
    <row r="30" spans="1:17">
      <c r="A30" s="79">
        <v>46139</v>
      </c>
      <c r="B30" s="338">
        <v>14021</v>
      </c>
      <c r="C30" s="325">
        <v>11915</v>
      </c>
      <c r="D30" s="281">
        <v>13160</v>
      </c>
      <c r="E30" s="318">
        <v>13000</v>
      </c>
      <c r="F30" s="329">
        <v>0.104</v>
      </c>
      <c r="G30" s="323">
        <v>0.21709999999999999</v>
      </c>
      <c r="H30" s="323">
        <v>0.31159999999999999</v>
      </c>
      <c r="I30" s="322">
        <v>7.42</v>
      </c>
      <c r="J30" s="318">
        <v>6.8440000000000003</v>
      </c>
      <c r="K30" s="329">
        <v>-7.8E-2</v>
      </c>
      <c r="L30" s="344">
        <v>0.76100000000000001</v>
      </c>
      <c r="M30" s="324">
        <v>1</v>
      </c>
      <c r="N30" s="324">
        <v>0.97409999999999997</v>
      </c>
      <c r="O30" s="318">
        <v>523</v>
      </c>
      <c r="P30" s="318">
        <v>0</v>
      </c>
      <c r="Q30" s="318" t="s">
        <v>556</v>
      </c>
    </row>
    <row r="31" spans="1:17">
      <c r="A31" s="79">
        <v>46140</v>
      </c>
      <c r="B31" s="338">
        <v>14021</v>
      </c>
      <c r="C31" s="325">
        <v>11915</v>
      </c>
      <c r="D31" s="320">
        <v>13394</v>
      </c>
      <c r="E31" s="321">
        <v>13220</v>
      </c>
      <c r="F31" s="329">
        <v>0.124</v>
      </c>
      <c r="G31" s="326">
        <v>0.221</v>
      </c>
      <c r="H31" s="326">
        <v>0.31709999999999999</v>
      </c>
      <c r="I31" s="325">
        <v>7.42</v>
      </c>
      <c r="J31" s="321">
        <v>6.9160000000000004</v>
      </c>
      <c r="K31" s="329">
        <v>-6.8000000000000005E-2</v>
      </c>
      <c r="L31" s="345">
        <v>0.76700000000000002</v>
      </c>
      <c r="M31" s="327">
        <v>1</v>
      </c>
      <c r="N31" s="327">
        <v>0.98650000000000004</v>
      </c>
      <c r="O31" s="321">
        <v>259</v>
      </c>
      <c r="P31" s="321">
        <v>0</v>
      </c>
      <c r="Q31" s="321" t="s">
        <v>557</v>
      </c>
    </row>
    <row r="32" spans="1:17">
      <c r="A32" s="79">
        <v>46141</v>
      </c>
      <c r="B32" s="338">
        <v>14021</v>
      </c>
      <c r="C32" s="325">
        <v>11915</v>
      </c>
      <c r="D32" s="320">
        <v>13257</v>
      </c>
      <c r="E32" s="321">
        <v>13080</v>
      </c>
      <c r="F32" s="329">
        <v>0.113</v>
      </c>
      <c r="G32" s="326">
        <v>0.21870000000000001</v>
      </c>
      <c r="H32" s="326">
        <v>0.31380000000000002</v>
      </c>
      <c r="I32" s="325">
        <v>7.42</v>
      </c>
      <c r="J32" s="321">
        <v>6.7919999999999998</v>
      </c>
      <c r="K32" s="329">
        <v>-8.5000000000000006E-2</v>
      </c>
      <c r="L32" s="345">
        <v>0.77300000000000002</v>
      </c>
      <c r="M32" s="327">
        <v>1</v>
      </c>
      <c r="N32" s="327">
        <v>0.97670000000000001</v>
      </c>
      <c r="O32" s="321">
        <v>411</v>
      </c>
      <c r="P32" s="321">
        <v>0</v>
      </c>
      <c r="Q32" s="321" t="s">
        <v>558</v>
      </c>
    </row>
    <row r="33" spans="1:17">
      <c r="A33" s="79">
        <v>46142</v>
      </c>
      <c r="B33" s="338">
        <v>14021</v>
      </c>
      <c r="C33" s="325">
        <v>11915</v>
      </c>
      <c r="D33" s="320">
        <v>12871</v>
      </c>
      <c r="E33" s="321">
        <v>12700</v>
      </c>
      <c r="F33" s="329">
        <v>0.08</v>
      </c>
      <c r="G33" s="326">
        <v>0.21229999999999999</v>
      </c>
      <c r="H33" s="326">
        <v>0.30470000000000003</v>
      </c>
      <c r="I33" s="325">
        <v>7.42</v>
      </c>
      <c r="J33" s="321">
        <v>6.5030000000000001</v>
      </c>
      <c r="K33" s="329">
        <v>-0.124</v>
      </c>
      <c r="L33" s="345">
        <v>0.78400000000000003</v>
      </c>
      <c r="M33" s="327">
        <v>1</v>
      </c>
      <c r="N33" s="327">
        <v>0.99109999999999998</v>
      </c>
      <c r="O33" s="321">
        <v>158</v>
      </c>
      <c r="P33" s="321">
        <v>0</v>
      </c>
      <c r="Q33" s="321" t="s">
        <v>559</v>
      </c>
    </row>
    <row r="34" spans="1:17">
      <c r="A34" s="349">
        <v>46113</v>
      </c>
      <c r="B34" s="80">
        <f>SUM(B4:B33)</f>
        <v>420630</v>
      </c>
      <c r="C34" s="80">
        <f>SUM(C4:C33)</f>
        <v>357450</v>
      </c>
      <c r="D34" s="80">
        <f>SUM(D4:D33)</f>
        <v>409721</v>
      </c>
      <c r="E34" s="80">
        <f>SUM(E4:E33)</f>
        <v>403340</v>
      </c>
      <c r="F34" s="160">
        <f>(IF(ISBLANK(D34),0,D34-C34))/C34</f>
        <v>0.14623303958595607</v>
      </c>
      <c r="G34" s="81">
        <f>AVERAGE(G4:G33)</f>
        <v>0.22531443300601836</v>
      </c>
      <c r="H34" s="81">
        <f>AVERAGE(H4:H33)</f>
        <v>0.32332759469696976</v>
      </c>
      <c r="I34" s="80">
        <f>SUM(I4:I33)</f>
        <v>222.59999999999985</v>
      </c>
      <c r="J34" s="80">
        <f>SUM(J4:J33)</f>
        <v>206.327</v>
      </c>
      <c r="K34" s="160">
        <f>(IF(ISBLANK(J34),0,J34-I34))/I34</f>
        <v>-7.3104222821203352E-2</v>
      </c>
      <c r="L34" s="81">
        <f>AVERAGE(L4:L33)</f>
        <v>0.78585467219477678</v>
      </c>
      <c r="M34" s="81">
        <f>AVERAGE(M4:M33)</f>
        <v>0.99896666666666667</v>
      </c>
      <c r="N34" s="81">
        <f>AVERAGE(N4:N33)</f>
        <v>0.9755299999999999</v>
      </c>
      <c r="O34" s="80">
        <f>SUM(O4:O33)</f>
        <v>14562</v>
      </c>
      <c r="P34" s="80">
        <f>SUM(P4:P33)</f>
        <v>142</v>
      </c>
      <c r="Q34" s="80" t="s">
        <v>175</v>
      </c>
    </row>
    <row r="35" spans="1:17">
      <c r="A35" s="13">
        <v>46143</v>
      </c>
      <c r="B35" s="35">
        <v>13575</v>
      </c>
      <c r="C35" s="36">
        <v>11536</v>
      </c>
      <c r="D35" s="37">
        <v>13220</v>
      </c>
      <c r="E35" s="37">
        <v>13080</v>
      </c>
      <c r="F35" s="20">
        <f>(IF(ISBLANK(E35),0,E35-C35))/C35</f>
        <v>0.13384188626907073</v>
      </c>
      <c r="G35" s="2">
        <f t="shared" ref="G35:G57" si="5">D35/($D$2*24)</f>
        <v>0.21809998944145287</v>
      </c>
      <c r="H35" s="2">
        <f t="shared" ref="H35:H61" si="6">D35/($H$2*24)</f>
        <v>0.31297348484848486</v>
      </c>
      <c r="I35" s="35">
        <v>6.97</v>
      </c>
      <c r="J35" s="37">
        <v>6.54</v>
      </c>
      <c r="K35" s="20">
        <f>(IF(ISBLANK(J35),0,J35-I35))/I35</f>
        <v>-6.1692969870875143E-2</v>
      </c>
      <c r="L35" s="4">
        <f t="shared" ref="L35:L66" si="7">D35/($D$2*J35)</f>
        <v>0.80036693373010226</v>
      </c>
      <c r="M35" s="362">
        <v>1</v>
      </c>
      <c r="N35" s="41">
        <v>1</v>
      </c>
      <c r="O35" s="37">
        <v>0</v>
      </c>
      <c r="P35" s="37">
        <v>0</v>
      </c>
      <c r="Q35" s="369" t="s">
        <v>517</v>
      </c>
    </row>
    <row r="36" spans="1:17">
      <c r="A36" s="13">
        <f>A35+1</f>
        <v>46144</v>
      </c>
      <c r="B36" s="42">
        <v>13575</v>
      </c>
      <c r="C36" s="43">
        <v>11536</v>
      </c>
      <c r="D36" s="44">
        <v>13093</v>
      </c>
      <c r="E36" s="44">
        <v>12920</v>
      </c>
      <c r="F36" s="20">
        <f t="shared" ref="F36:F54" si="8">(IF(ISBLANK(E36),0,E36-C36))/C36</f>
        <v>0.11997226074895978</v>
      </c>
      <c r="G36" s="2">
        <f t="shared" si="5"/>
        <v>0.21600477774258264</v>
      </c>
      <c r="H36" s="2">
        <f t="shared" si="6"/>
        <v>0.30996685606060603</v>
      </c>
      <c r="I36" s="42">
        <v>6.97</v>
      </c>
      <c r="J36" s="44">
        <v>6.51</v>
      </c>
      <c r="K36" s="20">
        <f t="shared" ref="K36:K54" si="9">(IF(ISBLANK(J36),0,J36-I36))/I36</f>
        <v>-6.5997130559540887E-2</v>
      </c>
      <c r="L36" s="4">
        <f t="shared" si="7"/>
        <v>0.79633097785283924</v>
      </c>
      <c r="M36" s="363">
        <v>1</v>
      </c>
      <c r="N36" s="48">
        <v>1</v>
      </c>
      <c r="O36" s="44">
        <v>0</v>
      </c>
      <c r="P36" s="44">
        <v>0</v>
      </c>
      <c r="Q36" s="179" t="s">
        <v>517</v>
      </c>
    </row>
    <row r="37" spans="1:17">
      <c r="A37" s="13">
        <f t="shared" ref="A37:A65" si="10">A36+1</f>
        <v>46145</v>
      </c>
      <c r="B37" s="42">
        <v>13575</v>
      </c>
      <c r="C37" s="43">
        <v>11536</v>
      </c>
      <c r="D37" s="44">
        <v>11889</v>
      </c>
      <c r="E37" s="44">
        <v>11740</v>
      </c>
      <c r="F37" s="20">
        <f t="shared" si="8"/>
        <v>1.7683772538141469E-2</v>
      </c>
      <c r="G37" s="2">
        <f t="shared" si="5"/>
        <v>0.19614151092809631</v>
      </c>
      <c r="H37" s="2">
        <f t="shared" si="6"/>
        <v>0.28146306818181815</v>
      </c>
      <c r="I37" s="42">
        <v>6.97</v>
      </c>
      <c r="J37" s="44">
        <v>6.71</v>
      </c>
      <c r="K37" s="20">
        <f t="shared" si="9"/>
        <v>-3.7302725968436125E-2</v>
      </c>
      <c r="L37" s="4">
        <f t="shared" si="7"/>
        <v>0.70154936844624616</v>
      </c>
      <c r="M37" s="363">
        <v>1</v>
      </c>
      <c r="N37" s="48">
        <v>0.9234</v>
      </c>
      <c r="O37" s="44">
        <v>1565</v>
      </c>
      <c r="P37" s="44">
        <v>0</v>
      </c>
      <c r="Q37" s="44" t="s">
        <v>560</v>
      </c>
    </row>
    <row r="38" spans="1:17">
      <c r="A38" s="13">
        <f t="shared" si="10"/>
        <v>46146</v>
      </c>
      <c r="B38" s="42">
        <v>13575</v>
      </c>
      <c r="C38" s="43">
        <v>11536</v>
      </c>
      <c r="D38" s="44">
        <v>13157</v>
      </c>
      <c r="E38" s="44">
        <v>13000</v>
      </c>
      <c r="F38" s="20">
        <f t="shared" si="8"/>
        <v>0.12690707350901526</v>
      </c>
      <c r="G38" s="2">
        <f t="shared" si="5"/>
        <v>0.21706063245697393</v>
      </c>
      <c r="H38" s="2">
        <f t="shared" si="6"/>
        <v>0.31148200757575756</v>
      </c>
      <c r="I38" s="42">
        <v>6.97</v>
      </c>
      <c r="J38" s="44">
        <v>6.66</v>
      </c>
      <c r="K38" s="20">
        <f t="shared" si="9"/>
        <v>-4.4476327116212286E-2</v>
      </c>
      <c r="L38" s="4">
        <f t="shared" si="7"/>
        <v>0.78220047732242859</v>
      </c>
      <c r="M38" s="363">
        <v>1</v>
      </c>
      <c r="N38" s="48">
        <v>1</v>
      </c>
      <c r="O38" s="44">
        <v>0</v>
      </c>
      <c r="P38" s="44">
        <v>0</v>
      </c>
      <c r="Q38" s="179" t="s">
        <v>517</v>
      </c>
    </row>
    <row r="39" spans="1:17">
      <c r="A39" s="13">
        <f t="shared" si="10"/>
        <v>46147</v>
      </c>
      <c r="B39" s="42">
        <v>13575</v>
      </c>
      <c r="C39" s="43">
        <v>11536</v>
      </c>
      <c r="D39" s="44" t="s">
        <v>175</v>
      </c>
      <c r="E39" s="44" t="s">
        <v>175</v>
      </c>
      <c r="F39" s="20" t="e">
        <f t="shared" si="8"/>
        <v>#VALUE!</v>
      </c>
      <c r="G39" s="2" t="e">
        <f t="shared" si="5"/>
        <v>#VALUE!</v>
      </c>
      <c r="H39" s="2" t="e">
        <f t="shared" si="6"/>
        <v>#VALUE!</v>
      </c>
      <c r="I39" s="42">
        <v>6.97</v>
      </c>
      <c r="J39" s="44" t="s">
        <v>175</v>
      </c>
      <c r="K39" s="20" t="e">
        <f t="shared" si="9"/>
        <v>#VALUE!</v>
      </c>
      <c r="L39" s="4" t="e">
        <f t="shared" si="7"/>
        <v>#VALUE!</v>
      </c>
      <c r="M39" s="103"/>
      <c r="N39" s="103"/>
      <c r="O39" s="34"/>
      <c r="P39" s="6"/>
      <c r="Q39" s="14"/>
    </row>
    <row r="40" spans="1:17">
      <c r="A40" s="13">
        <f t="shared" si="10"/>
        <v>46148</v>
      </c>
      <c r="B40" s="42">
        <v>13575</v>
      </c>
      <c r="C40" s="43">
        <v>11536</v>
      </c>
      <c r="D40" s="44" t="s">
        <v>175</v>
      </c>
      <c r="E40" s="44" t="s">
        <v>175</v>
      </c>
      <c r="F40" s="20" t="e">
        <f t="shared" si="8"/>
        <v>#VALUE!</v>
      </c>
      <c r="G40" s="2" t="e">
        <f t="shared" si="5"/>
        <v>#VALUE!</v>
      </c>
      <c r="H40" s="2" t="e">
        <f t="shared" si="6"/>
        <v>#VALUE!</v>
      </c>
      <c r="I40" s="42">
        <v>6.97</v>
      </c>
      <c r="J40" s="44" t="s">
        <v>175</v>
      </c>
      <c r="K40" s="20" t="e">
        <f t="shared" si="9"/>
        <v>#VALUE!</v>
      </c>
      <c r="L40" s="4" t="e">
        <f t="shared" si="7"/>
        <v>#VALUE!</v>
      </c>
      <c r="M40" s="103"/>
      <c r="N40" s="103"/>
      <c r="O40" s="34"/>
      <c r="P40" s="6"/>
      <c r="Q40" s="14"/>
    </row>
    <row r="41" spans="1:17">
      <c r="A41" s="13">
        <f t="shared" si="10"/>
        <v>46149</v>
      </c>
      <c r="B41" s="42">
        <v>13575</v>
      </c>
      <c r="C41" s="43">
        <v>11536</v>
      </c>
      <c r="D41" s="44" t="s">
        <v>175</v>
      </c>
      <c r="E41" s="44" t="s">
        <v>175</v>
      </c>
      <c r="F41" s="20" t="e">
        <f t="shared" si="8"/>
        <v>#VALUE!</v>
      </c>
      <c r="G41" s="2" t="e">
        <f t="shared" si="5"/>
        <v>#VALUE!</v>
      </c>
      <c r="H41" s="2" t="e">
        <f t="shared" si="6"/>
        <v>#VALUE!</v>
      </c>
      <c r="I41" s="42">
        <v>6.97</v>
      </c>
      <c r="J41" s="44" t="s">
        <v>175</v>
      </c>
      <c r="K41" s="20" t="e">
        <f t="shared" si="9"/>
        <v>#VALUE!</v>
      </c>
      <c r="L41" s="4" t="e">
        <f t="shared" si="7"/>
        <v>#VALUE!</v>
      </c>
      <c r="M41" s="103"/>
      <c r="N41" s="103"/>
      <c r="O41" s="34"/>
      <c r="P41" s="6"/>
      <c r="Q41" s="202"/>
    </row>
    <row r="42" spans="1:17">
      <c r="A42" s="13">
        <f t="shared" si="10"/>
        <v>46150</v>
      </c>
      <c r="B42" s="42">
        <v>13575</v>
      </c>
      <c r="C42" s="43">
        <v>11536</v>
      </c>
      <c r="D42" s="44" t="s">
        <v>175</v>
      </c>
      <c r="E42" s="44" t="s">
        <v>175</v>
      </c>
      <c r="F42" s="20" t="e">
        <f t="shared" si="8"/>
        <v>#VALUE!</v>
      </c>
      <c r="G42" s="2" t="e">
        <f t="shared" si="5"/>
        <v>#VALUE!</v>
      </c>
      <c r="H42" s="2" t="e">
        <f t="shared" si="6"/>
        <v>#VALUE!</v>
      </c>
      <c r="I42" s="42">
        <v>6.97</v>
      </c>
      <c r="J42" s="44" t="s">
        <v>175</v>
      </c>
      <c r="K42" s="20" t="e">
        <f t="shared" si="9"/>
        <v>#VALUE!</v>
      </c>
      <c r="L42" s="4" t="e">
        <f t="shared" si="7"/>
        <v>#VALUE!</v>
      </c>
      <c r="M42" s="103"/>
      <c r="N42" s="103"/>
      <c r="O42" s="34"/>
      <c r="P42" s="6"/>
      <c r="Q42" s="14"/>
    </row>
    <row r="43" spans="1:17">
      <c r="A43" s="13">
        <f t="shared" si="10"/>
        <v>46151</v>
      </c>
      <c r="B43" s="42">
        <v>13575</v>
      </c>
      <c r="C43" s="43">
        <v>11536</v>
      </c>
      <c r="D43" s="44" t="s">
        <v>175</v>
      </c>
      <c r="E43" s="44" t="s">
        <v>175</v>
      </c>
      <c r="F43" s="20" t="e">
        <f t="shared" si="8"/>
        <v>#VALUE!</v>
      </c>
      <c r="G43" s="2" t="e">
        <f t="shared" si="5"/>
        <v>#VALUE!</v>
      </c>
      <c r="H43" s="2" t="e">
        <f t="shared" si="6"/>
        <v>#VALUE!</v>
      </c>
      <c r="I43" s="42">
        <v>6.97</v>
      </c>
      <c r="J43" s="44" t="s">
        <v>175</v>
      </c>
      <c r="K43" s="20" t="e">
        <f t="shared" si="9"/>
        <v>#VALUE!</v>
      </c>
      <c r="L43" s="4" t="e">
        <f t="shared" si="7"/>
        <v>#VALUE!</v>
      </c>
      <c r="M43" s="103"/>
      <c r="N43" s="103"/>
      <c r="O43" s="34"/>
      <c r="P43" s="6"/>
      <c r="Q43" s="6"/>
    </row>
    <row r="44" spans="1:17">
      <c r="A44" s="13">
        <f t="shared" si="10"/>
        <v>46152</v>
      </c>
      <c r="B44" s="42">
        <v>13575</v>
      </c>
      <c r="C44" s="43">
        <v>11536</v>
      </c>
      <c r="D44" s="44" t="s">
        <v>175</v>
      </c>
      <c r="E44" s="44" t="s">
        <v>175</v>
      </c>
      <c r="F44" s="20" t="e">
        <f t="shared" si="8"/>
        <v>#VALUE!</v>
      </c>
      <c r="G44" s="2" t="e">
        <f t="shared" si="5"/>
        <v>#VALUE!</v>
      </c>
      <c r="H44" s="2" t="e">
        <f t="shared" si="6"/>
        <v>#VALUE!</v>
      </c>
      <c r="I44" s="42">
        <v>6.97</v>
      </c>
      <c r="J44" s="44" t="s">
        <v>175</v>
      </c>
      <c r="K44" s="20" t="e">
        <f t="shared" si="9"/>
        <v>#VALUE!</v>
      </c>
      <c r="L44" s="4" t="e">
        <f t="shared" si="7"/>
        <v>#VALUE!</v>
      </c>
      <c r="M44" s="103"/>
      <c r="N44" s="103"/>
      <c r="O44" s="34"/>
      <c r="P44" s="6"/>
      <c r="Q44" s="16"/>
    </row>
    <row r="45" spans="1:17">
      <c r="A45" s="13">
        <f t="shared" si="10"/>
        <v>46153</v>
      </c>
      <c r="B45" s="42">
        <v>13575</v>
      </c>
      <c r="C45" s="43">
        <v>11536</v>
      </c>
      <c r="D45" s="44" t="s">
        <v>175</v>
      </c>
      <c r="E45" s="44" t="s">
        <v>175</v>
      </c>
      <c r="F45" s="20" t="e">
        <f t="shared" si="8"/>
        <v>#VALUE!</v>
      </c>
      <c r="G45" s="2" t="e">
        <f t="shared" si="5"/>
        <v>#VALUE!</v>
      </c>
      <c r="H45" s="2" t="e">
        <f t="shared" si="6"/>
        <v>#VALUE!</v>
      </c>
      <c r="I45" s="42">
        <v>6.97</v>
      </c>
      <c r="J45" s="44" t="s">
        <v>175</v>
      </c>
      <c r="K45" s="20" t="e">
        <f t="shared" si="9"/>
        <v>#VALUE!</v>
      </c>
      <c r="L45" s="4" t="e">
        <f t="shared" si="7"/>
        <v>#VALUE!</v>
      </c>
      <c r="M45" s="103"/>
      <c r="N45" s="103"/>
      <c r="O45" s="34"/>
      <c r="P45" s="6"/>
      <c r="Q45" s="6"/>
    </row>
    <row r="46" spans="1:17">
      <c r="A46" s="13">
        <f t="shared" si="10"/>
        <v>46154</v>
      </c>
      <c r="B46" s="42">
        <v>13575</v>
      </c>
      <c r="C46" s="43">
        <v>11536</v>
      </c>
      <c r="D46" s="44" t="s">
        <v>175</v>
      </c>
      <c r="E46" s="44" t="s">
        <v>175</v>
      </c>
      <c r="F46" s="20" t="e">
        <f t="shared" si="8"/>
        <v>#VALUE!</v>
      </c>
      <c r="G46" s="2" t="e">
        <f t="shared" si="5"/>
        <v>#VALUE!</v>
      </c>
      <c r="H46" s="2" t="e">
        <f t="shared" si="6"/>
        <v>#VALUE!</v>
      </c>
      <c r="I46" s="42">
        <v>6.97</v>
      </c>
      <c r="J46" s="44" t="s">
        <v>175</v>
      </c>
      <c r="K46" s="20" t="e">
        <f t="shared" si="9"/>
        <v>#VALUE!</v>
      </c>
      <c r="L46" s="4" t="e">
        <f t="shared" si="7"/>
        <v>#VALUE!</v>
      </c>
      <c r="M46" s="104"/>
      <c r="N46" s="103"/>
      <c r="O46" s="34"/>
      <c r="P46" s="6"/>
      <c r="Q46" s="6"/>
    </row>
    <row r="47" spans="1:17">
      <c r="A47" s="13">
        <f t="shared" si="10"/>
        <v>46155</v>
      </c>
      <c r="B47" s="42">
        <v>13575</v>
      </c>
      <c r="C47" s="43">
        <v>11536</v>
      </c>
      <c r="D47" s="44" t="s">
        <v>175</v>
      </c>
      <c r="E47" s="44" t="s">
        <v>175</v>
      </c>
      <c r="F47" s="20" t="e">
        <f t="shared" si="8"/>
        <v>#VALUE!</v>
      </c>
      <c r="G47" s="2" t="e">
        <f t="shared" si="5"/>
        <v>#VALUE!</v>
      </c>
      <c r="H47" s="2" t="e">
        <f t="shared" si="6"/>
        <v>#VALUE!</v>
      </c>
      <c r="I47" s="42">
        <v>6.97</v>
      </c>
      <c r="J47" s="44" t="s">
        <v>175</v>
      </c>
      <c r="K47" s="20" t="e">
        <f t="shared" si="9"/>
        <v>#VALUE!</v>
      </c>
      <c r="L47" s="4" t="e">
        <f t="shared" si="7"/>
        <v>#VALUE!</v>
      </c>
      <c r="M47" s="104"/>
      <c r="N47" s="103"/>
      <c r="O47" s="34"/>
      <c r="P47" s="6"/>
      <c r="Q47" s="31"/>
    </row>
    <row r="48" spans="1:17">
      <c r="A48" s="13">
        <f t="shared" si="10"/>
        <v>46156</v>
      </c>
      <c r="B48" s="42">
        <v>13575</v>
      </c>
      <c r="C48" s="43">
        <v>11536</v>
      </c>
      <c r="D48" s="44" t="s">
        <v>175</v>
      </c>
      <c r="E48" s="44" t="s">
        <v>175</v>
      </c>
      <c r="F48" s="20" t="e">
        <f t="shared" si="8"/>
        <v>#VALUE!</v>
      </c>
      <c r="G48" s="2" t="e">
        <f t="shared" si="5"/>
        <v>#VALUE!</v>
      </c>
      <c r="H48" s="2" t="e">
        <f t="shared" si="6"/>
        <v>#VALUE!</v>
      </c>
      <c r="I48" s="42">
        <v>6.97</v>
      </c>
      <c r="J48" s="44" t="s">
        <v>175</v>
      </c>
      <c r="K48" s="20" t="e">
        <f t="shared" si="9"/>
        <v>#VALUE!</v>
      </c>
      <c r="L48" s="4" t="e">
        <f t="shared" si="7"/>
        <v>#VALUE!</v>
      </c>
      <c r="M48" s="104"/>
      <c r="N48" s="103"/>
      <c r="O48" s="34"/>
      <c r="P48" s="6"/>
      <c r="Q48" s="32"/>
    </row>
    <row r="49" spans="1:17">
      <c r="A49" s="13">
        <f t="shared" si="10"/>
        <v>46157</v>
      </c>
      <c r="B49" s="42">
        <v>13575</v>
      </c>
      <c r="C49" s="43">
        <v>11536</v>
      </c>
      <c r="D49" s="44" t="s">
        <v>175</v>
      </c>
      <c r="E49" s="44" t="s">
        <v>175</v>
      </c>
      <c r="F49" s="20" t="e">
        <f t="shared" si="8"/>
        <v>#VALUE!</v>
      </c>
      <c r="G49" s="2" t="e">
        <f t="shared" si="5"/>
        <v>#VALUE!</v>
      </c>
      <c r="H49" s="2" t="e">
        <f t="shared" si="6"/>
        <v>#VALUE!</v>
      </c>
      <c r="I49" s="42">
        <v>6.97</v>
      </c>
      <c r="J49" s="44" t="s">
        <v>175</v>
      </c>
      <c r="K49" s="20" t="e">
        <f t="shared" si="9"/>
        <v>#VALUE!</v>
      </c>
      <c r="L49" s="4" t="e">
        <f t="shared" si="7"/>
        <v>#VALUE!</v>
      </c>
      <c r="M49" s="104"/>
      <c r="N49" s="103"/>
      <c r="O49" s="34"/>
      <c r="P49" s="6"/>
      <c r="Q49" s="32"/>
    </row>
    <row r="50" spans="1:17">
      <c r="A50" s="13">
        <f t="shared" si="10"/>
        <v>46158</v>
      </c>
      <c r="B50" s="42">
        <v>13575</v>
      </c>
      <c r="C50" s="43">
        <v>11536</v>
      </c>
      <c r="D50" s="44" t="s">
        <v>175</v>
      </c>
      <c r="E50" s="44" t="s">
        <v>175</v>
      </c>
      <c r="F50" s="20" t="e">
        <f t="shared" si="8"/>
        <v>#VALUE!</v>
      </c>
      <c r="G50" s="2" t="e">
        <f t="shared" si="5"/>
        <v>#VALUE!</v>
      </c>
      <c r="H50" s="2" t="e">
        <f t="shared" si="6"/>
        <v>#VALUE!</v>
      </c>
      <c r="I50" s="42">
        <v>6.97</v>
      </c>
      <c r="J50" s="44" t="s">
        <v>175</v>
      </c>
      <c r="K50" s="20" t="e">
        <f t="shared" si="9"/>
        <v>#VALUE!</v>
      </c>
      <c r="L50" s="4" t="e">
        <f t="shared" si="7"/>
        <v>#VALUE!</v>
      </c>
      <c r="M50" s="104"/>
      <c r="N50" s="103"/>
      <c r="O50" s="34"/>
      <c r="P50" s="6"/>
      <c r="Q50" s="32"/>
    </row>
    <row r="51" spans="1:17">
      <c r="A51" s="13">
        <f t="shared" si="10"/>
        <v>46159</v>
      </c>
      <c r="B51" s="42">
        <v>13575</v>
      </c>
      <c r="C51" s="43">
        <v>11536</v>
      </c>
      <c r="D51" s="44" t="s">
        <v>175</v>
      </c>
      <c r="E51" s="44" t="s">
        <v>175</v>
      </c>
      <c r="F51" s="20" t="e">
        <f t="shared" si="8"/>
        <v>#VALUE!</v>
      </c>
      <c r="G51" s="2" t="e">
        <f t="shared" si="5"/>
        <v>#VALUE!</v>
      </c>
      <c r="H51" s="2" t="e">
        <f t="shared" si="6"/>
        <v>#VALUE!</v>
      </c>
      <c r="I51" s="42">
        <v>6.97</v>
      </c>
      <c r="J51" s="44" t="s">
        <v>175</v>
      </c>
      <c r="K51" s="20" t="e">
        <f t="shared" si="9"/>
        <v>#VALUE!</v>
      </c>
      <c r="L51" s="4" t="e">
        <f t="shared" si="7"/>
        <v>#VALUE!</v>
      </c>
      <c r="M51" s="103"/>
      <c r="N51" s="103"/>
      <c r="O51" s="34"/>
      <c r="P51" s="6"/>
      <c r="Q51" s="6"/>
    </row>
    <row r="52" spans="1:17">
      <c r="A52" s="13">
        <f t="shared" si="10"/>
        <v>46160</v>
      </c>
      <c r="B52" s="42">
        <v>13575</v>
      </c>
      <c r="C52" s="43">
        <v>11536</v>
      </c>
      <c r="D52" s="44" t="s">
        <v>175</v>
      </c>
      <c r="E52" s="44" t="s">
        <v>175</v>
      </c>
      <c r="F52" s="20" t="e">
        <f t="shared" si="8"/>
        <v>#VALUE!</v>
      </c>
      <c r="G52" s="2" t="e">
        <f t="shared" si="5"/>
        <v>#VALUE!</v>
      </c>
      <c r="H52" s="2" t="e">
        <f t="shared" si="6"/>
        <v>#VALUE!</v>
      </c>
      <c r="I52" s="42">
        <v>6.97</v>
      </c>
      <c r="J52" s="44" t="s">
        <v>175</v>
      </c>
      <c r="K52" s="20" t="e">
        <f t="shared" si="9"/>
        <v>#VALUE!</v>
      </c>
      <c r="L52" s="4" t="e">
        <f t="shared" si="7"/>
        <v>#VALUE!</v>
      </c>
      <c r="M52" s="103"/>
      <c r="N52" s="103"/>
      <c r="O52" s="34"/>
      <c r="P52" s="6"/>
      <c r="Q52" s="14"/>
    </row>
    <row r="53" spans="1:17">
      <c r="A53" s="13">
        <f t="shared" si="10"/>
        <v>46161</v>
      </c>
      <c r="B53" s="42">
        <v>13575</v>
      </c>
      <c r="C53" s="43">
        <v>11536</v>
      </c>
      <c r="D53" s="44" t="s">
        <v>175</v>
      </c>
      <c r="E53" s="44" t="s">
        <v>175</v>
      </c>
      <c r="F53" s="20" t="e">
        <f t="shared" si="8"/>
        <v>#VALUE!</v>
      </c>
      <c r="G53" s="2" t="e">
        <f t="shared" si="5"/>
        <v>#VALUE!</v>
      </c>
      <c r="H53" s="2" t="e">
        <f t="shared" si="6"/>
        <v>#VALUE!</v>
      </c>
      <c r="I53" s="42">
        <v>6.97</v>
      </c>
      <c r="J53" s="44" t="s">
        <v>175</v>
      </c>
      <c r="K53" s="20" t="e">
        <f t="shared" si="9"/>
        <v>#VALUE!</v>
      </c>
      <c r="L53" s="4" t="e">
        <f t="shared" si="7"/>
        <v>#VALUE!</v>
      </c>
      <c r="M53" s="103"/>
      <c r="N53" s="103"/>
      <c r="O53" s="34"/>
      <c r="P53" s="6"/>
      <c r="Q53" s="14"/>
    </row>
    <row r="54" spans="1:17">
      <c r="A54" s="13">
        <f t="shared" si="10"/>
        <v>46162</v>
      </c>
      <c r="B54" s="42">
        <v>13575</v>
      </c>
      <c r="C54" s="43">
        <v>11536</v>
      </c>
      <c r="D54" s="44" t="s">
        <v>175</v>
      </c>
      <c r="E54" s="44" t="s">
        <v>175</v>
      </c>
      <c r="F54" s="20" t="e">
        <f t="shared" si="8"/>
        <v>#VALUE!</v>
      </c>
      <c r="G54" s="2" t="e">
        <f t="shared" si="5"/>
        <v>#VALUE!</v>
      </c>
      <c r="H54" s="2" t="e">
        <f t="shared" si="6"/>
        <v>#VALUE!</v>
      </c>
      <c r="I54" s="42">
        <v>6.97</v>
      </c>
      <c r="J54" s="44" t="s">
        <v>175</v>
      </c>
      <c r="K54" s="20" t="e">
        <f t="shared" si="9"/>
        <v>#VALUE!</v>
      </c>
      <c r="L54" s="4" t="e">
        <f t="shared" si="7"/>
        <v>#VALUE!</v>
      </c>
      <c r="M54" s="103"/>
      <c r="N54" s="103"/>
      <c r="O54" s="34"/>
      <c r="P54" s="6"/>
      <c r="Q54" s="14"/>
    </row>
    <row r="55" spans="1:17">
      <c r="A55" s="13">
        <f t="shared" si="10"/>
        <v>46163</v>
      </c>
      <c r="B55" s="42">
        <v>13575</v>
      </c>
      <c r="C55" s="43">
        <v>11536</v>
      </c>
      <c r="D55" s="44" t="s">
        <v>175</v>
      </c>
      <c r="E55" s="44" t="s">
        <v>175</v>
      </c>
      <c r="F55" s="20" t="e">
        <f>(IF(ISBLANK(E55),0,E55-C55))/C55</f>
        <v>#VALUE!</v>
      </c>
      <c r="G55" s="2" t="e">
        <f t="shared" si="5"/>
        <v>#VALUE!</v>
      </c>
      <c r="H55" s="2" t="e">
        <f t="shared" si="6"/>
        <v>#VALUE!</v>
      </c>
      <c r="I55" s="42">
        <v>6.97</v>
      </c>
      <c r="J55" s="44" t="s">
        <v>175</v>
      </c>
      <c r="K55" s="20" t="e">
        <f>(IF(ISBLANK(J55),0,J55-I55))/I55</f>
        <v>#VALUE!</v>
      </c>
      <c r="L55" s="4" t="e">
        <f t="shared" si="7"/>
        <v>#VALUE!</v>
      </c>
      <c r="M55" s="103"/>
      <c r="N55" s="103"/>
      <c r="O55" s="34"/>
      <c r="P55" s="6"/>
      <c r="Q55" s="6"/>
    </row>
    <row r="56" spans="1:17">
      <c r="A56" s="13">
        <f t="shared" si="10"/>
        <v>46164</v>
      </c>
      <c r="B56" s="42">
        <v>13575</v>
      </c>
      <c r="C56" s="43">
        <v>11536</v>
      </c>
      <c r="D56" s="44" t="s">
        <v>175</v>
      </c>
      <c r="E56" s="44" t="s">
        <v>175</v>
      </c>
      <c r="F56" s="20" t="e">
        <f t="shared" ref="F56:F65" si="11">(IF(ISBLANK(E56),0,E56-C56))/C56</f>
        <v>#VALUE!</v>
      </c>
      <c r="G56" s="2" t="e">
        <f t="shared" si="5"/>
        <v>#VALUE!</v>
      </c>
      <c r="H56" s="2" t="e">
        <f t="shared" si="6"/>
        <v>#VALUE!</v>
      </c>
      <c r="I56" s="42">
        <v>6.97</v>
      </c>
      <c r="J56" s="44" t="s">
        <v>175</v>
      </c>
      <c r="K56" s="20" t="e">
        <f t="shared" ref="K56:K65" si="12">(IF(ISBLANK(J56),0,J56-I56))/I56</f>
        <v>#VALUE!</v>
      </c>
      <c r="L56" s="4" t="e">
        <f t="shared" si="7"/>
        <v>#VALUE!</v>
      </c>
      <c r="M56" s="103"/>
      <c r="N56" s="103"/>
      <c r="O56" s="34"/>
      <c r="P56" s="6"/>
      <c r="Q56" s="6"/>
    </row>
    <row r="57" spans="1:17">
      <c r="A57" s="13">
        <f t="shared" si="10"/>
        <v>46165</v>
      </c>
      <c r="B57" s="42">
        <v>13575</v>
      </c>
      <c r="C57" s="43">
        <v>11536</v>
      </c>
      <c r="D57" s="44" t="s">
        <v>175</v>
      </c>
      <c r="E57" s="44" t="s">
        <v>175</v>
      </c>
      <c r="F57" s="20" t="e">
        <f t="shared" si="11"/>
        <v>#VALUE!</v>
      </c>
      <c r="G57" s="2" t="e">
        <f t="shared" si="5"/>
        <v>#VALUE!</v>
      </c>
      <c r="H57" s="2" t="e">
        <f t="shared" si="6"/>
        <v>#VALUE!</v>
      </c>
      <c r="I57" s="42">
        <v>6.97</v>
      </c>
      <c r="J57" s="44" t="s">
        <v>175</v>
      </c>
      <c r="K57" s="20" t="e">
        <f t="shared" si="12"/>
        <v>#VALUE!</v>
      </c>
      <c r="L57" s="4" t="e">
        <f t="shared" si="7"/>
        <v>#VALUE!</v>
      </c>
      <c r="M57" s="103"/>
      <c r="N57" s="103"/>
      <c r="O57" s="34"/>
      <c r="P57" s="6"/>
      <c r="Q57" s="6"/>
    </row>
    <row r="58" spans="1:17">
      <c r="A58" s="13">
        <f t="shared" si="10"/>
        <v>46166</v>
      </c>
      <c r="B58" s="42">
        <v>13575</v>
      </c>
      <c r="C58" s="43">
        <v>11536</v>
      </c>
      <c r="D58" s="44" t="s">
        <v>175</v>
      </c>
      <c r="E58" s="44" t="s">
        <v>175</v>
      </c>
      <c r="F58" s="20" t="e">
        <f t="shared" si="11"/>
        <v>#VALUE!</v>
      </c>
      <c r="G58" s="2" t="e">
        <f t="shared" ref="G58:G65" si="13">D58/($D$2*24)</f>
        <v>#VALUE!</v>
      </c>
      <c r="H58" s="2" t="e">
        <f t="shared" si="6"/>
        <v>#VALUE!</v>
      </c>
      <c r="I58" s="42">
        <v>6.97</v>
      </c>
      <c r="J58" s="44" t="s">
        <v>175</v>
      </c>
      <c r="K58" s="20" t="e">
        <f t="shared" si="12"/>
        <v>#VALUE!</v>
      </c>
      <c r="L58" s="4" t="e">
        <f t="shared" si="7"/>
        <v>#VALUE!</v>
      </c>
      <c r="M58" s="103"/>
      <c r="N58" s="103"/>
      <c r="O58" s="34"/>
      <c r="P58" s="6"/>
      <c r="Q58" s="288"/>
    </row>
    <row r="59" spans="1:17">
      <c r="A59" s="13">
        <f t="shared" si="10"/>
        <v>46167</v>
      </c>
      <c r="B59" s="42">
        <v>13575</v>
      </c>
      <c r="C59" s="43">
        <v>11536</v>
      </c>
      <c r="D59" s="44" t="s">
        <v>175</v>
      </c>
      <c r="E59" s="44" t="s">
        <v>175</v>
      </c>
      <c r="F59" s="20" t="e">
        <f t="shared" si="11"/>
        <v>#VALUE!</v>
      </c>
      <c r="G59" s="2" t="e">
        <f t="shared" si="13"/>
        <v>#VALUE!</v>
      </c>
      <c r="H59" s="2" t="e">
        <f t="shared" si="6"/>
        <v>#VALUE!</v>
      </c>
      <c r="I59" s="42">
        <v>6.97</v>
      </c>
      <c r="J59" s="44" t="s">
        <v>175</v>
      </c>
      <c r="K59" s="20" t="e">
        <f t="shared" si="12"/>
        <v>#VALUE!</v>
      </c>
      <c r="L59" s="4" t="e">
        <f t="shared" si="7"/>
        <v>#VALUE!</v>
      </c>
      <c r="M59" s="103"/>
      <c r="N59" s="103"/>
      <c r="O59" s="34"/>
      <c r="P59" s="155"/>
      <c r="Q59" s="6"/>
    </row>
    <row r="60" spans="1:17">
      <c r="A60" s="13">
        <f t="shared" si="10"/>
        <v>46168</v>
      </c>
      <c r="B60" s="42">
        <v>13575</v>
      </c>
      <c r="C60" s="43">
        <v>11536</v>
      </c>
      <c r="D60" s="44" t="s">
        <v>175</v>
      </c>
      <c r="E60" s="44" t="s">
        <v>175</v>
      </c>
      <c r="F60" s="20" t="e">
        <f t="shared" si="11"/>
        <v>#VALUE!</v>
      </c>
      <c r="G60" s="2" t="e">
        <f t="shared" si="13"/>
        <v>#VALUE!</v>
      </c>
      <c r="H60" s="2" t="e">
        <f t="shared" si="6"/>
        <v>#VALUE!</v>
      </c>
      <c r="I60" s="42">
        <v>6.97</v>
      </c>
      <c r="J60" s="44" t="s">
        <v>175</v>
      </c>
      <c r="K60" s="20" t="e">
        <f t="shared" si="12"/>
        <v>#VALUE!</v>
      </c>
      <c r="L60" s="4" t="e">
        <f t="shared" si="7"/>
        <v>#VALUE!</v>
      </c>
      <c r="M60" s="103"/>
      <c r="N60" s="103"/>
      <c r="O60" s="34"/>
      <c r="P60" s="6"/>
      <c r="Q60" s="123"/>
    </row>
    <row r="61" spans="1:17">
      <c r="A61" s="13">
        <f t="shared" si="10"/>
        <v>46169</v>
      </c>
      <c r="B61" s="42">
        <v>13575</v>
      </c>
      <c r="C61" s="43">
        <v>11536</v>
      </c>
      <c r="D61" s="44" t="s">
        <v>175</v>
      </c>
      <c r="E61" s="44" t="s">
        <v>175</v>
      </c>
      <c r="F61" s="20" t="e">
        <f t="shared" si="11"/>
        <v>#VALUE!</v>
      </c>
      <c r="G61" s="2" t="e">
        <f t="shared" si="13"/>
        <v>#VALUE!</v>
      </c>
      <c r="H61" s="2" t="e">
        <f t="shared" si="6"/>
        <v>#VALUE!</v>
      </c>
      <c r="I61" s="42">
        <v>6.97</v>
      </c>
      <c r="J61" s="44" t="s">
        <v>175</v>
      </c>
      <c r="K61" s="20" t="e">
        <f t="shared" si="12"/>
        <v>#VALUE!</v>
      </c>
      <c r="L61" s="4" t="e">
        <f t="shared" si="7"/>
        <v>#VALUE!</v>
      </c>
      <c r="M61" s="103"/>
      <c r="N61" s="103"/>
      <c r="O61" s="34"/>
      <c r="P61" s="6"/>
      <c r="Q61" s="6"/>
    </row>
    <row r="62" spans="1:17">
      <c r="A62" s="13">
        <f t="shared" si="10"/>
        <v>46170</v>
      </c>
      <c r="B62" s="42">
        <v>13575</v>
      </c>
      <c r="C62" s="43">
        <v>11536</v>
      </c>
      <c r="D62" s="44" t="s">
        <v>175</v>
      </c>
      <c r="E62" s="44" t="s">
        <v>175</v>
      </c>
      <c r="F62" s="20" t="e">
        <f t="shared" si="11"/>
        <v>#VALUE!</v>
      </c>
      <c r="G62" s="2" t="e">
        <f t="shared" si="13"/>
        <v>#VALUE!</v>
      </c>
      <c r="H62" s="2" t="e">
        <f t="shared" ref="H62:H65" si="14">D62/($H$2*24)</f>
        <v>#VALUE!</v>
      </c>
      <c r="I62" s="42">
        <v>6.97</v>
      </c>
      <c r="J62" s="44" t="s">
        <v>175</v>
      </c>
      <c r="K62" s="20" t="e">
        <f t="shared" si="12"/>
        <v>#VALUE!</v>
      </c>
      <c r="L62" s="4" t="e">
        <f t="shared" si="7"/>
        <v>#VALUE!</v>
      </c>
      <c r="M62" s="103"/>
      <c r="N62" s="103"/>
      <c r="O62" s="34"/>
      <c r="P62" s="6"/>
      <c r="Q62" s="6"/>
    </row>
    <row r="63" spans="1:17">
      <c r="A63" s="13">
        <f t="shared" si="10"/>
        <v>46171</v>
      </c>
      <c r="B63" s="42">
        <v>13575</v>
      </c>
      <c r="C63" s="43">
        <v>11536</v>
      </c>
      <c r="D63" s="44" t="s">
        <v>175</v>
      </c>
      <c r="E63" s="44" t="s">
        <v>175</v>
      </c>
      <c r="F63" s="20" t="e">
        <f t="shared" si="11"/>
        <v>#VALUE!</v>
      </c>
      <c r="G63" s="2" t="e">
        <f t="shared" si="13"/>
        <v>#VALUE!</v>
      </c>
      <c r="H63" s="2" t="e">
        <f t="shared" si="14"/>
        <v>#VALUE!</v>
      </c>
      <c r="I63" s="42">
        <v>6.97</v>
      </c>
      <c r="J63" s="44" t="s">
        <v>175</v>
      </c>
      <c r="K63" s="20" t="e">
        <f t="shared" si="12"/>
        <v>#VALUE!</v>
      </c>
      <c r="L63" s="4" t="e">
        <f t="shared" si="7"/>
        <v>#VALUE!</v>
      </c>
      <c r="M63" s="103"/>
      <c r="N63" s="103"/>
      <c r="O63" s="34"/>
      <c r="P63" s="6"/>
      <c r="Q63" s="6"/>
    </row>
    <row r="64" spans="1:17">
      <c r="A64" s="13">
        <f t="shared" si="10"/>
        <v>46172</v>
      </c>
      <c r="B64" s="42">
        <v>13575</v>
      </c>
      <c r="C64" s="43">
        <v>11536</v>
      </c>
      <c r="D64" s="44" t="s">
        <v>175</v>
      </c>
      <c r="E64" s="44" t="s">
        <v>175</v>
      </c>
      <c r="F64" s="20" t="e">
        <f t="shared" si="11"/>
        <v>#VALUE!</v>
      </c>
      <c r="G64" s="2" t="e">
        <f t="shared" si="13"/>
        <v>#VALUE!</v>
      </c>
      <c r="H64" s="2" t="e">
        <f t="shared" si="14"/>
        <v>#VALUE!</v>
      </c>
      <c r="I64" s="42">
        <v>6.97</v>
      </c>
      <c r="J64" s="44" t="s">
        <v>175</v>
      </c>
      <c r="K64" s="20" t="e">
        <f t="shared" si="12"/>
        <v>#VALUE!</v>
      </c>
      <c r="L64" s="4" t="e">
        <f t="shared" si="7"/>
        <v>#VALUE!</v>
      </c>
      <c r="M64" s="103"/>
      <c r="N64" s="103"/>
      <c r="O64" s="34"/>
      <c r="P64" s="6"/>
      <c r="Q64" s="6"/>
    </row>
    <row r="65" spans="1:17">
      <c r="A65" s="13">
        <f t="shared" si="10"/>
        <v>46173</v>
      </c>
      <c r="B65" s="42">
        <v>13575</v>
      </c>
      <c r="C65" s="43">
        <v>11536</v>
      </c>
      <c r="D65" s="44" t="s">
        <v>175</v>
      </c>
      <c r="E65" s="44" t="s">
        <v>175</v>
      </c>
      <c r="F65" s="20" t="e">
        <f t="shared" si="11"/>
        <v>#VALUE!</v>
      </c>
      <c r="G65" s="2" t="e">
        <f t="shared" si="13"/>
        <v>#VALUE!</v>
      </c>
      <c r="H65" s="2" t="e">
        <f t="shared" si="14"/>
        <v>#VALUE!</v>
      </c>
      <c r="I65" s="42">
        <v>6.97</v>
      </c>
      <c r="J65" s="44" t="s">
        <v>175</v>
      </c>
      <c r="K65" s="20" t="e">
        <f t="shared" si="12"/>
        <v>#VALUE!</v>
      </c>
      <c r="L65" s="4" t="e">
        <f t="shared" si="7"/>
        <v>#VALUE!</v>
      </c>
      <c r="M65" s="103"/>
      <c r="N65" s="103"/>
      <c r="O65" s="34"/>
      <c r="P65" s="6"/>
      <c r="Q65" s="6"/>
    </row>
    <row r="66" spans="1:17">
      <c r="A66" s="349">
        <v>46143</v>
      </c>
      <c r="B66" s="89">
        <f>SUM(B35:B65)</f>
        <v>420825</v>
      </c>
      <c r="C66" s="89">
        <f>SUM(C35:C65)</f>
        <v>357616</v>
      </c>
      <c r="D66" s="89">
        <f>SUM(D35:D65)</f>
        <v>51359</v>
      </c>
      <c r="E66" s="89">
        <f>SUM(E35:E65)</f>
        <v>50740</v>
      </c>
      <c r="F66" s="160">
        <f>(IF(ISBLANK(E66),0,E66-C66))/C66</f>
        <v>-0.85811596796563916</v>
      </c>
      <c r="G66" s="90" t="e">
        <f>AVERAGE(G35:G65)</f>
        <v>#VALUE!</v>
      </c>
      <c r="H66" s="90" t="e">
        <f>AVERAGE(H35:H65)</f>
        <v>#VALUE!</v>
      </c>
      <c r="I66" s="89">
        <f>SUM(I35:I65)</f>
        <v>216.07</v>
      </c>
      <c r="J66" s="89">
        <f>SUM(J35:J65)</f>
        <v>26.42</v>
      </c>
      <c r="K66" s="160">
        <f>(IF(ISBLANK(J66),0,J66-I66))/I66</f>
        <v>-0.87772481140371172</v>
      </c>
      <c r="L66" s="161">
        <f t="shared" si="7"/>
        <v>0.76969590664869558</v>
      </c>
      <c r="M66" s="90">
        <f>AVERAGE(M35:M65)</f>
        <v>1</v>
      </c>
      <c r="N66" s="90">
        <f>AVERAGE(N35:N65)</f>
        <v>0.98085</v>
      </c>
      <c r="O66" s="89">
        <f>SUM(O35:O65)</f>
        <v>1565</v>
      </c>
      <c r="P66" s="89">
        <f>SUM(P35:P65)</f>
        <v>0</v>
      </c>
      <c r="Q66" s="19"/>
    </row>
  </sheetData>
  <mergeCells count="4">
    <mergeCell ref="A1:Q1"/>
    <mergeCell ref="B2:C2"/>
    <mergeCell ref="E2:G2"/>
    <mergeCell ref="I2:J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F0D4E-1026-4CFC-BAC7-C67DD7E60416}">
  <dimension ref="A1:Q66"/>
  <sheetViews>
    <sheetView topLeftCell="A27" workbookViewId="0">
      <selection activeCell="D39" sqref="D39"/>
    </sheetView>
  </sheetViews>
  <sheetFormatPr defaultRowHeight="14.5"/>
  <cols>
    <col min="1" max="1" width="11.26953125" bestFit="1" customWidth="1"/>
    <col min="17" max="17" width="73.7265625" bestFit="1" customWidth="1"/>
  </cols>
  <sheetData>
    <row r="1" spans="1:17" ht="18.5">
      <c r="A1" s="417" t="s">
        <v>561</v>
      </c>
      <c r="B1" s="418"/>
      <c r="C1" s="418"/>
      <c r="D1" s="418"/>
      <c r="E1" s="418"/>
      <c r="F1" s="418"/>
      <c r="G1" s="418"/>
      <c r="H1" s="418"/>
      <c r="I1" s="418"/>
      <c r="J1" s="418"/>
      <c r="K1" s="418"/>
      <c r="L1" s="418"/>
      <c r="M1" s="418"/>
      <c r="N1" s="418"/>
      <c r="O1" s="418"/>
      <c r="P1" s="418"/>
      <c r="Q1" s="418"/>
    </row>
    <row r="2" spans="1:17" ht="18.5">
      <c r="A2" s="69">
        <v>46138</v>
      </c>
      <c r="B2" s="415" t="s">
        <v>172</v>
      </c>
      <c r="C2" s="416"/>
      <c r="D2" s="70">
        <v>3034</v>
      </c>
      <c r="E2" s="415" t="s">
        <v>173</v>
      </c>
      <c r="F2" s="415"/>
      <c r="G2" s="416"/>
      <c r="H2" s="70">
        <v>2200</v>
      </c>
      <c r="I2" s="415" t="s">
        <v>174</v>
      </c>
      <c r="J2" s="416"/>
      <c r="K2" s="71">
        <v>45632</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6">
        <v>16833</v>
      </c>
      <c r="C4" s="36">
        <v>14314</v>
      </c>
      <c r="D4" s="37">
        <v>16523</v>
      </c>
      <c r="E4" s="37">
        <v>16290</v>
      </c>
      <c r="F4" s="21">
        <f t="shared" ref="F4:F29" si="0">(IF(ISBLANK(D4),0,D4-C4))/C4</f>
        <v>0.15432443761352521</v>
      </c>
      <c r="G4" s="2">
        <f t="shared" ref="G4:G29" si="1">D4/($D$2*24)</f>
        <v>0.22691441441441443</v>
      </c>
      <c r="H4" s="2">
        <f t="shared" ref="H4:H29" si="2">D4/($H$2*24)</f>
        <v>0.31293560606060605</v>
      </c>
      <c r="I4" s="36">
        <v>7.42</v>
      </c>
      <c r="J4" s="37">
        <v>6.8250000000000002</v>
      </c>
      <c r="K4" s="21">
        <f t="shared" ref="K4:K29" si="3">(IF(ISBLANK(J4),0,J4-I4))/I4</f>
        <v>-8.0188679245282987E-2</v>
      </c>
      <c r="L4" s="22">
        <f t="shared" ref="L4:L29" si="4">D4/($D$2*J4)</f>
        <v>0.79794079794079797</v>
      </c>
      <c r="M4" s="41">
        <v>1</v>
      </c>
      <c r="N4" s="41">
        <v>0.97240000000000004</v>
      </c>
      <c r="O4" s="37">
        <v>663</v>
      </c>
      <c r="P4" s="37">
        <v>0</v>
      </c>
      <c r="Q4" s="37" t="s">
        <v>562</v>
      </c>
    </row>
    <row r="5" spans="1:17">
      <c r="A5" s="79">
        <v>46114</v>
      </c>
      <c r="B5" s="43">
        <v>16833</v>
      </c>
      <c r="C5" s="43">
        <v>14314</v>
      </c>
      <c r="D5" s="44">
        <v>15957</v>
      </c>
      <c r="E5" s="44">
        <v>15690</v>
      </c>
      <c r="F5" s="21">
        <f t="shared" si="0"/>
        <v>0.11478273019421545</v>
      </c>
      <c r="G5" s="2">
        <f t="shared" si="1"/>
        <v>0.21914139749505604</v>
      </c>
      <c r="H5" s="2">
        <f t="shared" si="2"/>
        <v>0.30221590909090912</v>
      </c>
      <c r="I5" s="43">
        <v>7.42</v>
      </c>
      <c r="J5" s="44">
        <v>6.6660000000000004</v>
      </c>
      <c r="K5" s="21">
        <f t="shared" si="3"/>
        <v>-0.1016172506738544</v>
      </c>
      <c r="L5" s="22">
        <f t="shared" si="4"/>
        <v>0.78898792977517918</v>
      </c>
      <c r="M5" s="48">
        <v>1</v>
      </c>
      <c r="N5" s="48">
        <v>0.96430000000000005</v>
      </c>
      <c r="O5" s="44">
        <v>841</v>
      </c>
      <c r="P5" s="44">
        <v>0</v>
      </c>
      <c r="Q5" s="44" t="s">
        <v>563</v>
      </c>
    </row>
    <row r="6" spans="1:17">
      <c r="A6" s="79">
        <v>46115</v>
      </c>
      <c r="B6" s="43">
        <v>16833</v>
      </c>
      <c r="C6" s="43">
        <v>14314</v>
      </c>
      <c r="D6" s="44">
        <v>12337</v>
      </c>
      <c r="E6" s="44">
        <v>12060</v>
      </c>
      <c r="F6" s="21">
        <f t="shared" si="0"/>
        <v>-0.13811652927204135</v>
      </c>
      <c r="G6" s="2">
        <f t="shared" si="1"/>
        <v>0.16942704900021974</v>
      </c>
      <c r="H6" s="2">
        <f t="shared" si="2"/>
        <v>0.23365530303030302</v>
      </c>
      <c r="I6" s="43">
        <v>7.42</v>
      </c>
      <c r="J6" s="44">
        <v>5.1020000000000003</v>
      </c>
      <c r="K6" s="21">
        <f t="shared" si="3"/>
        <v>-0.31239892183288404</v>
      </c>
      <c r="L6" s="22">
        <f t="shared" si="4"/>
        <v>0.79699121442674903</v>
      </c>
      <c r="M6" s="48">
        <v>1</v>
      </c>
      <c r="N6" s="48">
        <v>1</v>
      </c>
      <c r="O6" s="44">
        <v>0</v>
      </c>
      <c r="P6" s="44">
        <v>0</v>
      </c>
      <c r="Q6" s="179" t="s">
        <v>517</v>
      </c>
    </row>
    <row r="7" spans="1:17">
      <c r="A7" s="79">
        <v>46116</v>
      </c>
      <c r="B7" s="43">
        <v>16833</v>
      </c>
      <c r="C7" s="43">
        <v>14314</v>
      </c>
      <c r="D7" s="44">
        <v>18897</v>
      </c>
      <c r="E7" s="44">
        <v>18570</v>
      </c>
      <c r="F7" s="21">
        <f t="shared" si="0"/>
        <v>0.320176051418192</v>
      </c>
      <c r="G7" s="2">
        <f t="shared" si="1"/>
        <v>0.25951713909030982</v>
      </c>
      <c r="H7" s="2">
        <f t="shared" si="2"/>
        <v>0.35789772727272728</v>
      </c>
      <c r="I7" s="43">
        <v>7.42</v>
      </c>
      <c r="J7" s="44">
        <v>7.22</v>
      </c>
      <c r="K7" s="21">
        <f t="shared" si="3"/>
        <v>-2.695417789757415E-2</v>
      </c>
      <c r="L7" s="22">
        <f t="shared" si="4"/>
        <v>0.86266085016169469</v>
      </c>
      <c r="M7" s="48">
        <v>1</v>
      </c>
      <c r="N7" s="48">
        <v>1</v>
      </c>
      <c r="O7" s="44">
        <v>0</v>
      </c>
      <c r="P7" s="44">
        <v>0</v>
      </c>
      <c r="Q7" s="179" t="s">
        <v>517</v>
      </c>
    </row>
    <row r="8" spans="1:17">
      <c r="A8" s="79">
        <v>46117</v>
      </c>
      <c r="B8" s="43">
        <v>16833</v>
      </c>
      <c r="C8" s="43">
        <v>14314</v>
      </c>
      <c r="D8" s="44">
        <v>17155</v>
      </c>
      <c r="E8" s="44">
        <v>16800</v>
      </c>
      <c r="F8" s="21">
        <f t="shared" si="0"/>
        <v>0.19847701550929162</v>
      </c>
      <c r="G8" s="2">
        <f t="shared" si="1"/>
        <v>0.23559382553284991</v>
      </c>
      <c r="H8" s="2">
        <f t="shared" si="2"/>
        <v>0.32490530303030302</v>
      </c>
      <c r="I8" s="43">
        <v>7.42</v>
      </c>
      <c r="J8" s="44">
        <v>7.2</v>
      </c>
      <c r="K8" s="21">
        <f t="shared" si="3"/>
        <v>-2.9649595687331502E-2</v>
      </c>
      <c r="L8" s="22">
        <f t="shared" si="4"/>
        <v>0.78531275177616644</v>
      </c>
      <c r="M8" s="48">
        <v>1</v>
      </c>
      <c r="N8" s="48">
        <v>0.95379999999999998</v>
      </c>
      <c r="O8" s="44">
        <v>1131</v>
      </c>
      <c r="P8" s="44">
        <v>0</v>
      </c>
      <c r="Q8" s="44" t="s">
        <v>564</v>
      </c>
    </row>
    <row r="9" spans="1:17">
      <c r="A9" s="79">
        <v>46118</v>
      </c>
      <c r="B9" s="43">
        <v>16833</v>
      </c>
      <c r="C9" s="43">
        <v>14314</v>
      </c>
      <c r="D9" s="44">
        <v>16993</v>
      </c>
      <c r="E9" s="44">
        <v>16710</v>
      </c>
      <c r="F9" s="21">
        <f t="shared" si="0"/>
        <v>0.18715942433980717</v>
      </c>
      <c r="G9" s="2">
        <f t="shared" si="1"/>
        <v>0.2333690397714788</v>
      </c>
      <c r="H9" s="2">
        <f t="shared" si="2"/>
        <v>0.32183712121212121</v>
      </c>
      <c r="I9" s="43">
        <v>7.42</v>
      </c>
      <c r="J9" s="44">
        <v>7.4169999999999998</v>
      </c>
      <c r="K9" s="21">
        <f t="shared" si="3"/>
        <v>-4.0431266846362721E-4</v>
      </c>
      <c r="L9" s="22">
        <f t="shared" si="4"/>
        <v>0.75513778542746279</v>
      </c>
      <c r="M9" s="48">
        <v>1</v>
      </c>
      <c r="N9" s="48">
        <v>0.93579999999999997</v>
      </c>
      <c r="O9" s="44">
        <v>1416</v>
      </c>
      <c r="P9" s="44">
        <v>0</v>
      </c>
      <c r="Q9" s="44" t="s">
        <v>565</v>
      </c>
    </row>
    <row r="10" spans="1:17">
      <c r="A10" s="79">
        <v>46119</v>
      </c>
      <c r="B10" s="43">
        <v>16833</v>
      </c>
      <c r="C10" s="43">
        <v>14314</v>
      </c>
      <c r="D10" s="44">
        <v>10864</v>
      </c>
      <c r="E10" s="44">
        <v>10650</v>
      </c>
      <c r="F10" s="21">
        <f t="shared" si="0"/>
        <v>-0.24102277490568674</v>
      </c>
      <c r="G10" s="2">
        <f t="shared" si="1"/>
        <v>0.14919797846627114</v>
      </c>
      <c r="H10" s="2">
        <f t="shared" si="2"/>
        <v>0.20575757575757575</v>
      </c>
      <c r="I10" s="43">
        <v>7.42</v>
      </c>
      <c r="J10" s="44">
        <v>4.6500000000000004</v>
      </c>
      <c r="K10" s="21">
        <f t="shared" si="3"/>
        <v>-0.37331536388140157</v>
      </c>
      <c r="L10" s="22">
        <f t="shared" si="4"/>
        <v>0.7700540824065607</v>
      </c>
      <c r="M10" s="48">
        <v>1</v>
      </c>
      <c r="N10" s="48">
        <v>0.97330000000000005</v>
      </c>
      <c r="O10" s="44">
        <v>415</v>
      </c>
      <c r="P10" s="44">
        <v>0</v>
      </c>
      <c r="Q10" s="44" t="s">
        <v>566</v>
      </c>
    </row>
    <row r="11" spans="1:17">
      <c r="A11" s="79">
        <v>46120</v>
      </c>
      <c r="B11" s="43">
        <v>16833</v>
      </c>
      <c r="C11" s="43">
        <v>14314</v>
      </c>
      <c r="D11" s="44">
        <v>16519</v>
      </c>
      <c r="E11" s="44">
        <v>16200</v>
      </c>
      <c r="F11" s="21">
        <f t="shared" si="0"/>
        <v>0.15404499091798241</v>
      </c>
      <c r="G11" s="2">
        <f t="shared" si="1"/>
        <v>0.22685948143265217</v>
      </c>
      <c r="H11" s="2">
        <f t="shared" si="2"/>
        <v>0.31285984848484849</v>
      </c>
      <c r="I11" s="43">
        <v>7.42</v>
      </c>
      <c r="J11" s="44">
        <v>7.173</v>
      </c>
      <c r="K11" s="21">
        <f t="shared" si="3"/>
        <v>-3.3288409703504031E-2</v>
      </c>
      <c r="L11" s="22">
        <f t="shared" si="4"/>
        <v>0.7590446890260214</v>
      </c>
      <c r="M11" s="48">
        <v>1</v>
      </c>
      <c r="N11" s="48">
        <v>0.93859999999999999</v>
      </c>
      <c r="O11" s="44">
        <v>1416</v>
      </c>
      <c r="P11" s="44">
        <v>0</v>
      </c>
      <c r="Q11" s="44" t="s">
        <v>567</v>
      </c>
    </row>
    <row r="12" spans="1:17">
      <c r="A12" s="79">
        <v>46121</v>
      </c>
      <c r="B12" s="43">
        <v>16833</v>
      </c>
      <c r="C12" s="43">
        <v>14314</v>
      </c>
      <c r="D12" s="44">
        <v>17082</v>
      </c>
      <c r="E12" s="44">
        <v>16470</v>
      </c>
      <c r="F12" s="21">
        <f t="shared" si="0"/>
        <v>0.19337711331563504</v>
      </c>
      <c r="G12" s="2">
        <f t="shared" si="1"/>
        <v>0.23459129861568886</v>
      </c>
      <c r="H12" s="2">
        <f t="shared" si="2"/>
        <v>0.3235227272727273</v>
      </c>
      <c r="I12" s="43">
        <v>7.42</v>
      </c>
      <c r="J12" s="44">
        <v>7.0179999999999998</v>
      </c>
      <c r="K12" s="21">
        <f t="shared" si="3"/>
        <v>-5.4177897574124008E-2</v>
      </c>
      <c r="L12" s="22">
        <f t="shared" si="4"/>
        <v>0.80225009500948019</v>
      </c>
      <c r="M12" s="48">
        <v>1</v>
      </c>
      <c r="N12" s="48">
        <v>0.97989999999999999</v>
      </c>
      <c r="O12" s="44">
        <v>510</v>
      </c>
      <c r="P12" s="44">
        <v>0</v>
      </c>
      <c r="Q12" s="44" t="s">
        <v>568</v>
      </c>
    </row>
    <row r="13" spans="1:17">
      <c r="A13" s="79">
        <v>46122</v>
      </c>
      <c r="B13" s="43">
        <v>16833</v>
      </c>
      <c r="C13" s="43">
        <v>14314</v>
      </c>
      <c r="D13" s="44">
        <v>17248</v>
      </c>
      <c r="E13" s="44">
        <v>16980</v>
      </c>
      <c r="F13" s="21">
        <f t="shared" si="0"/>
        <v>0.20497415118066228</v>
      </c>
      <c r="G13" s="2">
        <f t="shared" si="1"/>
        <v>0.23687101735882224</v>
      </c>
      <c r="H13" s="2">
        <f t="shared" si="2"/>
        <v>0.32666666666666666</v>
      </c>
      <c r="I13" s="43">
        <v>7.42</v>
      </c>
      <c r="J13" s="44">
        <v>7.1719999999999997</v>
      </c>
      <c r="K13" s="21">
        <f t="shared" si="3"/>
        <v>-3.3423180592991944E-2</v>
      </c>
      <c r="L13" s="22">
        <f t="shared" si="4"/>
        <v>0.79265259573504376</v>
      </c>
      <c r="M13" s="48">
        <v>1</v>
      </c>
      <c r="N13" s="48">
        <v>0.97640000000000005</v>
      </c>
      <c r="O13" s="44">
        <v>602</v>
      </c>
      <c r="P13" s="44">
        <v>0</v>
      </c>
      <c r="Q13" s="44" t="s">
        <v>569</v>
      </c>
    </row>
    <row r="14" spans="1:17">
      <c r="A14" s="79">
        <v>46123</v>
      </c>
      <c r="B14" s="43">
        <v>16833</v>
      </c>
      <c r="C14" s="43">
        <v>14314</v>
      </c>
      <c r="D14" s="44">
        <v>17867</v>
      </c>
      <c r="E14" s="44">
        <v>17490</v>
      </c>
      <c r="F14" s="21">
        <f t="shared" si="0"/>
        <v>0.24821852731591448</v>
      </c>
      <c r="G14" s="2">
        <f t="shared" si="1"/>
        <v>0.24537189628653044</v>
      </c>
      <c r="H14" s="2">
        <f t="shared" si="2"/>
        <v>0.3383901515151515</v>
      </c>
      <c r="I14" s="43">
        <v>7.42</v>
      </c>
      <c r="J14" s="44">
        <v>6.9850000000000003</v>
      </c>
      <c r="K14" s="21">
        <f t="shared" si="3"/>
        <v>-5.8625336927223666E-2</v>
      </c>
      <c r="L14" s="22">
        <f t="shared" si="4"/>
        <v>0.84308167657505084</v>
      </c>
      <c r="M14" s="48">
        <v>1</v>
      </c>
      <c r="N14" s="48">
        <v>1</v>
      </c>
      <c r="O14" s="44">
        <v>0</v>
      </c>
      <c r="P14" s="44">
        <v>0</v>
      </c>
      <c r="Q14" s="179" t="s">
        <v>517</v>
      </c>
    </row>
    <row r="15" spans="1:17">
      <c r="A15" s="79">
        <v>46124</v>
      </c>
      <c r="B15" s="43">
        <v>16833</v>
      </c>
      <c r="C15" s="43">
        <v>14314</v>
      </c>
      <c r="D15" s="44">
        <v>17667</v>
      </c>
      <c r="E15" s="44">
        <v>17340</v>
      </c>
      <c r="F15" s="21">
        <f t="shared" si="0"/>
        <v>0.23424619253877324</v>
      </c>
      <c r="G15" s="2">
        <f t="shared" si="1"/>
        <v>0.24262524719841794</v>
      </c>
      <c r="H15" s="2">
        <f t="shared" si="2"/>
        <v>0.33460227272727272</v>
      </c>
      <c r="I15" s="43">
        <v>7.42</v>
      </c>
      <c r="J15" s="44">
        <v>7.11</v>
      </c>
      <c r="K15" s="21">
        <f t="shared" si="3"/>
        <v>-4.1778975741239843E-2</v>
      </c>
      <c r="L15" s="22">
        <f t="shared" si="4"/>
        <v>0.81898817619719122</v>
      </c>
      <c r="M15" s="48">
        <v>1</v>
      </c>
      <c r="N15" s="48">
        <v>1</v>
      </c>
      <c r="O15" s="44">
        <v>0</v>
      </c>
      <c r="P15" s="44">
        <v>0</v>
      </c>
      <c r="Q15" s="179" t="s">
        <v>517</v>
      </c>
    </row>
    <row r="16" spans="1:17">
      <c r="A16" s="79">
        <v>46125</v>
      </c>
      <c r="B16" s="43">
        <v>16833</v>
      </c>
      <c r="C16" s="43">
        <v>14314</v>
      </c>
      <c r="D16" s="44">
        <v>17366</v>
      </c>
      <c r="E16" s="44">
        <v>16680</v>
      </c>
      <c r="F16" s="21">
        <f t="shared" si="0"/>
        <v>0.21321782869917563</v>
      </c>
      <c r="G16" s="2">
        <f t="shared" si="1"/>
        <v>0.2384915403208086</v>
      </c>
      <c r="H16" s="2">
        <f t="shared" si="2"/>
        <v>0.32890151515151517</v>
      </c>
      <c r="I16" s="43">
        <v>7.42</v>
      </c>
      <c r="J16" s="44">
        <v>7.0830000000000002</v>
      </c>
      <c r="K16" s="21">
        <f t="shared" si="3"/>
        <v>-4.5417789757412362E-2</v>
      </c>
      <c r="L16" s="22">
        <f t="shared" si="4"/>
        <v>0.80810348266262977</v>
      </c>
      <c r="M16" s="48">
        <v>1</v>
      </c>
      <c r="N16" s="48">
        <v>1</v>
      </c>
      <c r="O16" s="44">
        <v>0</v>
      </c>
      <c r="P16" s="44">
        <v>0</v>
      </c>
      <c r="Q16" s="179" t="s">
        <v>517</v>
      </c>
    </row>
    <row r="17" spans="1:17">
      <c r="A17" s="79">
        <v>46126</v>
      </c>
      <c r="B17" s="43">
        <v>16833</v>
      </c>
      <c r="C17" s="43">
        <v>14314</v>
      </c>
      <c r="D17" s="44">
        <v>17100</v>
      </c>
      <c r="E17" s="44">
        <v>16860</v>
      </c>
      <c r="F17" s="21">
        <f t="shared" si="0"/>
        <v>0.19463462344557775</v>
      </c>
      <c r="G17" s="2">
        <f t="shared" si="1"/>
        <v>0.23483849703361898</v>
      </c>
      <c r="H17" s="2">
        <f t="shared" si="2"/>
        <v>0.32386363636363635</v>
      </c>
      <c r="I17" s="43">
        <v>7.42</v>
      </c>
      <c r="J17" s="44">
        <v>7.2889999999999997</v>
      </c>
      <c r="K17" s="21">
        <f t="shared" si="3"/>
        <v>-1.7654986522911083E-2</v>
      </c>
      <c r="L17" s="22">
        <f t="shared" si="4"/>
        <v>0.77323692259663279</v>
      </c>
      <c r="M17" s="48">
        <v>1</v>
      </c>
      <c r="N17" s="48">
        <v>0.96630000000000005</v>
      </c>
      <c r="O17" s="44">
        <v>859</v>
      </c>
      <c r="P17" s="44">
        <v>0</v>
      </c>
      <c r="Q17" s="44" t="s">
        <v>570</v>
      </c>
    </row>
    <row r="18" spans="1:17">
      <c r="A18" s="79">
        <v>46127</v>
      </c>
      <c r="B18" s="43">
        <v>16833</v>
      </c>
      <c r="C18" s="43">
        <v>14314</v>
      </c>
      <c r="D18" s="44">
        <v>16352</v>
      </c>
      <c r="E18" s="44">
        <v>16050</v>
      </c>
      <c r="F18" s="21">
        <f t="shared" si="0"/>
        <v>0.14237809137906945</v>
      </c>
      <c r="G18" s="2">
        <f t="shared" si="1"/>
        <v>0.22456602944407822</v>
      </c>
      <c r="H18" s="2">
        <f t="shared" si="2"/>
        <v>0.30969696969696969</v>
      </c>
      <c r="I18" s="43">
        <v>7.42</v>
      </c>
      <c r="J18" s="44">
        <v>6.9340000000000002</v>
      </c>
      <c r="K18" s="21">
        <f t="shared" si="3"/>
        <v>-6.5498652291105089E-2</v>
      </c>
      <c r="L18" s="22">
        <f t="shared" si="4"/>
        <v>0.77726921065155419</v>
      </c>
      <c r="M18" s="48">
        <v>1</v>
      </c>
      <c r="N18" s="48">
        <v>0.96940000000000004</v>
      </c>
      <c r="O18" s="44">
        <v>749</v>
      </c>
      <c r="P18" s="44">
        <v>0</v>
      </c>
      <c r="Q18" s="44" t="s">
        <v>571</v>
      </c>
    </row>
    <row r="19" spans="1:17">
      <c r="A19" s="79">
        <v>46128</v>
      </c>
      <c r="B19" s="43">
        <v>16833</v>
      </c>
      <c r="C19" s="43">
        <v>14314</v>
      </c>
      <c r="D19" s="44">
        <v>16664</v>
      </c>
      <c r="E19" s="44">
        <v>16020</v>
      </c>
      <c r="F19" s="21">
        <f t="shared" si="0"/>
        <v>0.16417493363140981</v>
      </c>
      <c r="G19" s="2">
        <f t="shared" si="1"/>
        <v>0.22885080202153374</v>
      </c>
      <c r="H19" s="2">
        <f t="shared" si="2"/>
        <v>0.31560606060606061</v>
      </c>
      <c r="I19" s="43">
        <v>7.42</v>
      </c>
      <c r="J19" s="44">
        <v>7.077</v>
      </c>
      <c r="K19" s="21">
        <f t="shared" si="3"/>
        <v>-4.6226415094339619E-2</v>
      </c>
      <c r="L19" s="22">
        <f t="shared" si="4"/>
        <v>0.77609428409167869</v>
      </c>
      <c r="M19" s="48">
        <v>1</v>
      </c>
      <c r="N19" s="48">
        <v>0.97589999999999999</v>
      </c>
      <c r="O19" s="44">
        <v>607</v>
      </c>
      <c r="P19" s="44">
        <v>0</v>
      </c>
      <c r="Q19" s="44" t="s">
        <v>572</v>
      </c>
    </row>
    <row r="20" spans="1:17" ht="29.25" customHeight="1">
      <c r="A20" s="339">
        <v>46129</v>
      </c>
      <c r="B20" s="340">
        <v>16833</v>
      </c>
      <c r="C20" s="340">
        <v>14314</v>
      </c>
      <c r="D20" s="341">
        <v>16269</v>
      </c>
      <c r="E20" s="341">
        <v>16020</v>
      </c>
      <c r="F20" s="21">
        <f t="shared" si="0"/>
        <v>0.13657957244655583</v>
      </c>
      <c r="G20" s="342">
        <f t="shared" si="1"/>
        <v>0.22342617007251153</v>
      </c>
      <c r="H20" s="342">
        <f t="shared" si="2"/>
        <v>0.30812499999999998</v>
      </c>
      <c r="I20" s="340">
        <v>7.42</v>
      </c>
      <c r="J20" s="341">
        <v>7.1689999999999996</v>
      </c>
      <c r="K20" s="21">
        <f t="shared" si="3"/>
        <v>-3.3827493261455573E-2</v>
      </c>
      <c r="L20" s="22">
        <f t="shared" si="4"/>
        <v>0.74797434533969553</v>
      </c>
      <c r="M20" s="343">
        <v>1</v>
      </c>
      <c r="N20" s="343">
        <v>0.94640000000000002</v>
      </c>
      <c r="O20" s="341">
        <v>1434</v>
      </c>
      <c r="P20" s="341">
        <v>0</v>
      </c>
      <c r="Q20" s="180" t="s">
        <v>573</v>
      </c>
    </row>
    <row r="21" spans="1:17">
      <c r="A21" s="79">
        <v>46130</v>
      </c>
      <c r="B21" s="43">
        <v>16833</v>
      </c>
      <c r="C21" s="43">
        <v>14314</v>
      </c>
      <c r="D21" s="44">
        <v>18148</v>
      </c>
      <c r="E21" s="44">
        <v>17850</v>
      </c>
      <c r="F21" s="21">
        <f t="shared" si="0"/>
        <v>0.26784965767779795</v>
      </c>
      <c r="G21" s="2">
        <f t="shared" si="1"/>
        <v>0.24923093825532849</v>
      </c>
      <c r="H21" s="2">
        <f t="shared" si="2"/>
        <v>0.34371212121212119</v>
      </c>
      <c r="I21" s="43">
        <v>7.42</v>
      </c>
      <c r="J21" s="44">
        <v>7.3819999999999997</v>
      </c>
      <c r="K21" s="21">
        <f t="shared" si="3"/>
        <v>-5.1212938005391184E-3</v>
      </c>
      <c r="L21" s="22">
        <f t="shared" si="4"/>
        <v>0.81028752616200006</v>
      </c>
      <c r="M21" s="48">
        <v>1</v>
      </c>
      <c r="N21" s="48">
        <v>1</v>
      </c>
      <c r="O21" s="44">
        <v>0</v>
      </c>
      <c r="P21" s="44">
        <v>0</v>
      </c>
      <c r="Q21" s="179" t="s">
        <v>517</v>
      </c>
    </row>
    <row r="22" spans="1:17">
      <c r="A22" s="79">
        <v>46131</v>
      </c>
      <c r="B22" s="43">
        <v>16833</v>
      </c>
      <c r="C22" s="43">
        <v>14314</v>
      </c>
      <c r="D22" s="44">
        <v>16773</v>
      </c>
      <c r="E22" s="44">
        <v>16440</v>
      </c>
      <c r="F22" s="21">
        <f t="shared" si="0"/>
        <v>0.17178985608495179</v>
      </c>
      <c r="G22" s="2">
        <f t="shared" si="1"/>
        <v>0.23034772577455503</v>
      </c>
      <c r="H22" s="2">
        <f t="shared" si="2"/>
        <v>0.31767045454545456</v>
      </c>
      <c r="I22" s="43">
        <v>7.42</v>
      </c>
      <c r="J22" s="44">
        <v>6.87</v>
      </c>
      <c r="K22" s="21">
        <f t="shared" si="3"/>
        <v>-7.4123989218328815E-2</v>
      </c>
      <c r="L22" s="22">
        <f t="shared" si="4"/>
        <v>0.80470821231285594</v>
      </c>
      <c r="M22" s="48">
        <v>1</v>
      </c>
      <c r="N22" s="48">
        <v>0.98409999999999997</v>
      </c>
      <c r="O22" s="44">
        <v>374</v>
      </c>
      <c r="P22" s="44">
        <v>0</v>
      </c>
      <c r="Q22" s="44" t="s">
        <v>574</v>
      </c>
    </row>
    <row r="23" spans="1:17">
      <c r="A23" s="79">
        <v>46132</v>
      </c>
      <c r="B23" s="43">
        <v>16833</v>
      </c>
      <c r="C23" s="43">
        <v>14314</v>
      </c>
      <c r="D23" s="44">
        <v>16969</v>
      </c>
      <c r="E23" s="44">
        <v>16680</v>
      </c>
      <c r="F23" s="21">
        <f t="shared" si="0"/>
        <v>0.18548274416655022</v>
      </c>
      <c r="G23" s="2">
        <f t="shared" si="1"/>
        <v>0.23303944188090531</v>
      </c>
      <c r="H23" s="2">
        <f t="shared" si="2"/>
        <v>0.32138257575757578</v>
      </c>
      <c r="I23" s="43">
        <v>7.42</v>
      </c>
      <c r="J23" s="44">
        <v>7.1</v>
      </c>
      <c r="K23" s="21">
        <f t="shared" si="3"/>
        <v>-4.3126684636118635E-2</v>
      </c>
      <c r="L23" s="22">
        <f t="shared" si="4"/>
        <v>0.78773895847066588</v>
      </c>
      <c r="M23" s="48">
        <v>1</v>
      </c>
      <c r="N23" s="48">
        <v>0.98509999999999998</v>
      </c>
      <c r="O23" s="44">
        <v>377</v>
      </c>
      <c r="P23" s="44">
        <v>0</v>
      </c>
      <c r="Q23" s="44" t="s">
        <v>575</v>
      </c>
    </row>
    <row r="24" spans="1:17">
      <c r="A24" s="79">
        <v>46133</v>
      </c>
      <c r="B24" s="43">
        <v>16833</v>
      </c>
      <c r="C24" s="43">
        <v>14314</v>
      </c>
      <c r="D24" s="44">
        <v>17210</v>
      </c>
      <c r="E24" s="44">
        <v>16950</v>
      </c>
      <c r="F24" s="21">
        <f t="shared" si="0"/>
        <v>0.20231940757300546</v>
      </c>
      <c r="G24" s="2">
        <f t="shared" si="1"/>
        <v>0.23634915403208087</v>
      </c>
      <c r="H24" s="2">
        <f t="shared" si="2"/>
        <v>0.32594696969696968</v>
      </c>
      <c r="I24" s="43">
        <v>7.42</v>
      </c>
      <c r="J24" s="44">
        <v>7.1470000000000002</v>
      </c>
      <c r="K24" s="21">
        <f t="shared" si="3"/>
        <v>-3.6792452830188636E-2</v>
      </c>
      <c r="L24" s="22">
        <f t="shared" si="4"/>
        <v>0.79367282730795308</v>
      </c>
      <c r="M24" s="48">
        <v>1</v>
      </c>
      <c r="N24" s="48">
        <v>0.97789999999999999</v>
      </c>
      <c r="O24" s="44">
        <v>555</v>
      </c>
      <c r="P24" s="44">
        <v>0</v>
      </c>
      <c r="Q24" s="44" t="s">
        <v>576</v>
      </c>
    </row>
    <row r="25" spans="1:17">
      <c r="A25" s="79">
        <v>46134</v>
      </c>
      <c r="B25" s="43">
        <v>16833</v>
      </c>
      <c r="C25" s="43">
        <v>14314</v>
      </c>
      <c r="D25" s="44">
        <v>17038</v>
      </c>
      <c r="E25" s="44">
        <v>16740</v>
      </c>
      <c r="F25" s="21">
        <f t="shared" si="0"/>
        <v>0.19030319966466397</v>
      </c>
      <c r="G25" s="2">
        <f t="shared" si="1"/>
        <v>0.23398703581630412</v>
      </c>
      <c r="H25" s="2">
        <f t="shared" si="2"/>
        <v>0.32268939393939394</v>
      </c>
      <c r="I25" s="43">
        <v>7.42</v>
      </c>
      <c r="J25" s="44">
        <v>7.1619999999999999</v>
      </c>
      <c r="K25" s="21">
        <f t="shared" si="3"/>
        <v>-3.4770889487870618E-2</v>
      </c>
      <c r="L25" s="22">
        <f t="shared" si="4"/>
        <v>0.7840950655670621</v>
      </c>
      <c r="M25" s="48">
        <v>1</v>
      </c>
      <c r="N25" s="48">
        <v>0.97560000000000002</v>
      </c>
      <c r="O25" s="44">
        <v>608</v>
      </c>
      <c r="P25" s="44">
        <v>0</v>
      </c>
      <c r="Q25" s="44" t="s">
        <v>577</v>
      </c>
    </row>
    <row r="26" spans="1:17">
      <c r="A26" s="79">
        <v>46135</v>
      </c>
      <c r="B26" s="43">
        <v>16833</v>
      </c>
      <c r="C26" s="43">
        <v>14314</v>
      </c>
      <c r="D26" s="44">
        <v>17228</v>
      </c>
      <c r="E26" s="44">
        <v>16920</v>
      </c>
      <c r="F26" s="21">
        <f t="shared" si="0"/>
        <v>0.20357691770294817</v>
      </c>
      <c r="G26" s="2">
        <f t="shared" si="1"/>
        <v>0.23659635245001098</v>
      </c>
      <c r="H26" s="2">
        <f t="shared" si="2"/>
        <v>0.32628787878787879</v>
      </c>
      <c r="I26" s="43">
        <v>7.42</v>
      </c>
      <c r="J26" s="44">
        <v>7.0369999999999999</v>
      </c>
      <c r="K26" s="21">
        <f t="shared" si="3"/>
        <v>-5.1617250673854448E-2</v>
      </c>
      <c r="L26" s="22">
        <f t="shared" si="4"/>
        <v>0.80692233321021234</v>
      </c>
      <c r="M26" s="48">
        <v>1</v>
      </c>
      <c r="N26" s="48">
        <v>1</v>
      </c>
      <c r="O26" s="44">
        <v>0</v>
      </c>
      <c r="P26" s="44">
        <v>0</v>
      </c>
      <c r="Q26" s="179" t="s">
        <v>517</v>
      </c>
    </row>
    <row r="27" spans="1:17">
      <c r="A27" s="79">
        <v>46136</v>
      </c>
      <c r="B27" s="43">
        <v>16833</v>
      </c>
      <c r="C27" s="43">
        <v>14314</v>
      </c>
      <c r="D27" s="44">
        <v>17003</v>
      </c>
      <c r="E27" s="44">
        <v>16710</v>
      </c>
      <c r="F27" s="21">
        <f t="shared" si="0"/>
        <v>0.18785804107866425</v>
      </c>
      <c r="G27" s="2">
        <f t="shared" si="1"/>
        <v>0.23350637222588441</v>
      </c>
      <c r="H27" s="2">
        <f t="shared" si="2"/>
        <v>0.32202651515151515</v>
      </c>
      <c r="I27" s="43">
        <v>7.42</v>
      </c>
      <c r="J27" s="44">
        <v>6.9020000000000001</v>
      </c>
      <c r="K27" s="21">
        <f t="shared" si="3"/>
        <v>-6.9811320754716952E-2</v>
      </c>
      <c r="L27" s="22">
        <f t="shared" si="4"/>
        <v>0.8119607263722437</v>
      </c>
      <c r="M27" s="48">
        <v>1</v>
      </c>
      <c r="N27" s="48">
        <v>1</v>
      </c>
      <c r="O27" s="44">
        <v>0</v>
      </c>
      <c r="P27" s="44">
        <v>0</v>
      </c>
      <c r="Q27" s="179" t="s">
        <v>517</v>
      </c>
    </row>
    <row r="28" spans="1:17">
      <c r="A28" s="79">
        <v>46137</v>
      </c>
      <c r="B28" s="43">
        <v>16833</v>
      </c>
      <c r="C28" s="43">
        <v>14314</v>
      </c>
      <c r="D28" s="44">
        <v>16836</v>
      </c>
      <c r="E28" s="44">
        <v>16530</v>
      </c>
      <c r="F28" s="21">
        <f t="shared" si="0"/>
        <v>0.17619114153975129</v>
      </c>
      <c r="G28" s="2">
        <f t="shared" si="1"/>
        <v>0.23121292023731049</v>
      </c>
      <c r="H28" s="2">
        <f t="shared" si="2"/>
        <v>0.31886363636363635</v>
      </c>
      <c r="I28" s="43">
        <v>7.42</v>
      </c>
      <c r="J28" s="44">
        <v>6.8550000000000004</v>
      </c>
      <c r="K28" s="21">
        <f t="shared" si="3"/>
        <v>-7.614555256064684E-2</v>
      </c>
      <c r="L28" s="22">
        <f t="shared" si="4"/>
        <v>0.80949818901465376</v>
      </c>
      <c r="M28" s="48">
        <v>1</v>
      </c>
      <c r="N28" s="48">
        <v>1</v>
      </c>
      <c r="O28" s="44">
        <v>0</v>
      </c>
      <c r="P28" s="44">
        <v>0</v>
      </c>
      <c r="Q28" s="179" t="s">
        <v>517</v>
      </c>
    </row>
    <row r="29" spans="1:17">
      <c r="A29" s="79">
        <v>46138</v>
      </c>
      <c r="B29" s="43">
        <v>16833</v>
      </c>
      <c r="C29" s="43">
        <v>14314</v>
      </c>
      <c r="D29" s="44">
        <v>16751</v>
      </c>
      <c r="E29" s="44">
        <v>15330</v>
      </c>
      <c r="F29" s="21">
        <f t="shared" si="0"/>
        <v>0.17025289925946627</v>
      </c>
      <c r="G29" s="2">
        <f t="shared" si="1"/>
        <v>0.23004559437486266</v>
      </c>
      <c r="H29" s="2">
        <f t="shared" si="2"/>
        <v>0.31725378787878789</v>
      </c>
      <c r="I29" s="43">
        <v>7.42</v>
      </c>
      <c r="J29" s="44">
        <v>6.9969999999999999</v>
      </c>
      <c r="K29" s="21">
        <f t="shared" si="3"/>
        <v>-5.7008086253369276E-2</v>
      </c>
      <c r="L29" s="22">
        <f t="shared" si="4"/>
        <v>0.78906592325235159</v>
      </c>
      <c r="M29" s="48">
        <v>1</v>
      </c>
      <c r="N29" s="48">
        <v>0.99660000000000004</v>
      </c>
      <c r="O29" s="44">
        <v>80</v>
      </c>
      <c r="P29" s="44">
        <v>0</v>
      </c>
      <c r="Q29" s="44" t="s">
        <v>578</v>
      </c>
    </row>
    <row r="30" spans="1:17">
      <c r="A30" s="79">
        <v>46139</v>
      </c>
      <c r="B30" s="43">
        <v>16833</v>
      </c>
      <c r="C30" s="43">
        <v>14314</v>
      </c>
      <c r="D30" s="281">
        <v>16094</v>
      </c>
      <c r="E30" s="318">
        <v>15840</v>
      </c>
      <c r="F30" s="329">
        <v>0.124</v>
      </c>
      <c r="G30" s="323">
        <v>0.221</v>
      </c>
      <c r="H30" s="323">
        <v>0.30480000000000002</v>
      </c>
      <c r="I30" s="322">
        <v>7.42</v>
      </c>
      <c r="J30" s="318">
        <v>6.8440000000000003</v>
      </c>
      <c r="K30" s="329">
        <v>-7.8E-2</v>
      </c>
      <c r="L30" s="344">
        <v>0.77500000000000002</v>
      </c>
      <c r="M30" s="324">
        <v>1</v>
      </c>
      <c r="N30" s="324">
        <v>0.98280000000000001</v>
      </c>
      <c r="O30" s="318">
        <v>426</v>
      </c>
      <c r="P30" s="318">
        <v>0</v>
      </c>
      <c r="Q30" s="318" t="s">
        <v>579</v>
      </c>
    </row>
    <row r="31" spans="1:17">
      <c r="A31" s="79">
        <v>46140</v>
      </c>
      <c r="B31" s="43">
        <v>16833</v>
      </c>
      <c r="C31" s="43">
        <v>14314</v>
      </c>
      <c r="D31" s="320">
        <v>16206</v>
      </c>
      <c r="E31" s="321">
        <v>15900</v>
      </c>
      <c r="F31" s="329">
        <v>0.13200000000000001</v>
      </c>
      <c r="G31" s="326">
        <v>0.22259999999999999</v>
      </c>
      <c r="H31" s="326">
        <v>0.30690000000000001</v>
      </c>
      <c r="I31" s="325">
        <v>7.42</v>
      </c>
      <c r="J31" s="321">
        <v>6.9160000000000004</v>
      </c>
      <c r="K31" s="329">
        <v>-6.8000000000000005E-2</v>
      </c>
      <c r="L31" s="345">
        <v>0.77200000000000002</v>
      </c>
      <c r="M31" s="327">
        <v>1</v>
      </c>
      <c r="N31" s="327">
        <v>0.98670000000000002</v>
      </c>
      <c r="O31" s="321">
        <v>268</v>
      </c>
      <c r="P31" s="321">
        <v>0</v>
      </c>
      <c r="Q31" s="321" t="s">
        <v>580</v>
      </c>
    </row>
    <row r="32" spans="1:17">
      <c r="A32" s="79">
        <v>46141</v>
      </c>
      <c r="B32" s="43">
        <v>16833</v>
      </c>
      <c r="C32" s="43">
        <v>14314</v>
      </c>
      <c r="D32" s="320">
        <v>16164</v>
      </c>
      <c r="E32" s="321">
        <v>15870</v>
      </c>
      <c r="F32" s="329">
        <v>0.129</v>
      </c>
      <c r="G32" s="326">
        <v>0.222</v>
      </c>
      <c r="H32" s="326">
        <v>0.30609999999999998</v>
      </c>
      <c r="I32" s="325">
        <v>7.42</v>
      </c>
      <c r="J32" s="321">
        <v>6.7919999999999998</v>
      </c>
      <c r="K32" s="329">
        <v>-8.5000000000000006E-2</v>
      </c>
      <c r="L32" s="345">
        <v>0.78400000000000003</v>
      </c>
      <c r="M32" s="327">
        <v>1</v>
      </c>
      <c r="N32" s="327">
        <v>0.98780000000000001</v>
      </c>
      <c r="O32" s="321">
        <v>281</v>
      </c>
      <c r="P32" s="321">
        <v>0</v>
      </c>
      <c r="Q32" s="321" t="s">
        <v>581</v>
      </c>
    </row>
    <row r="33" spans="1:17">
      <c r="A33" s="79">
        <v>46142</v>
      </c>
      <c r="B33" s="43">
        <v>16833</v>
      </c>
      <c r="C33" s="43">
        <v>14314</v>
      </c>
      <c r="D33" s="320">
        <v>15523</v>
      </c>
      <c r="E33" s="321">
        <v>15240</v>
      </c>
      <c r="F33" s="329">
        <v>8.4000000000000005E-2</v>
      </c>
      <c r="G33" s="326">
        <v>0.2132</v>
      </c>
      <c r="H33" s="326">
        <v>0.29399999999999998</v>
      </c>
      <c r="I33" s="325">
        <v>7.42</v>
      </c>
      <c r="J33" s="321">
        <v>6.5030000000000001</v>
      </c>
      <c r="K33" s="329">
        <v>-0.124</v>
      </c>
      <c r="L33" s="345">
        <v>0.78700000000000003</v>
      </c>
      <c r="M33" s="327">
        <v>1</v>
      </c>
      <c r="N33" s="327">
        <v>0.99550000000000005</v>
      </c>
      <c r="O33" s="321">
        <v>101</v>
      </c>
      <c r="P33" s="321">
        <v>0</v>
      </c>
      <c r="Q33" s="321" t="s">
        <v>582</v>
      </c>
    </row>
    <row r="34" spans="1:17">
      <c r="A34" s="349">
        <v>46113</v>
      </c>
      <c r="B34" s="80">
        <f>SUM(B4:B33)</f>
        <v>504990</v>
      </c>
      <c r="C34" s="80">
        <f>SUM(C4:C33)</f>
        <v>429420</v>
      </c>
      <c r="D34" s="80">
        <f>SUM(D4:D33)</f>
        <v>496803</v>
      </c>
      <c r="E34" s="80">
        <f>SUM(E4:E33)</f>
        <v>485880</v>
      </c>
      <c r="F34" s="160">
        <f>(IF(ISBLANK(D34),0,D34-C34))/C34</f>
        <v>0.15691630571468493</v>
      </c>
      <c r="G34" s="81">
        <f>AVERAGE(G4:G33)</f>
        <v>0.22742561195341685</v>
      </c>
      <c r="H34" s="81">
        <f>AVERAGE(H4:H33)</f>
        <v>0.31363575757575757</v>
      </c>
      <c r="I34" s="80">
        <f>SUM(I4:I33)</f>
        <v>222.59999999999985</v>
      </c>
      <c r="J34" s="80">
        <f>SUM(J4:J33)</f>
        <v>206.59699999999998</v>
      </c>
      <c r="K34" s="160">
        <f>(IF(ISBLANK(J34),0,J34-I34))/I34</f>
        <v>-7.1891284815812598E-2</v>
      </c>
      <c r="L34" s="81">
        <f>AVERAGE(L4:L33)</f>
        <v>0.7923910217156529</v>
      </c>
      <c r="M34" s="81">
        <f>AVERAGE(M4:M33)</f>
        <v>1</v>
      </c>
      <c r="N34" s="81">
        <f>AVERAGE(N4:N33)</f>
        <v>0.98082000000000003</v>
      </c>
      <c r="O34" s="80">
        <f>SUM(O4:O33)</f>
        <v>13713</v>
      </c>
      <c r="P34" s="80">
        <f>SUM(P4:P33)</f>
        <v>0</v>
      </c>
      <c r="Q34" s="80" t="s">
        <v>175</v>
      </c>
    </row>
    <row r="35" spans="1:17">
      <c r="A35" s="13">
        <v>46143</v>
      </c>
      <c r="B35" s="337">
        <v>16833</v>
      </c>
      <c r="C35" s="322">
        <v>14314</v>
      </c>
      <c r="D35" s="281">
        <v>15897</v>
      </c>
      <c r="E35" s="318">
        <v>15630</v>
      </c>
      <c r="F35" s="20">
        <f>IF(ISBLANK(E35),0,E35-C35)/C35</f>
        <v>9.1937962833589487E-2</v>
      </c>
      <c r="G35" s="2">
        <f t="shared" ref="G35:G57" si="5">D35/($D$2*24)</f>
        <v>0.21831740276862227</v>
      </c>
      <c r="H35" s="2">
        <f t="shared" ref="H35:H61" si="6">D35/($H$2*24)</f>
        <v>0.30107954545454546</v>
      </c>
      <c r="I35" s="35">
        <v>6.97</v>
      </c>
      <c r="J35" s="37">
        <v>6.54</v>
      </c>
      <c r="K35" s="20">
        <f>(IF(ISBLANK(J35),0,J35-I35))/I35</f>
        <v>-6.1692969870875143E-2</v>
      </c>
      <c r="L35" s="4">
        <f t="shared" ref="L35:L66" si="7">D35/($D$2*J35)</f>
        <v>0.80116478080228359</v>
      </c>
      <c r="M35" s="362">
        <v>1</v>
      </c>
      <c r="N35" s="41">
        <v>1</v>
      </c>
      <c r="O35" s="37">
        <v>0</v>
      </c>
      <c r="P35" s="37">
        <v>0</v>
      </c>
      <c r="Q35" s="369" t="s">
        <v>517</v>
      </c>
    </row>
    <row r="36" spans="1:17">
      <c r="A36" s="13">
        <f>A35+1</f>
        <v>46144</v>
      </c>
      <c r="B36" s="338">
        <v>16833</v>
      </c>
      <c r="C36" s="325">
        <v>14314</v>
      </c>
      <c r="D36" s="320">
        <v>15404</v>
      </c>
      <c r="E36" s="321">
        <v>15090</v>
      </c>
      <c r="F36" s="20">
        <f t="shared" ref="F36:F54" si="8">(IF(ISBLANK(E36),0,E36-C36))/C36</f>
        <v>5.4212658935308092E-2</v>
      </c>
      <c r="G36" s="2">
        <f t="shared" si="5"/>
        <v>0.21154691276642495</v>
      </c>
      <c r="H36" s="2">
        <f t="shared" si="6"/>
        <v>0.29174242424242425</v>
      </c>
      <c r="I36" s="42">
        <v>6.97</v>
      </c>
      <c r="J36" s="44">
        <v>6.51</v>
      </c>
      <c r="K36" s="20">
        <f t="shared" ref="K36:K54" si="9">(IF(ISBLANK(J36),0,J36-I36))/I36</f>
        <v>-6.5997130559540887E-2</v>
      </c>
      <c r="L36" s="4">
        <f>D36/($D$2*J36)</f>
        <v>0.77989645259511509</v>
      </c>
      <c r="M36" s="363">
        <v>1</v>
      </c>
      <c r="N36" s="48">
        <v>0.98950000000000005</v>
      </c>
      <c r="O36" s="44">
        <v>269</v>
      </c>
      <c r="P36" s="44">
        <v>0</v>
      </c>
      <c r="Q36" s="44" t="s">
        <v>583</v>
      </c>
    </row>
    <row r="37" spans="1:17">
      <c r="A37" s="13">
        <f t="shared" ref="A37:A65" si="10">A36+1</f>
        <v>46145</v>
      </c>
      <c r="B37" s="338">
        <v>16833</v>
      </c>
      <c r="C37" s="325">
        <v>14314</v>
      </c>
      <c r="D37" s="320">
        <v>14704</v>
      </c>
      <c r="E37" s="321">
        <v>14460</v>
      </c>
      <c r="F37" s="20">
        <f t="shared" si="8"/>
        <v>1.0199804387313121E-2</v>
      </c>
      <c r="G37" s="2">
        <f t="shared" si="5"/>
        <v>0.20193364095803121</v>
      </c>
      <c r="H37" s="2">
        <f t="shared" si="6"/>
        <v>0.2784848484848485</v>
      </c>
      <c r="I37" s="42">
        <v>6.97</v>
      </c>
      <c r="J37" s="44">
        <v>6.71</v>
      </c>
      <c r="K37" s="20">
        <f t="shared" si="9"/>
        <v>-3.7302725968436125E-2</v>
      </c>
      <c r="L37" s="4">
        <f t="shared" si="7"/>
        <v>0.72226637600488064</v>
      </c>
      <c r="M37" s="363">
        <v>1</v>
      </c>
      <c r="N37" s="48">
        <v>0.93910000000000005</v>
      </c>
      <c r="O37" s="44">
        <v>1475</v>
      </c>
      <c r="P37" s="44">
        <v>0</v>
      </c>
      <c r="Q37" s="44" t="s">
        <v>584</v>
      </c>
    </row>
    <row r="38" spans="1:17">
      <c r="A38" s="13">
        <f t="shared" si="10"/>
        <v>46146</v>
      </c>
      <c r="B38" s="338">
        <v>16833</v>
      </c>
      <c r="C38" s="325">
        <v>14314</v>
      </c>
      <c r="D38" s="303">
        <v>15799</v>
      </c>
      <c r="E38" s="37">
        <v>15540</v>
      </c>
      <c r="F38" s="20">
        <f t="shared" si="8"/>
        <v>8.5650412183875924E-2</v>
      </c>
      <c r="G38" s="2">
        <f t="shared" si="5"/>
        <v>0.21697154471544716</v>
      </c>
      <c r="H38" s="2">
        <f t="shared" si="6"/>
        <v>0.29922348484848482</v>
      </c>
      <c r="I38" s="42">
        <v>6.97</v>
      </c>
      <c r="J38" s="44">
        <v>6.66</v>
      </c>
      <c r="K38" s="20">
        <f t="shared" si="9"/>
        <v>-4.4476327116212286E-2</v>
      </c>
      <c r="L38" s="4">
        <f t="shared" si="7"/>
        <v>0.78187944041602586</v>
      </c>
      <c r="M38" s="363">
        <v>1</v>
      </c>
      <c r="N38" s="48">
        <v>1</v>
      </c>
      <c r="O38" s="44">
        <v>0</v>
      </c>
      <c r="P38" s="44">
        <v>0</v>
      </c>
      <c r="Q38" s="179" t="s">
        <v>517</v>
      </c>
    </row>
    <row r="39" spans="1:17">
      <c r="A39" s="13">
        <f t="shared" si="10"/>
        <v>46147</v>
      </c>
      <c r="B39" s="338">
        <v>16833</v>
      </c>
      <c r="C39" s="325">
        <v>14314</v>
      </c>
      <c r="D39" s="34"/>
      <c r="E39" s="34"/>
      <c r="F39" s="20">
        <f t="shared" si="8"/>
        <v>0</v>
      </c>
      <c r="G39" s="2">
        <f t="shared" si="5"/>
        <v>0</v>
      </c>
      <c r="H39" s="2">
        <f t="shared" si="6"/>
        <v>0</v>
      </c>
      <c r="I39" s="42">
        <v>6.97</v>
      </c>
      <c r="J39" s="44" t="s">
        <v>175</v>
      </c>
      <c r="K39" s="20" t="e">
        <f t="shared" si="9"/>
        <v>#VALUE!</v>
      </c>
      <c r="L39" s="4" t="e">
        <f t="shared" si="7"/>
        <v>#VALUE!</v>
      </c>
      <c r="M39" s="103"/>
      <c r="N39" s="103"/>
      <c r="O39" s="34"/>
      <c r="P39" s="6"/>
      <c r="Q39" s="14"/>
    </row>
    <row r="40" spans="1:17">
      <c r="A40" s="13">
        <f t="shared" si="10"/>
        <v>46148</v>
      </c>
      <c r="B40" s="338">
        <v>16833</v>
      </c>
      <c r="C40" s="325">
        <v>14314</v>
      </c>
      <c r="D40" s="34"/>
      <c r="E40" s="34"/>
      <c r="F40" s="20">
        <f t="shared" si="8"/>
        <v>0</v>
      </c>
      <c r="G40" s="2">
        <f t="shared" si="5"/>
        <v>0</v>
      </c>
      <c r="H40" s="2">
        <f t="shared" si="6"/>
        <v>0</v>
      </c>
      <c r="I40" s="42">
        <v>6.97</v>
      </c>
      <c r="J40" s="44" t="s">
        <v>175</v>
      </c>
      <c r="K40" s="20" t="e">
        <f t="shared" si="9"/>
        <v>#VALUE!</v>
      </c>
      <c r="L40" s="4" t="e">
        <f t="shared" si="7"/>
        <v>#VALUE!</v>
      </c>
      <c r="M40" s="103"/>
      <c r="N40" s="103"/>
      <c r="O40" s="34"/>
      <c r="P40" s="6"/>
      <c r="Q40" s="14"/>
    </row>
    <row r="41" spans="1:17">
      <c r="A41" s="13">
        <f t="shared" si="10"/>
        <v>46149</v>
      </c>
      <c r="B41" s="338">
        <v>16833</v>
      </c>
      <c r="C41" s="325">
        <v>14314</v>
      </c>
      <c r="D41" s="34"/>
      <c r="E41" s="34"/>
      <c r="F41" s="20">
        <f t="shared" si="8"/>
        <v>0</v>
      </c>
      <c r="G41" s="2">
        <f t="shared" si="5"/>
        <v>0</v>
      </c>
      <c r="H41" s="2">
        <f t="shared" si="6"/>
        <v>0</v>
      </c>
      <c r="I41" s="42">
        <v>6.97</v>
      </c>
      <c r="J41" s="44" t="s">
        <v>175</v>
      </c>
      <c r="K41" s="20" t="e">
        <f t="shared" si="9"/>
        <v>#VALUE!</v>
      </c>
      <c r="L41" s="4" t="e">
        <f t="shared" si="7"/>
        <v>#VALUE!</v>
      </c>
      <c r="M41" s="103"/>
      <c r="N41" s="103"/>
      <c r="O41" s="34"/>
      <c r="P41" s="6"/>
      <c r="Q41" s="202"/>
    </row>
    <row r="42" spans="1:17">
      <c r="A42" s="13">
        <f t="shared" si="10"/>
        <v>46150</v>
      </c>
      <c r="B42" s="338">
        <v>16833</v>
      </c>
      <c r="C42" s="325">
        <v>14314</v>
      </c>
      <c r="D42" s="34"/>
      <c r="E42" s="34"/>
      <c r="F42" s="20">
        <f t="shared" si="8"/>
        <v>0</v>
      </c>
      <c r="G42" s="2">
        <f t="shared" si="5"/>
        <v>0</v>
      </c>
      <c r="H42" s="2">
        <f t="shared" si="6"/>
        <v>0</v>
      </c>
      <c r="I42" s="42">
        <v>6.97</v>
      </c>
      <c r="J42" s="44" t="s">
        <v>175</v>
      </c>
      <c r="K42" s="20" t="e">
        <f t="shared" si="9"/>
        <v>#VALUE!</v>
      </c>
      <c r="L42" s="4" t="e">
        <f t="shared" si="7"/>
        <v>#VALUE!</v>
      </c>
      <c r="M42" s="103"/>
      <c r="N42" s="103"/>
      <c r="O42" s="34"/>
      <c r="P42" s="6"/>
      <c r="Q42" s="14"/>
    </row>
    <row r="43" spans="1:17">
      <c r="A43" s="13">
        <f t="shared" si="10"/>
        <v>46151</v>
      </c>
      <c r="B43" s="338">
        <v>16833</v>
      </c>
      <c r="C43" s="325">
        <v>14314</v>
      </c>
      <c r="D43" s="34"/>
      <c r="E43" s="34"/>
      <c r="F43" s="20">
        <f t="shared" si="8"/>
        <v>0</v>
      </c>
      <c r="G43" s="2">
        <f t="shared" si="5"/>
        <v>0</v>
      </c>
      <c r="H43" s="2">
        <f t="shared" si="6"/>
        <v>0</v>
      </c>
      <c r="I43" s="42">
        <v>6.97</v>
      </c>
      <c r="J43" s="44" t="s">
        <v>175</v>
      </c>
      <c r="K43" s="20" t="e">
        <f t="shared" si="9"/>
        <v>#VALUE!</v>
      </c>
      <c r="L43" s="4" t="e">
        <f t="shared" si="7"/>
        <v>#VALUE!</v>
      </c>
      <c r="M43" s="103"/>
      <c r="N43" s="103"/>
      <c r="O43" s="34"/>
      <c r="P43" s="6"/>
      <c r="Q43" s="6"/>
    </row>
    <row r="44" spans="1:17">
      <c r="A44" s="13">
        <f t="shared" si="10"/>
        <v>46152</v>
      </c>
      <c r="B44" s="338">
        <v>16833</v>
      </c>
      <c r="C44" s="325">
        <v>14314</v>
      </c>
      <c r="D44" s="34"/>
      <c r="E44" s="34"/>
      <c r="F44" s="20">
        <f t="shared" si="8"/>
        <v>0</v>
      </c>
      <c r="G44" s="2">
        <f t="shared" si="5"/>
        <v>0</v>
      </c>
      <c r="H44" s="2">
        <f t="shared" si="6"/>
        <v>0</v>
      </c>
      <c r="I44" s="42">
        <v>6.97</v>
      </c>
      <c r="J44" s="44" t="s">
        <v>175</v>
      </c>
      <c r="K44" s="20" t="e">
        <f t="shared" si="9"/>
        <v>#VALUE!</v>
      </c>
      <c r="L44" s="4" t="e">
        <f t="shared" si="7"/>
        <v>#VALUE!</v>
      </c>
      <c r="M44" s="103"/>
      <c r="N44" s="103"/>
      <c r="O44" s="34"/>
      <c r="P44" s="6"/>
      <c r="Q44" s="16"/>
    </row>
    <row r="45" spans="1:17">
      <c r="A45" s="13">
        <f t="shared" si="10"/>
        <v>46153</v>
      </c>
      <c r="B45" s="338">
        <v>16833</v>
      </c>
      <c r="C45" s="325">
        <v>14314</v>
      </c>
      <c r="D45" s="34"/>
      <c r="E45" s="34"/>
      <c r="F45" s="20">
        <f t="shared" si="8"/>
        <v>0</v>
      </c>
      <c r="G45" s="2">
        <f t="shared" si="5"/>
        <v>0</v>
      </c>
      <c r="H45" s="2">
        <f t="shared" si="6"/>
        <v>0</v>
      </c>
      <c r="I45" s="42">
        <v>6.97</v>
      </c>
      <c r="J45" s="44" t="s">
        <v>175</v>
      </c>
      <c r="K45" s="20" t="e">
        <f t="shared" si="9"/>
        <v>#VALUE!</v>
      </c>
      <c r="L45" s="4" t="e">
        <f t="shared" si="7"/>
        <v>#VALUE!</v>
      </c>
      <c r="M45" s="103"/>
      <c r="N45" s="103"/>
      <c r="O45" s="34"/>
      <c r="P45" s="6"/>
      <c r="Q45" s="6"/>
    </row>
    <row r="46" spans="1:17">
      <c r="A46" s="13">
        <f t="shared" si="10"/>
        <v>46154</v>
      </c>
      <c r="B46" s="338">
        <v>16833</v>
      </c>
      <c r="C46" s="325">
        <v>14314</v>
      </c>
      <c r="D46" s="34"/>
      <c r="E46" s="34"/>
      <c r="F46" s="20">
        <f t="shared" si="8"/>
        <v>0</v>
      </c>
      <c r="G46" s="2">
        <f t="shared" si="5"/>
        <v>0</v>
      </c>
      <c r="H46" s="2">
        <f t="shared" si="6"/>
        <v>0</v>
      </c>
      <c r="I46" s="42">
        <v>6.97</v>
      </c>
      <c r="J46" s="44" t="s">
        <v>175</v>
      </c>
      <c r="K46" s="20" t="e">
        <f t="shared" si="9"/>
        <v>#VALUE!</v>
      </c>
      <c r="L46" s="4" t="e">
        <f t="shared" si="7"/>
        <v>#VALUE!</v>
      </c>
      <c r="M46" s="104"/>
      <c r="N46" s="103"/>
      <c r="O46" s="34"/>
      <c r="P46" s="6"/>
      <c r="Q46" s="6"/>
    </row>
    <row r="47" spans="1:17">
      <c r="A47" s="13">
        <f t="shared" si="10"/>
        <v>46155</v>
      </c>
      <c r="B47" s="338">
        <v>16833</v>
      </c>
      <c r="C47" s="325">
        <v>14314</v>
      </c>
      <c r="D47" s="34"/>
      <c r="E47" s="34"/>
      <c r="F47" s="20">
        <f t="shared" si="8"/>
        <v>0</v>
      </c>
      <c r="G47" s="2">
        <f t="shared" si="5"/>
        <v>0</v>
      </c>
      <c r="H47" s="2">
        <f t="shared" si="6"/>
        <v>0</v>
      </c>
      <c r="I47" s="42">
        <v>6.97</v>
      </c>
      <c r="J47" s="44" t="s">
        <v>175</v>
      </c>
      <c r="K47" s="20" t="e">
        <f t="shared" si="9"/>
        <v>#VALUE!</v>
      </c>
      <c r="L47" s="4" t="e">
        <f t="shared" si="7"/>
        <v>#VALUE!</v>
      </c>
      <c r="M47" s="104"/>
      <c r="N47" s="103"/>
      <c r="O47" s="34"/>
      <c r="P47" s="6"/>
      <c r="Q47" s="31"/>
    </row>
    <row r="48" spans="1:17">
      <c r="A48" s="13">
        <f t="shared" si="10"/>
        <v>46156</v>
      </c>
      <c r="B48" s="338">
        <v>16833</v>
      </c>
      <c r="C48" s="325">
        <v>14314</v>
      </c>
      <c r="D48" s="34"/>
      <c r="E48" s="34"/>
      <c r="F48" s="20">
        <f t="shared" si="8"/>
        <v>0</v>
      </c>
      <c r="G48" s="2">
        <f t="shared" si="5"/>
        <v>0</v>
      </c>
      <c r="H48" s="2">
        <f t="shared" si="6"/>
        <v>0</v>
      </c>
      <c r="I48" s="42">
        <v>6.97</v>
      </c>
      <c r="J48" s="44" t="s">
        <v>175</v>
      </c>
      <c r="K48" s="20" t="e">
        <f t="shared" si="9"/>
        <v>#VALUE!</v>
      </c>
      <c r="L48" s="4" t="e">
        <f t="shared" si="7"/>
        <v>#VALUE!</v>
      </c>
      <c r="M48" s="104"/>
      <c r="N48" s="103"/>
      <c r="O48" s="34"/>
      <c r="P48" s="6"/>
      <c r="Q48" s="32"/>
    </row>
    <row r="49" spans="1:17">
      <c r="A49" s="13">
        <f t="shared" si="10"/>
        <v>46157</v>
      </c>
      <c r="B49" s="338">
        <v>16833</v>
      </c>
      <c r="C49" s="325">
        <v>14314</v>
      </c>
      <c r="D49" s="34"/>
      <c r="E49" s="34"/>
      <c r="F49" s="20">
        <f t="shared" si="8"/>
        <v>0</v>
      </c>
      <c r="G49" s="2">
        <f t="shared" si="5"/>
        <v>0</v>
      </c>
      <c r="H49" s="2">
        <f t="shared" si="6"/>
        <v>0</v>
      </c>
      <c r="I49" s="42">
        <v>6.97</v>
      </c>
      <c r="J49" s="44" t="s">
        <v>175</v>
      </c>
      <c r="K49" s="20" t="e">
        <f t="shared" si="9"/>
        <v>#VALUE!</v>
      </c>
      <c r="L49" s="4" t="e">
        <f t="shared" si="7"/>
        <v>#VALUE!</v>
      </c>
      <c r="M49" s="104"/>
      <c r="N49" s="103"/>
      <c r="O49" s="34"/>
      <c r="P49" s="6"/>
      <c r="Q49" s="32"/>
    </row>
    <row r="50" spans="1:17">
      <c r="A50" s="13">
        <f t="shared" si="10"/>
        <v>46158</v>
      </c>
      <c r="B50" s="338">
        <v>16833</v>
      </c>
      <c r="C50" s="325">
        <v>14314</v>
      </c>
      <c r="D50" s="34"/>
      <c r="E50" s="34"/>
      <c r="F50" s="20">
        <f t="shared" si="8"/>
        <v>0</v>
      </c>
      <c r="G50" s="2">
        <f t="shared" si="5"/>
        <v>0</v>
      </c>
      <c r="H50" s="2">
        <f t="shared" si="6"/>
        <v>0</v>
      </c>
      <c r="I50" s="42">
        <v>6.97</v>
      </c>
      <c r="J50" s="44" t="s">
        <v>175</v>
      </c>
      <c r="K50" s="20" t="e">
        <f t="shared" si="9"/>
        <v>#VALUE!</v>
      </c>
      <c r="L50" s="4" t="e">
        <f t="shared" si="7"/>
        <v>#VALUE!</v>
      </c>
      <c r="M50" s="104"/>
      <c r="N50" s="103"/>
      <c r="O50" s="34"/>
      <c r="P50" s="6"/>
      <c r="Q50" s="32"/>
    </row>
    <row r="51" spans="1:17">
      <c r="A51" s="13">
        <f t="shared" si="10"/>
        <v>46159</v>
      </c>
      <c r="B51" s="338">
        <v>16833</v>
      </c>
      <c r="C51" s="325">
        <v>14314</v>
      </c>
      <c r="D51" s="34"/>
      <c r="E51" s="34"/>
      <c r="F51" s="20">
        <f t="shared" si="8"/>
        <v>0</v>
      </c>
      <c r="G51" s="2">
        <f t="shared" si="5"/>
        <v>0</v>
      </c>
      <c r="H51" s="2">
        <f t="shared" si="6"/>
        <v>0</v>
      </c>
      <c r="I51" s="42">
        <v>6.97</v>
      </c>
      <c r="J51" s="44" t="s">
        <v>175</v>
      </c>
      <c r="K51" s="20" t="e">
        <f t="shared" si="9"/>
        <v>#VALUE!</v>
      </c>
      <c r="L51" s="4" t="e">
        <f t="shared" si="7"/>
        <v>#VALUE!</v>
      </c>
      <c r="M51" s="103"/>
      <c r="N51" s="103"/>
      <c r="O51" s="34"/>
      <c r="P51" s="6"/>
      <c r="Q51" s="6"/>
    </row>
    <row r="52" spans="1:17">
      <c r="A52" s="13">
        <f t="shared" si="10"/>
        <v>46160</v>
      </c>
      <c r="B52" s="338">
        <v>16833</v>
      </c>
      <c r="C52" s="325">
        <v>14314</v>
      </c>
      <c r="D52" s="34"/>
      <c r="E52" s="34"/>
      <c r="F52" s="20">
        <f t="shared" si="8"/>
        <v>0</v>
      </c>
      <c r="G52" s="2">
        <f t="shared" si="5"/>
        <v>0</v>
      </c>
      <c r="H52" s="2">
        <f t="shared" si="6"/>
        <v>0</v>
      </c>
      <c r="I52" s="42">
        <v>6.97</v>
      </c>
      <c r="J52" s="44" t="s">
        <v>175</v>
      </c>
      <c r="K52" s="20" t="e">
        <f t="shared" si="9"/>
        <v>#VALUE!</v>
      </c>
      <c r="L52" s="4" t="e">
        <f t="shared" si="7"/>
        <v>#VALUE!</v>
      </c>
      <c r="M52" s="103"/>
      <c r="N52" s="103"/>
      <c r="O52" s="34"/>
      <c r="P52" s="6"/>
      <c r="Q52" s="14"/>
    </row>
    <row r="53" spans="1:17">
      <c r="A53" s="13">
        <f t="shared" si="10"/>
        <v>46161</v>
      </c>
      <c r="B53" s="338">
        <v>16833</v>
      </c>
      <c r="C53" s="325">
        <v>14314</v>
      </c>
      <c r="D53" s="34"/>
      <c r="E53" s="34"/>
      <c r="F53" s="20">
        <f t="shared" si="8"/>
        <v>0</v>
      </c>
      <c r="G53" s="2">
        <f t="shared" si="5"/>
        <v>0</v>
      </c>
      <c r="H53" s="2">
        <f t="shared" si="6"/>
        <v>0</v>
      </c>
      <c r="I53" s="42">
        <v>6.97</v>
      </c>
      <c r="J53" s="44" t="s">
        <v>175</v>
      </c>
      <c r="K53" s="20" t="e">
        <f t="shared" si="9"/>
        <v>#VALUE!</v>
      </c>
      <c r="L53" s="4" t="e">
        <f t="shared" si="7"/>
        <v>#VALUE!</v>
      </c>
      <c r="M53" s="103"/>
      <c r="N53" s="103"/>
      <c r="O53" s="34"/>
      <c r="P53" s="6"/>
      <c r="Q53" s="14"/>
    </row>
    <row r="54" spans="1:17">
      <c r="A54" s="13">
        <f t="shared" si="10"/>
        <v>46162</v>
      </c>
      <c r="B54" s="338">
        <v>16833</v>
      </c>
      <c r="C54" s="325">
        <v>14314</v>
      </c>
      <c r="D54" s="34"/>
      <c r="E54" s="34"/>
      <c r="F54" s="20">
        <f t="shared" si="8"/>
        <v>0</v>
      </c>
      <c r="G54" s="2">
        <f t="shared" si="5"/>
        <v>0</v>
      </c>
      <c r="H54" s="2">
        <f t="shared" si="6"/>
        <v>0</v>
      </c>
      <c r="I54" s="42">
        <v>6.97</v>
      </c>
      <c r="J54" s="44" t="s">
        <v>175</v>
      </c>
      <c r="K54" s="20" t="e">
        <f t="shared" si="9"/>
        <v>#VALUE!</v>
      </c>
      <c r="L54" s="4" t="e">
        <f t="shared" si="7"/>
        <v>#VALUE!</v>
      </c>
      <c r="M54" s="103"/>
      <c r="N54" s="103"/>
      <c r="O54" s="34"/>
      <c r="P54" s="6"/>
      <c r="Q54" s="14"/>
    </row>
    <row r="55" spans="1:17">
      <c r="A55" s="13">
        <f t="shared" si="10"/>
        <v>46163</v>
      </c>
      <c r="B55" s="338">
        <v>16833</v>
      </c>
      <c r="C55" s="325">
        <v>14314</v>
      </c>
      <c r="D55" s="34"/>
      <c r="E55" s="34"/>
      <c r="F55" s="20">
        <f>(IF(ISBLANK(E55),0,E55-C55))/C55</f>
        <v>0</v>
      </c>
      <c r="G55" s="2">
        <f t="shared" si="5"/>
        <v>0</v>
      </c>
      <c r="H55" s="2">
        <f t="shared" si="6"/>
        <v>0</v>
      </c>
      <c r="I55" s="42">
        <v>6.97</v>
      </c>
      <c r="J55" s="44" t="s">
        <v>175</v>
      </c>
      <c r="K55" s="20" t="e">
        <f>(IF(ISBLANK(J55),0,J55-I55))/I55</f>
        <v>#VALUE!</v>
      </c>
      <c r="L55" s="4" t="e">
        <f t="shared" si="7"/>
        <v>#VALUE!</v>
      </c>
      <c r="M55" s="103"/>
      <c r="N55" s="103"/>
      <c r="O55" s="34"/>
      <c r="P55" s="6"/>
      <c r="Q55" s="6"/>
    </row>
    <row r="56" spans="1:17">
      <c r="A56" s="13">
        <f t="shared" si="10"/>
        <v>46164</v>
      </c>
      <c r="B56" s="338">
        <v>16833</v>
      </c>
      <c r="C56" s="325">
        <v>14314</v>
      </c>
      <c r="D56" s="34"/>
      <c r="E56" s="34"/>
      <c r="F56" s="20">
        <f t="shared" ref="F56:F65" si="11">(IF(ISBLANK(E56),0,E56-C56))/C56</f>
        <v>0</v>
      </c>
      <c r="G56" s="2">
        <f t="shared" si="5"/>
        <v>0</v>
      </c>
      <c r="H56" s="2">
        <f t="shared" si="6"/>
        <v>0</v>
      </c>
      <c r="I56" s="42">
        <v>6.97</v>
      </c>
      <c r="J56" s="44" t="s">
        <v>175</v>
      </c>
      <c r="K56" s="20" t="e">
        <f t="shared" ref="K56:K65" si="12">(IF(ISBLANK(J56),0,J56-I56))/I56</f>
        <v>#VALUE!</v>
      </c>
      <c r="L56" s="4" t="e">
        <f t="shared" si="7"/>
        <v>#VALUE!</v>
      </c>
      <c r="M56" s="103"/>
      <c r="N56" s="103"/>
      <c r="O56" s="34"/>
      <c r="P56" s="6"/>
      <c r="Q56" s="6"/>
    </row>
    <row r="57" spans="1:17">
      <c r="A57" s="13">
        <f t="shared" si="10"/>
        <v>46165</v>
      </c>
      <c r="B57" s="338">
        <v>16833</v>
      </c>
      <c r="C57" s="325">
        <v>14314</v>
      </c>
      <c r="D57" s="14"/>
      <c r="E57" s="14"/>
      <c r="F57" s="20">
        <f t="shared" si="11"/>
        <v>0</v>
      </c>
      <c r="G57" s="2">
        <f t="shared" si="5"/>
        <v>0</v>
      </c>
      <c r="H57" s="2">
        <f t="shared" si="6"/>
        <v>0</v>
      </c>
      <c r="I57" s="42">
        <v>6.97</v>
      </c>
      <c r="J57" s="44" t="s">
        <v>175</v>
      </c>
      <c r="K57" s="20" t="e">
        <f t="shared" si="12"/>
        <v>#VALUE!</v>
      </c>
      <c r="L57" s="4" t="e">
        <f t="shared" si="7"/>
        <v>#VALUE!</v>
      </c>
      <c r="M57" s="103"/>
      <c r="N57" s="103"/>
      <c r="O57" s="34"/>
      <c r="P57" s="6"/>
      <c r="Q57" s="6"/>
    </row>
    <row r="58" spans="1:17">
      <c r="A58" s="13">
        <f t="shared" si="10"/>
        <v>46166</v>
      </c>
      <c r="B58" s="338">
        <v>16833</v>
      </c>
      <c r="C58" s="325">
        <v>14314</v>
      </c>
      <c r="D58" s="14"/>
      <c r="E58" s="14"/>
      <c r="F58" s="20">
        <f t="shared" si="11"/>
        <v>0</v>
      </c>
      <c r="G58" s="2">
        <f t="shared" ref="G58:G65" si="13">D58/($D$2*24)</f>
        <v>0</v>
      </c>
      <c r="H58" s="2">
        <f t="shared" si="6"/>
        <v>0</v>
      </c>
      <c r="I58" s="42">
        <v>6.97</v>
      </c>
      <c r="J58" s="44" t="s">
        <v>175</v>
      </c>
      <c r="K58" s="20" t="e">
        <f t="shared" si="12"/>
        <v>#VALUE!</v>
      </c>
      <c r="L58" s="4" t="e">
        <f t="shared" si="7"/>
        <v>#VALUE!</v>
      </c>
      <c r="M58" s="103"/>
      <c r="N58" s="103"/>
      <c r="O58" s="34"/>
      <c r="P58" s="6"/>
      <c r="Q58" s="288"/>
    </row>
    <row r="59" spans="1:17">
      <c r="A59" s="13">
        <f t="shared" si="10"/>
        <v>46167</v>
      </c>
      <c r="B59" s="338">
        <v>16833</v>
      </c>
      <c r="C59" s="325">
        <v>14314</v>
      </c>
      <c r="D59" s="14"/>
      <c r="E59" s="14"/>
      <c r="F59" s="20">
        <f t="shared" si="11"/>
        <v>0</v>
      </c>
      <c r="G59" s="2">
        <f t="shared" si="13"/>
        <v>0</v>
      </c>
      <c r="H59" s="2">
        <f t="shared" si="6"/>
        <v>0</v>
      </c>
      <c r="I59" s="42">
        <v>6.97</v>
      </c>
      <c r="J59" s="44" t="s">
        <v>175</v>
      </c>
      <c r="K59" s="20" t="e">
        <f t="shared" si="12"/>
        <v>#VALUE!</v>
      </c>
      <c r="L59" s="4" t="e">
        <f t="shared" si="7"/>
        <v>#VALUE!</v>
      </c>
      <c r="M59" s="103"/>
      <c r="N59" s="103"/>
      <c r="O59" s="34"/>
      <c r="P59" s="155"/>
      <c r="Q59" s="6"/>
    </row>
    <row r="60" spans="1:17">
      <c r="A60" s="13">
        <f t="shared" si="10"/>
        <v>46168</v>
      </c>
      <c r="B60" s="338">
        <v>16833</v>
      </c>
      <c r="C60" s="325">
        <v>14314</v>
      </c>
      <c r="D60" s="14"/>
      <c r="E60" s="14"/>
      <c r="F60" s="20">
        <f t="shared" si="11"/>
        <v>0</v>
      </c>
      <c r="G60" s="2">
        <f t="shared" si="13"/>
        <v>0</v>
      </c>
      <c r="H60" s="2">
        <f t="shared" si="6"/>
        <v>0</v>
      </c>
      <c r="I60" s="42">
        <v>6.97</v>
      </c>
      <c r="J60" s="44" t="s">
        <v>175</v>
      </c>
      <c r="K60" s="20" t="e">
        <f t="shared" si="12"/>
        <v>#VALUE!</v>
      </c>
      <c r="L60" s="4" t="e">
        <f t="shared" si="7"/>
        <v>#VALUE!</v>
      </c>
      <c r="M60" s="103"/>
      <c r="N60" s="103"/>
      <c r="O60" s="34"/>
      <c r="P60" s="6"/>
      <c r="Q60" s="123"/>
    </row>
    <row r="61" spans="1:17">
      <c r="A61" s="13">
        <f t="shared" si="10"/>
        <v>46169</v>
      </c>
      <c r="B61" s="338">
        <v>16833</v>
      </c>
      <c r="C61" s="325">
        <v>14314</v>
      </c>
      <c r="D61" s="14"/>
      <c r="E61" s="14"/>
      <c r="F61" s="20">
        <f t="shared" si="11"/>
        <v>0</v>
      </c>
      <c r="G61" s="2">
        <f t="shared" si="13"/>
        <v>0</v>
      </c>
      <c r="H61" s="2">
        <f t="shared" si="6"/>
        <v>0</v>
      </c>
      <c r="I61" s="42">
        <v>6.97</v>
      </c>
      <c r="J61" s="44" t="s">
        <v>175</v>
      </c>
      <c r="K61" s="20" t="e">
        <f t="shared" si="12"/>
        <v>#VALUE!</v>
      </c>
      <c r="L61" s="4" t="e">
        <f t="shared" si="7"/>
        <v>#VALUE!</v>
      </c>
      <c r="M61" s="103"/>
      <c r="N61" s="103"/>
      <c r="O61" s="34"/>
      <c r="P61" s="6"/>
      <c r="Q61" s="6"/>
    </row>
    <row r="62" spans="1:17">
      <c r="A62" s="13">
        <f t="shared" si="10"/>
        <v>46170</v>
      </c>
      <c r="B62" s="338">
        <v>16833</v>
      </c>
      <c r="C62" s="325">
        <v>14314</v>
      </c>
      <c r="D62" s="14"/>
      <c r="E62" s="14"/>
      <c r="F62" s="20">
        <f t="shared" si="11"/>
        <v>0</v>
      </c>
      <c r="G62" s="2">
        <f t="shared" si="13"/>
        <v>0</v>
      </c>
      <c r="H62" s="2">
        <f t="shared" ref="H62:H65" si="14">D62/($H$2*24)</f>
        <v>0</v>
      </c>
      <c r="I62" s="42">
        <v>6.97</v>
      </c>
      <c r="J62" s="44" t="s">
        <v>175</v>
      </c>
      <c r="K62" s="20" t="e">
        <f t="shared" si="12"/>
        <v>#VALUE!</v>
      </c>
      <c r="L62" s="4" t="e">
        <f t="shared" si="7"/>
        <v>#VALUE!</v>
      </c>
      <c r="M62" s="103"/>
      <c r="N62" s="103"/>
      <c r="O62" s="34"/>
      <c r="P62" s="6"/>
      <c r="Q62" s="6"/>
    </row>
    <row r="63" spans="1:17">
      <c r="A63" s="13">
        <f t="shared" si="10"/>
        <v>46171</v>
      </c>
      <c r="B63" s="338">
        <v>16833</v>
      </c>
      <c r="C63" s="325">
        <v>14314</v>
      </c>
      <c r="D63" s="14"/>
      <c r="E63" s="14"/>
      <c r="F63" s="20">
        <f t="shared" si="11"/>
        <v>0</v>
      </c>
      <c r="G63" s="2">
        <f t="shared" si="13"/>
        <v>0</v>
      </c>
      <c r="H63" s="2">
        <f t="shared" si="14"/>
        <v>0</v>
      </c>
      <c r="I63" s="42">
        <v>6.97</v>
      </c>
      <c r="J63" s="44" t="s">
        <v>175</v>
      </c>
      <c r="K63" s="20" t="e">
        <f t="shared" si="12"/>
        <v>#VALUE!</v>
      </c>
      <c r="L63" s="4" t="e">
        <f t="shared" si="7"/>
        <v>#VALUE!</v>
      </c>
      <c r="M63" s="103"/>
      <c r="N63" s="103"/>
      <c r="O63" s="34"/>
      <c r="P63" s="6"/>
      <c r="Q63" s="6"/>
    </row>
    <row r="64" spans="1:17">
      <c r="A64" s="13">
        <f t="shared" si="10"/>
        <v>46172</v>
      </c>
      <c r="B64" s="338">
        <v>16833</v>
      </c>
      <c r="C64" s="325">
        <v>14314</v>
      </c>
      <c r="D64" s="14"/>
      <c r="E64" s="14"/>
      <c r="F64" s="20">
        <f t="shared" si="11"/>
        <v>0</v>
      </c>
      <c r="G64" s="2">
        <f t="shared" si="13"/>
        <v>0</v>
      </c>
      <c r="H64" s="2">
        <f t="shared" si="14"/>
        <v>0</v>
      </c>
      <c r="I64" s="42">
        <v>6.97</v>
      </c>
      <c r="J64" s="44" t="s">
        <v>175</v>
      </c>
      <c r="K64" s="20" t="e">
        <f t="shared" si="12"/>
        <v>#VALUE!</v>
      </c>
      <c r="L64" s="4" t="e">
        <f t="shared" si="7"/>
        <v>#VALUE!</v>
      </c>
      <c r="M64" s="103"/>
      <c r="N64" s="103"/>
      <c r="O64" s="34"/>
      <c r="P64" s="6"/>
      <c r="Q64" s="6"/>
    </row>
    <row r="65" spans="1:17">
      <c r="A65" s="13">
        <f t="shared" si="10"/>
        <v>46173</v>
      </c>
      <c r="B65" s="338">
        <v>16833</v>
      </c>
      <c r="C65" s="325">
        <v>14314</v>
      </c>
      <c r="D65" s="14"/>
      <c r="E65" s="14"/>
      <c r="F65" s="20">
        <f t="shared" si="11"/>
        <v>0</v>
      </c>
      <c r="G65" s="2">
        <f t="shared" si="13"/>
        <v>0</v>
      </c>
      <c r="H65" s="2">
        <f t="shared" si="14"/>
        <v>0</v>
      </c>
      <c r="I65" s="42">
        <v>6.97</v>
      </c>
      <c r="J65" s="44" t="s">
        <v>175</v>
      </c>
      <c r="K65" s="20" t="e">
        <f t="shared" si="12"/>
        <v>#VALUE!</v>
      </c>
      <c r="L65" s="4" t="e">
        <f t="shared" si="7"/>
        <v>#VALUE!</v>
      </c>
      <c r="M65" s="103"/>
      <c r="N65" s="103"/>
      <c r="O65" s="34"/>
      <c r="P65" s="6"/>
      <c r="Q65" s="6"/>
    </row>
    <row r="66" spans="1:17">
      <c r="A66" s="349">
        <v>46143</v>
      </c>
      <c r="B66" s="89">
        <f>SUM(B35:B65)</f>
        <v>521823</v>
      </c>
      <c r="C66" s="89">
        <f>SUM(C35:C65)</f>
        <v>443734</v>
      </c>
      <c r="D66" s="89">
        <f>SUM(D35:D65)</f>
        <v>61804</v>
      </c>
      <c r="E66" s="89">
        <f>SUM(E35:E65)</f>
        <v>60720</v>
      </c>
      <c r="F66" s="160">
        <f>(IF(ISBLANK(E66),0,E66-C66))/C66</f>
        <v>-0.86316126327935205</v>
      </c>
      <c r="G66" s="90">
        <f>AVERAGE(G35:G65)</f>
        <v>2.7379661329307279E-2</v>
      </c>
      <c r="H66" s="90">
        <f>AVERAGE(H35:H65)</f>
        <v>3.7759042033235581E-2</v>
      </c>
      <c r="I66" s="89">
        <f>SUM(I35:I65)</f>
        <v>216.07</v>
      </c>
      <c r="J66" s="89">
        <f>SUM(J35:J65)</f>
        <v>26.42</v>
      </c>
      <c r="K66" s="160">
        <f>(IF(ISBLANK(J66),0,J66-I66))/I66</f>
        <v>-0.87772481140371172</v>
      </c>
      <c r="L66" s="161">
        <f t="shared" si="7"/>
        <v>0.77102452797140852</v>
      </c>
      <c r="M66" s="90">
        <f>AVERAGE(M35:M65)</f>
        <v>1</v>
      </c>
      <c r="N66" s="90">
        <f>AVERAGE(N35:N65)</f>
        <v>0.98215000000000008</v>
      </c>
      <c r="O66" s="89">
        <f>SUM(O35:O65)</f>
        <v>1744</v>
      </c>
      <c r="P66" s="89">
        <f>SUM(P35:P65)</f>
        <v>0</v>
      </c>
      <c r="Q66" s="19"/>
    </row>
  </sheetData>
  <mergeCells count="4">
    <mergeCell ref="A1:Q1"/>
    <mergeCell ref="B2:C2"/>
    <mergeCell ref="E2:G2"/>
    <mergeCell ref="I2:J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94E2-706B-4940-857A-65801382A24A}">
  <dimension ref="A1:Q66"/>
  <sheetViews>
    <sheetView topLeftCell="A20" workbookViewId="0">
      <selection activeCell="J30" sqref="J30:J33"/>
    </sheetView>
  </sheetViews>
  <sheetFormatPr defaultRowHeight="14.5"/>
  <cols>
    <col min="1" max="1" width="11.26953125" bestFit="1" customWidth="1"/>
    <col min="6" max="6" width="12.453125" bestFit="1" customWidth="1"/>
    <col min="13" max="14" width="9.54296875" bestFit="1" customWidth="1"/>
  </cols>
  <sheetData>
    <row r="1" spans="1:17" ht="18.5">
      <c r="A1" s="417" t="s">
        <v>585</v>
      </c>
      <c r="B1" s="418"/>
      <c r="C1" s="418"/>
      <c r="D1" s="418"/>
      <c r="E1" s="418"/>
      <c r="F1" s="418"/>
      <c r="G1" s="418"/>
      <c r="H1" s="418"/>
      <c r="I1" s="418"/>
      <c r="J1" s="418"/>
      <c r="K1" s="418"/>
      <c r="L1" s="418"/>
      <c r="M1" s="418"/>
      <c r="N1" s="418"/>
      <c r="O1" s="418"/>
      <c r="P1" s="418"/>
      <c r="Q1" s="418"/>
    </row>
    <row r="2" spans="1:17" ht="18.5">
      <c r="A2" s="69">
        <v>46138</v>
      </c>
      <c r="B2" s="415" t="s">
        <v>586</v>
      </c>
      <c r="C2" s="416"/>
      <c r="D2" s="70">
        <v>18000</v>
      </c>
      <c r="E2" s="415" t="s">
        <v>587</v>
      </c>
      <c r="F2" s="415"/>
      <c r="G2" s="416"/>
      <c r="H2" s="70">
        <v>14000</v>
      </c>
      <c r="I2" s="415" t="s">
        <v>588</v>
      </c>
      <c r="J2" s="416"/>
      <c r="K2" s="105" t="s">
        <v>589</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9">
        <v>75855</v>
      </c>
      <c r="C4" s="39">
        <v>71326</v>
      </c>
      <c r="D4" s="49">
        <v>91204.2</v>
      </c>
      <c r="E4" s="49">
        <v>89800</v>
      </c>
      <c r="F4" s="21">
        <f t="shared" ref="F4:F29" si="0">(IF(ISBLANK(D4),0,D4-C4))/C4</f>
        <v>0.2786950060286571</v>
      </c>
      <c r="G4" s="2">
        <f t="shared" ref="G4:G29" si="1">D4/($D$2*24)</f>
        <v>0.21112083333333331</v>
      </c>
      <c r="H4" s="2">
        <f t="shared" ref="H4:H29" si="2">D4/($H$2*24)</f>
        <v>0.27144107142857143</v>
      </c>
      <c r="I4" s="39">
        <v>6.48</v>
      </c>
      <c r="J4" s="49">
        <v>6.18</v>
      </c>
      <c r="K4" s="21">
        <f t="shared" ref="K4:K29" si="3">(IF(ISBLANK(J4),0,J4-I4))/I4</f>
        <v>-4.6296296296296405E-2</v>
      </c>
      <c r="L4" s="22">
        <f t="shared" ref="L4:L29" si="4">D4/($D$2*J4)</f>
        <v>0.81988673139158574</v>
      </c>
      <c r="M4" s="62">
        <v>1</v>
      </c>
      <c r="N4" s="62">
        <v>1</v>
      </c>
      <c r="O4" s="49">
        <v>0</v>
      </c>
      <c r="P4" s="49">
        <v>0</v>
      </c>
      <c r="Q4" s="49" t="s">
        <v>175</v>
      </c>
    </row>
    <row r="5" spans="1:17">
      <c r="A5" s="79">
        <v>46114</v>
      </c>
      <c r="B5" s="46">
        <v>75855</v>
      </c>
      <c r="C5" s="46">
        <v>71326</v>
      </c>
      <c r="D5" s="50">
        <v>86618.8</v>
      </c>
      <c r="E5" s="50">
        <v>85100</v>
      </c>
      <c r="F5" s="21">
        <f t="shared" si="0"/>
        <v>0.21440708857919977</v>
      </c>
      <c r="G5" s="2">
        <f t="shared" si="1"/>
        <v>0.20050648148148148</v>
      </c>
      <c r="H5" s="2">
        <f t="shared" si="2"/>
        <v>0.25779404761904762</v>
      </c>
      <c r="I5" s="46">
        <v>6.48</v>
      </c>
      <c r="J5" s="50">
        <v>5.9</v>
      </c>
      <c r="K5" s="21">
        <f t="shared" si="3"/>
        <v>-8.9506172839506182E-2</v>
      </c>
      <c r="L5" s="22">
        <f t="shared" si="4"/>
        <v>0.81561958568738235</v>
      </c>
      <c r="M5" s="62">
        <v>1</v>
      </c>
      <c r="N5" s="62">
        <v>1</v>
      </c>
      <c r="O5" s="50">
        <v>0</v>
      </c>
      <c r="P5" s="50">
        <v>0</v>
      </c>
      <c r="Q5" s="50" t="s">
        <v>175</v>
      </c>
    </row>
    <row r="6" spans="1:17">
      <c r="A6" s="79">
        <v>46115</v>
      </c>
      <c r="B6" s="46">
        <v>75855</v>
      </c>
      <c r="C6" s="46">
        <v>71326</v>
      </c>
      <c r="D6" s="50">
        <v>91554.2</v>
      </c>
      <c r="E6" s="50">
        <v>90100</v>
      </c>
      <c r="F6" s="21">
        <f t="shared" si="0"/>
        <v>0.28360205254745813</v>
      </c>
      <c r="G6" s="2">
        <f t="shared" si="1"/>
        <v>0.2119310185185185</v>
      </c>
      <c r="H6" s="2">
        <f t="shared" si="2"/>
        <v>0.2724827380952381</v>
      </c>
      <c r="I6" s="46">
        <v>6.48</v>
      </c>
      <c r="J6" s="50">
        <v>6.25</v>
      </c>
      <c r="K6" s="21">
        <f t="shared" si="3"/>
        <v>-3.5493827160493888E-2</v>
      </c>
      <c r="L6" s="22">
        <f t="shared" si="4"/>
        <v>0.81381511111111104</v>
      </c>
      <c r="M6" s="62">
        <v>1</v>
      </c>
      <c r="N6" s="62">
        <v>1</v>
      </c>
      <c r="O6" s="50">
        <v>0</v>
      </c>
      <c r="P6" s="50">
        <v>0</v>
      </c>
      <c r="Q6" s="50" t="s">
        <v>175</v>
      </c>
    </row>
    <row r="7" spans="1:17">
      <c r="A7" s="79">
        <v>46116</v>
      </c>
      <c r="B7" s="46">
        <v>75855</v>
      </c>
      <c r="C7" s="46">
        <v>71326</v>
      </c>
      <c r="D7" s="50">
        <v>83792.600000000006</v>
      </c>
      <c r="E7" s="50">
        <v>82500</v>
      </c>
      <c r="F7" s="21">
        <f t="shared" si="0"/>
        <v>0.17478338894652728</v>
      </c>
      <c r="G7" s="2">
        <f t="shared" si="1"/>
        <v>0.19396435185185187</v>
      </c>
      <c r="H7" s="2">
        <f t="shared" si="2"/>
        <v>0.24938273809523812</v>
      </c>
      <c r="I7" s="46">
        <v>6.48</v>
      </c>
      <c r="J7" s="50">
        <v>5.7</v>
      </c>
      <c r="K7" s="21">
        <f t="shared" si="3"/>
        <v>-0.12037037037037041</v>
      </c>
      <c r="L7" s="22">
        <f t="shared" si="4"/>
        <v>0.81669200779727102</v>
      </c>
      <c r="M7" s="62">
        <v>1</v>
      </c>
      <c r="N7" s="62">
        <v>1</v>
      </c>
      <c r="O7" s="50">
        <v>0</v>
      </c>
      <c r="P7" s="50">
        <v>0</v>
      </c>
      <c r="Q7" s="50" t="s">
        <v>175</v>
      </c>
    </row>
    <row r="8" spans="1:17">
      <c r="A8" s="79">
        <v>46117</v>
      </c>
      <c r="B8" s="46">
        <v>75855</v>
      </c>
      <c r="C8" s="46">
        <v>71326</v>
      </c>
      <c r="D8" s="50">
        <v>101609.5</v>
      </c>
      <c r="E8" s="50">
        <v>99800</v>
      </c>
      <c r="F8" s="21">
        <f t="shared" si="0"/>
        <v>0.42457869500602868</v>
      </c>
      <c r="G8" s="2">
        <f t="shared" si="1"/>
        <v>0.23520717592592594</v>
      </c>
      <c r="H8" s="2">
        <f t="shared" si="2"/>
        <v>0.30240922619047617</v>
      </c>
      <c r="I8" s="46">
        <v>6.48</v>
      </c>
      <c r="J8" s="50">
        <v>6.9</v>
      </c>
      <c r="K8" s="21">
        <f t="shared" si="3"/>
        <v>6.4814814814814797E-2</v>
      </c>
      <c r="L8" s="22">
        <f t="shared" si="4"/>
        <v>0.81811191626409019</v>
      </c>
      <c r="M8" s="62">
        <v>1</v>
      </c>
      <c r="N8" s="62">
        <v>1</v>
      </c>
      <c r="O8" s="50">
        <v>0</v>
      </c>
      <c r="P8" s="50">
        <v>0</v>
      </c>
      <c r="Q8" s="50" t="s">
        <v>175</v>
      </c>
    </row>
    <row r="9" spans="1:17">
      <c r="A9" s="79">
        <v>46118</v>
      </c>
      <c r="B9" s="46">
        <v>75855</v>
      </c>
      <c r="C9" s="46">
        <v>71326</v>
      </c>
      <c r="D9" s="50">
        <v>98791.5</v>
      </c>
      <c r="E9" s="50">
        <v>97100</v>
      </c>
      <c r="F9" s="21">
        <f t="shared" si="0"/>
        <v>0.38506996046322517</v>
      </c>
      <c r="G9" s="2">
        <f t="shared" si="1"/>
        <v>0.22868402777777777</v>
      </c>
      <c r="H9" s="2">
        <f t="shared" si="2"/>
        <v>0.29402232142857143</v>
      </c>
      <c r="I9" s="46">
        <v>6.48</v>
      </c>
      <c r="J9" s="50">
        <v>6.71</v>
      </c>
      <c r="K9" s="21">
        <f t="shared" si="3"/>
        <v>3.5493827160493756E-2</v>
      </c>
      <c r="L9" s="22">
        <f t="shared" si="4"/>
        <v>0.81794585196224545</v>
      </c>
      <c r="M9" s="62">
        <v>1</v>
      </c>
      <c r="N9" s="62">
        <v>1</v>
      </c>
      <c r="O9" s="50">
        <v>0</v>
      </c>
      <c r="P9" s="50">
        <v>0</v>
      </c>
      <c r="Q9" s="50" t="s">
        <v>175</v>
      </c>
    </row>
    <row r="10" spans="1:17">
      <c r="A10" s="79">
        <v>46119</v>
      </c>
      <c r="B10" s="46">
        <v>75855</v>
      </c>
      <c r="C10" s="46">
        <v>71326</v>
      </c>
      <c r="D10" s="50">
        <v>88850.6</v>
      </c>
      <c r="E10" s="50">
        <v>87400</v>
      </c>
      <c r="F10" s="21">
        <f t="shared" si="0"/>
        <v>0.24569722120965715</v>
      </c>
      <c r="G10" s="2">
        <f t="shared" si="1"/>
        <v>0.20567268518518519</v>
      </c>
      <c r="H10" s="2">
        <f t="shared" si="2"/>
        <v>0.26443630952380953</v>
      </c>
      <c r="I10" s="46">
        <v>6.48</v>
      </c>
      <c r="J10" s="50">
        <v>6.07</v>
      </c>
      <c r="K10" s="21">
        <f t="shared" si="3"/>
        <v>-6.3271604938271622E-2</v>
      </c>
      <c r="L10" s="22">
        <f t="shared" si="4"/>
        <v>0.81320336811275862</v>
      </c>
      <c r="M10" s="62">
        <v>1</v>
      </c>
      <c r="N10" s="62">
        <v>1</v>
      </c>
      <c r="O10" s="50">
        <v>0</v>
      </c>
      <c r="P10" s="50">
        <v>0</v>
      </c>
      <c r="Q10" s="50" t="s">
        <v>175</v>
      </c>
    </row>
    <row r="11" spans="1:17">
      <c r="A11" s="79">
        <v>46120</v>
      </c>
      <c r="B11" s="46">
        <v>75855</v>
      </c>
      <c r="C11" s="46">
        <v>71326</v>
      </c>
      <c r="D11" s="50">
        <v>82076.800000000003</v>
      </c>
      <c r="E11" s="50">
        <v>80700</v>
      </c>
      <c r="F11" s="21">
        <f t="shared" si="0"/>
        <v>0.15072764489807366</v>
      </c>
      <c r="G11" s="2">
        <f t="shared" si="1"/>
        <v>0.1899925925925926</v>
      </c>
      <c r="H11" s="2">
        <f t="shared" si="2"/>
        <v>0.24427619047619048</v>
      </c>
      <c r="I11" s="46">
        <v>6.48</v>
      </c>
      <c r="J11" s="50">
        <v>5.54</v>
      </c>
      <c r="K11" s="21">
        <f t="shared" si="3"/>
        <v>-0.14506172839506179</v>
      </c>
      <c r="L11" s="22">
        <f t="shared" si="4"/>
        <v>0.82307260328920984</v>
      </c>
      <c r="M11" s="62">
        <v>1</v>
      </c>
      <c r="N11" s="62">
        <v>1</v>
      </c>
      <c r="O11" s="50">
        <v>0</v>
      </c>
      <c r="P11" s="50">
        <v>0</v>
      </c>
      <c r="Q11" s="50" t="s">
        <v>175</v>
      </c>
    </row>
    <row r="12" spans="1:17">
      <c r="A12" s="79">
        <v>46121</v>
      </c>
      <c r="B12" s="46">
        <v>75855</v>
      </c>
      <c r="C12" s="46">
        <v>71326</v>
      </c>
      <c r="D12" s="50">
        <v>95235.8</v>
      </c>
      <c r="E12" s="50">
        <v>93700</v>
      </c>
      <c r="F12" s="21">
        <f t="shared" si="0"/>
        <v>0.33521857387208037</v>
      </c>
      <c r="G12" s="2">
        <f t="shared" si="1"/>
        <v>0.22045324074074074</v>
      </c>
      <c r="H12" s="2">
        <f t="shared" si="2"/>
        <v>0.28343988095238098</v>
      </c>
      <c r="I12" s="46">
        <v>6.48</v>
      </c>
      <c r="J12" s="50">
        <v>6.49</v>
      </c>
      <c r="K12" s="21">
        <f t="shared" si="3"/>
        <v>1.5432098765431768E-3</v>
      </c>
      <c r="L12" s="22">
        <f t="shared" si="4"/>
        <v>0.81523540489642188</v>
      </c>
      <c r="M12" s="62">
        <v>1</v>
      </c>
      <c r="N12" s="62">
        <v>1</v>
      </c>
      <c r="O12" s="50">
        <v>0</v>
      </c>
      <c r="P12" s="50">
        <v>0</v>
      </c>
      <c r="Q12" s="50" t="s">
        <v>175</v>
      </c>
    </row>
    <row r="13" spans="1:17">
      <c r="A13" s="79">
        <v>46122</v>
      </c>
      <c r="B13" s="46">
        <v>75855</v>
      </c>
      <c r="C13" s="46">
        <v>71326</v>
      </c>
      <c r="D13" s="50">
        <v>106733.1</v>
      </c>
      <c r="E13" s="50">
        <v>104600</v>
      </c>
      <c r="F13" s="21">
        <f t="shared" si="0"/>
        <v>0.49641224798811101</v>
      </c>
      <c r="G13" s="2">
        <f t="shared" si="1"/>
        <v>0.24706736111111113</v>
      </c>
      <c r="H13" s="2">
        <f t="shared" si="2"/>
        <v>0.31765803571428575</v>
      </c>
      <c r="I13" s="46">
        <v>6.48</v>
      </c>
      <c r="J13" s="50">
        <v>7.24</v>
      </c>
      <c r="K13" s="21">
        <f t="shared" si="3"/>
        <v>0.11728395061728392</v>
      </c>
      <c r="L13" s="22">
        <f t="shared" si="4"/>
        <v>0.81900782688766116</v>
      </c>
      <c r="M13" s="62">
        <v>1</v>
      </c>
      <c r="N13" s="62">
        <v>1</v>
      </c>
      <c r="O13" s="50">
        <v>0</v>
      </c>
      <c r="P13" s="50">
        <v>0</v>
      </c>
      <c r="Q13" s="50" t="s">
        <v>175</v>
      </c>
    </row>
    <row r="14" spans="1:17">
      <c r="A14" s="79">
        <v>46123</v>
      </c>
      <c r="B14" s="46">
        <v>75855</v>
      </c>
      <c r="C14" s="46">
        <v>71326</v>
      </c>
      <c r="D14" s="50">
        <v>100986.2</v>
      </c>
      <c r="E14" s="50">
        <v>99300</v>
      </c>
      <c r="F14" s="21">
        <f t="shared" si="0"/>
        <v>0.4158399461626896</v>
      </c>
      <c r="G14" s="2">
        <f t="shared" si="1"/>
        <v>0.23376435185185185</v>
      </c>
      <c r="H14" s="2">
        <f t="shared" si="2"/>
        <v>0.30055416666666668</v>
      </c>
      <c r="I14" s="46">
        <v>6.48</v>
      </c>
      <c r="J14" s="50">
        <v>6.89</v>
      </c>
      <c r="K14" s="21">
        <f t="shared" si="3"/>
        <v>6.3271604938271483E-2</v>
      </c>
      <c r="L14" s="22">
        <f t="shared" si="4"/>
        <v>0.8142735042735042</v>
      </c>
      <c r="M14" s="62">
        <v>1</v>
      </c>
      <c r="N14" s="62">
        <v>1</v>
      </c>
      <c r="O14" s="50">
        <v>0</v>
      </c>
      <c r="P14" s="50">
        <v>0</v>
      </c>
      <c r="Q14" s="50" t="s">
        <v>175</v>
      </c>
    </row>
    <row r="15" spans="1:17">
      <c r="A15" s="79">
        <v>46124</v>
      </c>
      <c r="B15" s="46">
        <v>75855</v>
      </c>
      <c r="C15" s="46">
        <v>71326</v>
      </c>
      <c r="D15" s="50">
        <v>98772.5</v>
      </c>
      <c r="E15" s="50">
        <v>97300</v>
      </c>
      <c r="F15" s="21">
        <f t="shared" si="0"/>
        <v>0.38480357793791886</v>
      </c>
      <c r="G15" s="2">
        <f t="shared" si="1"/>
        <v>0.22864004629629631</v>
      </c>
      <c r="H15" s="2">
        <f t="shared" si="2"/>
        <v>0.29396577380952382</v>
      </c>
      <c r="I15" s="46">
        <v>6.48</v>
      </c>
      <c r="J15" s="50">
        <v>6.75</v>
      </c>
      <c r="K15" s="21">
        <f t="shared" si="3"/>
        <v>4.1666666666666595E-2</v>
      </c>
      <c r="L15" s="22">
        <f t="shared" si="4"/>
        <v>0.81294238683127573</v>
      </c>
      <c r="M15" s="62">
        <v>1</v>
      </c>
      <c r="N15" s="62">
        <v>1</v>
      </c>
      <c r="O15" s="50">
        <v>0</v>
      </c>
      <c r="P15" s="50">
        <v>0</v>
      </c>
      <c r="Q15" s="50" t="s">
        <v>175</v>
      </c>
    </row>
    <row r="16" spans="1:17">
      <c r="A16" s="79">
        <v>46125</v>
      </c>
      <c r="B16" s="46">
        <v>75855</v>
      </c>
      <c r="C16" s="46">
        <v>71326</v>
      </c>
      <c r="D16" s="50">
        <v>99670.1</v>
      </c>
      <c r="E16" s="50">
        <v>98000</v>
      </c>
      <c r="F16" s="21">
        <f t="shared" si="0"/>
        <v>0.39738804923870685</v>
      </c>
      <c r="G16" s="2">
        <f t="shared" si="1"/>
        <v>0.2307178240740741</v>
      </c>
      <c r="H16" s="2">
        <f t="shared" si="2"/>
        <v>0.29663720238095242</v>
      </c>
      <c r="I16" s="46">
        <v>6.48</v>
      </c>
      <c r="J16" s="50">
        <v>6.75</v>
      </c>
      <c r="K16" s="21">
        <f t="shared" si="3"/>
        <v>4.1666666666666595E-2</v>
      </c>
      <c r="L16" s="22">
        <f t="shared" si="4"/>
        <v>0.82033004115226338</v>
      </c>
      <c r="M16" s="62">
        <v>1</v>
      </c>
      <c r="N16" s="62">
        <v>1</v>
      </c>
      <c r="O16" s="50">
        <v>0</v>
      </c>
      <c r="P16" s="50">
        <v>0</v>
      </c>
      <c r="Q16" s="50" t="s">
        <v>175</v>
      </c>
    </row>
    <row r="17" spans="1:17">
      <c r="A17" s="79">
        <v>46126</v>
      </c>
      <c r="B17" s="46">
        <v>75855</v>
      </c>
      <c r="C17" s="46">
        <v>71326</v>
      </c>
      <c r="D17" s="50">
        <v>94858.5</v>
      </c>
      <c r="E17" s="50">
        <v>93300</v>
      </c>
      <c r="F17" s="21">
        <f t="shared" si="0"/>
        <v>0.32992877772481283</v>
      </c>
      <c r="G17" s="2">
        <f t="shared" si="1"/>
        <v>0.21957986111111111</v>
      </c>
      <c r="H17" s="2">
        <f t="shared" si="2"/>
        <v>0.28231696428571429</v>
      </c>
      <c r="I17" s="46">
        <v>6.48</v>
      </c>
      <c r="J17" s="50">
        <v>6.44</v>
      </c>
      <c r="K17" s="21">
        <f t="shared" si="3"/>
        <v>-6.1728395061728444E-3</v>
      </c>
      <c r="L17" s="22">
        <f t="shared" si="4"/>
        <v>0.81831004140786745</v>
      </c>
      <c r="M17" s="62">
        <v>1</v>
      </c>
      <c r="N17" s="62">
        <v>1</v>
      </c>
      <c r="O17" s="50">
        <v>0</v>
      </c>
      <c r="P17" s="50">
        <v>0</v>
      </c>
      <c r="Q17" s="50" t="s">
        <v>175</v>
      </c>
    </row>
    <row r="18" spans="1:17">
      <c r="A18" s="79">
        <v>46127</v>
      </c>
      <c r="B18" s="46">
        <v>75855</v>
      </c>
      <c r="C18" s="46">
        <v>71326</v>
      </c>
      <c r="D18" s="50">
        <v>97521.7</v>
      </c>
      <c r="E18" s="50">
        <v>95900</v>
      </c>
      <c r="F18" s="21">
        <f t="shared" si="0"/>
        <v>0.36726719569301514</v>
      </c>
      <c r="G18" s="2">
        <f t="shared" si="1"/>
        <v>0.22574467592592593</v>
      </c>
      <c r="H18" s="2">
        <f t="shared" si="2"/>
        <v>0.29024315476190476</v>
      </c>
      <c r="I18" s="46">
        <v>6.48</v>
      </c>
      <c r="J18" s="50">
        <v>6.63</v>
      </c>
      <c r="K18" s="21">
        <f t="shared" si="3"/>
        <v>2.3148148148148064E-2</v>
      </c>
      <c r="L18" s="22">
        <f t="shared" si="4"/>
        <v>0.81717529746941509</v>
      </c>
      <c r="M18" s="62">
        <v>1</v>
      </c>
      <c r="N18" s="62">
        <v>1</v>
      </c>
      <c r="O18" s="50">
        <v>0</v>
      </c>
      <c r="P18" s="50">
        <v>0</v>
      </c>
      <c r="Q18" s="50" t="s">
        <v>175</v>
      </c>
    </row>
    <row r="19" spans="1:17">
      <c r="A19" s="79">
        <v>46128</v>
      </c>
      <c r="B19" s="46">
        <v>75855</v>
      </c>
      <c r="C19" s="46">
        <v>71326</v>
      </c>
      <c r="D19" s="50">
        <v>93267.3</v>
      </c>
      <c r="E19" s="50">
        <v>91800</v>
      </c>
      <c r="F19" s="21">
        <f t="shared" si="0"/>
        <v>0.30761994223705247</v>
      </c>
      <c r="G19" s="2">
        <f t="shared" si="1"/>
        <v>0.21589652777777779</v>
      </c>
      <c r="H19" s="2">
        <f t="shared" si="2"/>
        <v>0.27758125</v>
      </c>
      <c r="I19" s="46">
        <v>6.48</v>
      </c>
      <c r="J19" s="50">
        <v>6.37</v>
      </c>
      <c r="K19" s="21">
        <f t="shared" si="3"/>
        <v>-1.6975308641975356E-2</v>
      </c>
      <c r="L19" s="22">
        <f t="shared" si="4"/>
        <v>0.81342490842490844</v>
      </c>
      <c r="M19" s="62">
        <v>1</v>
      </c>
      <c r="N19" s="62">
        <v>1</v>
      </c>
      <c r="O19" s="50">
        <v>0</v>
      </c>
      <c r="P19" s="50">
        <v>0</v>
      </c>
      <c r="Q19" s="50" t="s">
        <v>175</v>
      </c>
    </row>
    <row r="20" spans="1:17">
      <c r="A20" s="79">
        <v>46129</v>
      </c>
      <c r="B20" s="46">
        <v>75855</v>
      </c>
      <c r="C20" s="46">
        <v>71326</v>
      </c>
      <c r="D20" s="50">
        <v>82696</v>
      </c>
      <c r="E20" s="50">
        <v>81500</v>
      </c>
      <c r="F20" s="21">
        <f t="shared" si="0"/>
        <v>0.15940891119647815</v>
      </c>
      <c r="G20" s="2">
        <f t="shared" si="1"/>
        <v>0.19142592592592592</v>
      </c>
      <c r="H20" s="2">
        <f t="shared" si="2"/>
        <v>0.24611904761904763</v>
      </c>
      <c r="I20" s="46">
        <v>6.48</v>
      </c>
      <c r="J20" s="50">
        <v>5.61</v>
      </c>
      <c r="K20" s="21">
        <f t="shared" si="3"/>
        <v>-0.13425925925925927</v>
      </c>
      <c r="L20" s="22">
        <f t="shared" si="4"/>
        <v>0.81893444246385427</v>
      </c>
      <c r="M20" s="62">
        <v>1</v>
      </c>
      <c r="N20" s="62">
        <v>1</v>
      </c>
      <c r="O20" s="50">
        <v>0</v>
      </c>
      <c r="P20" s="50">
        <v>0</v>
      </c>
      <c r="Q20" s="50" t="s">
        <v>175</v>
      </c>
    </row>
    <row r="21" spans="1:17">
      <c r="A21" s="79">
        <v>46130</v>
      </c>
      <c r="B21" s="46">
        <v>75855</v>
      </c>
      <c r="C21" s="46">
        <v>71326</v>
      </c>
      <c r="D21" s="50">
        <v>90615.1</v>
      </c>
      <c r="E21" s="50">
        <v>89200</v>
      </c>
      <c r="F21" s="21">
        <f t="shared" si="0"/>
        <v>0.27043574573086959</v>
      </c>
      <c r="G21" s="2">
        <f t="shared" si="1"/>
        <v>0.20975717592592594</v>
      </c>
      <c r="H21" s="2">
        <f t="shared" si="2"/>
        <v>0.26968779761904765</v>
      </c>
      <c r="I21" s="46">
        <v>6.48</v>
      </c>
      <c r="J21" s="50">
        <v>6.18</v>
      </c>
      <c r="K21" s="21">
        <f t="shared" si="3"/>
        <v>-4.6296296296296405E-2</v>
      </c>
      <c r="L21" s="22">
        <f t="shared" si="4"/>
        <v>0.81459097446961526</v>
      </c>
      <c r="M21" s="62">
        <v>1</v>
      </c>
      <c r="N21" s="62">
        <v>1</v>
      </c>
      <c r="O21" s="50">
        <v>0</v>
      </c>
      <c r="P21" s="50">
        <v>0</v>
      </c>
      <c r="Q21" s="50" t="s">
        <v>175</v>
      </c>
    </row>
    <row r="22" spans="1:17">
      <c r="A22" s="79">
        <v>46131</v>
      </c>
      <c r="B22" s="46">
        <v>75855</v>
      </c>
      <c r="C22" s="46">
        <v>71326</v>
      </c>
      <c r="D22" s="50">
        <v>82652</v>
      </c>
      <c r="E22" s="50">
        <v>81400</v>
      </c>
      <c r="F22" s="21">
        <f t="shared" si="0"/>
        <v>0.15879202534840031</v>
      </c>
      <c r="G22" s="2">
        <f t="shared" si="1"/>
        <v>0.19132407407407406</v>
      </c>
      <c r="H22" s="2">
        <f t="shared" si="2"/>
        <v>0.24598809523809523</v>
      </c>
      <c r="I22" s="46">
        <v>6.48</v>
      </c>
      <c r="J22" s="50">
        <v>5.59</v>
      </c>
      <c r="K22" s="21">
        <f t="shared" si="3"/>
        <v>-0.13734567901234576</v>
      </c>
      <c r="L22" s="22">
        <f t="shared" si="4"/>
        <v>0.82142715165970981</v>
      </c>
      <c r="M22" s="62">
        <v>1</v>
      </c>
      <c r="N22" s="62">
        <v>1</v>
      </c>
      <c r="O22" s="50">
        <v>0</v>
      </c>
      <c r="P22" s="50">
        <v>0</v>
      </c>
      <c r="Q22" s="50" t="s">
        <v>175</v>
      </c>
    </row>
    <row r="23" spans="1:17">
      <c r="A23" s="79">
        <v>46132</v>
      </c>
      <c r="B23" s="46">
        <v>75855</v>
      </c>
      <c r="C23" s="46">
        <v>71326</v>
      </c>
      <c r="D23" s="50">
        <v>80880.899999999994</v>
      </c>
      <c r="E23" s="50">
        <v>79700</v>
      </c>
      <c r="F23" s="21">
        <f t="shared" si="0"/>
        <v>0.13396096794997608</v>
      </c>
      <c r="G23" s="2">
        <f t="shared" si="1"/>
        <v>0.18722430555555555</v>
      </c>
      <c r="H23" s="2">
        <f t="shared" si="2"/>
        <v>0.24071696428571426</v>
      </c>
      <c r="I23" s="46">
        <v>6.48</v>
      </c>
      <c r="J23" s="50">
        <v>5.53</v>
      </c>
      <c r="K23" s="21">
        <f t="shared" si="3"/>
        <v>-0.14660493827160495</v>
      </c>
      <c r="L23" s="22">
        <f t="shared" si="4"/>
        <v>0.81254671488848695</v>
      </c>
      <c r="M23" s="62">
        <v>1</v>
      </c>
      <c r="N23" s="62">
        <v>1</v>
      </c>
      <c r="O23" s="50">
        <v>0</v>
      </c>
      <c r="P23" s="50">
        <v>0</v>
      </c>
      <c r="Q23" s="50" t="s">
        <v>175</v>
      </c>
    </row>
    <row r="24" spans="1:17">
      <c r="A24" s="79">
        <v>46133</v>
      </c>
      <c r="B24" s="46">
        <v>75855</v>
      </c>
      <c r="C24" s="46">
        <v>71326</v>
      </c>
      <c r="D24" s="50">
        <v>93730.2</v>
      </c>
      <c r="E24" s="50">
        <v>92300</v>
      </c>
      <c r="F24" s="21">
        <f t="shared" si="0"/>
        <v>0.31410986176148947</v>
      </c>
      <c r="G24" s="2">
        <f t="shared" si="1"/>
        <v>0.21696805555555554</v>
      </c>
      <c r="H24" s="2">
        <f t="shared" si="2"/>
        <v>0.27895892857142857</v>
      </c>
      <c r="I24" s="46">
        <v>6.48</v>
      </c>
      <c r="J24" s="50">
        <v>6.4050000000000002</v>
      </c>
      <c r="K24" s="21">
        <f t="shared" si="3"/>
        <v>-1.1574074074074101E-2</v>
      </c>
      <c r="L24" s="22">
        <f t="shared" si="4"/>
        <v>0.81299505594587562</v>
      </c>
      <c r="M24" s="62">
        <v>1</v>
      </c>
      <c r="N24" s="62">
        <v>1</v>
      </c>
      <c r="O24" s="50">
        <v>0</v>
      </c>
      <c r="P24" s="50">
        <v>0</v>
      </c>
      <c r="Q24" s="50" t="s">
        <v>175</v>
      </c>
    </row>
    <row r="25" spans="1:17">
      <c r="A25" s="79">
        <v>46134</v>
      </c>
      <c r="B25" s="46">
        <v>75855</v>
      </c>
      <c r="C25" s="46">
        <v>71326</v>
      </c>
      <c r="D25" s="50">
        <v>102095.7</v>
      </c>
      <c r="E25" s="50">
        <v>100400</v>
      </c>
      <c r="F25" s="21">
        <f t="shared" si="0"/>
        <v>0.43139528362728874</v>
      </c>
      <c r="G25" s="2">
        <f t="shared" si="1"/>
        <v>0.23633263888888889</v>
      </c>
      <c r="H25" s="2">
        <f t="shared" si="2"/>
        <v>0.30385624999999999</v>
      </c>
      <c r="I25" s="46">
        <v>6.48</v>
      </c>
      <c r="J25" s="50">
        <v>7.28</v>
      </c>
      <c r="K25" s="21">
        <f t="shared" si="3"/>
        <v>0.12345679012345676</v>
      </c>
      <c r="L25" s="22">
        <f t="shared" si="4"/>
        <v>0.77911858974358972</v>
      </c>
      <c r="M25" s="62">
        <v>1</v>
      </c>
      <c r="N25" s="62">
        <v>1</v>
      </c>
      <c r="O25" s="50">
        <v>0</v>
      </c>
      <c r="P25" s="50">
        <v>0</v>
      </c>
      <c r="Q25" s="50" t="s">
        <v>175</v>
      </c>
    </row>
    <row r="26" spans="1:17">
      <c r="A26" s="79">
        <v>46135</v>
      </c>
      <c r="B26" s="46">
        <v>75855</v>
      </c>
      <c r="C26" s="46">
        <v>71326</v>
      </c>
      <c r="D26" s="50">
        <v>95790.8</v>
      </c>
      <c r="E26" s="50">
        <v>94200</v>
      </c>
      <c r="F26" s="21">
        <f t="shared" si="0"/>
        <v>0.34299974763760765</v>
      </c>
      <c r="G26" s="2">
        <f t="shared" si="1"/>
        <v>0.22173796296296297</v>
      </c>
      <c r="H26" s="2">
        <f t="shared" si="2"/>
        <v>0.28509166666666669</v>
      </c>
      <c r="I26" s="46">
        <v>6.48</v>
      </c>
      <c r="J26" s="50">
        <v>6.89</v>
      </c>
      <c r="K26" s="21">
        <f t="shared" si="3"/>
        <v>6.3271604938271483E-2</v>
      </c>
      <c r="L26" s="22">
        <f t="shared" si="4"/>
        <v>0.77238187389130786</v>
      </c>
      <c r="M26" s="62">
        <v>1</v>
      </c>
      <c r="N26" s="62">
        <v>1</v>
      </c>
      <c r="O26" s="50">
        <v>0</v>
      </c>
      <c r="P26" s="50">
        <v>0</v>
      </c>
      <c r="Q26" s="50" t="s">
        <v>175</v>
      </c>
    </row>
    <row r="27" spans="1:17">
      <c r="A27" s="79">
        <v>46136</v>
      </c>
      <c r="B27" s="46">
        <v>75855</v>
      </c>
      <c r="C27" s="46">
        <v>71326</v>
      </c>
      <c r="D27" s="50">
        <v>97803.9</v>
      </c>
      <c r="E27" s="50">
        <v>96200</v>
      </c>
      <c r="F27" s="21">
        <f t="shared" si="0"/>
        <v>0.37122367720045979</v>
      </c>
      <c r="G27" s="2">
        <f t="shared" si="1"/>
        <v>0.22639791666666664</v>
      </c>
      <c r="H27" s="2">
        <f t="shared" si="2"/>
        <v>0.29108303571428568</v>
      </c>
      <c r="I27" s="46">
        <v>6.48</v>
      </c>
      <c r="J27" s="50">
        <v>6.82</v>
      </c>
      <c r="K27" s="21">
        <f t="shared" si="3"/>
        <v>5.2469135802469112E-2</v>
      </c>
      <c r="L27" s="22">
        <f t="shared" si="4"/>
        <v>0.79670821114369494</v>
      </c>
      <c r="M27" s="62">
        <v>1</v>
      </c>
      <c r="N27" s="62">
        <v>1</v>
      </c>
      <c r="O27" s="50">
        <v>0</v>
      </c>
      <c r="P27" s="50">
        <v>0</v>
      </c>
      <c r="Q27" s="50" t="s">
        <v>175</v>
      </c>
    </row>
    <row r="28" spans="1:17">
      <c r="A28" s="79">
        <v>46137</v>
      </c>
      <c r="B28" s="46">
        <v>75855</v>
      </c>
      <c r="C28" s="46">
        <v>71326</v>
      </c>
      <c r="D28" s="50">
        <v>79686.2</v>
      </c>
      <c r="E28" s="50">
        <v>78500</v>
      </c>
      <c r="F28" s="21">
        <f t="shared" si="0"/>
        <v>0.11721111516137168</v>
      </c>
      <c r="G28" s="2">
        <f t="shared" si="1"/>
        <v>0.1844587962962963</v>
      </c>
      <c r="H28" s="2">
        <f t="shared" si="2"/>
        <v>0.23716130952380951</v>
      </c>
      <c r="I28" s="46">
        <v>6.48</v>
      </c>
      <c r="J28" s="50">
        <v>5.5250000000000004</v>
      </c>
      <c r="K28" s="21">
        <f t="shared" si="3"/>
        <v>-0.14737654320987653</v>
      </c>
      <c r="L28" s="22">
        <f t="shared" si="4"/>
        <v>0.80126897938662645</v>
      </c>
      <c r="M28" s="62">
        <v>1</v>
      </c>
      <c r="N28" s="62">
        <v>1</v>
      </c>
      <c r="O28" s="50">
        <v>0</v>
      </c>
      <c r="P28" s="50">
        <v>0</v>
      </c>
      <c r="Q28" s="50" t="s">
        <v>175</v>
      </c>
    </row>
    <row r="29" spans="1:17">
      <c r="A29" s="79">
        <v>46138</v>
      </c>
      <c r="B29" s="46">
        <v>75855</v>
      </c>
      <c r="C29" s="46">
        <v>71326</v>
      </c>
      <c r="D29" s="50">
        <v>73402.899999999994</v>
      </c>
      <c r="E29" s="50">
        <v>72300</v>
      </c>
      <c r="F29" s="21">
        <f t="shared" si="0"/>
        <v>2.911841404256504E-2</v>
      </c>
      <c r="G29" s="2">
        <f t="shared" si="1"/>
        <v>0.16991412037037035</v>
      </c>
      <c r="H29" s="2">
        <f t="shared" si="2"/>
        <v>0.21846101190476189</v>
      </c>
      <c r="I29" s="46">
        <v>6.48</v>
      </c>
      <c r="J29" s="50">
        <v>5.125</v>
      </c>
      <c r="K29" s="21">
        <f t="shared" si="3"/>
        <v>-0.20910493827160498</v>
      </c>
      <c r="L29" s="22">
        <f t="shared" si="4"/>
        <v>0.79569539295392944</v>
      </c>
      <c r="M29" s="62">
        <v>1</v>
      </c>
      <c r="N29" s="62">
        <v>1</v>
      </c>
      <c r="O29" s="50">
        <v>0</v>
      </c>
      <c r="P29" s="50">
        <v>0</v>
      </c>
      <c r="Q29" s="50" t="s">
        <v>175</v>
      </c>
    </row>
    <row r="30" spans="1:17">
      <c r="A30" s="79">
        <v>46139</v>
      </c>
      <c r="B30" s="46">
        <v>75855</v>
      </c>
      <c r="C30" s="46">
        <v>71326</v>
      </c>
      <c r="D30" s="50">
        <v>88429.7</v>
      </c>
      <c r="E30" s="50">
        <v>87000</v>
      </c>
      <c r="F30" s="21">
        <f>(IF(ISBLANK(D30),0,D30-C30))/C30</f>
        <v>0.23979614726747606</v>
      </c>
      <c r="G30" s="2">
        <f>D30/($D$2*24)</f>
        <v>0.20469837962962961</v>
      </c>
      <c r="H30" s="2">
        <f>D30/($H$2*24)</f>
        <v>0.26318363095238095</v>
      </c>
      <c r="I30" s="46">
        <v>6.48</v>
      </c>
      <c r="J30" s="50">
        <v>6.0149999999999997</v>
      </c>
      <c r="K30" s="21">
        <f t="shared" ref="K30:K35" si="5">(IF(ISBLANK(J30),0,J30-I30))/I30</f>
        <v>-7.175925925925937E-2</v>
      </c>
      <c r="L30" s="22">
        <f>D30/($D$2*J30)</f>
        <v>0.81675163941996853</v>
      </c>
      <c r="M30" s="66">
        <v>1</v>
      </c>
      <c r="N30" s="66">
        <v>1</v>
      </c>
      <c r="O30" s="50">
        <v>0</v>
      </c>
      <c r="P30" s="50">
        <v>0</v>
      </c>
      <c r="Q30" s="50" t="s">
        <v>175</v>
      </c>
    </row>
    <row r="31" spans="1:17">
      <c r="A31" s="79">
        <v>46140</v>
      </c>
      <c r="B31" s="46">
        <v>75855</v>
      </c>
      <c r="C31" s="46">
        <v>71326</v>
      </c>
      <c r="D31" s="50">
        <v>95877.5</v>
      </c>
      <c r="E31" s="50">
        <v>94500</v>
      </c>
      <c r="F31" s="21">
        <f>(IF(ISBLANK(D31),0,D31-C31))/C31</f>
        <v>0.34421529316097915</v>
      </c>
      <c r="G31" s="2">
        <f>D31/($D$2*24)</f>
        <v>0.2219386574074074</v>
      </c>
      <c r="H31" s="2">
        <f>D31/($H$2*24)</f>
        <v>0.28534970238095236</v>
      </c>
      <c r="I31" s="46">
        <v>6.48</v>
      </c>
      <c r="J31" s="50">
        <v>6.5549999999999997</v>
      </c>
      <c r="K31" s="21">
        <f t="shared" si="5"/>
        <v>1.1574074074073964E-2</v>
      </c>
      <c r="L31" s="22">
        <f>D31/($D$2*J31)</f>
        <v>0.81259005000423767</v>
      </c>
      <c r="M31" s="66">
        <v>1</v>
      </c>
      <c r="N31" s="66">
        <v>1</v>
      </c>
      <c r="O31" s="50">
        <v>0</v>
      </c>
      <c r="P31" s="50">
        <v>0</v>
      </c>
      <c r="Q31" s="50" t="s">
        <v>175</v>
      </c>
    </row>
    <row r="32" spans="1:17">
      <c r="A32" s="79">
        <v>46141</v>
      </c>
      <c r="B32" s="46">
        <v>75855</v>
      </c>
      <c r="C32" s="46">
        <v>71326</v>
      </c>
      <c r="D32" s="50">
        <v>96942.1</v>
      </c>
      <c r="E32" s="50">
        <v>95300</v>
      </c>
      <c r="F32" s="21">
        <f>(IF(ISBLANK(D32),0,D32-C32))/C32</f>
        <v>0.35914112665788078</v>
      </c>
      <c r="G32" s="2">
        <f>D32/($D$2*24)</f>
        <v>0.22440300925925927</v>
      </c>
      <c r="H32" s="2">
        <f>D32/($H$2*24)</f>
        <v>0.28851815476190479</v>
      </c>
      <c r="I32" s="46">
        <v>6.48</v>
      </c>
      <c r="J32" s="50">
        <v>6.5650000000000004</v>
      </c>
      <c r="K32" s="21">
        <f t="shared" si="5"/>
        <v>1.3117283950617278E-2</v>
      </c>
      <c r="L32" s="22">
        <f>D32/($D$2*J32)</f>
        <v>0.82036134382669046</v>
      </c>
      <c r="M32" s="66">
        <v>1</v>
      </c>
      <c r="N32" s="66">
        <v>1</v>
      </c>
      <c r="O32" s="50">
        <v>0</v>
      </c>
      <c r="P32" s="50">
        <v>0</v>
      </c>
      <c r="Q32" s="50" t="s">
        <v>175</v>
      </c>
    </row>
    <row r="33" spans="1:17">
      <c r="A33" s="79">
        <v>46142</v>
      </c>
      <c r="B33" s="46">
        <v>75855</v>
      </c>
      <c r="C33" s="46">
        <v>71326</v>
      </c>
      <c r="D33" s="50">
        <v>88155.9</v>
      </c>
      <c r="E33" s="50">
        <v>86700</v>
      </c>
      <c r="F33" s="21">
        <f>(IF(ISBLANK(D33),0,D33-C33))/C33</f>
        <v>0.23595743487648255</v>
      </c>
      <c r="G33" s="2">
        <f>D33/($D$2*24)</f>
        <v>0.20406458333333333</v>
      </c>
      <c r="H33" s="2">
        <f>D33/($H$2*24)</f>
        <v>0.26236874999999998</v>
      </c>
      <c r="I33" s="46">
        <v>6.48</v>
      </c>
      <c r="J33" s="50">
        <v>6.5549999999999997</v>
      </c>
      <c r="K33" s="21">
        <f t="shared" si="5"/>
        <v>1.1574074074073964E-2</v>
      </c>
      <c r="L33" s="22">
        <f>D33/($D$2*J33)</f>
        <v>0.74714721586575128</v>
      </c>
      <c r="M33" s="66">
        <v>1</v>
      </c>
      <c r="N33" s="66">
        <v>1</v>
      </c>
      <c r="O33" s="50">
        <v>0</v>
      </c>
      <c r="P33" s="50">
        <v>0</v>
      </c>
      <c r="Q33" s="50" t="s">
        <v>175</v>
      </c>
    </row>
    <row r="34" spans="1:17">
      <c r="A34" s="349">
        <v>46113</v>
      </c>
      <c r="B34" s="84">
        <f>SUM(B4:B33)</f>
        <v>2275650</v>
      </c>
      <c r="C34" s="84">
        <f>SUM(C4:C33)</f>
        <v>2139780</v>
      </c>
      <c r="D34" s="84">
        <f>SUM(D4:D33)</f>
        <v>2760302.3000000003</v>
      </c>
      <c r="E34" s="84">
        <f>SUM(E4:E33)</f>
        <v>2715600</v>
      </c>
      <c r="F34" s="160">
        <f>(IF(ISBLANK(D34),0,D34-C34))/C34</f>
        <v>0.28999350400508478</v>
      </c>
      <c r="G34" s="167">
        <f>AVERAGE(G4:G33)</f>
        <v>0.2129862885802469</v>
      </c>
      <c r="H34" s="167">
        <f>AVERAGE(H4:H33)</f>
        <v>0.27383951388888883</v>
      </c>
      <c r="I34" s="84">
        <f>SUM(I4:I33)</f>
        <v>194.39999999999995</v>
      </c>
      <c r="J34" s="84">
        <f>SUM(J4:J33)</f>
        <v>189.45499999999998</v>
      </c>
      <c r="K34" s="160">
        <f t="shared" si="5"/>
        <v>-2.5437242798353736E-2</v>
      </c>
      <c r="L34" s="167">
        <f>AVERAGE(L4:L33)</f>
        <v>0.80971880742074387</v>
      </c>
      <c r="M34" s="167">
        <f>AVERAGE(M4:M33)</f>
        <v>1</v>
      </c>
      <c r="N34" s="167">
        <f>AVERAGE(N4:N33)</f>
        <v>1</v>
      </c>
      <c r="O34" s="84">
        <f>SUM(O4:O33)</f>
        <v>0</v>
      </c>
      <c r="P34" s="84">
        <f>SUM(P4:P33)</f>
        <v>0</v>
      </c>
      <c r="Q34" s="84" t="s">
        <v>175</v>
      </c>
    </row>
    <row r="35" spans="1:17">
      <c r="A35" s="13">
        <v>46143</v>
      </c>
      <c r="B35" s="127">
        <v>81988.58</v>
      </c>
      <c r="C35" s="127">
        <v>77060.899999999994</v>
      </c>
      <c r="D35" s="33">
        <v>93170.7</v>
      </c>
      <c r="E35" s="33">
        <v>91700</v>
      </c>
      <c r="F35" s="20">
        <f>(IF(ISBLANK(E35),0,E35-C35))/C35</f>
        <v>0.18996793445184273</v>
      </c>
      <c r="G35" s="2">
        <f t="shared" ref="G35:G57" si="6">D35/($D$2*24)</f>
        <v>0.21567291666666666</v>
      </c>
      <c r="H35" s="2">
        <f t="shared" ref="H35:H61" si="7">D35/($H$2*24)</f>
        <v>0.27729375000000001</v>
      </c>
      <c r="I35" s="28">
        <v>6.67</v>
      </c>
      <c r="J35" s="33">
        <v>6.36</v>
      </c>
      <c r="K35" s="20">
        <f t="shared" si="5"/>
        <v>-4.647676161919035E-2</v>
      </c>
      <c r="L35" s="4">
        <f t="shared" ref="L35:L66" si="8">D35/($D$2*J35)</f>
        <v>0.81386006289308177</v>
      </c>
      <c r="M35" s="103">
        <v>1</v>
      </c>
      <c r="N35" s="103">
        <v>1</v>
      </c>
      <c r="O35" s="33">
        <v>0</v>
      </c>
      <c r="P35" s="6">
        <v>0</v>
      </c>
      <c r="Q35" s="6"/>
    </row>
    <row r="36" spans="1:17">
      <c r="A36" s="13">
        <f>A35+1</f>
        <v>46144</v>
      </c>
      <c r="B36" s="127">
        <v>81988.58</v>
      </c>
      <c r="C36" s="127">
        <v>77060.899999999994</v>
      </c>
      <c r="D36" s="34">
        <v>73696.7</v>
      </c>
      <c r="E36" s="34">
        <v>72500</v>
      </c>
      <c r="F36" s="20">
        <f t="shared" ref="F36:F54" si="9">(IF(ISBLANK(E36),0,E36-C36))/C36</f>
        <v>-5.9185657058248665E-2</v>
      </c>
      <c r="G36" s="2">
        <f t="shared" si="6"/>
        <v>0.17059421296296295</v>
      </c>
      <c r="H36" s="2">
        <f t="shared" si="7"/>
        <v>0.21933541666666667</v>
      </c>
      <c r="I36" s="28">
        <v>6.67</v>
      </c>
      <c r="J36" s="34">
        <v>5.0149999999999997</v>
      </c>
      <c r="K36" s="20">
        <f t="shared" ref="K36:K54" si="10">(IF(ISBLANK(J36),0,J36-I36))/I36</f>
        <v>-0.24812593703148431</v>
      </c>
      <c r="L36" s="4">
        <f t="shared" si="8"/>
        <v>0.81640301318267416</v>
      </c>
      <c r="M36" s="103">
        <v>1</v>
      </c>
      <c r="N36" s="103">
        <v>1</v>
      </c>
      <c r="O36" s="34">
        <v>0</v>
      </c>
      <c r="P36" s="6">
        <v>0</v>
      </c>
      <c r="Q36" s="6"/>
    </row>
    <row r="37" spans="1:17">
      <c r="A37" s="13">
        <f t="shared" ref="A37:A65" si="11">A36+1</f>
        <v>46145</v>
      </c>
      <c r="B37" s="127">
        <v>81988.58</v>
      </c>
      <c r="C37" s="127">
        <v>77060.899999999994</v>
      </c>
      <c r="D37" s="34">
        <v>75663.600000000006</v>
      </c>
      <c r="E37" s="34">
        <v>74500</v>
      </c>
      <c r="F37" s="20">
        <f t="shared" si="9"/>
        <v>-3.3232157942614145E-2</v>
      </c>
      <c r="G37" s="2">
        <f t="shared" si="6"/>
        <v>0.17514722222222223</v>
      </c>
      <c r="H37" s="2">
        <f t="shared" si="7"/>
        <v>0.22518928571428573</v>
      </c>
      <c r="I37" s="28">
        <v>6.67</v>
      </c>
      <c r="J37" s="34">
        <v>5.165</v>
      </c>
      <c r="K37" s="20">
        <f t="shared" si="10"/>
        <v>-0.22563718140929534</v>
      </c>
      <c r="L37" s="4">
        <f t="shared" si="8"/>
        <v>0.81384962891255253</v>
      </c>
      <c r="M37" s="103">
        <v>1</v>
      </c>
      <c r="N37" s="104">
        <v>1</v>
      </c>
      <c r="O37" s="34">
        <v>0</v>
      </c>
      <c r="P37" s="6">
        <v>0</v>
      </c>
      <c r="Q37" s="6"/>
    </row>
    <row r="38" spans="1:17">
      <c r="A38" s="13">
        <f t="shared" si="11"/>
        <v>46146</v>
      </c>
      <c r="B38" s="127">
        <v>81988.58</v>
      </c>
      <c r="C38" s="127">
        <v>77060.899999999994</v>
      </c>
      <c r="D38" s="34">
        <v>89894.399999999994</v>
      </c>
      <c r="E38" s="34">
        <v>88300</v>
      </c>
      <c r="F38" s="20">
        <f t="shared" si="9"/>
        <v>0.14584698595526405</v>
      </c>
      <c r="G38" s="2">
        <f t="shared" si="6"/>
        <v>0.20808888888888888</v>
      </c>
      <c r="H38" s="2">
        <f t="shared" si="7"/>
        <v>0.26754285714285714</v>
      </c>
      <c r="I38" s="28">
        <v>6.67</v>
      </c>
      <c r="J38" s="34">
        <v>6.1050000000000004</v>
      </c>
      <c r="K38" s="20">
        <f t="shared" si="10"/>
        <v>-8.4707646176911469E-2</v>
      </c>
      <c r="L38" s="4">
        <f t="shared" si="8"/>
        <v>0.8180398580398579</v>
      </c>
      <c r="M38" s="103">
        <v>1</v>
      </c>
      <c r="N38" s="103">
        <v>1</v>
      </c>
      <c r="O38" s="34">
        <v>0</v>
      </c>
      <c r="P38" s="6">
        <v>0</v>
      </c>
      <c r="Q38" s="14"/>
    </row>
    <row r="39" spans="1:17">
      <c r="A39" s="13">
        <f t="shared" si="11"/>
        <v>46147</v>
      </c>
      <c r="B39" s="127">
        <v>81988.58</v>
      </c>
      <c r="C39" s="127">
        <v>77060.899999999994</v>
      </c>
      <c r="D39" s="34"/>
      <c r="E39" s="34"/>
      <c r="F39" s="20">
        <f t="shared" si="9"/>
        <v>0</v>
      </c>
      <c r="G39" s="2">
        <f t="shared" si="6"/>
        <v>0</v>
      </c>
      <c r="H39" s="2">
        <f t="shared" si="7"/>
        <v>0</v>
      </c>
      <c r="I39" s="28">
        <v>6.67</v>
      </c>
      <c r="J39" s="34"/>
      <c r="K39" s="20">
        <f t="shared" si="10"/>
        <v>0</v>
      </c>
      <c r="L39" s="4" t="e">
        <f t="shared" si="8"/>
        <v>#DIV/0!</v>
      </c>
      <c r="M39" s="103"/>
      <c r="N39" s="103"/>
      <c r="O39" s="34"/>
      <c r="P39" s="6"/>
      <c r="Q39" s="14"/>
    </row>
    <row r="40" spans="1:17">
      <c r="A40" s="13">
        <f t="shared" si="11"/>
        <v>46148</v>
      </c>
      <c r="B40" s="127">
        <v>81988.58</v>
      </c>
      <c r="C40" s="127">
        <v>77060.899999999994</v>
      </c>
      <c r="D40" s="34"/>
      <c r="E40" s="34"/>
      <c r="F40" s="20">
        <f t="shared" si="9"/>
        <v>0</v>
      </c>
      <c r="G40" s="2">
        <f t="shared" si="6"/>
        <v>0</v>
      </c>
      <c r="H40" s="2">
        <f t="shared" si="7"/>
        <v>0</v>
      </c>
      <c r="I40" s="28">
        <v>6.67</v>
      </c>
      <c r="J40" s="34"/>
      <c r="K40" s="20">
        <f t="shared" si="10"/>
        <v>0</v>
      </c>
      <c r="L40" s="4" t="e">
        <f t="shared" si="8"/>
        <v>#DIV/0!</v>
      </c>
      <c r="M40" s="103"/>
      <c r="N40" s="103"/>
      <c r="O40" s="34"/>
      <c r="P40" s="6"/>
      <c r="Q40" s="14"/>
    </row>
    <row r="41" spans="1:17">
      <c r="A41" s="13">
        <f t="shared" si="11"/>
        <v>46149</v>
      </c>
      <c r="B41" s="127">
        <v>81988.58</v>
      </c>
      <c r="C41" s="127">
        <v>77060.899999999994</v>
      </c>
      <c r="D41" s="34"/>
      <c r="E41" s="34"/>
      <c r="F41" s="20">
        <f t="shared" si="9"/>
        <v>0</v>
      </c>
      <c r="G41" s="2">
        <f t="shared" si="6"/>
        <v>0</v>
      </c>
      <c r="H41" s="2">
        <f t="shared" si="7"/>
        <v>0</v>
      </c>
      <c r="I41" s="28">
        <v>6.67</v>
      </c>
      <c r="J41" s="34"/>
      <c r="K41" s="20">
        <f t="shared" si="10"/>
        <v>0</v>
      </c>
      <c r="L41" s="4" t="e">
        <f t="shared" si="8"/>
        <v>#DIV/0!</v>
      </c>
      <c r="M41" s="103"/>
      <c r="N41" s="103"/>
      <c r="O41" s="34"/>
      <c r="P41" s="6"/>
      <c r="Q41" s="202"/>
    </row>
    <row r="42" spans="1:17">
      <c r="A42" s="13">
        <f t="shared" si="11"/>
        <v>46150</v>
      </c>
      <c r="B42" s="127">
        <v>81988.58</v>
      </c>
      <c r="C42" s="127">
        <v>77060.899999999994</v>
      </c>
      <c r="D42" s="34"/>
      <c r="E42" s="34"/>
      <c r="F42" s="20">
        <f t="shared" si="9"/>
        <v>0</v>
      </c>
      <c r="G42" s="2">
        <f t="shared" si="6"/>
        <v>0</v>
      </c>
      <c r="H42" s="2">
        <f t="shared" si="7"/>
        <v>0</v>
      </c>
      <c r="I42" s="28">
        <v>6.67</v>
      </c>
      <c r="J42" s="34"/>
      <c r="K42" s="20">
        <f t="shared" si="10"/>
        <v>0</v>
      </c>
      <c r="L42" s="4" t="e">
        <f t="shared" si="8"/>
        <v>#DIV/0!</v>
      </c>
      <c r="M42" s="103"/>
      <c r="N42" s="103"/>
      <c r="O42" s="34"/>
      <c r="P42" s="6"/>
      <c r="Q42" s="14"/>
    </row>
    <row r="43" spans="1:17">
      <c r="A43" s="13">
        <f t="shared" si="11"/>
        <v>46151</v>
      </c>
      <c r="B43" s="127">
        <v>81988.58</v>
      </c>
      <c r="C43" s="127">
        <v>77060.899999999994</v>
      </c>
      <c r="D43" s="34"/>
      <c r="E43" s="34"/>
      <c r="F43" s="20">
        <f t="shared" si="9"/>
        <v>0</v>
      </c>
      <c r="G43" s="2">
        <f t="shared" si="6"/>
        <v>0</v>
      </c>
      <c r="H43" s="2">
        <f t="shared" si="7"/>
        <v>0</v>
      </c>
      <c r="I43" s="28">
        <v>6.67</v>
      </c>
      <c r="J43" s="34"/>
      <c r="K43" s="20">
        <f t="shared" si="10"/>
        <v>0</v>
      </c>
      <c r="L43" s="4" t="e">
        <f t="shared" si="8"/>
        <v>#DIV/0!</v>
      </c>
      <c r="M43" s="103"/>
      <c r="N43" s="103"/>
      <c r="O43" s="34"/>
      <c r="P43" s="6"/>
      <c r="Q43" s="6"/>
    </row>
    <row r="44" spans="1:17">
      <c r="A44" s="13">
        <f t="shared" si="11"/>
        <v>46152</v>
      </c>
      <c r="B44" s="127">
        <v>81988.58</v>
      </c>
      <c r="C44" s="127">
        <v>77060.899999999994</v>
      </c>
      <c r="D44" s="34"/>
      <c r="E44" s="34"/>
      <c r="F44" s="20">
        <f t="shared" si="9"/>
        <v>0</v>
      </c>
      <c r="G44" s="2">
        <f t="shared" si="6"/>
        <v>0</v>
      </c>
      <c r="H44" s="2">
        <f t="shared" si="7"/>
        <v>0</v>
      </c>
      <c r="I44" s="28">
        <v>6.67</v>
      </c>
      <c r="J44" s="34"/>
      <c r="K44" s="20">
        <f t="shared" si="10"/>
        <v>0</v>
      </c>
      <c r="L44" s="4" t="e">
        <f t="shared" si="8"/>
        <v>#DIV/0!</v>
      </c>
      <c r="M44" s="103"/>
      <c r="N44" s="103"/>
      <c r="O44" s="34"/>
      <c r="P44" s="6"/>
      <c r="Q44" s="16"/>
    </row>
    <row r="45" spans="1:17">
      <c r="A45" s="13">
        <f t="shared" si="11"/>
        <v>46153</v>
      </c>
      <c r="B45" s="127">
        <v>81988.58</v>
      </c>
      <c r="C45" s="127">
        <v>77060.899999999994</v>
      </c>
      <c r="D45" s="34"/>
      <c r="E45" s="34"/>
      <c r="F45" s="20">
        <f t="shared" si="9"/>
        <v>0</v>
      </c>
      <c r="G45" s="2">
        <f t="shared" si="6"/>
        <v>0</v>
      </c>
      <c r="H45" s="2">
        <f t="shared" si="7"/>
        <v>0</v>
      </c>
      <c r="I45" s="28">
        <v>6.67</v>
      </c>
      <c r="J45" s="34"/>
      <c r="K45" s="20">
        <f t="shared" si="10"/>
        <v>0</v>
      </c>
      <c r="L45" s="4" t="e">
        <f t="shared" si="8"/>
        <v>#DIV/0!</v>
      </c>
      <c r="M45" s="103"/>
      <c r="N45" s="103"/>
      <c r="O45" s="34"/>
      <c r="P45" s="6"/>
      <c r="Q45" s="6"/>
    </row>
    <row r="46" spans="1:17">
      <c r="A46" s="13">
        <f t="shared" si="11"/>
        <v>46154</v>
      </c>
      <c r="B46" s="127">
        <v>81988.58</v>
      </c>
      <c r="C46" s="127">
        <v>77060.899999999994</v>
      </c>
      <c r="D46" s="34"/>
      <c r="E46" s="34"/>
      <c r="F46" s="20">
        <f t="shared" si="9"/>
        <v>0</v>
      </c>
      <c r="G46" s="2">
        <f t="shared" si="6"/>
        <v>0</v>
      </c>
      <c r="H46" s="2">
        <f t="shared" si="7"/>
        <v>0</v>
      </c>
      <c r="I46" s="28">
        <v>6.67</v>
      </c>
      <c r="J46" s="34"/>
      <c r="K46" s="20">
        <f t="shared" si="10"/>
        <v>0</v>
      </c>
      <c r="L46" s="4" t="e">
        <f t="shared" si="8"/>
        <v>#DIV/0!</v>
      </c>
      <c r="M46" s="104"/>
      <c r="N46" s="103"/>
      <c r="O46" s="34"/>
      <c r="P46" s="6"/>
      <c r="Q46" s="6"/>
    </row>
    <row r="47" spans="1:17">
      <c r="A47" s="13">
        <f t="shared" si="11"/>
        <v>46155</v>
      </c>
      <c r="B47" s="127">
        <v>81988.58</v>
      </c>
      <c r="C47" s="127">
        <v>77060.899999999994</v>
      </c>
      <c r="D47" s="34"/>
      <c r="E47" s="34"/>
      <c r="F47" s="20">
        <f t="shared" si="9"/>
        <v>0</v>
      </c>
      <c r="G47" s="2">
        <f t="shared" si="6"/>
        <v>0</v>
      </c>
      <c r="H47" s="2">
        <f t="shared" si="7"/>
        <v>0</v>
      </c>
      <c r="I47" s="28">
        <v>6.67</v>
      </c>
      <c r="J47" s="34"/>
      <c r="K47" s="20">
        <f t="shared" si="10"/>
        <v>0</v>
      </c>
      <c r="L47" s="4" t="e">
        <f t="shared" si="8"/>
        <v>#DIV/0!</v>
      </c>
      <c r="M47" s="104"/>
      <c r="N47" s="103"/>
      <c r="O47" s="34"/>
      <c r="P47" s="6"/>
      <c r="Q47" s="31"/>
    </row>
    <row r="48" spans="1:17">
      <c r="A48" s="13">
        <f t="shared" si="11"/>
        <v>46156</v>
      </c>
      <c r="B48" s="127">
        <v>81988.58</v>
      </c>
      <c r="C48" s="127">
        <v>77060.899999999994</v>
      </c>
      <c r="D48" s="34"/>
      <c r="E48" s="34"/>
      <c r="F48" s="20">
        <f t="shared" si="9"/>
        <v>0</v>
      </c>
      <c r="G48" s="2">
        <f t="shared" si="6"/>
        <v>0</v>
      </c>
      <c r="H48" s="2">
        <f t="shared" si="7"/>
        <v>0</v>
      </c>
      <c r="I48" s="28">
        <v>6.67</v>
      </c>
      <c r="J48" s="34"/>
      <c r="K48" s="20">
        <f t="shared" si="10"/>
        <v>0</v>
      </c>
      <c r="L48" s="4" t="e">
        <f t="shared" si="8"/>
        <v>#DIV/0!</v>
      </c>
      <c r="M48" s="104"/>
      <c r="N48" s="103"/>
      <c r="O48" s="34"/>
      <c r="P48" s="6"/>
      <c r="Q48" s="32"/>
    </row>
    <row r="49" spans="1:17">
      <c r="A49" s="13">
        <f t="shared" si="11"/>
        <v>46157</v>
      </c>
      <c r="B49" s="127">
        <v>81988.58</v>
      </c>
      <c r="C49" s="127">
        <v>77060.899999999994</v>
      </c>
      <c r="D49" s="34"/>
      <c r="E49" s="34"/>
      <c r="F49" s="20">
        <f t="shared" si="9"/>
        <v>0</v>
      </c>
      <c r="G49" s="2">
        <f t="shared" si="6"/>
        <v>0</v>
      </c>
      <c r="H49" s="2">
        <f t="shared" si="7"/>
        <v>0</v>
      </c>
      <c r="I49" s="28">
        <v>6.67</v>
      </c>
      <c r="J49" s="34"/>
      <c r="K49" s="20">
        <f t="shared" si="10"/>
        <v>0</v>
      </c>
      <c r="L49" s="4" t="e">
        <f t="shared" si="8"/>
        <v>#DIV/0!</v>
      </c>
      <c r="M49" s="104"/>
      <c r="N49" s="103"/>
      <c r="O49" s="34"/>
      <c r="P49" s="6"/>
      <c r="Q49" s="32"/>
    </row>
    <row r="50" spans="1:17">
      <c r="A50" s="13">
        <f t="shared" si="11"/>
        <v>46158</v>
      </c>
      <c r="B50" s="127">
        <v>81988.58</v>
      </c>
      <c r="C50" s="127">
        <v>77060.899999999994</v>
      </c>
      <c r="D50" s="34"/>
      <c r="E50" s="34"/>
      <c r="F50" s="20">
        <f t="shared" si="9"/>
        <v>0</v>
      </c>
      <c r="G50" s="2">
        <f t="shared" si="6"/>
        <v>0</v>
      </c>
      <c r="H50" s="2">
        <f t="shared" si="7"/>
        <v>0</v>
      </c>
      <c r="I50" s="28">
        <v>6.67</v>
      </c>
      <c r="J50" s="34"/>
      <c r="K50" s="20">
        <f t="shared" si="10"/>
        <v>0</v>
      </c>
      <c r="L50" s="4" t="e">
        <f t="shared" si="8"/>
        <v>#DIV/0!</v>
      </c>
      <c r="M50" s="104"/>
      <c r="N50" s="103"/>
      <c r="O50" s="34"/>
      <c r="P50" s="6"/>
      <c r="Q50" s="32"/>
    </row>
    <row r="51" spans="1:17">
      <c r="A51" s="13">
        <f t="shared" si="11"/>
        <v>46159</v>
      </c>
      <c r="B51" s="127">
        <v>81988.58</v>
      </c>
      <c r="C51" s="127">
        <v>77060.899999999994</v>
      </c>
      <c r="D51" s="34"/>
      <c r="E51" s="34"/>
      <c r="F51" s="20">
        <f t="shared" si="9"/>
        <v>0</v>
      </c>
      <c r="G51" s="2">
        <f t="shared" si="6"/>
        <v>0</v>
      </c>
      <c r="H51" s="2">
        <f t="shared" si="7"/>
        <v>0</v>
      </c>
      <c r="I51" s="28">
        <v>6.67</v>
      </c>
      <c r="J51" s="34"/>
      <c r="K51" s="20">
        <f t="shared" si="10"/>
        <v>0</v>
      </c>
      <c r="L51" s="4" t="e">
        <f t="shared" si="8"/>
        <v>#DIV/0!</v>
      </c>
      <c r="M51" s="103"/>
      <c r="N51" s="103"/>
      <c r="O51" s="34"/>
      <c r="P51" s="6"/>
      <c r="Q51" s="6"/>
    </row>
    <row r="52" spans="1:17">
      <c r="A52" s="13">
        <f t="shared" si="11"/>
        <v>46160</v>
      </c>
      <c r="B52" s="127">
        <v>81988.58</v>
      </c>
      <c r="C52" s="127">
        <v>77060.899999999994</v>
      </c>
      <c r="D52" s="34"/>
      <c r="E52" s="34"/>
      <c r="F52" s="20">
        <f t="shared" si="9"/>
        <v>0</v>
      </c>
      <c r="G52" s="2">
        <f t="shared" si="6"/>
        <v>0</v>
      </c>
      <c r="H52" s="2">
        <f t="shared" si="7"/>
        <v>0</v>
      </c>
      <c r="I52" s="28">
        <v>6.67</v>
      </c>
      <c r="J52" s="34"/>
      <c r="K52" s="20">
        <f t="shared" si="10"/>
        <v>0</v>
      </c>
      <c r="L52" s="4" t="e">
        <f t="shared" si="8"/>
        <v>#DIV/0!</v>
      </c>
      <c r="M52" s="103"/>
      <c r="N52" s="103"/>
      <c r="O52" s="34"/>
      <c r="P52" s="6"/>
      <c r="Q52" s="14"/>
    </row>
    <row r="53" spans="1:17">
      <c r="A53" s="13">
        <f t="shared" si="11"/>
        <v>46161</v>
      </c>
      <c r="B53" s="127">
        <v>81988.58</v>
      </c>
      <c r="C53" s="127">
        <v>77060.899999999994</v>
      </c>
      <c r="D53" s="34"/>
      <c r="E53" s="34"/>
      <c r="F53" s="20">
        <f t="shared" si="9"/>
        <v>0</v>
      </c>
      <c r="G53" s="2">
        <f t="shared" si="6"/>
        <v>0</v>
      </c>
      <c r="H53" s="2">
        <f t="shared" si="7"/>
        <v>0</v>
      </c>
      <c r="I53" s="28">
        <v>6.67</v>
      </c>
      <c r="J53" s="34"/>
      <c r="K53" s="20">
        <f t="shared" si="10"/>
        <v>0</v>
      </c>
      <c r="L53" s="4" t="e">
        <f t="shared" si="8"/>
        <v>#DIV/0!</v>
      </c>
      <c r="M53" s="103"/>
      <c r="N53" s="103"/>
      <c r="O53" s="34"/>
      <c r="P53" s="6"/>
      <c r="Q53" s="14"/>
    </row>
    <row r="54" spans="1:17">
      <c r="A54" s="13">
        <f t="shared" si="11"/>
        <v>46162</v>
      </c>
      <c r="B54" s="127">
        <v>81988.58</v>
      </c>
      <c r="C54" s="127">
        <v>77060.899999999994</v>
      </c>
      <c r="D54" s="34"/>
      <c r="E54" s="34"/>
      <c r="F54" s="20">
        <f t="shared" si="9"/>
        <v>0</v>
      </c>
      <c r="G54" s="2">
        <f t="shared" si="6"/>
        <v>0</v>
      </c>
      <c r="H54" s="2">
        <f t="shared" si="7"/>
        <v>0</v>
      </c>
      <c r="I54" s="28">
        <v>6.67</v>
      </c>
      <c r="J54" s="34"/>
      <c r="K54" s="20">
        <f t="shared" si="10"/>
        <v>0</v>
      </c>
      <c r="L54" s="4" t="e">
        <f t="shared" si="8"/>
        <v>#DIV/0!</v>
      </c>
      <c r="M54" s="103"/>
      <c r="N54" s="103"/>
      <c r="O54" s="34"/>
      <c r="P54" s="6"/>
      <c r="Q54" s="14"/>
    </row>
    <row r="55" spans="1:17">
      <c r="A55" s="13">
        <f t="shared" si="11"/>
        <v>46163</v>
      </c>
      <c r="B55" s="127">
        <v>81988.58</v>
      </c>
      <c r="C55" s="127">
        <v>77060.899999999994</v>
      </c>
      <c r="D55" s="34"/>
      <c r="E55" s="34"/>
      <c r="F55" s="20">
        <f>(IF(ISBLANK(E55),0,E55-C55))/C55</f>
        <v>0</v>
      </c>
      <c r="G55" s="2">
        <f t="shared" si="6"/>
        <v>0</v>
      </c>
      <c r="H55" s="2">
        <f t="shared" si="7"/>
        <v>0</v>
      </c>
      <c r="I55" s="28">
        <v>6.67</v>
      </c>
      <c r="J55" s="34"/>
      <c r="K55" s="20">
        <f>(IF(ISBLANK(J55),0,J55-I55))/I55</f>
        <v>0</v>
      </c>
      <c r="L55" s="4" t="e">
        <f t="shared" si="8"/>
        <v>#DIV/0!</v>
      </c>
      <c r="M55" s="103"/>
      <c r="N55" s="103"/>
      <c r="O55" s="34"/>
      <c r="P55" s="6"/>
      <c r="Q55" s="6"/>
    </row>
    <row r="56" spans="1:17">
      <c r="A56" s="13">
        <f t="shared" si="11"/>
        <v>46164</v>
      </c>
      <c r="B56" s="127">
        <v>81988.58</v>
      </c>
      <c r="C56" s="127">
        <v>77060.899999999994</v>
      </c>
      <c r="D56" s="34"/>
      <c r="E56" s="34"/>
      <c r="F56" s="20">
        <f t="shared" ref="F56:F65" si="12">(IF(ISBLANK(E56),0,E56-C56))/C56</f>
        <v>0</v>
      </c>
      <c r="G56" s="2">
        <f t="shared" si="6"/>
        <v>0</v>
      </c>
      <c r="H56" s="2">
        <f t="shared" si="7"/>
        <v>0</v>
      </c>
      <c r="I56" s="28">
        <v>6.67</v>
      </c>
      <c r="J56" s="34"/>
      <c r="K56" s="20">
        <f t="shared" ref="K56:K65" si="13">(IF(ISBLANK(J56),0,J56-I56))/I56</f>
        <v>0</v>
      </c>
      <c r="L56" s="4" t="e">
        <f t="shared" si="8"/>
        <v>#DIV/0!</v>
      </c>
      <c r="M56" s="103"/>
      <c r="N56" s="103"/>
      <c r="O56" s="34"/>
      <c r="P56" s="6"/>
      <c r="Q56" s="6"/>
    </row>
    <row r="57" spans="1:17">
      <c r="A57" s="13">
        <f t="shared" si="11"/>
        <v>46165</v>
      </c>
      <c r="B57" s="127">
        <v>81988.58</v>
      </c>
      <c r="C57" s="127">
        <v>77060.899999999994</v>
      </c>
      <c r="D57" s="14"/>
      <c r="E57" s="14"/>
      <c r="F57" s="20">
        <f t="shared" si="12"/>
        <v>0</v>
      </c>
      <c r="G57" s="2">
        <f t="shared" si="6"/>
        <v>0</v>
      </c>
      <c r="H57" s="2">
        <f t="shared" si="7"/>
        <v>0</v>
      </c>
      <c r="I57" s="28">
        <v>6.67</v>
      </c>
      <c r="J57" s="14"/>
      <c r="K57" s="20">
        <f t="shared" si="13"/>
        <v>0</v>
      </c>
      <c r="L57" s="4" t="e">
        <f t="shared" si="8"/>
        <v>#DIV/0!</v>
      </c>
      <c r="M57" s="103"/>
      <c r="N57" s="103"/>
      <c r="O57" s="34"/>
      <c r="P57" s="6"/>
      <c r="Q57" s="6"/>
    </row>
    <row r="58" spans="1:17">
      <c r="A58" s="13">
        <f t="shared" si="11"/>
        <v>46166</v>
      </c>
      <c r="B58" s="127">
        <v>81988.58</v>
      </c>
      <c r="C58" s="127">
        <v>77060.899999999994</v>
      </c>
      <c r="D58" s="14"/>
      <c r="E58" s="14"/>
      <c r="F58" s="20">
        <f t="shared" si="12"/>
        <v>0</v>
      </c>
      <c r="G58" s="2">
        <f t="shared" ref="G58:G65" si="14">D58/($D$2*24)</f>
        <v>0</v>
      </c>
      <c r="H58" s="2">
        <f t="shared" si="7"/>
        <v>0</v>
      </c>
      <c r="I58" s="28">
        <v>6.67</v>
      </c>
      <c r="J58" s="14"/>
      <c r="K58" s="20">
        <f t="shared" si="13"/>
        <v>0</v>
      </c>
      <c r="L58" s="4" t="e">
        <f t="shared" si="8"/>
        <v>#DIV/0!</v>
      </c>
      <c r="M58" s="103"/>
      <c r="N58" s="103"/>
      <c r="O58" s="34"/>
      <c r="P58" s="6"/>
      <c r="Q58" s="288"/>
    </row>
    <row r="59" spans="1:17">
      <c r="A59" s="13">
        <f t="shared" si="11"/>
        <v>46167</v>
      </c>
      <c r="B59" s="127">
        <v>81988.58</v>
      </c>
      <c r="C59" s="127">
        <v>77060.899999999994</v>
      </c>
      <c r="D59" s="14"/>
      <c r="E59" s="14"/>
      <c r="F59" s="20">
        <f t="shared" si="12"/>
        <v>0</v>
      </c>
      <c r="G59" s="2">
        <f t="shared" si="14"/>
        <v>0</v>
      </c>
      <c r="H59" s="2">
        <f t="shared" si="7"/>
        <v>0</v>
      </c>
      <c r="I59" s="28">
        <v>6.67</v>
      </c>
      <c r="J59" s="14"/>
      <c r="K59" s="20">
        <f t="shared" si="13"/>
        <v>0</v>
      </c>
      <c r="L59" s="4" t="e">
        <f t="shared" si="8"/>
        <v>#DIV/0!</v>
      </c>
      <c r="M59" s="103"/>
      <c r="N59" s="103"/>
      <c r="O59" s="34"/>
      <c r="P59" s="155"/>
      <c r="Q59" s="6"/>
    </row>
    <row r="60" spans="1:17">
      <c r="A60" s="13">
        <f t="shared" si="11"/>
        <v>46168</v>
      </c>
      <c r="B60" s="127">
        <v>81988.58</v>
      </c>
      <c r="C60" s="127">
        <v>77060.899999999994</v>
      </c>
      <c r="D60" s="14"/>
      <c r="E60" s="14"/>
      <c r="F60" s="20">
        <f t="shared" si="12"/>
        <v>0</v>
      </c>
      <c r="G60" s="2">
        <f t="shared" si="14"/>
        <v>0</v>
      </c>
      <c r="H60" s="2">
        <f t="shared" si="7"/>
        <v>0</v>
      </c>
      <c r="I60" s="28">
        <v>6.67</v>
      </c>
      <c r="J60" s="14"/>
      <c r="K60" s="20">
        <f t="shared" si="13"/>
        <v>0</v>
      </c>
      <c r="L60" s="4" t="e">
        <f t="shared" si="8"/>
        <v>#DIV/0!</v>
      </c>
      <c r="M60" s="103"/>
      <c r="N60" s="103"/>
      <c r="O60" s="34"/>
      <c r="P60" s="6"/>
      <c r="Q60" s="123"/>
    </row>
    <row r="61" spans="1:17">
      <c r="A61" s="13">
        <f t="shared" si="11"/>
        <v>46169</v>
      </c>
      <c r="B61" s="127">
        <v>81988.58</v>
      </c>
      <c r="C61" s="127">
        <v>77060.899999999994</v>
      </c>
      <c r="D61" s="14"/>
      <c r="E61" s="14"/>
      <c r="F61" s="20">
        <f t="shared" si="12"/>
        <v>0</v>
      </c>
      <c r="G61" s="2">
        <f t="shared" si="14"/>
        <v>0</v>
      </c>
      <c r="H61" s="2">
        <f t="shared" si="7"/>
        <v>0</v>
      </c>
      <c r="I61" s="28">
        <v>6.67</v>
      </c>
      <c r="J61" s="14"/>
      <c r="K61" s="20">
        <f t="shared" si="13"/>
        <v>0</v>
      </c>
      <c r="L61" s="4" t="e">
        <f t="shared" si="8"/>
        <v>#DIV/0!</v>
      </c>
      <c r="M61" s="103"/>
      <c r="N61" s="103"/>
      <c r="O61" s="34"/>
      <c r="P61" s="6"/>
      <c r="Q61" s="6"/>
    </row>
    <row r="62" spans="1:17">
      <c r="A62" s="13">
        <f t="shared" si="11"/>
        <v>46170</v>
      </c>
      <c r="B62" s="127">
        <v>81988.58</v>
      </c>
      <c r="C62" s="127">
        <v>77060.899999999994</v>
      </c>
      <c r="D62" s="14"/>
      <c r="E62" s="14"/>
      <c r="F62" s="20">
        <f t="shared" si="12"/>
        <v>0</v>
      </c>
      <c r="G62" s="2">
        <f t="shared" si="14"/>
        <v>0</v>
      </c>
      <c r="H62" s="2">
        <f t="shared" ref="H62:H65" si="15">D62/($H$2*24)</f>
        <v>0</v>
      </c>
      <c r="I62" s="28">
        <v>6.67</v>
      </c>
      <c r="J62" s="14"/>
      <c r="K62" s="20">
        <f t="shared" si="13"/>
        <v>0</v>
      </c>
      <c r="L62" s="4" t="e">
        <f t="shared" si="8"/>
        <v>#DIV/0!</v>
      </c>
      <c r="M62" s="103"/>
      <c r="N62" s="103"/>
      <c r="O62" s="34"/>
      <c r="P62" s="6"/>
      <c r="Q62" s="6"/>
    </row>
    <row r="63" spans="1:17">
      <c r="A63" s="13">
        <f t="shared" si="11"/>
        <v>46171</v>
      </c>
      <c r="B63" s="127">
        <v>81988.58</v>
      </c>
      <c r="C63" s="127">
        <v>77060.899999999994</v>
      </c>
      <c r="D63" s="14"/>
      <c r="E63" s="14"/>
      <c r="F63" s="20">
        <f t="shared" si="12"/>
        <v>0</v>
      </c>
      <c r="G63" s="2">
        <f t="shared" si="14"/>
        <v>0</v>
      </c>
      <c r="H63" s="2">
        <f t="shared" si="15"/>
        <v>0</v>
      </c>
      <c r="I63" s="28">
        <v>6.67</v>
      </c>
      <c r="J63" s="14"/>
      <c r="K63" s="20">
        <f t="shared" si="13"/>
        <v>0</v>
      </c>
      <c r="L63" s="4" t="e">
        <f t="shared" si="8"/>
        <v>#DIV/0!</v>
      </c>
      <c r="M63" s="103"/>
      <c r="N63" s="103"/>
      <c r="O63" s="34"/>
      <c r="P63" s="6"/>
      <c r="Q63" s="6"/>
    </row>
    <row r="64" spans="1:17">
      <c r="A64" s="13">
        <f t="shared" si="11"/>
        <v>46172</v>
      </c>
      <c r="B64" s="127">
        <v>81988.58</v>
      </c>
      <c r="C64" s="127">
        <v>77060.899999999994</v>
      </c>
      <c r="D64" s="14"/>
      <c r="E64" s="14"/>
      <c r="F64" s="20">
        <f t="shared" si="12"/>
        <v>0</v>
      </c>
      <c r="G64" s="2">
        <f t="shared" si="14"/>
        <v>0</v>
      </c>
      <c r="H64" s="2">
        <f t="shared" si="15"/>
        <v>0</v>
      </c>
      <c r="I64" s="28">
        <v>6.67</v>
      </c>
      <c r="J64" s="14"/>
      <c r="K64" s="20">
        <f t="shared" si="13"/>
        <v>0</v>
      </c>
      <c r="L64" s="4" t="e">
        <f t="shared" si="8"/>
        <v>#DIV/0!</v>
      </c>
      <c r="M64" s="103"/>
      <c r="N64" s="103"/>
      <c r="O64" s="34"/>
      <c r="P64" s="6"/>
      <c r="Q64" s="6"/>
    </row>
    <row r="65" spans="1:17">
      <c r="A65" s="13">
        <f t="shared" si="11"/>
        <v>46173</v>
      </c>
      <c r="B65" s="127">
        <v>81988.58</v>
      </c>
      <c r="C65" s="127">
        <v>77060.899999999994</v>
      </c>
      <c r="D65" s="14"/>
      <c r="E65" s="14"/>
      <c r="F65" s="20">
        <f t="shared" si="12"/>
        <v>0</v>
      </c>
      <c r="G65" s="2">
        <f t="shared" si="14"/>
        <v>0</v>
      </c>
      <c r="H65" s="2">
        <f t="shared" si="15"/>
        <v>0</v>
      </c>
      <c r="I65" s="28">
        <v>6.67</v>
      </c>
      <c r="J65" s="14"/>
      <c r="K65" s="20">
        <f t="shared" si="13"/>
        <v>0</v>
      </c>
      <c r="L65" s="4" t="e">
        <f t="shared" si="8"/>
        <v>#DIV/0!</v>
      </c>
      <c r="M65" s="103"/>
      <c r="N65" s="103"/>
      <c r="O65" s="34"/>
      <c r="P65" s="6"/>
      <c r="Q65" s="6"/>
    </row>
    <row r="66" spans="1:17">
      <c r="A66" s="349">
        <v>46143</v>
      </c>
      <c r="B66" s="89">
        <f>SUM(B35:B65)</f>
        <v>2541645.9800000009</v>
      </c>
      <c r="C66" s="89">
        <f>SUM(C35:C65)</f>
        <v>2388887.8999999985</v>
      </c>
      <c r="D66" s="89">
        <f>SUM(D35:D65)</f>
        <v>332425.40000000002</v>
      </c>
      <c r="E66" s="89">
        <f>SUM(E35:E65)</f>
        <v>327000</v>
      </c>
      <c r="F66" s="160">
        <f>(IF(ISBLANK(E66),0,E66-C66))/C66</f>
        <v>-0.86311622240625008</v>
      </c>
      <c r="G66" s="90">
        <f>AVERAGE(G35:G65)</f>
        <v>2.4822685185185184E-2</v>
      </c>
      <c r="H66" s="90">
        <f>AVERAGE(H35:H65)</f>
        <v>3.1914880952380958E-2</v>
      </c>
      <c r="I66" s="89">
        <f>SUM(I35:I65)</f>
        <v>206.76999999999987</v>
      </c>
      <c r="J66" s="89">
        <f>SUM(J35:J65)</f>
        <v>22.645</v>
      </c>
      <c r="K66" s="160">
        <f>(IF(ISBLANK(J66),0,J66-I66))/I66</f>
        <v>-0.89048217826570575</v>
      </c>
      <c r="L66" s="161">
        <f t="shared" si="8"/>
        <v>0.81554770491401096</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E0CB-3394-4584-A839-ABEA134A480C}">
  <dimension ref="A1:AB66"/>
  <sheetViews>
    <sheetView topLeftCell="A24" workbookViewId="0">
      <selection activeCell="C38" sqref="C38"/>
    </sheetView>
  </sheetViews>
  <sheetFormatPr defaultRowHeight="14.5"/>
  <cols>
    <col min="1" max="1" width="11.26953125" bestFit="1" customWidth="1"/>
    <col min="11" max="11" width="9.81640625" customWidth="1"/>
    <col min="17" max="17" width="10.7265625" customWidth="1"/>
  </cols>
  <sheetData>
    <row r="1" spans="1:28" ht="18.5">
      <c r="A1" s="417" t="s">
        <v>590</v>
      </c>
      <c r="B1" s="418"/>
      <c r="C1" s="418"/>
      <c r="D1" s="418"/>
      <c r="E1" s="418"/>
      <c r="F1" s="418"/>
      <c r="G1" s="418"/>
      <c r="H1" s="418"/>
      <c r="I1" s="418"/>
      <c r="J1" s="418"/>
      <c r="K1" s="418"/>
      <c r="L1" s="418"/>
      <c r="M1" s="418"/>
      <c r="N1" s="418"/>
      <c r="O1" s="418"/>
      <c r="P1" s="418"/>
      <c r="Q1" s="418"/>
      <c r="R1" s="168"/>
      <c r="S1" s="168"/>
      <c r="T1" s="168"/>
      <c r="U1" s="168"/>
      <c r="V1" s="168"/>
      <c r="W1" s="168"/>
      <c r="X1" s="168"/>
      <c r="Y1" s="168"/>
      <c r="Z1" s="168"/>
      <c r="AA1" s="168"/>
      <c r="AB1" s="168"/>
    </row>
    <row r="2" spans="1:28" ht="18.5">
      <c r="A2" s="69">
        <v>46138</v>
      </c>
      <c r="B2" s="415" t="s">
        <v>172</v>
      </c>
      <c r="C2" s="416"/>
      <c r="D2" s="70">
        <v>19205</v>
      </c>
      <c r="E2" s="415" t="s">
        <v>173</v>
      </c>
      <c r="F2" s="415"/>
      <c r="G2" s="416"/>
      <c r="H2" s="70">
        <v>15000</v>
      </c>
      <c r="I2" s="415" t="s">
        <v>174</v>
      </c>
      <c r="J2" s="416"/>
      <c r="K2" s="71">
        <v>45382</v>
      </c>
      <c r="L2" s="72" t="s">
        <v>175</v>
      </c>
      <c r="M2" s="72" t="s">
        <v>175</v>
      </c>
      <c r="N2" s="72" t="s">
        <v>175</v>
      </c>
      <c r="O2" s="72" t="s">
        <v>175</v>
      </c>
      <c r="P2" s="72" t="s">
        <v>175</v>
      </c>
      <c r="Q2" s="73" t="s">
        <v>175</v>
      </c>
      <c r="R2" s="168"/>
      <c r="S2" s="168"/>
      <c r="T2" s="168"/>
      <c r="U2" s="168"/>
      <c r="V2" s="168"/>
      <c r="W2" s="168"/>
      <c r="X2" s="168"/>
      <c r="Y2" s="168"/>
      <c r="Z2" s="168"/>
      <c r="AA2" s="168"/>
      <c r="AB2" s="168"/>
    </row>
    <row r="3" spans="1:28"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c r="R3" s="168"/>
      <c r="S3" s="168"/>
      <c r="T3" s="168"/>
      <c r="U3" s="168"/>
      <c r="V3" s="168"/>
      <c r="W3" s="168"/>
      <c r="X3" s="168"/>
      <c r="Y3" s="168"/>
      <c r="Z3" s="168"/>
      <c r="AA3" s="168"/>
      <c r="AB3" s="168"/>
    </row>
    <row r="4" spans="1:28">
      <c r="A4" s="76">
        <v>46113</v>
      </c>
      <c r="B4" s="36">
        <v>97810</v>
      </c>
      <c r="C4" s="36">
        <v>94177</v>
      </c>
      <c r="D4" s="37">
        <v>96343.2</v>
      </c>
      <c r="E4" s="37">
        <v>93690</v>
      </c>
      <c r="F4" s="21">
        <f t="shared" ref="F4:F65" si="0">(IF(ISBLANK(D4),0,D4-C4))/C4</f>
        <v>2.3001369761194317E-2</v>
      </c>
      <c r="G4" s="2">
        <f t="shared" ref="G4:H28" si="1">D4/($D$2*24)</f>
        <v>0.20902369174694088</v>
      </c>
      <c r="H4" s="2">
        <f t="shared" ref="H4:H25" si="2">D4/($H$2*24)</f>
        <v>0.26761999999999997</v>
      </c>
      <c r="I4" s="36">
        <v>6.7</v>
      </c>
      <c r="J4" s="37">
        <v>6.4</v>
      </c>
      <c r="K4" s="21">
        <f t="shared" ref="K4:K33" si="3">(IF(ISBLANK(J4),0,J4-I4))/I4</f>
        <v>-4.4776119402985044E-2</v>
      </c>
      <c r="L4" s="22">
        <f t="shared" ref="L4:L33" si="4">D4/($D$2*J4)</f>
        <v>0.78383884405102833</v>
      </c>
      <c r="M4" s="41">
        <v>1</v>
      </c>
      <c r="N4" s="41">
        <v>0.96060000000000001</v>
      </c>
      <c r="O4" s="281">
        <v>8911.82</v>
      </c>
      <c r="P4" s="37" t="s">
        <v>175</v>
      </c>
      <c r="Q4" s="37" t="s">
        <v>591</v>
      </c>
      <c r="R4" s="168"/>
      <c r="S4" s="168"/>
      <c r="T4" s="168"/>
      <c r="U4" s="168"/>
      <c r="V4" s="168"/>
      <c r="W4" s="168"/>
      <c r="X4" s="168"/>
      <c r="Y4" s="168"/>
      <c r="Z4" s="168"/>
      <c r="AA4" s="168"/>
      <c r="AB4" s="168"/>
    </row>
    <row r="5" spans="1:28">
      <c r="A5" s="79">
        <v>46114</v>
      </c>
      <c r="B5" s="43">
        <v>97810</v>
      </c>
      <c r="C5" s="43">
        <v>94177</v>
      </c>
      <c r="D5" s="44">
        <v>84704.2</v>
      </c>
      <c r="E5" s="44">
        <v>82440</v>
      </c>
      <c r="F5" s="21">
        <f t="shared" si="0"/>
        <v>-0.10058506854115126</v>
      </c>
      <c r="G5" s="2">
        <f t="shared" si="1"/>
        <v>0.18377202117504121</v>
      </c>
      <c r="H5" s="2">
        <f t="shared" si="2"/>
        <v>0.23528944444444444</v>
      </c>
      <c r="I5" s="43">
        <v>6.7</v>
      </c>
      <c r="J5" s="44">
        <v>5.58</v>
      </c>
      <c r="K5" s="21">
        <f t="shared" si="3"/>
        <v>-0.16716417910447762</v>
      </c>
      <c r="L5" s="22">
        <f t="shared" si="4"/>
        <v>0.79041729537652139</v>
      </c>
      <c r="M5" s="48">
        <v>1</v>
      </c>
      <c r="N5" s="48">
        <v>0.96419999999999995</v>
      </c>
      <c r="O5" s="320">
        <v>6373.7</v>
      </c>
      <c r="P5" s="44" t="s">
        <v>175</v>
      </c>
      <c r="Q5" s="44" t="s">
        <v>591</v>
      </c>
      <c r="R5" s="168"/>
      <c r="S5" s="168"/>
      <c r="T5" s="168"/>
      <c r="U5" s="168"/>
      <c r="V5" s="168"/>
      <c r="W5" s="168"/>
      <c r="X5" s="168"/>
      <c r="Y5" s="168"/>
      <c r="Z5" s="168"/>
      <c r="AA5" s="168"/>
      <c r="AB5" s="168"/>
    </row>
    <row r="6" spans="1:28">
      <c r="A6" s="79">
        <v>46115</v>
      </c>
      <c r="B6" s="43">
        <v>97810</v>
      </c>
      <c r="C6" s="43">
        <v>94177</v>
      </c>
      <c r="D6" s="44">
        <v>60116.7</v>
      </c>
      <c r="E6" s="44">
        <v>58410</v>
      </c>
      <c r="F6" s="21">
        <f t="shared" si="0"/>
        <v>-0.36166261401403743</v>
      </c>
      <c r="G6" s="2">
        <f t="shared" si="1"/>
        <v>0.13042762301483987</v>
      </c>
      <c r="H6" s="2">
        <f t="shared" si="2"/>
        <v>0.16699083333333334</v>
      </c>
      <c r="I6" s="43">
        <v>6.7</v>
      </c>
      <c r="J6" s="44">
        <v>3.78</v>
      </c>
      <c r="K6" s="21">
        <f t="shared" si="3"/>
        <v>-0.43582089552238812</v>
      </c>
      <c r="L6" s="22">
        <f t="shared" si="4"/>
        <v>0.82811189215771364</v>
      </c>
      <c r="M6" s="48">
        <v>1</v>
      </c>
      <c r="N6" s="48">
        <v>1</v>
      </c>
      <c r="O6" s="320">
        <v>0</v>
      </c>
      <c r="P6" s="44" t="s">
        <v>175</v>
      </c>
      <c r="Q6" s="44" t="s">
        <v>175</v>
      </c>
      <c r="R6" s="168"/>
      <c r="S6" s="168"/>
      <c r="T6" s="168"/>
      <c r="U6" s="168"/>
      <c r="V6" s="168"/>
      <c r="W6" s="168"/>
      <c r="X6" s="168"/>
      <c r="Y6" s="168"/>
      <c r="Z6" s="168"/>
      <c r="AA6" s="168"/>
      <c r="AB6" s="168"/>
    </row>
    <row r="7" spans="1:28">
      <c r="A7" s="79">
        <v>46116</v>
      </c>
      <c r="B7" s="43">
        <v>97810</v>
      </c>
      <c r="C7" s="43">
        <v>94177</v>
      </c>
      <c r="D7" s="44">
        <v>102842.2</v>
      </c>
      <c r="E7" s="44">
        <v>99990</v>
      </c>
      <c r="F7" s="21">
        <f t="shared" si="0"/>
        <v>9.2009726366310218E-2</v>
      </c>
      <c r="G7" s="2">
        <f t="shared" si="1"/>
        <v>0.22312375249500999</v>
      </c>
      <c r="H7" s="2">
        <f t="shared" si="2"/>
        <v>0.28567277777777778</v>
      </c>
      <c r="I7" s="43">
        <v>6.7</v>
      </c>
      <c r="J7" s="44">
        <v>6.76</v>
      </c>
      <c r="K7" s="21">
        <f t="shared" si="3"/>
        <v>8.9552238805969565E-3</v>
      </c>
      <c r="L7" s="22">
        <f t="shared" si="4"/>
        <v>0.79215533430181051</v>
      </c>
      <c r="M7" s="48">
        <v>1</v>
      </c>
      <c r="N7" s="48">
        <v>1</v>
      </c>
      <c r="O7" s="320">
        <v>0</v>
      </c>
      <c r="P7" s="44" t="s">
        <v>175</v>
      </c>
      <c r="Q7" s="44" t="s">
        <v>175</v>
      </c>
      <c r="R7" s="168"/>
      <c r="S7" s="168"/>
      <c r="T7" s="168"/>
      <c r="U7" s="168"/>
      <c r="V7" s="168"/>
      <c r="W7" s="168"/>
      <c r="X7" s="168"/>
      <c r="Y7" s="168"/>
      <c r="Z7" s="168"/>
      <c r="AA7" s="168"/>
      <c r="AB7" s="168"/>
    </row>
    <row r="8" spans="1:28">
      <c r="A8" s="79">
        <v>46117</v>
      </c>
      <c r="B8" s="43">
        <v>97810</v>
      </c>
      <c r="C8" s="43">
        <v>94177</v>
      </c>
      <c r="D8" s="44">
        <v>98946.8</v>
      </c>
      <c r="E8" s="44">
        <v>96480</v>
      </c>
      <c r="F8" s="21">
        <f t="shared" si="0"/>
        <v>5.0647185618569318E-2</v>
      </c>
      <c r="G8" s="2">
        <f t="shared" si="1"/>
        <v>0.21467239434175128</v>
      </c>
      <c r="H8" s="2">
        <f t="shared" si="2"/>
        <v>0.27485222222222222</v>
      </c>
      <c r="I8" s="43">
        <v>6.7</v>
      </c>
      <c r="J8" s="44">
        <v>6.56</v>
      </c>
      <c r="K8" s="21">
        <f t="shared" si="3"/>
        <v>-2.0895522388059785E-2</v>
      </c>
      <c r="L8" s="22">
        <f t="shared" si="4"/>
        <v>0.78538680856738285</v>
      </c>
      <c r="M8" s="48">
        <v>1</v>
      </c>
      <c r="N8" s="48">
        <v>0.90990000000000004</v>
      </c>
      <c r="O8" s="320">
        <v>17090.080000000002</v>
      </c>
      <c r="P8" s="44" t="s">
        <v>175</v>
      </c>
      <c r="Q8" s="44" t="s">
        <v>591</v>
      </c>
      <c r="R8" s="168"/>
      <c r="S8" s="168"/>
      <c r="T8" s="168"/>
      <c r="U8" s="168"/>
      <c r="V8" s="168"/>
      <c r="W8" s="168"/>
      <c r="X8" s="168"/>
      <c r="Y8" s="168"/>
      <c r="Z8" s="168"/>
      <c r="AA8" s="168"/>
      <c r="AB8" s="168"/>
    </row>
    <row r="9" spans="1:28">
      <c r="A9" s="79">
        <v>46118</v>
      </c>
      <c r="B9" s="43">
        <v>97810</v>
      </c>
      <c r="C9" s="43">
        <v>94177</v>
      </c>
      <c r="D9" s="44">
        <v>98596.800000000003</v>
      </c>
      <c r="E9" s="44">
        <v>95940</v>
      </c>
      <c r="F9" s="21">
        <f t="shared" si="0"/>
        <v>4.6930779277318271E-2</v>
      </c>
      <c r="G9" s="2">
        <f t="shared" si="1"/>
        <v>0.21391304347826087</v>
      </c>
      <c r="H9" s="2">
        <f t="shared" si="2"/>
        <v>0.27388000000000001</v>
      </c>
      <c r="I9" s="43">
        <v>6.7</v>
      </c>
      <c r="J9" s="44">
        <v>6.55</v>
      </c>
      <c r="K9" s="21">
        <f t="shared" si="3"/>
        <v>-2.2388059701492588E-2</v>
      </c>
      <c r="L9" s="22">
        <f t="shared" si="4"/>
        <v>0.78380351808828408</v>
      </c>
      <c r="M9" s="48">
        <v>1</v>
      </c>
      <c r="N9" s="48">
        <v>0.90059999999999996</v>
      </c>
      <c r="O9" s="320">
        <v>15447.54</v>
      </c>
      <c r="P9" s="44" t="s">
        <v>175</v>
      </c>
      <c r="Q9" s="44" t="s">
        <v>591</v>
      </c>
      <c r="R9" s="168"/>
      <c r="S9" s="168"/>
      <c r="T9" s="168"/>
      <c r="U9" s="168"/>
      <c r="V9" s="168"/>
      <c r="W9" s="168"/>
      <c r="X9" s="168"/>
      <c r="Y9" s="168"/>
      <c r="Z9" s="168"/>
      <c r="AA9" s="168"/>
      <c r="AB9" s="168"/>
    </row>
    <row r="10" spans="1:28">
      <c r="A10" s="79">
        <v>46119</v>
      </c>
      <c r="B10" s="43">
        <v>97810</v>
      </c>
      <c r="C10" s="43">
        <v>94177</v>
      </c>
      <c r="D10" s="44">
        <v>84395.8</v>
      </c>
      <c r="E10" s="44">
        <v>82260</v>
      </c>
      <c r="F10" s="21">
        <f t="shared" si="0"/>
        <v>-0.10385975344298498</v>
      </c>
      <c r="G10" s="2">
        <f t="shared" si="1"/>
        <v>0.18310292458561139</v>
      </c>
      <c r="H10" s="2">
        <f t="shared" si="2"/>
        <v>0.2344327777777778</v>
      </c>
      <c r="I10" s="43">
        <v>6.7</v>
      </c>
      <c r="J10" s="44">
        <v>6.02</v>
      </c>
      <c r="K10" s="21">
        <f t="shared" si="3"/>
        <v>-0.10149253731343293</v>
      </c>
      <c r="L10" s="22">
        <f t="shared" si="4"/>
        <v>0.72997843688615838</v>
      </c>
      <c r="M10" s="48">
        <v>1</v>
      </c>
      <c r="N10" s="48">
        <v>0.76859999999999995</v>
      </c>
      <c r="O10" s="320">
        <v>34051.78</v>
      </c>
      <c r="P10" s="44" t="s">
        <v>175</v>
      </c>
      <c r="Q10" s="44" t="s">
        <v>591</v>
      </c>
      <c r="R10" s="168"/>
      <c r="S10" s="168"/>
      <c r="T10" s="168"/>
      <c r="U10" s="168"/>
      <c r="V10" s="168"/>
      <c r="W10" s="168"/>
      <c r="X10" s="168"/>
      <c r="Y10" s="168"/>
      <c r="Z10" s="168"/>
      <c r="AA10" s="168"/>
      <c r="AB10" s="168"/>
    </row>
    <row r="11" spans="1:28">
      <c r="A11" s="79">
        <v>46120</v>
      </c>
      <c r="B11" s="43">
        <v>97810</v>
      </c>
      <c r="C11" s="43">
        <v>94177</v>
      </c>
      <c r="D11" s="44">
        <v>92382.2</v>
      </c>
      <c r="E11" s="44">
        <v>90000</v>
      </c>
      <c r="F11" s="21">
        <f t="shared" si="0"/>
        <v>-1.9057731717935407E-2</v>
      </c>
      <c r="G11" s="2">
        <f t="shared" si="1"/>
        <v>0.20043000954612514</v>
      </c>
      <c r="H11" s="2">
        <f t="shared" si="2"/>
        <v>0.25661722222222222</v>
      </c>
      <c r="I11" s="43">
        <v>6.7</v>
      </c>
      <c r="J11" s="44">
        <v>6.68</v>
      </c>
      <c r="K11" s="21">
        <f t="shared" si="3"/>
        <v>-2.9850746268657406E-3</v>
      </c>
      <c r="L11" s="22">
        <f t="shared" si="4"/>
        <v>0.72010781872859331</v>
      </c>
      <c r="M11" s="48">
        <v>1</v>
      </c>
      <c r="N11" s="48">
        <v>0.75739999999999996</v>
      </c>
      <c r="O11" s="320">
        <v>41004.239999999998</v>
      </c>
      <c r="P11" s="44" t="s">
        <v>175</v>
      </c>
      <c r="Q11" s="44" t="s">
        <v>591</v>
      </c>
      <c r="R11" s="168"/>
      <c r="S11" s="168"/>
      <c r="T11" s="168"/>
      <c r="U11" s="168"/>
      <c r="V11" s="168"/>
      <c r="W11" s="168"/>
      <c r="X11" s="168"/>
      <c r="Y11" s="168"/>
      <c r="Z11" s="168"/>
      <c r="AA11" s="168"/>
      <c r="AB11" s="168"/>
    </row>
    <row r="12" spans="1:28">
      <c r="A12" s="79">
        <v>46121</v>
      </c>
      <c r="B12" s="43">
        <v>97810</v>
      </c>
      <c r="C12" s="43">
        <v>94177</v>
      </c>
      <c r="D12" s="44">
        <v>100600.5</v>
      </c>
      <c r="E12" s="44">
        <v>97830</v>
      </c>
      <c r="F12" s="21">
        <f t="shared" si="0"/>
        <v>6.8206674665788891E-2</v>
      </c>
      <c r="G12" s="2">
        <f t="shared" si="1"/>
        <v>0.21826021869304868</v>
      </c>
      <c r="H12" s="2">
        <f t="shared" si="2"/>
        <v>0.27944583333333334</v>
      </c>
      <c r="I12" s="43">
        <v>6.7</v>
      </c>
      <c r="J12" s="44">
        <v>6.8</v>
      </c>
      <c r="K12" s="21">
        <f t="shared" si="3"/>
        <v>1.4925373134328304E-2</v>
      </c>
      <c r="L12" s="22">
        <f t="shared" si="4"/>
        <v>0.77033018362252481</v>
      </c>
      <c r="M12" s="48">
        <v>1</v>
      </c>
      <c r="N12" s="48">
        <v>0.74839999999999995</v>
      </c>
      <c r="O12" s="320">
        <v>12669.93</v>
      </c>
      <c r="P12" s="44" t="s">
        <v>175</v>
      </c>
      <c r="Q12" s="44" t="s">
        <v>591</v>
      </c>
      <c r="R12" s="168"/>
      <c r="S12" s="168"/>
      <c r="T12" s="168"/>
      <c r="U12" s="168"/>
      <c r="V12" s="168"/>
      <c r="W12" s="168"/>
      <c r="X12" s="168"/>
      <c r="Y12" s="168"/>
      <c r="Z12" s="168"/>
      <c r="AA12" s="168"/>
      <c r="AB12" s="168"/>
    </row>
    <row r="13" spans="1:28">
      <c r="A13" s="79">
        <v>46122</v>
      </c>
      <c r="B13" s="43">
        <v>97810</v>
      </c>
      <c r="C13" s="43">
        <v>94177</v>
      </c>
      <c r="D13" s="44">
        <v>102815.9</v>
      </c>
      <c r="E13" s="44">
        <v>99990</v>
      </c>
      <c r="F13" s="21">
        <f t="shared" si="0"/>
        <v>9.1730464975524742E-2</v>
      </c>
      <c r="G13" s="2">
        <f t="shared" si="1"/>
        <v>0.22306669270155341</v>
      </c>
      <c r="H13" s="2">
        <f t="shared" si="2"/>
        <v>0.28559972222222219</v>
      </c>
      <c r="I13" s="43">
        <v>6.7</v>
      </c>
      <c r="J13" s="44">
        <v>6.84</v>
      </c>
      <c r="K13" s="21">
        <f t="shared" si="3"/>
        <v>2.0895522388059654E-2</v>
      </c>
      <c r="L13" s="22">
        <f t="shared" si="4"/>
        <v>0.78269014983001184</v>
      </c>
      <c r="M13" s="48">
        <v>1</v>
      </c>
      <c r="N13" s="48">
        <v>0.96040000000000003</v>
      </c>
      <c r="O13" s="320">
        <v>8413.92</v>
      </c>
      <c r="P13" s="44" t="s">
        <v>175</v>
      </c>
      <c r="Q13" s="44" t="s">
        <v>591</v>
      </c>
      <c r="R13" s="168"/>
      <c r="S13" s="168"/>
      <c r="T13" s="168"/>
      <c r="U13" s="168"/>
      <c r="V13" s="168"/>
      <c r="W13" s="168"/>
      <c r="X13" s="168"/>
      <c r="Y13" s="168"/>
      <c r="Z13" s="168"/>
      <c r="AA13" s="168"/>
      <c r="AB13" s="168"/>
    </row>
    <row r="14" spans="1:28">
      <c r="A14" s="79">
        <v>46123</v>
      </c>
      <c r="B14" s="43">
        <v>97810</v>
      </c>
      <c r="C14" s="43">
        <v>94177</v>
      </c>
      <c r="D14" s="44">
        <v>101079.8</v>
      </c>
      <c r="E14" s="44">
        <v>98280</v>
      </c>
      <c r="F14" s="21">
        <f t="shared" si="0"/>
        <v>7.3296027692536431E-2</v>
      </c>
      <c r="G14" s="2">
        <f t="shared" si="1"/>
        <v>0.21930009546125143</v>
      </c>
      <c r="H14" s="2">
        <f t="shared" si="2"/>
        <v>0.28077722222222223</v>
      </c>
      <c r="I14" s="43">
        <v>6.7</v>
      </c>
      <c r="J14" s="44">
        <v>6.7</v>
      </c>
      <c r="K14" s="21">
        <f t="shared" si="3"/>
        <v>0</v>
      </c>
      <c r="L14" s="22">
        <f t="shared" si="4"/>
        <v>0.78555258075672152</v>
      </c>
      <c r="M14" s="48">
        <v>1</v>
      </c>
      <c r="N14" s="48">
        <v>1</v>
      </c>
      <c r="O14" s="320">
        <v>0</v>
      </c>
      <c r="P14" s="44" t="s">
        <v>175</v>
      </c>
      <c r="Q14" s="44" t="s">
        <v>175</v>
      </c>
      <c r="R14" s="168"/>
      <c r="S14" s="168"/>
      <c r="T14" s="168"/>
      <c r="U14" s="168"/>
      <c r="V14" s="168"/>
      <c r="W14" s="168"/>
      <c r="X14" s="168"/>
      <c r="Y14" s="168"/>
      <c r="Z14" s="168"/>
      <c r="AA14" s="168"/>
      <c r="AB14" s="168"/>
    </row>
    <row r="15" spans="1:28">
      <c r="A15" s="79">
        <v>46124</v>
      </c>
      <c r="B15" s="43">
        <v>97810</v>
      </c>
      <c r="C15" s="43">
        <v>94177</v>
      </c>
      <c r="D15" s="44">
        <v>101541.2</v>
      </c>
      <c r="E15" s="44">
        <v>98640</v>
      </c>
      <c r="F15" s="21">
        <f t="shared" si="0"/>
        <v>7.8195313080688458E-2</v>
      </c>
      <c r="G15" s="2">
        <f t="shared" si="1"/>
        <v>0.22030113685672134</v>
      </c>
      <c r="H15" s="2">
        <f t="shared" si="2"/>
        <v>0.28205888888888886</v>
      </c>
      <c r="I15" s="43">
        <v>6.7</v>
      </c>
      <c r="J15" s="44">
        <v>6.72</v>
      </c>
      <c r="K15" s="21">
        <f t="shared" si="3"/>
        <v>2.9850746268656079E-3</v>
      </c>
      <c r="L15" s="22">
        <f t="shared" si="4"/>
        <v>0.78678977448829057</v>
      </c>
      <c r="M15" s="48">
        <v>1</v>
      </c>
      <c r="N15" s="48">
        <v>1</v>
      </c>
      <c r="O15" s="320">
        <v>0</v>
      </c>
      <c r="P15" s="44" t="s">
        <v>175</v>
      </c>
      <c r="Q15" s="44" t="s">
        <v>175</v>
      </c>
      <c r="R15" s="168"/>
      <c r="S15" s="168"/>
      <c r="T15" s="168"/>
      <c r="U15" s="168"/>
      <c r="V15" s="168"/>
      <c r="W15" s="168"/>
      <c r="X15" s="168"/>
      <c r="Y15" s="168"/>
      <c r="Z15" s="168"/>
      <c r="AA15" s="168"/>
      <c r="AB15" s="168"/>
    </row>
    <row r="16" spans="1:28">
      <c r="A16" s="79">
        <v>46125</v>
      </c>
      <c r="B16" s="43">
        <v>97810</v>
      </c>
      <c r="C16" s="43">
        <v>94177</v>
      </c>
      <c r="D16" s="44">
        <v>103364.9</v>
      </c>
      <c r="E16" s="44">
        <v>100530</v>
      </c>
      <c r="F16" s="21">
        <f t="shared" si="0"/>
        <v>9.7559913779372814E-2</v>
      </c>
      <c r="G16" s="2">
        <f t="shared" si="1"/>
        <v>0.22425778877028552</v>
      </c>
      <c r="H16" s="2">
        <f t="shared" si="2"/>
        <v>0.28712472222222218</v>
      </c>
      <c r="I16" s="43">
        <v>6.7</v>
      </c>
      <c r="J16" s="44">
        <v>6.8</v>
      </c>
      <c r="K16" s="21">
        <f t="shared" si="3"/>
        <v>1.4925373134328304E-2</v>
      </c>
      <c r="L16" s="22">
        <f t="shared" si="4"/>
        <v>0.79149807801277239</v>
      </c>
      <c r="M16" s="48">
        <v>1</v>
      </c>
      <c r="N16" s="48">
        <v>1</v>
      </c>
      <c r="O16" s="320">
        <v>0</v>
      </c>
      <c r="P16" s="44" t="s">
        <v>175</v>
      </c>
      <c r="Q16" s="44" t="s">
        <v>175</v>
      </c>
      <c r="R16" s="168"/>
      <c r="S16" s="168"/>
      <c r="T16" s="168"/>
      <c r="U16" s="168"/>
      <c r="V16" s="168"/>
      <c r="W16" s="168"/>
      <c r="X16" s="168"/>
      <c r="Y16" s="168"/>
      <c r="Z16" s="168"/>
      <c r="AA16" s="168"/>
      <c r="AB16" s="168"/>
    </row>
    <row r="17" spans="1:28">
      <c r="A17" s="79">
        <v>46126</v>
      </c>
      <c r="B17" s="43">
        <v>97810</v>
      </c>
      <c r="C17" s="43">
        <v>94177</v>
      </c>
      <c r="D17" s="44">
        <v>107865</v>
      </c>
      <c r="E17" s="44">
        <v>104760</v>
      </c>
      <c r="F17" s="21">
        <f t="shared" si="0"/>
        <v>0.14534334285441244</v>
      </c>
      <c r="G17" s="2">
        <f t="shared" si="1"/>
        <v>0.23402108825826606</v>
      </c>
      <c r="H17" s="2">
        <f t="shared" si="2"/>
        <v>0.29962499999999997</v>
      </c>
      <c r="I17" s="43">
        <v>6.7</v>
      </c>
      <c r="J17" s="44">
        <v>7.18</v>
      </c>
      <c r="K17" s="21">
        <f t="shared" si="3"/>
        <v>7.1641791044776054E-2</v>
      </c>
      <c r="L17" s="22">
        <f t="shared" si="4"/>
        <v>0.78224319194963599</v>
      </c>
      <c r="M17" s="48">
        <v>1</v>
      </c>
      <c r="N17" s="48">
        <v>0.95989999999999998</v>
      </c>
      <c r="O17" s="320">
        <v>9377.59</v>
      </c>
      <c r="P17" s="44" t="s">
        <v>175</v>
      </c>
      <c r="Q17" s="44" t="s">
        <v>591</v>
      </c>
      <c r="R17" s="168"/>
      <c r="S17" s="168"/>
      <c r="T17" s="168"/>
      <c r="U17" s="168"/>
      <c r="V17" s="168"/>
      <c r="W17" s="168"/>
      <c r="X17" s="168"/>
      <c r="Y17" s="168"/>
      <c r="Z17" s="168"/>
      <c r="AA17" s="168"/>
      <c r="AB17" s="168"/>
    </row>
    <row r="18" spans="1:28">
      <c r="A18" s="79">
        <v>46127</v>
      </c>
      <c r="B18" s="43">
        <v>97810</v>
      </c>
      <c r="C18" s="43">
        <v>94177</v>
      </c>
      <c r="D18" s="44">
        <v>105548</v>
      </c>
      <c r="E18" s="44">
        <v>102690</v>
      </c>
      <c r="F18" s="21">
        <f t="shared" si="0"/>
        <v>0.12074073287533049</v>
      </c>
      <c r="G18" s="2">
        <f t="shared" si="1"/>
        <v>0.22899418554195955</v>
      </c>
      <c r="H18" s="2">
        <f t="shared" si="2"/>
        <v>0.29318888888888889</v>
      </c>
      <c r="I18" s="43">
        <v>6.7</v>
      </c>
      <c r="J18" s="44">
        <v>7.13</v>
      </c>
      <c r="K18" s="21">
        <f t="shared" si="3"/>
        <v>6.4179104477611895E-2</v>
      </c>
      <c r="L18" s="22">
        <f t="shared" si="4"/>
        <v>0.77080791767279522</v>
      </c>
      <c r="M18" s="48">
        <v>1</v>
      </c>
      <c r="N18" s="48">
        <v>0.96040000000000003</v>
      </c>
      <c r="O18" s="320">
        <v>13831.12</v>
      </c>
      <c r="P18" s="44" t="s">
        <v>175</v>
      </c>
      <c r="Q18" s="44" t="s">
        <v>591</v>
      </c>
      <c r="R18" s="168"/>
      <c r="S18" s="168"/>
      <c r="T18" s="168"/>
      <c r="U18" s="168"/>
      <c r="V18" s="168"/>
      <c r="W18" s="168"/>
      <c r="X18" s="168"/>
      <c r="Y18" s="168"/>
      <c r="Z18" s="168"/>
      <c r="AA18" s="168"/>
      <c r="AB18" s="168"/>
    </row>
    <row r="19" spans="1:28">
      <c r="A19" s="79">
        <v>46128</v>
      </c>
      <c r="B19" s="43">
        <v>97810</v>
      </c>
      <c r="C19" s="43">
        <v>94177</v>
      </c>
      <c r="D19" s="44">
        <v>105308</v>
      </c>
      <c r="E19" s="44">
        <v>102420</v>
      </c>
      <c r="F19" s="21">
        <f t="shared" si="0"/>
        <v>0.1181923399556155</v>
      </c>
      <c r="G19" s="2">
        <f t="shared" si="1"/>
        <v>0.2284734878069947</v>
      </c>
      <c r="H19" s="2">
        <f t="shared" si="2"/>
        <v>0.29252222222222224</v>
      </c>
      <c r="I19" s="43">
        <v>6.7</v>
      </c>
      <c r="J19" s="44">
        <v>7</v>
      </c>
      <c r="K19" s="21">
        <f t="shared" si="3"/>
        <v>4.4776119402985044E-2</v>
      </c>
      <c r="L19" s="22">
        <f t="shared" si="4"/>
        <v>0.78333767248112474</v>
      </c>
      <c r="M19" s="48">
        <v>1</v>
      </c>
      <c r="N19" s="48">
        <v>0.96419999999999995</v>
      </c>
      <c r="O19" s="320">
        <v>6565.7</v>
      </c>
      <c r="P19" s="44" t="s">
        <v>175</v>
      </c>
      <c r="Q19" s="44" t="s">
        <v>591</v>
      </c>
      <c r="R19" s="168"/>
      <c r="S19" s="168"/>
      <c r="T19" s="168"/>
      <c r="U19" s="168"/>
      <c r="V19" s="168"/>
      <c r="W19" s="168"/>
      <c r="X19" s="168"/>
      <c r="Y19" s="168"/>
      <c r="Z19" s="168"/>
      <c r="AA19" s="168"/>
      <c r="AB19" s="168"/>
    </row>
    <row r="20" spans="1:28">
      <c r="A20" s="79">
        <v>46129</v>
      </c>
      <c r="B20" s="43">
        <v>97810</v>
      </c>
      <c r="C20" s="43">
        <v>94177</v>
      </c>
      <c r="D20" s="44">
        <v>101868</v>
      </c>
      <c r="E20" s="44">
        <v>98820</v>
      </c>
      <c r="F20" s="21">
        <f t="shared" si="0"/>
        <v>8.1665374773033761E-2</v>
      </c>
      <c r="G20" s="2">
        <f t="shared" si="1"/>
        <v>0.22101015360583182</v>
      </c>
      <c r="H20" s="2">
        <f t="shared" si="2"/>
        <v>0.28296666666666664</v>
      </c>
      <c r="I20" s="43">
        <v>6.7</v>
      </c>
      <c r="J20" s="44">
        <v>6.82</v>
      </c>
      <c r="K20" s="21">
        <f t="shared" si="3"/>
        <v>1.7910447761194045E-2</v>
      </c>
      <c r="L20" s="22">
        <f t="shared" si="4"/>
        <v>0.777748341134892</v>
      </c>
      <c r="M20" s="48">
        <v>1</v>
      </c>
      <c r="N20" s="48">
        <v>0.9456</v>
      </c>
      <c r="O20" s="320">
        <v>11393.4</v>
      </c>
      <c r="P20" s="44" t="s">
        <v>175</v>
      </c>
      <c r="Q20" s="44" t="s">
        <v>591</v>
      </c>
      <c r="R20" s="168"/>
      <c r="S20" s="168"/>
      <c r="T20" s="168"/>
      <c r="U20" s="168"/>
      <c r="V20" s="168"/>
      <c r="W20" s="168"/>
      <c r="X20" s="168"/>
      <c r="Y20" s="168"/>
      <c r="Z20" s="168"/>
      <c r="AA20" s="168"/>
      <c r="AB20" s="168"/>
    </row>
    <row r="21" spans="1:28">
      <c r="A21" s="79">
        <v>46130</v>
      </c>
      <c r="B21" s="43">
        <v>97810</v>
      </c>
      <c r="C21" s="43">
        <v>94177</v>
      </c>
      <c r="D21" s="44">
        <v>104899</v>
      </c>
      <c r="E21" s="44">
        <v>101790</v>
      </c>
      <c r="F21" s="21">
        <f t="shared" si="0"/>
        <v>0.11384945368826783</v>
      </c>
      <c r="G21" s="2">
        <f t="shared" si="1"/>
        <v>0.22758613208365877</v>
      </c>
      <c r="H21" s="2">
        <f t="shared" si="2"/>
        <v>0.29138611111111112</v>
      </c>
      <c r="I21" s="43">
        <v>6.7</v>
      </c>
      <c r="J21" s="44">
        <v>6.96</v>
      </c>
      <c r="K21" s="21">
        <f t="shared" si="3"/>
        <v>3.8805970149253702E-2</v>
      </c>
      <c r="L21" s="22">
        <f t="shared" si="4"/>
        <v>0.78477976580571995</v>
      </c>
      <c r="M21" s="48">
        <v>1</v>
      </c>
      <c r="N21" s="48">
        <v>0.96850000000000003</v>
      </c>
      <c r="O21" s="320">
        <v>7363.56</v>
      </c>
      <c r="P21" s="44" t="s">
        <v>175</v>
      </c>
      <c r="Q21" s="44" t="s">
        <v>591</v>
      </c>
      <c r="R21" s="168"/>
      <c r="S21" s="168"/>
      <c r="T21" s="168"/>
      <c r="U21" s="168"/>
      <c r="V21" s="168"/>
      <c r="W21" s="168"/>
      <c r="X21" s="168"/>
      <c r="Y21" s="168"/>
      <c r="Z21" s="168"/>
      <c r="AA21" s="168"/>
      <c r="AB21" s="168"/>
    </row>
    <row r="22" spans="1:28">
      <c r="A22" s="79">
        <v>46131</v>
      </c>
      <c r="B22" s="43">
        <v>97810</v>
      </c>
      <c r="C22" s="43">
        <v>94177</v>
      </c>
      <c r="D22" s="44">
        <v>104850</v>
      </c>
      <c r="E22" s="44">
        <v>101970</v>
      </c>
      <c r="F22" s="21">
        <f t="shared" si="0"/>
        <v>0.11332915680049269</v>
      </c>
      <c r="G22" s="2">
        <f t="shared" si="1"/>
        <v>0.22747982296277011</v>
      </c>
      <c r="H22" s="2">
        <f t="shared" si="2"/>
        <v>0.29125000000000001</v>
      </c>
      <c r="I22" s="43">
        <v>6.7</v>
      </c>
      <c r="J22" s="44">
        <v>7.11</v>
      </c>
      <c r="K22" s="21">
        <f t="shared" si="3"/>
        <v>6.119402985074629E-2</v>
      </c>
      <c r="L22" s="22">
        <f t="shared" si="4"/>
        <v>0.76786438130892853</v>
      </c>
      <c r="M22" s="48">
        <v>1</v>
      </c>
      <c r="N22" s="48">
        <v>0.89300000000000002</v>
      </c>
      <c r="O22" s="320">
        <v>17529.59</v>
      </c>
      <c r="P22" s="44" t="s">
        <v>175</v>
      </c>
      <c r="Q22" s="44" t="s">
        <v>591</v>
      </c>
      <c r="R22" s="168"/>
      <c r="S22" s="168"/>
      <c r="T22" s="168"/>
      <c r="U22" s="168"/>
      <c r="V22" s="168"/>
      <c r="W22" s="168"/>
      <c r="X22" s="168"/>
      <c r="Y22" s="168"/>
      <c r="Z22" s="168"/>
      <c r="AA22" s="168"/>
      <c r="AB22" s="168"/>
    </row>
    <row r="23" spans="1:28">
      <c r="A23" s="79">
        <v>46132</v>
      </c>
      <c r="B23" s="43">
        <v>97810</v>
      </c>
      <c r="C23" s="43">
        <v>94177</v>
      </c>
      <c r="D23" s="44">
        <v>104215</v>
      </c>
      <c r="E23" s="44">
        <v>101430</v>
      </c>
      <c r="F23" s="21">
        <f t="shared" si="0"/>
        <v>0.10658653386708007</v>
      </c>
      <c r="G23" s="2">
        <f t="shared" si="1"/>
        <v>0.22610214353900893</v>
      </c>
      <c r="H23" s="2">
        <f t="shared" si="2"/>
        <v>0.28948611111111111</v>
      </c>
      <c r="I23" s="43">
        <v>6.7</v>
      </c>
      <c r="J23" s="44">
        <v>7</v>
      </c>
      <c r="K23" s="21">
        <f t="shared" si="3"/>
        <v>4.4776119402985044E-2</v>
      </c>
      <c r="L23" s="22">
        <f t="shared" si="4"/>
        <v>0.77520734927660206</v>
      </c>
      <c r="M23" s="48">
        <v>1</v>
      </c>
      <c r="N23" s="48">
        <v>0.95230000000000004</v>
      </c>
      <c r="O23" s="320">
        <v>10824.09</v>
      </c>
      <c r="P23" s="44" t="s">
        <v>175</v>
      </c>
      <c r="Q23" s="44" t="s">
        <v>591</v>
      </c>
      <c r="R23" s="168"/>
      <c r="S23" s="168"/>
      <c r="T23" s="168"/>
      <c r="U23" s="168"/>
      <c r="V23" s="168"/>
      <c r="W23" s="168"/>
      <c r="X23" s="168"/>
      <c r="Y23" s="168"/>
      <c r="Z23" s="168"/>
      <c r="AA23" s="168"/>
      <c r="AB23" s="168"/>
    </row>
    <row r="24" spans="1:28">
      <c r="A24" s="79">
        <v>46133</v>
      </c>
      <c r="B24" s="43">
        <v>97810</v>
      </c>
      <c r="C24" s="43">
        <v>94177</v>
      </c>
      <c r="D24" s="44">
        <v>104958</v>
      </c>
      <c r="E24" s="44">
        <v>101970</v>
      </c>
      <c r="F24" s="21">
        <f t="shared" si="0"/>
        <v>0.11447593361436444</v>
      </c>
      <c r="G24" s="2">
        <f t="shared" si="1"/>
        <v>0.22771413694350429</v>
      </c>
      <c r="H24" s="2">
        <f t="shared" si="2"/>
        <v>0.29154999999999998</v>
      </c>
      <c r="I24" s="43">
        <v>6.7</v>
      </c>
      <c r="J24" s="44">
        <v>7.05</v>
      </c>
      <c r="K24" s="21">
        <f t="shared" si="3"/>
        <v>5.2238805970149196E-2</v>
      </c>
      <c r="L24" s="22">
        <f t="shared" si="4"/>
        <v>0.77519706193533378</v>
      </c>
      <c r="M24" s="48">
        <v>1</v>
      </c>
      <c r="N24" s="48">
        <v>0.94679999999999997</v>
      </c>
      <c r="O24" s="320">
        <v>12540.04</v>
      </c>
      <c r="P24" s="44" t="s">
        <v>175</v>
      </c>
      <c r="Q24" s="44" t="s">
        <v>591</v>
      </c>
      <c r="R24" s="422" t="s">
        <v>592</v>
      </c>
      <c r="S24" s="422"/>
      <c r="T24" s="422"/>
      <c r="U24" s="422"/>
      <c r="V24" s="422"/>
      <c r="W24" s="422"/>
      <c r="X24" s="422"/>
      <c r="Y24" s="422"/>
      <c r="Z24" s="422"/>
      <c r="AA24" s="422"/>
      <c r="AB24" s="422"/>
    </row>
    <row r="25" spans="1:28">
      <c r="A25" s="79">
        <v>46134</v>
      </c>
      <c r="B25" s="43">
        <v>97810</v>
      </c>
      <c r="C25" s="43">
        <v>94177</v>
      </c>
      <c r="D25" s="44">
        <v>105216</v>
      </c>
      <c r="E25" s="44">
        <v>102330</v>
      </c>
      <c r="F25" s="21">
        <f t="shared" si="0"/>
        <v>0.11721545600305808</v>
      </c>
      <c r="G25" s="2">
        <f t="shared" si="1"/>
        <v>0.22827388700859153</v>
      </c>
      <c r="H25" s="2">
        <f t="shared" si="2"/>
        <v>0.29226666666666667</v>
      </c>
      <c r="I25" s="43">
        <v>6.7</v>
      </c>
      <c r="J25" s="44">
        <v>6.96</v>
      </c>
      <c r="K25" s="21">
        <f t="shared" si="3"/>
        <v>3.8805970149253702E-2</v>
      </c>
      <c r="L25" s="22">
        <f t="shared" si="4"/>
        <v>0.78715133451238462</v>
      </c>
      <c r="M25" s="48">
        <v>1</v>
      </c>
      <c r="N25" s="48">
        <v>0.9345</v>
      </c>
      <c r="O25" s="320">
        <v>14696.68</v>
      </c>
      <c r="P25" s="44" t="s">
        <v>175</v>
      </c>
      <c r="Q25" s="44" t="s">
        <v>591</v>
      </c>
      <c r="R25" s="168"/>
      <c r="S25" s="168"/>
      <c r="T25" s="168"/>
      <c r="U25" s="168"/>
      <c r="V25" s="168"/>
      <c r="W25" s="168"/>
      <c r="X25" s="168"/>
      <c r="Y25" s="168"/>
      <c r="Z25" s="168"/>
      <c r="AA25" s="168"/>
      <c r="AB25" s="168"/>
    </row>
    <row r="26" spans="1:28">
      <c r="A26" s="79">
        <v>46135</v>
      </c>
      <c r="B26" s="43">
        <v>97810</v>
      </c>
      <c r="C26" s="43">
        <v>94177</v>
      </c>
      <c r="D26" s="44">
        <v>109433</v>
      </c>
      <c r="E26" s="44">
        <v>106200</v>
      </c>
      <c r="F26" s="21">
        <f t="shared" si="0"/>
        <v>0.16199284326321714</v>
      </c>
      <c r="G26" s="2">
        <f t="shared" si="1"/>
        <v>0.23742298012670313</v>
      </c>
      <c r="H26" s="2">
        <f t="shared" si="1"/>
        <v>0.23040874772194742</v>
      </c>
      <c r="I26" s="43">
        <v>6.7</v>
      </c>
      <c r="J26" s="44">
        <v>7.26</v>
      </c>
      <c r="K26" s="21">
        <f t="shared" si="3"/>
        <v>8.3582089552238739E-2</v>
      </c>
      <c r="L26" s="22">
        <f t="shared" si="4"/>
        <v>0.78486935579075412</v>
      </c>
      <c r="M26" s="48">
        <v>1</v>
      </c>
      <c r="N26" s="48">
        <v>1</v>
      </c>
      <c r="O26" s="320">
        <v>8688.2999999999993</v>
      </c>
      <c r="P26" s="44" t="s">
        <v>175</v>
      </c>
      <c r="Q26" s="44" t="s">
        <v>591</v>
      </c>
      <c r="R26" s="168"/>
      <c r="S26" s="168"/>
      <c r="T26" s="168"/>
      <c r="U26" s="168"/>
      <c r="V26" s="168"/>
      <c r="W26" s="168"/>
      <c r="X26" s="168"/>
      <c r="Y26" s="168"/>
      <c r="Z26" s="168"/>
      <c r="AA26" s="168"/>
      <c r="AB26" s="168"/>
    </row>
    <row r="27" spans="1:28">
      <c r="A27" s="79">
        <v>46136</v>
      </c>
      <c r="B27" s="43">
        <v>97810</v>
      </c>
      <c r="C27" s="43">
        <v>94177</v>
      </c>
      <c r="D27" s="44">
        <v>109427.6</v>
      </c>
      <c r="E27" s="44">
        <v>106380</v>
      </c>
      <c r="F27" s="21">
        <f t="shared" si="0"/>
        <v>0.16193550442252361</v>
      </c>
      <c r="G27" s="2">
        <f t="shared" si="1"/>
        <v>0.23741126442766641</v>
      </c>
      <c r="H27" s="2">
        <f t="shared" si="1"/>
        <v>0.23079927102317105</v>
      </c>
      <c r="I27" s="43">
        <v>6.7</v>
      </c>
      <c r="J27" s="44">
        <v>7.18</v>
      </c>
      <c r="K27" s="21">
        <f t="shared" si="3"/>
        <v>7.1641791044776054E-2</v>
      </c>
      <c r="L27" s="22">
        <f t="shared" si="4"/>
        <v>0.79357525713983212</v>
      </c>
      <c r="M27" s="48">
        <v>1</v>
      </c>
      <c r="N27" s="48">
        <v>0.98309999999999997</v>
      </c>
      <c r="O27" s="320">
        <v>4319.24</v>
      </c>
      <c r="P27" s="44" t="s">
        <v>175</v>
      </c>
      <c r="Q27" s="44" t="s">
        <v>591</v>
      </c>
      <c r="R27" s="168"/>
      <c r="S27" s="168"/>
      <c r="T27" s="168"/>
      <c r="U27" s="168"/>
      <c r="V27" s="168"/>
      <c r="W27" s="168"/>
      <c r="X27" s="168"/>
      <c r="Y27" s="168"/>
      <c r="Z27" s="168"/>
      <c r="AA27" s="168"/>
      <c r="AB27" s="168"/>
    </row>
    <row r="28" spans="1:28">
      <c r="A28" s="79">
        <v>46137</v>
      </c>
      <c r="B28" s="43">
        <v>97810</v>
      </c>
      <c r="C28" s="43">
        <v>94177</v>
      </c>
      <c r="D28" s="44">
        <v>105235.3</v>
      </c>
      <c r="E28" s="44">
        <v>102330</v>
      </c>
      <c r="F28" s="21">
        <f t="shared" si="0"/>
        <v>0.11742038926701852</v>
      </c>
      <c r="G28" s="2">
        <f t="shared" si="1"/>
        <v>0.22831575978477828</v>
      </c>
      <c r="H28" s="2">
        <f t="shared" ref="H28:H33" si="5">E28/($D$2*24)</f>
        <v>0.22201249674563917</v>
      </c>
      <c r="I28" s="43">
        <v>6.7</v>
      </c>
      <c r="J28" s="44">
        <v>6.91</v>
      </c>
      <c r="K28" s="21">
        <f t="shared" si="3"/>
        <v>3.1343283582089543E-2</v>
      </c>
      <c r="L28" s="22">
        <f t="shared" si="4"/>
        <v>0.79299250865914317</v>
      </c>
      <c r="M28" s="48">
        <v>1</v>
      </c>
      <c r="N28" s="48">
        <v>1</v>
      </c>
      <c r="O28" s="320">
        <v>0</v>
      </c>
      <c r="P28" s="44" t="s">
        <v>175</v>
      </c>
      <c r="Q28" s="44" t="s">
        <v>175</v>
      </c>
      <c r="R28" s="168"/>
      <c r="S28" s="168"/>
      <c r="T28" s="168"/>
      <c r="U28" s="168"/>
      <c r="V28" s="168"/>
      <c r="W28" s="168"/>
      <c r="X28" s="168"/>
      <c r="Y28" s="168"/>
      <c r="Z28" s="168"/>
      <c r="AA28" s="168"/>
      <c r="AB28" s="168"/>
    </row>
    <row r="29" spans="1:28">
      <c r="A29" s="79">
        <v>46138</v>
      </c>
      <c r="B29" s="43">
        <v>97810</v>
      </c>
      <c r="C29" s="43">
        <v>94177</v>
      </c>
      <c r="D29" s="44">
        <v>105734.8</v>
      </c>
      <c r="E29" s="44">
        <v>102780</v>
      </c>
      <c r="F29" s="21">
        <f t="shared" si="0"/>
        <v>0.12272423203117537</v>
      </c>
      <c r="G29" s="2">
        <f t="shared" ref="G29:G65" si="6">D29/($D$2*24)</f>
        <v>0.22939946194567387</v>
      </c>
      <c r="H29" s="2">
        <f t="shared" si="5"/>
        <v>0.22298880499869825</v>
      </c>
      <c r="I29" s="43">
        <v>6.7</v>
      </c>
      <c r="J29" s="44">
        <v>6.95</v>
      </c>
      <c r="K29" s="21">
        <f t="shared" si="3"/>
        <v>3.7313432835820892E-2</v>
      </c>
      <c r="L29" s="22">
        <f t="shared" si="4"/>
        <v>0.792170803841176</v>
      </c>
      <c r="M29" s="48">
        <v>1</v>
      </c>
      <c r="N29" s="48">
        <v>0.94279999999999997</v>
      </c>
      <c r="O29" s="320">
        <v>14419.91</v>
      </c>
      <c r="P29" s="44" t="s">
        <v>175</v>
      </c>
      <c r="Q29" s="44" t="s">
        <v>591</v>
      </c>
      <c r="R29" s="168"/>
      <c r="S29" s="168"/>
      <c r="T29" s="168"/>
      <c r="U29" s="168"/>
      <c r="V29" s="168"/>
      <c r="W29" s="168"/>
      <c r="X29" s="168"/>
      <c r="Y29" s="168"/>
      <c r="Z29" s="168"/>
      <c r="AA29" s="168"/>
      <c r="AB29" s="168"/>
    </row>
    <row r="30" spans="1:28">
      <c r="A30" s="79">
        <v>46139</v>
      </c>
      <c r="B30" s="43">
        <v>97810</v>
      </c>
      <c r="C30" s="43">
        <v>94177</v>
      </c>
      <c r="D30" s="44">
        <v>103561.8</v>
      </c>
      <c r="E30" s="44">
        <v>100620</v>
      </c>
      <c r="F30" s="21">
        <f t="shared" si="0"/>
        <v>9.9650657803922432E-2</v>
      </c>
      <c r="G30" s="2">
        <f t="shared" si="6"/>
        <v>0.22468497787034628</v>
      </c>
      <c r="H30" s="2">
        <f t="shared" si="5"/>
        <v>0.21830252538401457</v>
      </c>
      <c r="I30" s="43">
        <v>6.7</v>
      </c>
      <c r="J30" s="44">
        <v>6.68</v>
      </c>
      <c r="K30" s="21">
        <f t="shared" si="3"/>
        <v>-2.9850746268657406E-3</v>
      </c>
      <c r="L30" s="22">
        <f t="shared" si="4"/>
        <v>0.80725141749825013</v>
      </c>
      <c r="M30" s="48">
        <v>1</v>
      </c>
      <c r="N30" s="48">
        <v>0.95079999999999998</v>
      </c>
      <c r="O30" s="320">
        <v>11541.56</v>
      </c>
      <c r="P30" s="44" t="s">
        <v>175</v>
      </c>
      <c r="Q30" s="44" t="s">
        <v>591</v>
      </c>
      <c r="R30" s="168"/>
      <c r="S30" s="168"/>
      <c r="T30" s="168"/>
      <c r="U30" s="168"/>
      <c r="V30" s="168"/>
      <c r="W30" s="168"/>
      <c r="X30" s="168"/>
      <c r="Y30" s="168"/>
      <c r="Z30" s="168"/>
      <c r="AA30" s="168"/>
      <c r="AB30" s="168"/>
    </row>
    <row r="31" spans="1:28">
      <c r="A31" s="79">
        <v>46140</v>
      </c>
      <c r="B31" s="43">
        <v>97810</v>
      </c>
      <c r="C31" s="43">
        <v>94177</v>
      </c>
      <c r="D31" s="44">
        <v>106191.6</v>
      </c>
      <c r="E31" s="44">
        <v>103050</v>
      </c>
      <c r="F31" s="21">
        <f t="shared" si="0"/>
        <v>0.12757467322169963</v>
      </c>
      <c r="G31" s="2">
        <f t="shared" si="6"/>
        <v>0.23039052330122364</v>
      </c>
      <c r="H31" s="2">
        <f t="shared" si="5"/>
        <v>0.22357458995053373</v>
      </c>
      <c r="I31" s="43">
        <v>6.7</v>
      </c>
      <c r="J31" s="44">
        <v>6.84</v>
      </c>
      <c r="K31" s="21">
        <f t="shared" si="3"/>
        <v>2.0895522388059654E-2</v>
      </c>
      <c r="L31" s="22">
        <f t="shared" si="4"/>
        <v>0.80838780105692498</v>
      </c>
      <c r="M31" s="48">
        <v>1</v>
      </c>
      <c r="N31" s="48">
        <v>0.93769999999999998</v>
      </c>
      <c r="O31" s="320">
        <v>14752.33</v>
      </c>
      <c r="P31" s="44" t="s">
        <v>175</v>
      </c>
      <c r="Q31" s="44" t="s">
        <v>591</v>
      </c>
      <c r="R31" s="168"/>
      <c r="S31" s="168"/>
      <c r="T31" s="168"/>
      <c r="U31" s="168"/>
      <c r="V31" s="168"/>
      <c r="W31" s="168"/>
      <c r="X31" s="168"/>
      <c r="Y31" s="168"/>
      <c r="Z31" s="168"/>
      <c r="AA31" s="168"/>
      <c r="AB31" s="168"/>
    </row>
    <row r="32" spans="1:28">
      <c r="A32" s="79">
        <v>46141</v>
      </c>
      <c r="B32" s="43">
        <v>97810</v>
      </c>
      <c r="C32" s="43">
        <v>94177</v>
      </c>
      <c r="D32" s="44">
        <v>105248.7</v>
      </c>
      <c r="E32" s="44">
        <v>102510</v>
      </c>
      <c r="F32" s="21">
        <f t="shared" si="0"/>
        <v>0.11756267453836922</v>
      </c>
      <c r="G32" s="2">
        <f t="shared" si="6"/>
        <v>0.22834483207498046</v>
      </c>
      <c r="H32" s="2">
        <f t="shared" si="5"/>
        <v>0.2224030200468628</v>
      </c>
      <c r="I32" s="43">
        <v>6.7</v>
      </c>
      <c r="J32" s="44">
        <v>6.85</v>
      </c>
      <c r="K32" s="21">
        <f t="shared" si="3"/>
        <v>2.2388059701492456E-2</v>
      </c>
      <c r="L32" s="22">
        <f t="shared" si="4"/>
        <v>0.80004028756197532</v>
      </c>
      <c r="M32" s="48">
        <v>1</v>
      </c>
      <c r="N32" s="48">
        <v>0.93220000000000003</v>
      </c>
      <c r="O32" s="320">
        <v>16127.67</v>
      </c>
      <c r="P32" s="44" t="s">
        <v>175</v>
      </c>
      <c r="Q32" s="44" t="s">
        <v>591</v>
      </c>
      <c r="R32" s="168"/>
      <c r="S32" s="168"/>
      <c r="T32" s="168"/>
      <c r="U32" s="168"/>
      <c r="V32" s="168"/>
      <c r="W32" s="168"/>
      <c r="X32" s="168"/>
      <c r="Y32" s="168"/>
      <c r="Z32" s="168"/>
      <c r="AA32" s="168"/>
      <c r="AB32" s="168"/>
    </row>
    <row r="33" spans="1:28">
      <c r="A33" s="79">
        <v>46142</v>
      </c>
      <c r="B33" s="43">
        <v>97810</v>
      </c>
      <c r="C33" s="43">
        <v>94177</v>
      </c>
      <c r="D33" s="44">
        <v>97894.9</v>
      </c>
      <c r="E33" s="44">
        <v>95220</v>
      </c>
      <c r="F33" s="21">
        <f t="shared" si="0"/>
        <v>3.9477791817535003E-2</v>
      </c>
      <c r="G33" s="2">
        <f t="shared" si="6"/>
        <v>0.21239021956087822</v>
      </c>
      <c r="H33" s="2">
        <f t="shared" si="5"/>
        <v>0.20658682634730538</v>
      </c>
      <c r="I33" s="43">
        <v>6.7</v>
      </c>
      <c r="J33" s="44">
        <v>6.34</v>
      </c>
      <c r="K33" s="21">
        <f t="shared" si="3"/>
        <v>-5.3731343283582138E-2</v>
      </c>
      <c r="L33" s="22">
        <f t="shared" si="4"/>
        <v>0.80400083114528043</v>
      </c>
      <c r="M33" s="48">
        <v>1</v>
      </c>
      <c r="N33" s="48">
        <v>0.93340000000000001</v>
      </c>
      <c r="O33" s="320">
        <v>14171.94</v>
      </c>
      <c r="P33" s="44" t="s">
        <v>175</v>
      </c>
      <c r="Q33" s="44" t="s">
        <v>591</v>
      </c>
      <c r="R33" s="168"/>
      <c r="S33" s="168"/>
      <c r="T33" s="168"/>
      <c r="U33" s="168"/>
      <c r="V33" s="168"/>
      <c r="W33" s="168"/>
      <c r="X33" s="168"/>
      <c r="Y33" s="168"/>
      <c r="Z33" s="168"/>
      <c r="AA33" s="168"/>
      <c r="AB33" s="168"/>
    </row>
    <row r="34" spans="1:28">
      <c r="A34" s="349">
        <v>46113</v>
      </c>
      <c r="B34" s="80">
        <f>SUM(B4:B33)</f>
        <v>2934300</v>
      </c>
      <c r="C34" s="80">
        <f>SUM(C4:C33)</f>
        <v>2825310</v>
      </c>
      <c r="D34" s="80">
        <f>SUM(D4:D33)</f>
        <v>3015184.9</v>
      </c>
      <c r="E34" s="80">
        <f>SUM(E4:E33)</f>
        <v>2931750</v>
      </c>
      <c r="F34" s="21">
        <f t="shared" si="0"/>
        <v>6.7204979276610316E-2</v>
      </c>
      <c r="G34" s="2">
        <f t="shared" si="6"/>
        <v>6.5416664497092771</v>
      </c>
      <c r="H34" s="81">
        <f>AVERAGE(H4:H33)</f>
        <v>0.26038932051838348</v>
      </c>
      <c r="I34" s="80">
        <f>SUM(I4:I33)</f>
        <v>200.99999999999991</v>
      </c>
      <c r="J34" s="80">
        <f>SUM(J4:J33)</f>
        <v>200.40999999999997</v>
      </c>
      <c r="K34" s="160">
        <f>(IF(ISBLANK(J34),0,J34-I34))/I34</f>
        <v>-2.9353233830843126E-3</v>
      </c>
      <c r="L34" s="81">
        <f>AVERAGE(L4:L33)</f>
        <v>0.78394286645461897</v>
      </c>
      <c r="M34" s="81">
        <f>AVERAGE(M4:M33)</f>
        <v>1</v>
      </c>
      <c r="N34" s="81">
        <f>AVERAGE(N4:N33)</f>
        <v>0.93917666666666666</v>
      </c>
      <c r="O34" s="80">
        <f>SUM(O4:O33)</f>
        <v>332105.73</v>
      </c>
      <c r="P34" s="80">
        <f>SUM(P4:P33)</f>
        <v>0</v>
      </c>
      <c r="Q34" s="80" t="s">
        <v>175</v>
      </c>
      <c r="R34" s="168"/>
      <c r="S34" s="168"/>
      <c r="T34" s="168"/>
      <c r="U34" s="168"/>
      <c r="V34" s="168"/>
      <c r="W34" s="168"/>
      <c r="X34" s="168"/>
      <c r="Y34" s="168"/>
      <c r="Z34" s="168"/>
      <c r="AA34" s="168"/>
      <c r="AB34" s="168"/>
    </row>
    <row r="35" spans="1:28">
      <c r="A35" s="13">
        <v>46143</v>
      </c>
      <c r="B35" s="127">
        <v>97438</v>
      </c>
      <c r="C35" s="337">
        <v>94672</v>
      </c>
      <c r="D35" s="33">
        <v>102792</v>
      </c>
      <c r="E35" s="33">
        <v>99810</v>
      </c>
      <c r="F35" s="21">
        <f t="shared" si="0"/>
        <v>8.5769815785026196E-2</v>
      </c>
      <c r="G35" s="2">
        <f t="shared" si="6"/>
        <v>0.22301483988544649</v>
      </c>
      <c r="H35" s="2">
        <f t="shared" ref="H35:H61" si="7">D35/($H$2*24)</f>
        <v>0.28553333333333331</v>
      </c>
      <c r="I35" s="28">
        <v>6.67</v>
      </c>
      <c r="J35" s="33">
        <v>6.52</v>
      </c>
      <c r="K35" s="20">
        <f>(IF(ISBLANK(J35),0,J35-I35))/I35</f>
        <v>-2.2488755622188959E-2</v>
      </c>
      <c r="L35" s="4">
        <f t="shared" ref="L35:L66" si="8">D35/($D$2*J35)</f>
        <v>0.82091352105072335</v>
      </c>
      <c r="M35" s="103">
        <v>1</v>
      </c>
      <c r="N35" s="103">
        <v>0.92730000000000001</v>
      </c>
      <c r="O35" s="33">
        <v>14492.7</v>
      </c>
      <c r="P35" s="6"/>
      <c r="Q35" s="281" t="s">
        <v>412</v>
      </c>
    </row>
    <row r="36" spans="1:28">
      <c r="A36" s="13">
        <f>A35+1</f>
        <v>46144</v>
      </c>
      <c r="B36" s="127">
        <v>97438</v>
      </c>
      <c r="C36" s="337">
        <v>94672</v>
      </c>
      <c r="D36" s="34">
        <v>104990</v>
      </c>
      <c r="E36" s="34">
        <v>101970</v>
      </c>
      <c r="F36" s="21">
        <f t="shared" si="0"/>
        <v>0.10898681764407639</v>
      </c>
      <c r="G36" s="2">
        <f t="shared" si="6"/>
        <v>0.22778356330816626</v>
      </c>
      <c r="H36" s="2">
        <f t="shared" si="7"/>
        <v>0.29163888888888889</v>
      </c>
      <c r="I36" s="28">
        <v>6.67</v>
      </c>
      <c r="J36" s="34">
        <v>6.93</v>
      </c>
      <c r="K36" s="20">
        <f t="shared" ref="K36:K54" si="9">(IF(ISBLANK(J36),0,J36-I36))/I36</f>
        <v>3.8980509745127408E-2</v>
      </c>
      <c r="L36" s="4">
        <f t="shared" si="8"/>
        <v>0.78886082530966684</v>
      </c>
      <c r="M36" s="103">
        <v>1</v>
      </c>
      <c r="N36" s="103">
        <v>0.93359999999999999</v>
      </c>
      <c r="O36" s="34">
        <v>17449.099999999999</v>
      </c>
      <c r="P36" s="6"/>
      <c r="Q36" s="320" t="s">
        <v>412</v>
      </c>
    </row>
    <row r="37" spans="1:28">
      <c r="A37" s="13">
        <f t="shared" ref="A37:A65" si="10">A36+1</f>
        <v>46145</v>
      </c>
      <c r="B37" s="127">
        <v>97438</v>
      </c>
      <c r="C37" s="337">
        <v>94672</v>
      </c>
      <c r="D37" s="34">
        <v>104042</v>
      </c>
      <c r="E37" s="34">
        <v>101070</v>
      </c>
      <c r="F37" s="21">
        <f t="shared" si="0"/>
        <v>9.897329727902654E-2</v>
      </c>
      <c r="G37" s="2">
        <f t="shared" si="6"/>
        <v>0.22572680725505512</v>
      </c>
      <c r="H37" s="2">
        <f t="shared" si="7"/>
        <v>0.28900555555555557</v>
      </c>
      <c r="I37" s="28">
        <v>6.67</v>
      </c>
      <c r="J37" s="34">
        <v>6.9</v>
      </c>
      <c r="K37" s="20">
        <f t="shared" si="9"/>
        <v>3.4482758620689717E-2</v>
      </c>
      <c r="L37" s="4">
        <f t="shared" si="8"/>
        <v>0.78513672088714825</v>
      </c>
      <c r="M37" s="103">
        <v>1</v>
      </c>
      <c r="N37" s="104">
        <v>0.88429999999999997</v>
      </c>
      <c r="O37" s="34">
        <v>25132</v>
      </c>
      <c r="P37" s="6"/>
      <c r="Q37" s="320" t="s">
        <v>412</v>
      </c>
    </row>
    <row r="38" spans="1:28">
      <c r="A38" s="13">
        <f t="shared" si="10"/>
        <v>46146</v>
      </c>
      <c r="B38" s="127">
        <v>97438</v>
      </c>
      <c r="C38" s="127"/>
      <c r="D38" s="34"/>
      <c r="E38" s="34"/>
      <c r="F38" s="21" t="e">
        <f t="shared" si="0"/>
        <v>#DIV/0!</v>
      </c>
      <c r="G38" s="2">
        <f t="shared" si="6"/>
        <v>0</v>
      </c>
      <c r="H38" s="2">
        <f t="shared" si="7"/>
        <v>0</v>
      </c>
      <c r="I38" s="29"/>
      <c r="J38" s="34"/>
      <c r="K38" s="20" t="e">
        <f t="shared" si="9"/>
        <v>#DIV/0!</v>
      </c>
      <c r="L38" s="4" t="e">
        <f t="shared" si="8"/>
        <v>#DIV/0!</v>
      </c>
      <c r="M38" s="103"/>
      <c r="N38" s="103"/>
      <c r="O38" s="34"/>
      <c r="P38" s="6"/>
      <c r="Q38" s="14"/>
    </row>
    <row r="39" spans="1:28">
      <c r="A39" s="13">
        <f t="shared" si="10"/>
        <v>46147</v>
      </c>
      <c r="B39" s="127">
        <v>97438</v>
      </c>
      <c r="C39" s="127"/>
      <c r="D39" s="34"/>
      <c r="E39" s="34"/>
      <c r="F39" s="21" t="e">
        <f t="shared" si="0"/>
        <v>#DIV/0!</v>
      </c>
      <c r="G39" s="2">
        <f t="shared" si="6"/>
        <v>0</v>
      </c>
      <c r="H39" s="2">
        <f t="shared" si="7"/>
        <v>0</v>
      </c>
      <c r="I39" s="29"/>
      <c r="J39" s="34"/>
      <c r="K39" s="20" t="e">
        <f t="shared" si="9"/>
        <v>#DIV/0!</v>
      </c>
      <c r="L39" s="4" t="e">
        <f t="shared" si="8"/>
        <v>#DIV/0!</v>
      </c>
      <c r="M39" s="103"/>
      <c r="N39" s="103"/>
      <c r="O39" s="34"/>
      <c r="P39" s="6"/>
      <c r="Q39" s="14"/>
    </row>
    <row r="40" spans="1:28">
      <c r="A40" s="13">
        <f t="shared" si="10"/>
        <v>46148</v>
      </c>
      <c r="B40" s="127">
        <v>97438</v>
      </c>
      <c r="C40" s="127"/>
      <c r="D40" s="34"/>
      <c r="E40" s="34"/>
      <c r="F40" s="21" t="e">
        <f t="shared" si="0"/>
        <v>#DIV/0!</v>
      </c>
      <c r="G40" s="2">
        <f t="shared" si="6"/>
        <v>0</v>
      </c>
      <c r="H40" s="2">
        <f t="shared" si="7"/>
        <v>0</v>
      </c>
      <c r="I40" s="29"/>
      <c r="J40" s="34"/>
      <c r="K40" s="20" t="e">
        <f t="shared" si="9"/>
        <v>#DIV/0!</v>
      </c>
      <c r="L40" s="4" t="e">
        <f t="shared" si="8"/>
        <v>#DIV/0!</v>
      </c>
      <c r="M40" s="103"/>
      <c r="N40" s="103"/>
      <c r="O40" s="34"/>
      <c r="P40" s="6"/>
      <c r="Q40" s="14"/>
    </row>
    <row r="41" spans="1:28">
      <c r="A41" s="13">
        <f t="shared" si="10"/>
        <v>46149</v>
      </c>
      <c r="B41" s="127">
        <v>97438</v>
      </c>
      <c r="C41" s="127"/>
      <c r="D41" s="34"/>
      <c r="E41" s="34"/>
      <c r="F41" s="21" t="e">
        <f t="shared" si="0"/>
        <v>#DIV/0!</v>
      </c>
      <c r="G41" s="2">
        <f t="shared" si="6"/>
        <v>0</v>
      </c>
      <c r="H41" s="2">
        <f t="shared" si="7"/>
        <v>0</v>
      </c>
      <c r="I41" s="29"/>
      <c r="J41" s="34"/>
      <c r="K41" s="20" t="e">
        <f t="shared" si="9"/>
        <v>#DIV/0!</v>
      </c>
      <c r="L41" s="4" t="e">
        <f t="shared" si="8"/>
        <v>#DIV/0!</v>
      </c>
      <c r="M41" s="103"/>
      <c r="N41" s="103"/>
      <c r="O41" s="34"/>
      <c r="P41" s="6"/>
      <c r="Q41" s="202"/>
    </row>
    <row r="42" spans="1:28">
      <c r="A42" s="13">
        <f t="shared" si="10"/>
        <v>46150</v>
      </c>
      <c r="B42" s="127">
        <v>97438</v>
      </c>
      <c r="C42" s="127"/>
      <c r="D42" s="34"/>
      <c r="E42" s="34"/>
      <c r="F42" s="21" t="e">
        <f t="shared" si="0"/>
        <v>#DIV/0!</v>
      </c>
      <c r="G42" s="2">
        <f t="shared" si="6"/>
        <v>0</v>
      </c>
      <c r="H42" s="2">
        <f t="shared" si="7"/>
        <v>0</v>
      </c>
      <c r="I42" s="29"/>
      <c r="J42" s="34"/>
      <c r="K42" s="20" t="e">
        <f t="shared" si="9"/>
        <v>#DIV/0!</v>
      </c>
      <c r="L42" s="4" t="e">
        <f t="shared" si="8"/>
        <v>#DIV/0!</v>
      </c>
      <c r="M42" s="103"/>
      <c r="N42" s="103"/>
      <c r="O42" s="34"/>
      <c r="P42" s="6"/>
      <c r="Q42" s="14"/>
    </row>
    <row r="43" spans="1:28">
      <c r="A43" s="13">
        <f t="shared" si="10"/>
        <v>46151</v>
      </c>
      <c r="B43" s="127">
        <v>97438</v>
      </c>
      <c r="C43" s="127"/>
      <c r="D43" s="34"/>
      <c r="E43" s="34"/>
      <c r="F43" s="21" t="e">
        <f t="shared" si="0"/>
        <v>#DIV/0!</v>
      </c>
      <c r="G43" s="2">
        <f t="shared" si="6"/>
        <v>0</v>
      </c>
      <c r="H43" s="2">
        <f t="shared" si="7"/>
        <v>0</v>
      </c>
      <c r="I43" s="29"/>
      <c r="J43" s="34"/>
      <c r="K43" s="20" t="e">
        <f t="shared" si="9"/>
        <v>#DIV/0!</v>
      </c>
      <c r="L43" s="4" t="e">
        <f t="shared" si="8"/>
        <v>#DIV/0!</v>
      </c>
      <c r="M43" s="103"/>
      <c r="N43" s="103"/>
      <c r="O43" s="34"/>
      <c r="P43" s="6"/>
      <c r="Q43" s="6"/>
    </row>
    <row r="44" spans="1:28">
      <c r="A44" s="13">
        <f t="shared" si="10"/>
        <v>46152</v>
      </c>
      <c r="B44" s="127">
        <v>97438</v>
      </c>
      <c r="C44" s="127"/>
      <c r="D44" s="34"/>
      <c r="E44" s="34"/>
      <c r="F44" s="21" t="e">
        <f t="shared" si="0"/>
        <v>#DIV/0!</v>
      </c>
      <c r="G44" s="2">
        <f t="shared" si="6"/>
        <v>0</v>
      </c>
      <c r="H44" s="2">
        <f t="shared" si="7"/>
        <v>0</v>
      </c>
      <c r="I44" s="29"/>
      <c r="J44" s="34"/>
      <c r="K44" s="20" t="e">
        <f t="shared" si="9"/>
        <v>#DIV/0!</v>
      </c>
      <c r="L44" s="4" t="e">
        <f t="shared" si="8"/>
        <v>#DIV/0!</v>
      </c>
      <c r="M44" s="103"/>
      <c r="N44" s="103"/>
      <c r="O44" s="34"/>
      <c r="P44" s="6"/>
      <c r="Q44" s="16"/>
    </row>
    <row r="45" spans="1:28">
      <c r="A45" s="13">
        <f t="shared" si="10"/>
        <v>46153</v>
      </c>
      <c r="B45" s="127">
        <v>97438</v>
      </c>
      <c r="C45" s="127"/>
      <c r="D45" s="34"/>
      <c r="E45" s="34"/>
      <c r="F45" s="21" t="e">
        <f t="shared" si="0"/>
        <v>#DIV/0!</v>
      </c>
      <c r="G45" s="2">
        <f t="shared" si="6"/>
        <v>0</v>
      </c>
      <c r="H45" s="2">
        <f t="shared" si="7"/>
        <v>0</v>
      </c>
      <c r="I45" s="29"/>
      <c r="J45" s="34"/>
      <c r="K45" s="20" t="e">
        <f t="shared" si="9"/>
        <v>#DIV/0!</v>
      </c>
      <c r="L45" s="4" t="e">
        <f t="shared" si="8"/>
        <v>#DIV/0!</v>
      </c>
      <c r="M45" s="103"/>
      <c r="N45" s="103"/>
      <c r="O45" s="34"/>
      <c r="P45" s="6"/>
      <c r="Q45" s="6"/>
    </row>
    <row r="46" spans="1:28">
      <c r="A46" s="13">
        <f t="shared" si="10"/>
        <v>46154</v>
      </c>
      <c r="B46" s="127">
        <v>97438</v>
      </c>
      <c r="C46" s="127"/>
      <c r="D46" s="34"/>
      <c r="E46" s="34"/>
      <c r="F46" s="21" t="e">
        <f t="shared" si="0"/>
        <v>#DIV/0!</v>
      </c>
      <c r="G46" s="2">
        <f t="shared" si="6"/>
        <v>0</v>
      </c>
      <c r="H46" s="2">
        <f t="shared" si="7"/>
        <v>0</v>
      </c>
      <c r="I46" s="29"/>
      <c r="J46" s="34"/>
      <c r="K46" s="20" t="e">
        <f t="shared" si="9"/>
        <v>#DIV/0!</v>
      </c>
      <c r="L46" s="4" t="e">
        <f t="shared" si="8"/>
        <v>#DIV/0!</v>
      </c>
      <c r="M46" s="104"/>
      <c r="N46" s="103"/>
      <c r="O46" s="34"/>
      <c r="P46" s="6"/>
      <c r="Q46" s="6"/>
    </row>
    <row r="47" spans="1:28">
      <c r="A47" s="13">
        <f t="shared" si="10"/>
        <v>46155</v>
      </c>
      <c r="B47" s="127">
        <v>97438</v>
      </c>
      <c r="C47" s="127"/>
      <c r="D47" s="34"/>
      <c r="E47" s="34"/>
      <c r="F47" s="21" t="e">
        <f t="shared" si="0"/>
        <v>#DIV/0!</v>
      </c>
      <c r="G47" s="2">
        <f t="shared" si="6"/>
        <v>0</v>
      </c>
      <c r="H47" s="2">
        <f t="shared" si="7"/>
        <v>0</v>
      </c>
      <c r="I47" s="29"/>
      <c r="J47" s="34"/>
      <c r="K47" s="20" t="e">
        <f t="shared" si="9"/>
        <v>#DIV/0!</v>
      </c>
      <c r="L47" s="4" t="e">
        <f t="shared" si="8"/>
        <v>#DIV/0!</v>
      </c>
      <c r="M47" s="104"/>
      <c r="N47" s="103"/>
      <c r="O47" s="34"/>
      <c r="P47" s="6"/>
      <c r="Q47" s="31"/>
    </row>
    <row r="48" spans="1:28">
      <c r="A48" s="13">
        <f t="shared" si="10"/>
        <v>46156</v>
      </c>
      <c r="B48" s="127">
        <v>97438</v>
      </c>
      <c r="C48" s="127"/>
      <c r="D48" s="34"/>
      <c r="E48" s="34"/>
      <c r="F48" s="21" t="e">
        <f t="shared" si="0"/>
        <v>#DIV/0!</v>
      </c>
      <c r="G48" s="2">
        <f t="shared" si="6"/>
        <v>0</v>
      </c>
      <c r="H48" s="2">
        <f t="shared" si="7"/>
        <v>0</v>
      </c>
      <c r="I48" s="29"/>
      <c r="J48" s="34"/>
      <c r="K48" s="20" t="e">
        <f t="shared" si="9"/>
        <v>#DIV/0!</v>
      </c>
      <c r="L48" s="4" t="e">
        <f t="shared" si="8"/>
        <v>#DIV/0!</v>
      </c>
      <c r="M48" s="104"/>
      <c r="N48" s="103"/>
      <c r="O48" s="34"/>
      <c r="P48" s="6"/>
      <c r="Q48" s="32"/>
    </row>
    <row r="49" spans="1:17">
      <c r="A49" s="13">
        <f t="shared" si="10"/>
        <v>46157</v>
      </c>
      <c r="B49" s="127">
        <v>97438</v>
      </c>
      <c r="C49" s="127"/>
      <c r="D49" s="34"/>
      <c r="E49" s="34"/>
      <c r="F49" s="21" t="e">
        <f t="shared" si="0"/>
        <v>#DIV/0!</v>
      </c>
      <c r="G49" s="2">
        <f t="shared" si="6"/>
        <v>0</v>
      </c>
      <c r="H49" s="2">
        <f t="shared" si="7"/>
        <v>0</v>
      </c>
      <c r="I49" s="29"/>
      <c r="J49" s="34"/>
      <c r="K49" s="20" t="e">
        <f t="shared" si="9"/>
        <v>#DIV/0!</v>
      </c>
      <c r="L49" s="4" t="e">
        <f t="shared" si="8"/>
        <v>#DIV/0!</v>
      </c>
      <c r="M49" s="104"/>
      <c r="N49" s="103"/>
      <c r="O49" s="34"/>
      <c r="P49" s="6"/>
      <c r="Q49" s="32"/>
    </row>
    <row r="50" spans="1:17">
      <c r="A50" s="13">
        <f t="shared" si="10"/>
        <v>46158</v>
      </c>
      <c r="B50" s="127">
        <v>97438</v>
      </c>
      <c r="C50" s="127"/>
      <c r="D50" s="34"/>
      <c r="E50" s="34"/>
      <c r="F50" s="21" t="e">
        <f t="shared" si="0"/>
        <v>#DIV/0!</v>
      </c>
      <c r="G50" s="2">
        <f t="shared" si="6"/>
        <v>0</v>
      </c>
      <c r="H50" s="2">
        <f t="shared" si="7"/>
        <v>0</v>
      </c>
      <c r="I50" s="29"/>
      <c r="J50" s="34"/>
      <c r="K50" s="20" t="e">
        <f t="shared" si="9"/>
        <v>#DIV/0!</v>
      </c>
      <c r="L50" s="4" t="e">
        <f t="shared" si="8"/>
        <v>#DIV/0!</v>
      </c>
      <c r="M50" s="104"/>
      <c r="N50" s="103"/>
      <c r="O50" s="34"/>
      <c r="P50" s="6"/>
      <c r="Q50" s="32"/>
    </row>
    <row r="51" spans="1:17">
      <c r="A51" s="13">
        <f t="shared" si="10"/>
        <v>46159</v>
      </c>
      <c r="B51" s="127">
        <v>97438</v>
      </c>
      <c r="C51" s="127"/>
      <c r="D51" s="34"/>
      <c r="E51" s="34"/>
      <c r="F51" s="21" t="e">
        <f t="shared" si="0"/>
        <v>#DIV/0!</v>
      </c>
      <c r="G51" s="2">
        <f t="shared" si="6"/>
        <v>0</v>
      </c>
      <c r="H51" s="2">
        <f t="shared" si="7"/>
        <v>0</v>
      </c>
      <c r="I51" s="29"/>
      <c r="J51" s="34"/>
      <c r="K51" s="20" t="e">
        <f t="shared" si="9"/>
        <v>#DIV/0!</v>
      </c>
      <c r="L51" s="4" t="e">
        <f t="shared" si="8"/>
        <v>#DIV/0!</v>
      </c>
      <c r="M51" s="103"/>
      <c r="N51" s="103"/>
      <c r="O51" s="34"/>
      <c r="P51" s="6"/>
      <c r="Q51" s="6"/>
    </row>
    <row r="52" spans="1:17">
      <c r="A52" s="13">
        <f t="shared" si="10"/>
        <v>46160</v>
      </c>
      <c r="B52" s="127">
        <v>97438</v>
      </c>
      <c r="C52" s="127"/>
      <c r="D52" s="34"/>
      <c r="E52" s="34"/>
      <c r="F52" s="21" t="e">
        <f t="shared" si="0"/>
        <v>#DIV/0!</v>
      </c>
      <c r="G52" s="2">
        <f t="shared" si="6"/>
        <v>0</v>
      </c>
      <c r="H52" s="2">
        <f t="shared" si="7"/>
        <v>0</v>
      </c>
      <c r="I52" s="29"/>
      <c r="J52" s="34"/>
      <c r="K52" s="20" t="e">
        <f t="shared" si="9"/>
        <v>#DIV/0!</v>
      </c>
      <c r="L52" s="4" t="e">
        <f t="shared" si="8"/>
        <v>#DIV/0!</v>
      </c>
      <c r="M52" s="103"/>
      <c r="N52" s="103"/>
      <c r="O52" s="34"/>
      <c r="P52" s="6"/>
      <c r="Q52" s="14"/>
    </row>
    <row r="53" spans="1:17">
      <c r="A53" s="13">
        <f t="shared" si="10"/>
        <v>46161</v>
      </c>
      <c r="B53" s="127">
        <v>97438</v>
      </c>
      <c r="C53" s="127"/>
      <c r="D53" s="34"/>
      <c r="E53" s="34"/>
      <c r="F53" s="21" t="e">
        <f t="shared" si="0"/>
        <v>#DIV/0!</v>
      </c>
      <c r="G53" s="2">
        <f t="shared" si="6"/>
        <v>0</v>
      </c>
      <c r="H53" s="2">
        <f t="shared" si="7"/>
        <v>0</v>
      </c>
      <c r="I53" s="29"/>
      <c r="J53" s="34"/>
      <c r="K53" s="20" t="e">
        <f t="shared" si="9"/>
        <v>#DIV/0!</v>
      </c>
      <c r="L53" s="4" t="e">
        <f t="shared" si="8"/>
        <v>#DIV/0!</v>
      </c>
      <c r="M53" s="103"/>
      <c r="N53" s="103"/>
      <c r="O53" s="34"/>
      <c r="P53" s="6"/>
      <c r="Q53" s="14"/>
    </row>
    <row r="54" spans="1:17">
      <c r="A54" s="13">
        <f t="shared" si="10"/>
        <v>46162</v>
      </c>
      <c r="B54" s="127">
        <v>97438</v>
      </c>
      <c r="C54" s="127"/>
      <c r="D54" s="34"/>
      <c r="E54" s="34"/>
      <c r="F54" s="21" t="e">
        <f t="shared" si="0"/>
        <v>#DIV/0!</v>
      </c>
      <c r="G54" s="2">
        <f t="shared" si="6"/>
        <v>0</v>
      </c>
      <c r="H54" s="2">
        <f t="shared" si="7"/>
        <v>0</v>
      </c>
      <c r="I54" s="29"/>
      <c r="J54" s="34"/>
      <c r="K54" s="20" t="e">
        <f t="shared" si="9"/>
        <v>#DIV/0!</v>
      </c>
      <c r="L54" s="4" t="e">
        <f t="shared" si="8"/>
        <v>#DIV/0!</v>
      </c>
      <c r="M54" s="103"/>
      <c r="N54" s="103"/>
      <c r="O54" s="34"/>
      <c r="P54" s="6"/>
      <c r="Q54" s="14"/>
    </row>
    <row r="55" spans="1:17">
      <c r="A55" s="13">
        <f t="shared" si="10"/>
        <v>46163</v>
      </c>
      <c r="B55" s="127">
        <v>97438</v>
      </c>
      <c r="C55" s="127"/>
      <c r="D55" s="34"/>
      <c r="E55" s="34"/>
      <c r="F55" s="21" t="e">
        <f t="shared" si="0"/>
        <v>#DIV/0!</v>
      </c>
      <c r="G55" s="2">
        <f t="shared" si="6"/>
        <v>0</v>
      </c>
      <c r="H55" s="2">
        <f t="shared" si="7"/>
        <v>0</v>
      </c>
      <c r="I55" s="29"/>
      <c r="J55" s="34"/>
      <c r="K55" s="20" t="e">
        <f>(IF(ISBLANK(J55),0,J55-I55))/I55</f>
        <v>#DIV/0!</v>
      </c>
      <c r="L55" s="4" t="e">
        <f t="shared" si="8"/>
        <v>#DIV/0!</v>
      </c>
      <c r="M55" s="103"/>
      <c r="N55" s="103"/>
      <c r="O55" s="34"/>
      <c r="P55" s="6"/>
      <c r="Q55" s="6"/>
    </row>
    <row r="56" spans="1:17">
      <c r="A56" s="13">
        <f t="shared" si="10"/>
        <v>46164</v>
      </c>
      <c r="B56" s="127">
        <v>97438</v>
      </c>
      <c r="C56" s="127"/>
      <c r="D56" s="34"/>
      <c r="E56" s="34"/>
      <c r="F56" s="21" t="e">
        <f t="shared" si="0"/>
        <v>#DIV/0!</v>
      </c>
      <c r="G56" s="2">
        <f t="shared" si="6"/>
        <v>0</v>
      </c>
      <c r="H56" s="2">
        <f t="shared" si="7"/>
        <v>0</v>
      </c>
      <c r="I56" s="29"/>
      <c r="J56" s="34"/>
      <c r="K56" s="20" t="e">
        <f t="shared" ref="K56:K65" si="11">(IF(ISBLANK(J56),0,J56-I56))/I56</f>
        <v>#DIV/0!</v>
      </c>
      <c r="L56" s="4" t="e">
        <f t="shared" si="8"/>
        <v>#DIV/0!</v>
      </c>
      <c r="M56" s="103"/>
      <c r="N56" s="103"/>
      <c r="O56" s="34"/>
      <c r="P56" s="6"/>
      <c r="Q56" s="6"/>
    </row>
    <row r="57" spans="1:17">
      <c r="A57" s="13">
        <f t="shared" si="10"/>
        <v>46165</v>
      </c>
      <c r="B57" s="127">
        <v>97438</v>
      </c>
      <c r="C57" s="127"/>
      <c r="D57" s="14"/>
      <c r="E57" s="14"/>
      <c r="F57" s="21" t="e">
        <f t="shared" si="0"/>
        <v>#DIV/0!</v>
      </c>
      <c r="G57" s="2">
        <f t="shared" si="6"/>
        <v>0</v>
      </c>
      <c r="H57" s="2">
        <f t="shared" si="7"/>
        <v>0</v>
      </c>
      <c r="I57" s="29"/>
      <c r="J57" s="14"/>
      <c r="K57" s="20" t="e">
        <f t="shared" si="11"/>
        <v>#DIV/0!</v>
      </c>
      <c r="L57" s="4" t="e">
        <f t="shared" si="8"/>
        <v>#DIV/0!</v>
      </c>
      <c r="M57" s="103"/>
      <c r="N57" s="103"/>
      <c r="O57" s="34"/>
      <c r="P57" s="6"/>
      <c r="Q57" s="6"/>
    </row>
    <row r="58" spans="1:17">
      <c r="A58" s="13">
        <f t="shared" si="10"/>
        <v>46166</v>
      </c>
      <c r="B58" s="127">
        <v>97438</v>
      </c>
      <c r="C58" s="127"/>
      <c r="D58" s="14"/>
      <c r="E58" s="14"/>
      <c r="F58" s="21" t="e">
        <f t="shared" si="0"/>
        <v>#DIV/0!</v>
      </c>
      <c r="G58" s="2">
        <f t="shared" si="6"/>
        <v>0</v>
      </c>
      <c r="H58" s="2">
        <f t="shared" si="7"/>
        <v>0</v>
      </c>
      <c r="I58" s="29"/>
      <c r="J58" s="14"/>
      <c r="K58" s="20" t="e">
        <f t="shared" si="11"/>
        <v>#DIV/0!</v>
      </c>
      <c r="L58" s="4" t="e">
        <f t="shared" si="8"/>
        <v>#DIV/0!</v>
      </c>
      <c r="M58" s="103"/>
      <c r="N58" s="103"/>
      <c r="O58" s="34"/>
      <c r="P58" s="6"/>
      <c r="Q58" s="288"/>
    </row>
    <row r="59" spans="1:17">
      <c r="A59" s="13">
        <f t="shared" si="10"/>
        <v>46167</v>
      </c>
      <c r="B59" s="127">
        <v>97438</v>
      </c>
      <c r="C59" s="1"/>
      <c r="D59" s="14"/>
      <c r="E59" s="14"/>
      <c r="F59" s="21" t="e">
        <f t="shared" si="0"/>
        <v>#DIV/0!</v>
      </c>
      <c r="G59" s="2">
        <f t="shared" si="6"/>
        <v>0</v>
      </c>
      <c r="H59" s="2">
        <f t="shared" si="7"/>
        <v>0</v>
      </c>
      <c r="I59" s="29"/>
      <c r="J59" s="14"/>
      <c r="K59" s="20" t="e">
        <f t="shared" si="11"/>
        <v>#DIV/0!</v>
      </c>
      <c r="L59" s="4" t="e">
        <f t="shared" si="8"/>
        <v>#DIV/0!</v>
      </c>
      <c r="M59" s="103"/>
      <c r="N59" s="103"/>
      <c r="O59" s="34"/>
      <c r="P59" s="155"/>
      <c r="Q59" s="6"/>
    </row>
    <row r="60" spans="1:17">
      <c r="A60" s="13">
        <f t="shared" si="10"/>
        <v>46168</v>
      </c>
      <c r="B60" s="127">
        <v>97438</v>
      </c>
      <c r="C60" s="1"/>
      <c r="D60" s="14"/>
      <c r="E60" s="14"/>
      <c r="F60" s="21" t="e">
        <f t="shared" si="0"/>
        <v>#DIV/0!</v>
      </c>
      <c r="G60" s="2">
        <f t="shared" si="6"/>
        <v>0</v>
      </c>
      <c r="H60" s="2">
        <f t="shared" si="7"/>
        <v>0</v>
      </c>
      <c r="I60" s="29"/>
      <c r="J60" s="14"/>
      <c r="K60" s="20" t="e">
        <f t="shared" si="11"/>
        <v>#DIV/0!</v>
      </c>
      <c r="L60" s="4" t="e">
        <f t="shared" si="8"/>
        <v>#DIV/0!</v>
      </c>
      <c r="M60" s="103"/>
      <c r="N60" s="103"/>
      <c r="O60" s="34"/>
      <c r="P60" s="6"/>
      <c r="Q60" s="123"/>
    </row>
    <row r="61" spans="1:17">
      <c r="A61" s="13">
        <f t="shared" si="10"/>
        <v>46169</v>
      </c>
      <c r="B61" s="127">
        <v>97438</v>
      </c>
      <c r="C61" s="1"/>
      <c r="D61" s="14"/>
      <c r="E61" s="14"/>
      <c r="F61" s="21" t="e">
        <f t="shared" si="0"/>
        <v>#DIV/0!</v>
      </c>
      <c r="G61" s="2">
        <f t="shared" si="6"/>
        <v>0</v>
      </c>
      <c r="H61" s="2">
        <f t="shared" si="7"/>
        <v>0</v>
      </c>
      <c r="I61" s="29"/>
      <c r="J61" s="14"/>
      <c r="K61" s="20" t="e">
        <f t="shared" si="11"/>
        <v>#DIV/0!</v>
      </c>
      <c r="L61" s="4" t="e">
        <f t="shared" si="8"/>
        <v>#DIV/0!</v>
      </c>
      <c r="M61" s="103"/>
      <c r="N61" s="103"/>
      <c r="O61" s="34"/>
      <c r="P61" s="6"/>
      <c r="Q61" s="6"/>
    </row>
    <row r="62" spans="1:17">
      <c r="A62" s="13">
        <f t="shared" si="10"/>
        <v>46170</v>
      </c>
      <c r="B62" s="127">
        <v>97438</v>
      </c>
      <c r="C62" s="1"/>
      <c r="D62" s="14"/>
      <c r="E62" s="14"/>
      <c r="F62" s="21" t="e">
        <f t="shared" si="0"/>
        <v>#DIV/0!</v>
      </c>
      <c r="G62" s="2">
        <f t="shared" si="6"/>
        <v>0</v>
      </c>
      <c r="H62" s="2">
        <f t="shared" ref="H62:H65" si="12">D62/($H$2*24)</f>
        <v>0</v>
      </c>
      <c r="I62" s="29"/>
      <c r="J62" s="14"/>
      <c r="K62" s="20" t="e">
        <f t="shared" si="11"/>
        <v>#DIV/0!</v>
      </c>
      <c r="L62" s="4" t="e">
        <f t="shared" si="8"/>
        <v>#DIV/0!</v>
      </c>
      <c r="M62" s="103"/>
      <c r="N62" s="103"/>
      <c r="O62" s="34"/>
      <c r="P62" s="6"/>
      <c r="Q62" s="6"/>
    </row>
    <row r="63" spans="1:17">
      <c r="A63" s="13">
        <f t="shared" si="10"/>
        <v>46171</v>
      </c>
      <c r="B63" s="127">
        <v>97438</v>
      </c>
      <c r="C63" s="1"/>
      <c r="D63" s="14"/>
      <c r="E63" s="14"/>
      <c r="F63" s="21" t="e">
        <f t="shared" si="0"/>
        <v>#DIV/0!</v>
      </c>
      <c r="G63" s="2">
        <f t="shared" si="6"/>
        <v>0</v>
      </c>
      <c r="H63" s="2">
        <f t="shared" si="12"/>
        <v>0</v>
      </c>
      <c r="I63" s="29"/>
      <c r="J63" s="14"/>
      <c r="K63" s="20" t="e">
        <f t="shared" si="11"/>
        <v>#DIV/0!</v>
      </c>
      <c r="L63" s="4" t="e">
        <f t="shared" si="8"/>
        <v>#DIV/0!</v>
      </c>
      <c r="M63" s="103"/>
      <c r="N63" s="103"/>
      <c r="O63" s="34"/>
      <c r="P63" s="6"/>
      <c r="Q63" s="6"/>
    </row>
    <row r="64" spans="1:17">
      <c r="A64" s="13">
        <f t="shared" si="10"/>
        <v>46172</v>
      </c>
      <c r="B64" s="127">
        <v>97438</v>
      </c>
      <c r="C64" s="1"/>
      <c r="D64" s="14"/>
      <c r="E64" s="14"/>
      <c r="F64" s="21" t="e">
        <f t="shared" si="0"/>
        <v>#DIV/0!</v>
      </c>
      <c r="G64" s="2">
        <f t="shared" si="6"/>
        <v>0</v>
      </c>
      <c r="H64" s="2">
        <f t="shared" si="12"/>
        <v>0</v>
      </c>
      <c r="I64" s="29"/>
      <c r="J64" s="14"/>
      <c r="K64" s="20" t="e">
        <f t="shared" si="11"/>
        <v>#DIV/0!</v>
      </c>
      <c r="L64" s="4" t="e">
        <f t="shared" si="8"/>
        <v>#DIV/0!</v>
      </c>
      <c r="M64" s="103"/>
      <c r="N64" s="103"/>
      <c r="O64" s="34"/>
      <c r="P64" s="6"/>
      <c r="Q64" s="6"/>
    </row>
    <row r="65" spans="1:17">
      <c r="A65" s="13">
        <f t="shared" si="10"/>
        <v>46173</v>
      </c>
      <c r="B65" s="127">
        <v>97438</v>
      </c>
      <c r="C65" s="1"/>
      <c r="D65" s="14"/>
      <c r="E65" s="14"/>
      <c r="F65" s="21" t="e">
        <f t="shared" si="0"/>
        <v>#DIV/0!</v>
      </c>
      <c r="G65" s="2">
        <f t="shared" si="6"/>
        <v>0</v>
      </c>
      <c r="H65" s="2">
        <f t="shared" si="12"/>
        <v>0</v>
      </c>
      <c r="I65" s="29"/>
      <c r="J65" s="14"/>
      <c r="K65" s="20" t="e">
        <f t="shared" si="11"/>
        <v>#DIV/0!</v>
      </c>
      <c r="L65" s="4" t="e">
        <f t="shared" si="8"/>
        <v>#DIV/0!</v>
      </c>
      <c r="M65" s="103"/>
      <c r="N65" s="103"/>
      <c r="O65" s="34"/>
      <c r="P65" s="6"/>
      <c r="Q65" s="6"/>
    </row>
    <row r="66" spans="1:17">
      <c r="A66" s="349">
        <v>46143</v>
      </c>
      <c r="B66" s="89">
        <f>SUM(B35:B65)</f>
        <v>3020578</v>
      </c>
      <c r="C66" s="89">
        <f>SUM(C35:C65)</f>
        <v>284016</v>
      </c>
      <c r="D66" s="89">
        <f>SUM(D35:D65)</f>
        <v>311824</v>
      </c>
      <c r="E66" s="89">
        <f>SUM(E35:E65)</f>
        <v>302850</v>
      </c>
      <c r="F66" s="160">
        <f>(IF(ISBLANK(E66),0,E66-C66))/C66</f>
        <v>6.6313165455467296E-2</v>
      </c>
      <c r="G66" s="90">
        <f>AVERAGE(G35:G65)</f>
        <v>2.1823393885440898E-2</v>
      </c>
      <c r="H66" s="90">
        <f>AVERAGE(H35:H65)</f>
        <v>2.7941218637992829E-2</v>
      </c>
      <c r="I66" s="89">
        <f>SUM(I35:I65)</f>
        <v>20.009999999999998</v>
      </c>
      <c r="J66" s="89">
        <f>SUM(J35:J65)</f>
        <v>20.350000000000001</v>
      </c>
      <c r="K66" s="160">
        <f>(IF(ISBLANK(J66),0,J66-I66))/I66</f>
        <v>1.6991504247876234E-2</v>
      </c>
      <c r="L66" s="161">
        <f t="shared" si="8"/>
        <v>0.79786757006231102</v>
      </c>
      <c r="M66" s="90">
        <f>AVERAGE(M35:M65)</f>
        <v>1</v>
      </c>
      <c r="N66" s="90">
        <f>AVERAGE(N35:N65)</f>
        <v>0.91506666666666669</v>
      </c>
      <c r="O66" s="89">
        <f>SUM(O35:O65)</f>
        <v>57073.8</v>
      </c>
      <c r="P66" s="89">
        <f>SUM(P35:P65)</f>
        <v>0</v>
      </c>
      <c r="Q66" s="19"/>
    </row>
  </sheetData>
  <mergeCells count="5">
    <mergeCell ref="A1:Q1"/>
    <mergeCell ref="B2:C2"/>
    <mergeCell ref="E2:G2"/>
    <mergeCell ref="I2:J2"/>
    <mergeCell ref="R24:AB24"/>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F200-EBBF-4D68-B674-6B2C0B20F60B}">
  <dimension ref="A1:Q66"/>
  <sheetViews>
    <sheetView workbookViewId="0">
      <selection activeCell="C37" sqref="C37"/>
    </sheetView>
  </sheetViews>
  <sheetFormatPr defaultRowHeight="14.5"/>
  <cols>
    <col min="1" max="1" width="11.26953125" bestFit="1" customWidth="1"/>
    <col min="3" max="3" width="9.26953125" bestFit="1" customWidth="1"/>
    <col min="11" max="11" width="10.7265625" customWidth="1"/>
    <col min="17" max="17" width="10.1796875" bestFit="1" customWidth="1"/>
  </cols>
  <sheetData>
    <row r="1" spans="1:17" ht="18.5">
      <c r="A1" s="417" t="s">
        <v>593</v>
      </c>
      <c r="B1" s="418"/>
      <c r="C1" s="418"/>
      <c r="D1" s="418"/>
      <c r="E1" s="418"/>
      <c r="F1" s="418"/>
      <c r="G1" s="418"/>
      <c r="H1" s="418"/>
      <c r="I1" s="418"/>
      <c r="J1" s="418"/>
      <c r="K1" s="418"/>
      <c r="L1" s="418"/>
      <c r="M1" s="418"/>
      <c r="N1" s="418"/>
      <c r="O1" s="418"/>
      <c r="P1" s="418"/>
      <c r="Q1" s="418"/>
    </row>
    <row r="2" spans="1:17" ht="18.5">
      <c r="A2" s="69">
        <v>46138</v>
      </c>
      <c r="B2" s="419" t="s">
        <v>172</v>
      </c>
      <c r="C2" s="416"/>
      <c r="D2" s="70">
        <v>14298</v>
      </c>
      <c r="E2" s="415" t="s">
        <v>173</v>
      </c>
      <c r="F2" s="415"/>
      <c r="G2" s="416"/>
      <c r="H2" s="70">
        <v>11000</v>
      </c>
      <c r="I2" s="415" t="s">
        <v>174</v>
      </c>
      <c r="J2" s="416"/>
      <c r="K2" s="71">
        <v>45651</v>
      </c>
      <c r="L2" s="72" t="s">
        <v>175</v>
      </c>
      <c r="M2" s="72" t="s">
        <v>175</v>
      </c>
      <c r="N2" s="72" t="s">
        <v>175</v>
      </c>
      <c r="O2" s="72" t="s">
        <v>175</v>
      </c>
      <c r="P2" s="72" t="s">
        <v>175</v>
      </c>
      <c r="Q2" s="73" t="s">
        <v>175</v>
      </c>
    </row>
    <row r="3" spans="1:17" ht="65.5">
      <c r="A3" s="74" t="s">
        <v>189</v>
      </c>
      <c r="B3" s="75" t="s">
        <v>3</v>
      </c>
      <c r="C3" s="75" t="s">
        <v>4</v>
      </c>
      <c r="D3" s="75" t="s">
        <v>5</v>
      </c>
      <c r="E3" s="75" t="s">
        <v>6</v>
      </c>
      <c r="F3" s="106" t="s">
        <v>7</v>
      </c>
      <c r="G3" s="75" t="s">
        <v>8</v>
      </c>
      <c r="H3" s="75" t="s">
        <v>9</v>
      </c>
      <c r="I3" s="75" t="s">
        <v>10</v>
      </c>
      <c r="J3" s="75" t="s">
        <v>11</v>
      </c>
      <c r="K3" s="106" t="s">
        <v>12</v>
      </c>
      <c r="L3" s="75" t="s">
        <v>13</v>
      </c>
      <c r="M3" s="75" t="s">
        <v>14</v>
      </c>
      <c r="N3" s="75" t="s">
        <v>15</v>
      </c>
      <c r="O3" s="75" t="s">
        <v>16</v>
      </c>
      <c r="P3" s="75" t="s">
        <v>17</v>
      </c>
      <c r="Q3" s="184" t="s">
        <v>156</v>
      </c>
    </row>
    <row r="4" spans="1:17">
      <c r="A4" s="76">
        <v>46113</v>
      </c>
      <c r="B4" s="36">
        <v>75176</v>
      </c>
      <c r="C4" s="211">
        <v>69632.47</v>
      </c>
      <c r="D4" s="37">
        <v>73999</v>
      </c>
      <c r="E4" s="37">
        <v>71640</v>
      </c>
      <c r="F4" s="21">
        <f t="shared" ref="F4:F26" si="0">(IF(ISBLANK(D4),0,D4-C4))/C4</f>
        <v>6.2708245162063025E-2</v>
      </c>
      <c r="G4" s="2">
        <f t="shared" ref="G4:G26" si="1">D4/($D$2*24)</f>
        <v>0.21564496199934724</v>
      </c>
      <c r="H4" s="2">
        <f t="shared" ref="H4:H26" si="2">D4/($H$2*24)</f>
        <v>0.28029924242424242</v>
      </c>
      <c r="I4" s="361">
        <v>6.733333333</v>
      </c>
      <c r="J4" s="31">
        <v>6.56</v>
      </c>
      <c r="K4" s="21">
        <f t="shared" ref="K4:K26" si="3">(IF(ISBLANK(J4),0,J4-I4))/I4</f>
        <v>-2.5742574209195238E-2</v>
      </c>
      <c r="L4" s="22">
        <f t="shared" ref="L4:L26" si="4">D4/($D$2*J4)</f>
        <v>0.78894498292444115</v>
      </c>
      <c r="M4" s="41">
        <v>1</v>
      </c>
      <c r="N4" s="41">
        <v>0.9607</v>
      </c>
      <c r="O4" s="31">
        <v>6093.36</v>
      </c>
      <c r="P4" s="37" t="s">
        <v>175</v>
      </c>
      <c r="Q4" s="37" t="s">
        <v>412</v>
      </c>
    </row>
    <row r="5" spans="1:17">
      <c r="A5" s="79">
        <v>46114</v>
      </c>
      <c r="B5" s="43">
        <v>75176</v>
      </c>
      <c r="C5" s="169">
        <v>69632.47</v>
      </c>
      <c r="D5" s="44">
        <v>69099.7</v>
      </c>
      <c r="E5" s="44">
        <v>66870</v>
      </c>
      <c r="F5" s="21">
        <f t="shared" si="0"/>
        <v>-7.6511719317152484E-3</v>
      </c>
      <c r="G5" s="2">
        <f t="shared" si="1"/>
        <v>0.20136761551732177</v>
      </c>
      <c r="H5" s="2">
        <f t="shared" si="2"/>
        <v>0.26174128787878786</v>
      </c>
      <c r="I5" s="361">
        <v>6.733333333</v>
      </c>
      <c r="J5" s="32">
        <v>6.19</v>
      </c>
      <c r="K5" s="21">
        <f t="shared" si="3"/>
        <v>-8.0693069261420391E-2</v>
      </c>
      <c r="L5" s="22">
        <f t="shared" si="4"/>
        <v>0.78074681299123128</v>
      </c>
      <c r="M5" s="48">
        <v>1</v>
      </c>
      <c r="N5" s="48">
        <v>0.96399999999999997</v>
      </c>
      <c r="O5" s="32">
        <v>5174.41</v>
      </c>
      <c r="P5" s="44" t="s">
        <v>175</v>
      </c>
      <c r="Q5" s="44" t="s">
        <v>412</v>
      </c>
    </row>
    <row r="6" spans="1:17">
      <c r="A6" s="79">
        <v>46115</v>
      </c>
      <c r="B6" s="43">
        <v>75176</v>
      </c>
      <c r="C6" s="169">
        <v>69632.47</v>
      </c>
      <c r="D6" s="44">
        <v>47581.2</v>
      </c>
      <c r="E6" s="44">
        <v>46080</v>
      </c>
      <c r="F6" s="21">
        <f t="shared" si="0"/>
        <v>-0.31668085305605276</v>
      </c>
      <c r="G6" s="2">
        <f t="shared" si="1"/>
        <v>0.13865925304238355</v>
      </c>
      <c r="H6" s="2">
        <f t="shared" si="2"/>
        <v>0.18023181818181816</v>
      </c>
      <c r="I6" s="361">
        <v>6.733333333</v>
      </c>
      <c r="J6" s="32">
        <v>4.04</v>
      </c>
      <c r="K6" s="21">
        <f t="shared" si="3"/>
        <v>-0.399999999970297</v>
      </c>
      <c r="L6" s="22">
        <f t="shared" si="4"/>
        <v>0.82371833490524882</v>
      </c>
      <c r="M6" s="48">
        <v>1</v>
      </c>
      <c r="N6" s="48">
        <v>1</v>
      </c>
      <c r="O6" s="32">
        <v>0</v>
      </c>
      <c r="P6" s="44" t="s">
        <v>175</v>
      </c>
      <c r="Q6" s="44" t="s">
        <v>175</v>
      </c>
    </row>
    <row r="7" spans="1:17">
      <c r="A7" s="79">
        <v>46116</v>
      </c>
      <c r="B7" s="43">
        <v>75176</v>
      </c>
      <c r="C7" s="169">
        <v>69632.47</v>
      </c>
      <c r="D7" s="44">
        <v>77796.399999999994</v>
      </c>
      <c r="E7" s="44">
        <v>75330</v>
      </c>
      <c r="F7" s="21">
        <f t="shared" si="0"/>
        <v>0.11724314820370429</v>
      </c>
      <c r="G7" s="2">
        <f t="shared" si="1"/>
        <v>0.22671119503893317</v>
      </c>
      <c r="H7" s="2">
        <f t="shared" si="2"/>
        <v>0.2946833333333333</v>
      </c>
      <c r="I7" s="361">
        <v>6.733333333</v>
      </c>
      <c r="J7" s="32">
        <v>7.0410000000000004</v>
      </c>
      <c r="K7" s="21">
        <f t="shared" si="3"/>
        <v>4.5693069358697727E-2</v>
      </c>
      <c r="L7" s="22">
        <f t="shared" si="4"/>
        <v>0.77276930562908619</v>
      </c>
      <c r="M7" s="48">
        <v>1</v>
      </c>
      <c r="N7" s="48">
        <v>1</v>
      </c>
      <c r="O7" s="32">
        <v>0</v>
      </c>
      <c r="P7" s="44" t="s">
        <v>175</v>
      </c>
      <c r="Q7" s="44" t="s">
        <v>175</v>
      </c>
    </row>
    <row r="8" spans="1:17">
      <c r="A8" s="79">
        <v>46117</v>
      </c>
      <c r="B8" s="43">
        <v>75176</v>
      </c>
      <c r="C8" s="169">
        <v>69632.47</v>
      </c>
      <c r="D8" s="44">
        <v>74237.100000000006</v>
      </c>
      <c r="E8" s="44">
        <v>71910</v>
      </c>
      <c r="F8" s="21">
        <f t="shared" si="0"/>
        <v>6.6127626953345245E-2</v>
      </c>
      <c r="G8" s="2">
        <f t="shared" si="1"/>
        <v>0.21633882361169396</v>
      </c>
      <c r="H8" s="2">
        <f t="shared" si="2"/>
        <v>0.28120113636363636</v>
      </c>
      <c r="I8" s="361">
        <v>6.733333333</v>
      </c>
      <c r="J8" s="32">
        <v>6.89</v>
      </c>
      <c r="K8" s="21">
        <f t="shared" si="3"/>
        <v>2.3267326783330013E-2</v>
      </c>
      <c r="L8" s="22">
        <f t="shared" si="4"/>
        <v>0.75357500242099495</v>
      </c>
      <c r="M8" s="48">
        <v>1</v>
      </c>
      <c r="N8" s="48">
        <v>0.90769999999999995</v>
      </c>
      <c r="O8" s="32">
        <v>11107.51</v>
      </c>
      <c r="P8" s="44" t="s">
        <v>175</v>
      </c>
      <c r="Q8" s="44" t="s">
        <v>412</v>
      </c>
    </row>
    <row r="9" spans="1:17">
      <c r="A9" s="79">
        <v>46118</v>
      </c>
      <c r="B9" s="43">
        <v>75176</v>
      </c>
      <c r="C9" s="169">
        <v>69632.47</v>
      </c>
      <c r="D9" s="44">
        <v>76604</v>
      </c>
      <c r="E9" s="44">
        <v>74160</v>
      </c>
      <c r="F9" s="21">
        <f t="shared" si="0"/>
        <v>0.10011895312632166</v>
      </c>
      <c r="G9" s="2">
        <f t="shared" si="1"/>
        <v>0.22323635007227119</v>
      </c>
      <c r="H9" s="2">
        <f t="shared" si="2"/>
        <v>0.29016666666666668</v>
      </c>
      <c r="I9" s="361">
        <v>6.733333333</v>
      </c>
      <c r="J9" s="32">
        <v>6.65</v>
      </c>
      <c r="K9" s="21">
        <f t="shared" si="3"/>
        <v>-1.2376237574870063E-2</v>
      </c>
      <c r="L9" s="22">
        <f t="shared" si="4"/>
        <v>0.80566502281721919</v>
      </c>
      <c r="M9" s="48">
        <v>1</v>
      </c>
      <c r="N9" s="48">
        <v>0.88890000000000002</v>
      </c>
      <c r="O9" s="32">
        <v>12693.07</v>
      </c>
      <c r="P9" s="44" t="s">
        <v>175</v>
      </c>
      <c r="Q9" s="44" t="s">
        <v>412</v>
      </c>
    </row>
    <row r="10" spans="1:17">
      <c r="A10" s="79">
        <v>46119</v>
      </c>
      <c r="B10" s="43">
        <v>75176</v>
      </c>
      <c r="C10" s="169">
        <v>69632.47</v>
      </c>
      <c r="D10" s="44">
        <v>65789.5</v>
      </c>
      <c r="E10" s="44">
        <v>63900</v>
      </c>
      <c r="F10" s="21">
        <f t="shared" si="0"/>
        <v>-5.518933911148062E-2</v>
      </c>
      <c r="G10" s="2">
        <f t="shared" si="1"/>
        <v>0.19172116146780435</v>
      </c>
      <c r="H10" s="2">
        <f t="shared" si="2"/>
        <v>0.2492026515151515</v>
      </c>
      <c r="I10" s="361">
        <v>6.733333333</v>
      </c>
      <c r="J10" s="32">
        <v>5.99</v>
      </c>
      <c r="K10" s="21">
        <f t="shared" si="3"/>
        <v>-0.11039603955992057</v>
      </c>
      <c r="L10" s="22">
        <f t="shared" si="4"/>
        <v>0.76816492073911591</v>
      </c>
      <c r="M10" s="48">
        <v>1</v>
      </c>
      <c r="N10" s="48">
        <v>0.74690000000000001</v>
      </c>
      <c r="O10" s="32">
        <v>27801.11</v>
      </c>
      <c r="P10" s="44" t="s">
        <v>175</v>
      </c>
      <c r="Q10" s="44" t="s">
        <v>412</v>
      </c>
    </row>
    <row r="11" spans="1:17">
      <c r="A11" s="79">
        <v>46120</v>
      </c>
      <c r="B11" s="43">
        <v>75176</v>
      </c>
      <c r="C11" s="169">
        <v>69632.47</v>
      </c>
      <c r="D11" s="44">
        <v>67612.600000000006</v>
      </c>
      <c r="E11" s="44">
        <v>65610</v>
      </c>
      <c r="F11" s="21">
        <f t="shared" si="0"/>
        <v>-2.9007587983019924E-2</v>
      </c>
      <c r="G11" s="2">
        <f t="shared" si="1"/>
        <v>0.19703396745465568</v>
      </c>
      <c r="H11" s="2">
        <f t="shared" si="2"/>
        <v>0.25610833333333338</v>
      </c>
      <c r="I11" s="361">
        <v>6.733333333</v>
      </c>
      <c r="J11" s="32">
        <v>6.87</v>
      </c>
      <c r="K11" s="21">
        <f t="shared" si="3"/>
        <v>2.0297029753480061E-2</v>
      </c>
      <c r="L11" s="22">
        <f t="shared" si="4"/>
        <v>0.68832827058394996</v>
      </c>
      <c r="M11" s="48">
        <v>1</v>
      </c>
      <c r="N11" s="48">
        <v>0.75409999999999999</v>
      </c>
      <c r="O11" s="32">
        <v>29675.07</v>
      </c>
      <c r="P11" s="44" t="s">
        <v>175</v>
      </c>
      <c r="Q11" s="44" t="s">
        <v>412</v>
      </c>
    </row>
    <row r="12" spans="1:17">
      <c r="A12" s="79">
        <v>46121</v>
      </c>
      <c r="B12" s="43">
        <v>75176</v>
      </c>
      <c r="C12" s="169">
        <v>69632.47</v>
      </c>
      <c r="D12" s="44">
        <v>76459</v>
      </c>
      <c r="E12" s="44">
        <v>73980</v>
      </c>
      <c r="F12" s="21">
        <f t="shared" si="0"/>
        <v>9.8036591262668102E-2</v>
      </c>
      <c r="G12" s="2">
        <f t="shared" si="1"/>
        <v>0.22281379680141744</v>
      </c>
      <c r="H12" s="2">
        <f t="shared" si="2"/>
        <v>0.28961742424242426</v>
      </c>
      <c r="I12" s="361">
        <v>6.733333333</v>
      </c>
      <c r="J12" s="32">
        <v>6.73</v>
      </c>
      <c r="K12" s="21">
        <f t="shared" si="3"/>
        <v>-4.9504945546999333E-4</v>
      </c>
      <c r="L12" s="22">
        <f t="shared" si="4"/>
        <v>0.79458114758306364</v>
      </c>
      <c r="M12" s="48">
        <v>1</v>
      </c>
      <c r="N12" s="48">
        <v>0.94089999999999996</v>
      </c>
      <c r="O12" s="32">
        <v>8486.3700000000008</v>
      </c>
      <c r="P12" s="44" t="s">
        <v>175</v>
      </c>
      <c r="Q12" s="44" t="s">
        <v>412</v>
      </c>
    </row>
    <row r="13" spans="1:17">
      <c r="A13" s="79">
        <v>46122</v>
      </c>
      <c r="B13" s="43">
        <v>75176</v>
      </c>
      <c r="C13" s="169">
        <v>69632.47</v>
      </c>
      <c r="D13" s="44">
        <v>79653.8</v>
      </c>
      <c r="E13" s="44">
        <v>77040</v>
      </c>
      <c r="F13" s="21">
        <f t="shared" si="0"/>
        <v>0.14391748562129136</v>
      </c>
      <c r="G13" s="2">
        <f t="shared" si="1"/>
        <v>0.23212395673054506</v>
      </c>
      <c r="H13" s="2">
        <f t="shared" si="2"/>
        <v>0.3017189393939394</v>
      </c>
      <c r="I13" s="361">
        <v>6.733333333</v>
      </c>
      <c r="J13" s="32">
        <v>6.9</v>
      </c>
      <c r="K13" s="21">
        <f t="shared" si="3"/>
        <v>2.4752475298255121E-2</v>
      </c>
      <c r="L13" s="22">
        <f t="shared" si="4"/>
        <v>0.80738767558450453</v>
      </c>
      <c r="M13" s="48">
        <v>1</v>
      </c>
      <c r="N13" s="48">
        <v>0.96020000000000005</v>
      </c>
      <c r="O13" s="32">
        <v>6443.13</v>
      </c>
      <c r="P13" s="44" t="s">
        <v>175</v>
      </c>
      <c r="Q13" s="44" t="s">
        <v>412</v>
      </c>
    </row>
    <row r="14" spans="1:17">
      <c r="A14" s="79">
        <v>46123</v>
      </c>
      <c r="B14" s="43">
        <v>75176</v>
      </c>
      <c r="C14" s="169">
        <v>69632.47</v>
      </c>
      <c r="D14" s="44">
        <v>78930.3</v>
      </c>
      <c r="E14" s="44">
        <v>76230</v>
      </c>
      <c r="F14" s="21">
        <f t="shared" si="0"/>
        <v>0.13352721797747519</v>
      </c>
      <c r="G14" s="2">
        <f t="shared" si="1"/>
        <v>0.23001556161700937</v>
      </c>
      <c r="H14" s="2">
        <f t="shared" si="2"/>
        <v>0.29897840909090911</v>
      </c>
      <c r="I14" s="361">
        <v>6.733333333</v>
      </c>
      <c r="J14" s="32">
        <v>6.77</v>
      </c>
      <c r="K14" s="21">
        <f t="shared" si="3"/>
        <v>5.4455446042299092E-3</v>
      </c>
      <c r="L14" s="22">
        <f t="shared" si="4"/>
        <v>0.81541705743105253</v>
      </c>
      <c r="M14" s="48">
        <v>1</v>
      </c>
      <c r="N14" s="48">
        <v>1</v>
      </c>
      <c r="O14" s="32">
        <v>0</v>
      </c>
      <c r="P14" s="44" t="s">
        <v>175</v>
      </c>
      <c r="Q14" s="44" t="s">
        <v>175</v>
      </c>
    </row>
    <row r="15" spans="1:17">
      <c r="A15" s="79">
        <v>46124</v>
      </c>
      <c r="B15" s="43">
        <v>75176</v>
      </c>
      <c r="C15" s="169">
        <v>69632.47</v>
      </c>
      <c r="D15" s="44">
        <v>80394.5</v>
      </c>
      <c r="E15" s="44">
        <v>77670</v>
      </c>
      <c r="F15" s="21">
        <f t="shared" si="0"/>
        <v>0.15455476446548569</v>
      </c>
      <c r="G15" s="2">
        <f t="shared" si="1"/>
        <v>0.23428247540448546</v>
      </c>
      <c r="H15" s="2">
        <f t="shared" si="2"/>
        <v>0.3045246212121212</v>
      </c>
      <c r="I15" s="361">
        <v>6.733333333</v>
      </c>
      <c r="J15" s="32">
        <v>6.89</v>
      </c>
      <c r="K15" s="21">
        <f t="shared" si="3"/>
        <v>2.3267326783330013E-2</v>
      </c>
      <c r="L15" s="22">
        <f t="shared" si="4"/>
        <v>0.81607828878195232</v>
      </c>
      <c r="M15" s="48">
        <v>1</v>
      </c>
      <c r="N15" s="48">
        <v>1</v>
      </c>
      <c r="O15" s="32">
        <v>0</v>
      </c>
      <c r="P15" s="44" t="s">
        <v>175</v>
      </c>
      <c r="Q15" s="44" t="s">
        <v>175</v>
      </c>
    </row>
    <row r="16" spans="1:17">
      <c r="A16" s="79">
        <v>46125</v>
      </c>
      <c r="B16" s="43">
        <v>75176</v>
      </c>
      <c r="C16" s="169">
        <v>69632.47</v>
      </c>
      <c r="D16" s="44">
        <v>79547.600000000006</v>
      </c>
      <c r="E16" s="44">
        <v>76860</v>
      </c>
      <c r="F16" s="21">
        <f t="shared" si="0"/>
        <v>0.14239233507011892</v>
      </c>
      <c r="G16" s="2">
        <f t="shared" si="1"/>
        <v>0.23181447288665083</v>
      </c>
      <c r="H16" s="2">
        <f t="shared" si="2"/>
        <v>0.30131666666666668</v>
      </c>
      <c r="I16" s="361">
        <v>6.733333333</v>
      </c>
      <c r="J16" s="32">
        <v>6.93</v>
      </c>
      <c r="K16" s="21">
        <f t="shared" si="3"/>
        <v>2.9207920843030047E-2</v>
      </c>
      <c r="L16" s="22">
        <f t="shared" si="4"/>
        <v>0.80282068532173445</v>
      </c>
      <c r="M16" s="48">
        <v>1</v>
      </c>
      <c r="N16" s="48">
        <v>1</v>
      </c>
      <c r="O16" s="32">
        <v>0</v>
      </c>
      <c r="P16" s="44" t="s">
        <v>175</v>
      </c>
      <c r="Q16" s="44" t="s">
        <v>175</v>
      </c>
    </row>
    <row r="17" spans="1:17">
      <c r="A17" s="79">
        <v>46126</v>
      </c>
      <c r="B17" s="43">
        <v>75176</v>
      </c>
      <c r="C17" s="169">
        <v>69632.47</v>
      </c>
      <c r="D17" s="44">
        <v>83192</v>
      </c>
      <c r="E17" s="44">
        <v>80370</v>
      </c>
      <c r="F17" s="21">
        <f t="shared" si="0"/>
        <v>0.19472998731769817</v>
      </c>
      <c r="G17" s="2">
        <f t="shared" si="1"/>
        <v>0.24243483937147386</v>
      </c>
      <c r="H17" s="2">
        <f t="shared" si="2"/>
        <v>0.31512121212121214</v>
      </c>
      <c r="I17" s="361">
        <v>6.733333333</v>
      </c>
      <c r="J17" s="32">
        <v>7.41</v>
      </c>
      <c r="K17" s="21">
        <f t="shared" si="3"/>
        <v>0.10049504955943046</v>
      </c>
      <c r="L17" s="22">
        <f t="shared" si="4"/>
        <v>0.78521405464444971</v>
      </c>
      <c r="M17" s="48">
        <v>1</v>
      </c>
      <c r="N17" s="48">
        <v>0.95730000000000004</v>
      </c>
      <c r="O17" s="32">
        <v>5509.35</v>
      </c>
      <c r="P17" s="44" t="s">
        <v>175</v>
      </c>
      <c r="Q17" s="44" t="s">
        <v>412</v>
      </c>
    </row>
    <row r="18" spans="1:17">
      <c r="A18" s="79">
        <v>46127</v>
      </c>
      <c r="B18" s="43">
        <v>75176</v>
      </c>
      <c r="C18" s="169">
        <v>69632.47</v>
      </c>
      <c r="D18" s="44">
        <v>83080.399999999994</v>
      </c>
      <c r="E18" s="44">
        <v>80370</v>
      </c>
      <c r="F18" s="21">
        <f t="shared" si="0"/>
        <v>0.19312728673849991</v>
      </c>
      <c r="G18" s="2">
        <f t="shared" si="1"/>
        <v>0.24210961906094092</v>
      </c>
      <c r="H18" s="2">
        <f t="shared" si="2"/>
        <v>0.31469848484848484</v>
      </c>
      <c r="I18" s="361">
        <v>6.733333333</v>
      </c>
      <c r="J18" s="32">
        <v>7.38</v>
      </c>
      <c r="K18" s="21">
        <f t="shared" si="3"/>
        <v>9.6039604014655403E-2</v>
      </c>
      <c r="L18" s="22">
        <f t="shared" si="4"/>
        <v>0.78734835466972652</v>
      </c>
      <c r="M18" s="48">
        <v>1</v>
      </c>
      <c r="N18" s="48">
        <v>0.96</v>
      </c>
      <c r="O18" s="32">
        <v>6415.33</v>
      </c>
      <c r="P18" s="44" t="s">
        <v>175</v>
      </c>
      <c r="Q18" s="44" t="s">
        <v>412</v>
      </c>
    </row>
    <row r="19" spans="1:17">
      <c r="A19" s="79">
        <v>46128</v>
      </c>
      <c r="B19" s="43">
        <v>75176</v>
      </c>
      <c r="C19" s="169">
        <v>69632.47</v>
      </c>
      <c r="D19" s="44">
        <v>82655.100000000006</v>
      </c>
      <c r="E19" s="44">
        <v>79920</v>
      </c>
      <c r="F19" s="21">
        <f t="shared" si="0"/>
        <v>0.1870195039756597</v>
      </c>
      <c r="G19" s="2">
        <f t="shared" si="1"/>
        <v>0.24087022660511961</v>
      </c>
      <c r="H19" s="2">
        <f t="shared" si="2"/>
        <v>0.31308750000000002</v>
      </c>
      <c r="I19" s="361">
        <v>6.733333333</v>
      </c>
      <c r="J19" s="32">
        <v>7.21</v>
      </c>
      <c r="K19" s="21">
        <f t="shared" si="3"/>
        <v>7.0792079260930285E-2</v>
      </c>
      <c r="L19" s="22">
        <f t="shared" si="4"/>
        <v>0.80178716206974632</v>
      </c>
      <c r="M19" s="48">
        <v>1</v>
      </c>
      <c r="N19" s="48">
        <v>0.97289999999999999</v>
      </c>
      <c r="O19" s="32">
        <v>4481.49</v>
      </c>
      <c r="P19" s="44" t="s">
        <v>175</v>
      </c>
      <c r="Q19" s="44" t="s">
        <v>412</v>
      </c>
    </row>
    <row r="20" spans="1:17">
      <c r="A20" s="79">
        <v>46129</v>
      </c>
      <c r="B20" s="43">
        <v>75176</v>
      </c>
      <c r="C20" s="169">
        <v>69632.47</v>
      </c>
      <c r="D20" s="44">
        <v>79119</v>
      </c>
      <c r="E20" s="44">
        <v>76590</v>
      </c>
      <c r="F20" s="21">
        <f t="shared" si="0"/>
        <v>0.13623716062348498</v>
      </c>
      <c r="G20" s="2">
        <f t="shared" si="1"/>
        <v>0.23056546370121694</v>
      </c>
      <c r="H20" s="2">
        <f t="shared" si="2"/>
        <v>0.29969318181818183</v>
      </c>
      <c r="I20" s="361">
        <v>6.733333333</v>
      </c>
      <c r="J20" s="32">
        <v>6.92</v>
      </c>
      <c r="K20" s="21">
        <f t="shared" si="3"/>
        <v>2.7722772328105074E-2</v>
      </c>
      <c r="L20" s="22">
        <f t="shared" si="4"/>
        <v>0.79964900705624375</v>
      </c>
      <c r="M20" s="48">
        <v>1</v>
      </c>
      <c r="N20" s="48">
        <v>0.94430000000000003</v>
      </c>
      <c r="O20" s="32">
        <v>8752</v>
      </c>
      <c r="P20" s="44" t="s">
        <v>175</v>
      </c>
      <c r="Q20" s="44" t="s">
        <v>412</v>
      </c>
    </row>
    <row r="21" spans="1:17">
      <c r="A21" s="79">
        <v>46130</v>
      </c>
      <c r="B21" s="43">
        <v>75176</v>
      </c>
      <c r="C21" s="169">
        <v>69632.47</v>
      </c>
      <c r="D21" s="44">
        <v>81923</v>
      </c>
      <c r="E21" s="44">
        <v>79110</v>
      </c>
      <c r="F21" s="21">
        <f t="shared" si="0"/>
        <v>0.17650573073165435</v>
      </c>
      <c r="G21" s="2">
        <f t="shared" si="1"/>
        <v>0.23873676971138155</v>
      </c>
      <c r="H21" s="2">
        <f t="shared" si="2"/>
        <v>0.31031439393939392</v>
      </c>
      <c r="I21" s="361">
        <v>6.733333333</v>
      </c>
      <c r="J21" s="32">
        <v>7.15</v>
      </c>
      <c r="K21" s="21">
        <f t="shared" si="3"/>
        <v>6.1881188171380302E-2</v>
      </c>
      <c r="L21" s="22">
        <f t="shared" si="4"/>
        <v>0.80135419203820368</v>
      </c>
      <c r="M21" s="48">
        <v>1</v>
      </c>
      <c r="N21" s="48">
        <v>0.9657</v>
      </c>
      <c r="O21" s="32">
        <v>5566</v>
      </c>
      <c r="P21" s="44" t="s">
        <v>175</v>
      </c>
      <c r="Q21" s="44" t="s">
        <v>175</v>
      </c>
    </row>
    <row r="22" spans="1:17">
      <c r="A22" s="79">
        <v>46131</v>
      </c>
      <c r="B22" s="43">
        <v>75176</v>
      </c>
      <c r="C22" s="169">
        <v>69632.47</v>
      </c>
      <c r="D22" s="44">
        <v>81016</v>
      </c>
      <c r="E22" s="44">
        <v>78480</v>
      </c>
      <c r="F22" s="21">
        <f t="shared" si="0"/>
        <v>0.16348019824659385</v>
      </c>
      <c r="G22" s="2">
        <f t="shared" si="1"/>
        <v>0.23609362614817922</v>
      </c>
      <c r="H22" s="2">
        <f t="shared" si="2"/>
        <v>0.30687878787878786</v>
      </c>
      <c r="I22" s="361">
        <v>6.733333333</v>
      </c>
      <c r="J22" s="32">
        <v>7.1</v>
      </c>
      <c r="K22" s="21">
        <f t="shared" si="3"/>
        <v>5.4455445596755164E-2</v>
      </c>
      <c r="L22" s="22">
        <f t="shared" si="4"/>
        <v>0.79806296162764823</v>
      </c>
      <c r="M22" s="48">
        <v>1</v>
      </c>
      <c r="N22" s="48">
        <v>0.90610000000000002</v>
      </c>
      <c r="O22" s="32">
        <v>15001</v>
      </c>
      <c r="P22" s="44" t="s">
        <v>175</v>
      </c>
      <c r="Q22" s="44" t="s">
        <v>175</v>
      </c>
    </row>
    <row r="23" spans="1:17">
      <c r="A23" s="79">
        <v>46132</v>
      </c>
      <c r="B23" s="43">
        <v>75176</v>
      </c>
      <c r="C23" s="169">
        <v>69632.47</v>
      </c>
      <c r="D23" s="44">
        <v>80573</v>
      </c>
      <c r="E23" s="44">
        <v>77940</v>
      </c>
      <c r="F23" s="21">
        <f t="shared" si="0"/>
        <v>0.15711822372522471</v>
      </c>
      <c r="G23" s="2">
        <f t="shared" si="1"/>
        <v>0.23480265305170886</v>
      </c>
      <c r="H23" s="2">
        <f t="shared" si="2"/>
        <v>0.3052007575757576</v>
      </c>
      <c r="I23" s="361">
        <v>6.733333333</v>
      </c>
      <c r="J23" s="32">
        <v>7.02</v>
      </c>
      <c r="K23" s="21">
        <f t="shared" si="3"/>
        <v>4.257425747735509E-2</v>
      </c>
      <c r="L23" s="22">
        <f t="shared" si="4"/>
        <v>0.80274411299729531</v>
      </c>
      <c r="M23" s="48">
        <v>1</v>
      </c>
      <c r="N23" s="48">
        <v>0.95399999999999996</v>
      </c>
      <c r="O23" s="32">
        <v>7993</v>
      </c>
      <c r="P23" s="44" t="s">
        <v>175</v>
      </c>
      <c r="Q23" s="44" t="s">
        <v>412</v>
      </c>
    </row>
    <row r="24" spans="1:17">
      <c r="A24" s="79">
        <v>46133</v>
      </c>
      <c r="B24" s="43">
        <v>75176</v>
      </c>
      <c r="C24" s="169">
        <v>69632.47</v>
      </c>
      <c r="D24" s="44">
        <v>80243.8</v>
      </c>
      <c r="E24" s="44">
        <v>77760</v>
      </c>
      <c r="F24" s="21">
        <f t="shared" si="0"/>
        <v>0.15239054423891615</v>
      </c>
      <c r="G24" s="2">
        <f t="shared" si="1"/>
        <v>0.23384331141884646</v>
      </c>
      <c r="H24" s="2">
        <f t="shared" si="2"/>
        <v>0.30395378787878791</v>
      </c>
      <c r="I24" s="361">
        <v>6.733333333</v>
      </c>
      <c r="J24" s="32">
        <v>7.09</v>
      </c>
      <c r="K24" s="21">
        <f t="shared" si="3"/>
        <v>5.2970297081830188E-2</v>
      </c>
      <c r="L24" s="22">
        <f t="shared" si="4"/>
        <v>0.79157115289877511</v>
      </c>
      <c r="M24" s="48">
        <v>1</v>
      </c>
      <c r="N24" s="48">
        <v>0.94620000000000004</v>
      </c>
      <c r="O24" s="32">
        <v>9206</v>
      </c>
      <c r="P24" s="44" t="s">
        <v>175</v>
      </c>
      <c r="Q24" s="44" t="s">
        <v>412</v>
      </c>
    </row>
    <row r="25" spans="1:17">
      <c r="A25" s="79">
        <v>46134</v>
      </c>
      <c r="B25" s="43">
        <v>75176</v>
      </c>
      <c r="C25" s="169">
        <v>69632.47</v>
      </c>
      <c r="D25" s="44">
        <v>78056</v>
      </c>
      <c r="E25" s="44">
        <v>75510</v>
      </c>
      <c r="F25" s="21">
        <f t="shared" si="0"/>
        <v>0.12097129399545928</v>
      </c>
      <c r="G25" s="2">
        <f t="shared" si="1"/>
        <v>0.22746771110178579</v>
      </c>
      <c r="H25" s="2">
        <f t="shared" si="2"/>
        <v>0.29566666666666669</v>
      </c>
      <c r="I25" s="361">
        <v>6.733333333</v>
      </c>
      <c r="J25" s="32">
        <v>6.96</v>
      </c>
      <c r="K25" s="21">
        <f t="shared" si="3"/>
        <v>3.3663366387805108E-2</v>
      </c>
      <c r="L25" s="22">
        <f t="shared" si="4"/>
        <v>0.78437141759236484</v>
      </c>
      <c r="M25" s="48">
        <v>1</v>
      </c>
      <c r="N25" s="48">
        <v>0.93279999999999996</v>
      </c>
      <c r="O25" s="32">
        <v>11126</v>
      </c>
      <c r="P25" s="44" t="s">
        <v>175</v>
      </c>
      <c r="Q25" s="44" t="s">
        <v>412</v>
      </c>
    </row>
    <row r="26" spans="1:17">
      <c r="A26" s="79">
        <v>46135</v>
      </c>
      <c r="B26" s="43">
        <v>75176</v>
      </c>
      <c r="C26" s="169">
        <v>69632.47</v>
      </c>
      <c r="D26" s="44">
        <v>83138</v>
      </c>
      <c r="E26" s="44">
        <v>80370</v>
      </c>
      <c r="F26" s="21">
        <f t="shared" si="0"/>
        <v>0.193954487037441</v>
      </c>
      <c r="G26" s="2">
        <f t="shared" si="1"/>
        <v>0.24227747470508695</v>
      </c>
      <c r="H26" s="2">
        <f t="shared" si="2"/>
        <v>0.31491666666666668</v>
      </c>
      <c r="I26" s="361">
        <v>6.733333333</v>
      </c>
      <c r="J26" s="32">
        <v>7.26</v>
      </c>
      <c r="K26" s="21">
        <f t="shared" si="3"/>
        <v>7.8217821835555298E-2</v>
      </c>
      <c r="L26" s="22">
        <f t="shared" si="4"/>
        <v>0.80091727175235361</v>
      </c>
      <c r="M26" s="48">
        <v>1</v>
      </c>
      <c r="N26" s="48">
        <v>0.96579999999999999</v>
      </c>
      <c r="O26" s="32">
        <v>5889.0259999999998</v>
      </c>
      <c r="P26" s="44" t="s">
        <v>175</v>
      </c>
      <c r="Q26" s="44" t="s">
        <v>412</v>
      </c>
    </row>
    <row r="27" spans="1:17">
      <c r="A27" s="79">
        <v>46136</v>
      </c>
      <c r="B27" s="43">
        <v>75176</v>
      </c>
      <c r="C27" s="169">
        <v>69632.47</v>
      </c>
      <c r="D27" s="31">
        <v>83223</v>
      </c>
      <c r="E27" s="49">
        <v>80370</v>
      </c>
      <c r="F27" s="21">
        <f t="shared" ref="F27:F33" si="5">(IF(ISBLANK(D27),0,D27-C27))/C27</f>
        <v>0.19517518192303102</v>
      </c>
      <c r="G27" s="2">
        <f t="shared" ref="G27:G33" si="6">D27/($D$2*24)</f>
        <v>0.24252517834662191</v>
      </c>
      <c r="H27" s="2">
        <f t="shared" ref="H27:H33" si="7">D27/($H$2*24)</f>
        <v>0.31523863636363636</v>
      </c>
      <c r="I27" s="361">
        <v>6.733333333</v>
      </c>
      <c r="J27" s="32">
        <v>7.08</v>
      </c>
      <c r="K27" s="21">
        <f t="shared" ref="K27:K33" si="8">(IF(ISBLANK(J27),0,J27-I27))/I27</f>
        <v>5.1485148566905212E-2</v>
      </c>
      <c r="L27" s="22">
        <f t="shared" ref="L27:L33" si="9">D27/($D$2*J27)</f>
        <v>0.82211924863261665</v>
      </c>
      <c r="M27" s="67">
        <v>1</v>
      </c>
      <c r="N27" s="68">
        <v>0.98270000000000002</v>
      </c>
      <c r="O27" s="32">
        <v>2691.39</v>
      </c>
      <c r="P27" s="49" t="s">
        <v>175</v>
      </c>
      <c r="Q27" s="318" t="s">
        <v>412</v>
      </c>
    </row>
    <row r="28" spans="1:17">
      <c r="A28" s="79">
        <v>46137</v>
      </c>
      <c r="B28" s="43">
        <v>75176</v>
      </c>
      <c r="C28" s="169">
        <v>69632.47</v>
      </c>
      <c r="D28" s="32">
        <v>79541.7</v>
      </c>
      <c r="E28" s="50">
        <v>76950</v>
      </c>
      <c r="F28" s="21">
        <f t="shared" si="5"/>
        <v>0.14230760448394256</v>
      </c>
      <c r="G28" s="2">
        <f t="shared" si="6"/>
        <v>0.23179727933976779</v>
      </c>
      <c r="H28" s="2">
        <f t="shared" si="7"/>
        <v>0.30129431818181818</v>
      </c>
      <c r="I28" s="361">
        <v>6.733333333</v>
      </c>
      <c r="J28" s="32">
        <v>6.91</v>
      </c>
      <c r="K28" s="21">
        <f t="shared" si="8"/>
        <v>2.6237623813180098E-2</v>
      </c>
      <c r="L28" s="22">
        <f t="shared" si="9"/>
        <v>0.80508461709904866</v>
      </c>
      <c r="M28" s="63">
        <v>1</v>
      </c>
      <c r="N28" s="66">
        <v>1</v>
      </c>
      <c r="O28" s="32">
        <v>0</v>
      </c>
      <c r="P28" s="50" t="s">
        <v>175</v>
      </c>
      <c r="Q28" s="321" t="s">
        <v>175</v>
      </c>
    </row>
    <row r="29" spans="1:17">
      <c r="A29" s="79">
        <v>46138</v>
      </c>
      <c r="B29" s="43">
        <v>75176</v>
      </c>
      <c r="C29" s="169">
        <v>69632.47</v>
      </c>
      <c r="D29" s="32">
        <v>78705.399999999994</v>
      </c>
      <c r="E29" s="50">
        <v>75960</v>
      </c>
      <c r="F29" s="21">
        <f t="shared" si="5"/>
        <v>0.13029740292136691</v>
      </c>
      <c r="G29" s="2">
        <f t="shared" si="6"/>
        <v>0.22936016692311278</v>
      </c>
      <c r="H29" s="2">
        <f t="shared" si="7"/>
        <v>0.29812651515151511</v>
      </c>
      <c r="I29" s="361">
        <v>6.733333333</v>
      </c>
      <c r="J29" s="32">
        <v>6.95</v>
      </c>
      <c r="K29" s="21">
        <f t="shared" si="8"/>
        <v>3.2178217872880131E-2</v>
      </c>
      <c r="L29" s="22">
        <f t="shared" si="9"/>
        <v>0.79203510879923833</v>
      </c>
      <c r="M29" s="63">
        <v>1</v>
      </c>
      <c r="N29" s="66">
        <v>0.93589999999999995</v>
      </c>
      <c r="O29" s="32">
        <v>9820.24</v>
      </c>
      <c r="P29" s="50" t="s">
        <v>175</v>
      </c>
      <c r="Q29" s="321" t="s">
        <v>412</v>
      </c>
    </row>
    <row r="30" spans="1:17">
      <c r="A30" s="79">
        <v>46139</v>
      </c>
      <c r="B30" s="43">
        <v>75176</v>
      </c>
      <c r="C30" s="169">
        <v>69632.47</v>
      </c>
      <c r="D30" s="32">
        <v>76756.399999999994</v>
      </c>
      <c r="E30" s="50">
        <v>73800</v>
      </c>
      <c r="F30" s="21">
        <f t="shared" si="5"/>
        <v>0.10230758725060296</v>
      </c>
      <c r="G30" s="2">
        <f t="shared" si="6"/>
        <v>0.22368046813074088</v>
      </c>
      <c r="H30" s="2">
        <f t="shared" si="7"/>
        <v>0.29074393939393939</v>
      </c>
      <c r="I30" s="361">
        <v>6.733333333</v>
      </c>
      <c r="J30" s="32">
        <v>6.68</v>
      </c>
      <c r="K30" s="21">
        <f t="shared" si="8"/>
        <v>-7.9207920300951359E-3</v>
      </c>
      <c r="L30" s="22">
        <f t="shared" si="9"/>
        <v>0.80364240046972768</v>
      </c>
      <c r="M30" s="63">
        <v>1</v>
      </c>
      <c r="N30" s="66">
        <v>0.94910000000000005</v>
      </c>
      <c r="O30" s="32">
        <v>9221.35</v>
      </c>
      <c r="P30" s="50" t="s">
        <v>175</v>
      </c>
      <c r="Q30" s="321" t="s">
        <v>412</v>
      </c>
    </row>
    <row r="31" spans="1:17">
      <c r="A31" s="79">
        <v>46140</v>
      </c>
      <c r="B31" s="43">
        <v>75176</v>
      </c>
      <c r="C31" s="169">
        <v>69632.47</v>
      </c>
      <c r="D31" s="32">
        <v>78428.3</v>
      </c>
      <c r="E31" s="50">
        <v>75870</v>
      </c>
      <c r="F31" s="21">
        <f t="shared" si="5"/>
        <v>0.12631793759434359</v>
      </c>
      <c r="G31" s="2">
        <f t="shared" si="6"/>
        <v>0.22855265305170888</v>
      </c>
      <c r="H31" s="2">
        <f t="shared" si="7"/>
        <v>0.29707689393939396</v>
      </c>
      <c r="I31" s="361">
        <v>6.733333333</v>
      </c>
      <c r="J31" s="32">
        <v>6.84</v>
      </c>
      <c r="K31" s="21">
        <f t="shared" si="8"/>
        <v>1.5841584208705004E-2</v>
      </c>
      <c r="L31" s="22">
        <f t="shared" si="9"/>
        <v>0.80193913351476809</v>
      </c>
      <c r="M31" s="63">
        <v>1</v>
      </c>
      <c r="N31" s="66">
        <v>0.93669999999999998</v>
      </c>
      <c r="O31" s="32">
        <v>10310.780000000001</v>
      </c>
      <c r="P31" s="50" t="s">
        <v>175</v>
      </c>
      <c r="Q31" s="321" t="s">
        <v>412</v>
      </c>
    </row>
    <row r="32" spans="1:17">
      <c r="A32" s="79">
        <v>46141</v>
      </c>
      <c r="B32" s="43">
        <v>75176</v>
      </c>
      <c r="C32" s="169">
        <v>69632.47</v>
      </c>
      <c r="D32" s="32">
        <v>78513.5</v>
      </c>
      <c r="E32" s="50">
        <v>75960</v>
      </c>
      <c r="F32" s="21">
        <f t="shared" si="5"/>
        <v>0.12754150470319375</v>
      </c>
      <c r="G32" s="2">
        <f t="shared" si="6"/>
        <v>0.22880093952534153</v>
      </c>
      <c r="H32" s="2">
        <f t="shared" si="7"/>
        <v>0.29739962121212121</v>
      </c>
      <c r="I32" s="361">
        <v>6.733333333</v>
      </c>
      <c r="J32" s="32">
        <v>6.85</v>
      </c>
      <c r="K32" s="21">
        <f t="shared" si="8"/>
        <v>1.732673272362998E-2</v>
      </c>
      <c r="L32" s="22">
        <f t="shared" si="9"/>
        <v>0.80163832826397041</v>
      </c>
      <c r="M32" s="63">
        <v>1</v>
      </c>
      <c r="N32" s="66">
        <v>0.93479999999999996</v>
      </c>
      <c r="O32" s="32">
        <v>10507.36</v>
      </c>
      <c r="P32" s="50" t="s">
        <v>175</v>
      </c>
      <c r="Q32" s="321" t="s">
        <v>412</v>
      </c>
    </row>
    <row r="33" spans="1:17">
      <c r="A33" s="79">
        <v>46142</v>
      </c>
      <c r="B33" s="43">
        <v>75176</v>
      </c>
      <c r="C33" s="169">
        <v>69632.47</v>
      </c>
      <c r="D33" s="32">
        <v>73444.7</v>
      </c>
      <c r="E33" s="50">
        <v>71100</v>
      </c>
      <c r="F33" s="21">
        <f t="shared" si="5"/>
        <v>5.4747878396385993E-2</v>
      </c>
      <c r="G33" s="2">
        <f t="shared" si="6"/>
        <v>0.2140296428404905</v>
      </c>
      <c r="H33" s="2">
        <f t="shared" si="7"/>
        <v>0.27819962121212122</v>
      </c>
      <c r="I33" s="361">
        <v>6.733333333</v>
      </c>
      <c r="J33" s="32">
        <v>6.34</v>
      </c>
      <c r="K33" s="21">
        <f t="shared" si="8"/>
        <v>-5.8415841537545365E-2</v>
      </c>
      <c r="L33" s="22">
        <f t="shared" si="9"/>
        <v>0.81020684986936475</v>
      </c>
      <c r="M33" s="63">
        <v>1</v>
      </c>
      <c r="N33" s="66">
        <v>0.93340000000000001</v>
      </c>
      <c r="O33" s="32">
        <v>9957.8700000000008</v>
      </c>
      <c r="P33" s="50" t="s">
        <v>175</v>
      </c>
      <c r="Q33" s="321" t="s">
        <v>412</v>
      </c>
    </row>
    <row r="34" spans="1:17">
      <c r="A34" s="349">
        <v>46113</v>
      </c>
      <c r="B34" s="80">
        <f>SUM(B4:B33)</f>
        <v>2255280</v>
      </c>
      <c r="C34" s="80">
        <f>SUM(C4:C33)</f>
        <v>2088974.0999999994</v>
      </c>
      <c r="D34" s="80">
        <f>SUM(D4:D33)</f>
        <v>2309314</v>
      </c>
      <c r="E34" s="80">
        <f>SUM(E4:E33)</f>
        <v>2233710</v>
      </c>
      <c r="F34" s="160">
        <f>(IF(ISBLANK(D34),0,D34-C34))/C34</f>
        <v>0.1054775643221238</v>
      </c>
      <c r="G34" s="81">
        <f>AVERAGE(G4:G33)</f>
        <v>0.22432372048926813</v>
      </c>
      <c r="H34" s="81">
        <f>AVERAGE(H4:H33)</f>
        <v>0.29158005050505048</v>
      </c>
      <c r="I34" s="80">
        <f>SUM(I4:I33)</f>
        <v>201.99999998999994</v>
      </c>
      <c r="J34" s="80">
        <f>SUM(J4:J33)</f>
        <v>203.601</v>
      </c>
      <c r="K34" s="160">
        <f>(IF(ISBLANK(J34),0,J34-I34))/I34</f>
        <v>7.9257426241550587E-3</v>
      </c>
      <c r="L34" s="81">
        <f>AVERAGE(L4:L33)</f>
        <v>0.79359609605697112</v>
      </c>
      <c r="M34" s="81">
        <f>AVERAGE(M4:M33)</f>
        <v>1</v>
      </c>
      <c r="N34" s="81">
        <f>AVERAGE(N4:N33)</f>
        <v>0.94337000000000004</v>
      </c>
      <c r="O34" s="80">
        <f>SUM(O4:O33)</f>
        <v>239922.21600000001</v>
      </c>
      <c r="P34" s="80">
        <f>SUM(P4:P33)</f>
        <v>0</v>
      </c>
      <c r="Q34" s="80" t="s">
        <v>175</v>
      </c>
    </row>
    <row r="35" spans="1:17">
      <c r="A35" s="13">
        <v>46143</v>
      </c>
      <c r="B35" s="127">
        <v>71593</v>
      </c>
      <c r="C35" s="127">
        <v>66916.5483870967</v>
      </c>
      <c r="D35" s="31">
        <v>77434.899999999994</v>
      </c>
      <c r="E35" s="49">
        <v>74970</v>
      </c>
      <c r="F35" s="20">
        <f>(IF(ISBLANK(E35),0,E35-C35))/C35</f>
        <v>0.12035067269632546</v>
      </c>
      <c r="G35" s="2">
        <f t="shared" ref="G35:G57" si="10">D35/($D$2*24)</f>
        <v>0.22565772602228748</v>
      </c>
      <c r="H35" s="2">
        <f t="shared" ref="H35:H61" si="11">D35/($H$2*24)</f>
        <v>0.29331401515151512</v>
      </c>
      <c r="I35" s="28"/>
      <c r="J35" s="31">
        <v>6.92</v>
      </c>
      <c r="K35" s="20" t="e">
        <f>(IF(ISBLANK(J35),0,J35-I35))/I35</f>
        <v>#DIV/0!</v>
      </c>
      <c r="L35" s="4">
        <f t="shared" ref="L35:L66" si="12">D35/($D$2*J35)</f>
        <v>0.78262795152238429</v>
      </c>
      <c r="M35" s="61">
        <v>1</v>
      </c>
      <c r="N35" s="68">
        <v>0.92689999999999995</v>
      </c>
      <c r="O35" s="49">
        <v>9789.5</v>
      </c>
      <c r="P35" s="49" t="s">
        <v>175</v>
      </c>
      <c r="Q35" s="318" t="s">
        <v>412</v>
      </c>
    </row>
    <row r="36" spans="1:17">
      <c r="A36" s="13">
        <f>A35+1</f>
        <v>46144</v>
      </c>
      <c r="B36" s="127">
        <v>71593</v>
      </c>
      <c r="C36" s="127">
        <v>66916.5483870967</v>
      </c>
      <c r="D36" s="32">
        <v>78665</v>
      </c>
      <c r="E36" s="50">
        <v>76140</v>
      </c>
      <c r="F36" s="20">
        <f t="shared" ref="F36:F54" si="13">(IF(ISBLANK(E36),0,E36-C36))/C36</f>
        <v>0.13783513697610003</v>
      </c>
      <c r="G36" s="2">
        <f t="shared" si="10"/>
        <v>0.22924243483937148</v>
      </c>
      <c r="H36" s="2">
        <f t="shared" si="11"/>
        <v>0.29797348484848485</v>
      </c>
      <c r="I36" s="29"/>
      <c r="J36" s="32">
        <v>6.93</v>
      </c>
      <c r="K36" s="20" t="e">
        <f t="shared" ref="K36:K54" si="14">(IF(ISBLANK(J36),0,J36-I36))/I36</f>
        <v>#DIV/0!</v>
      </c>
      <c r="L36" s="4">
        <f t="shared" si="12"/>
        <v>0.7939131942489055</v>
      </c>
      <c r="M36" s="65">
        <v>1</v>
      </c>
      <c r="N36" s="66">
        <v>0.93189999999999995</v>
      </c>
      <c r="O36" s="50">
        <v>11245.91</v>
      </c>
      <c r="P36" s="50" t="s">
        <v>175</v>
      </c>
      <c r="Q36" s="321" t="s">
        <v>412</v>
      </c>
    </row>
    <row r="37" spans="1:17">
      <c r="A37" s="13">
        <f t="shared" ref="A37:A65" si="15">A36+1</f>
        <v>46145</v>
      </c>
      <c r="B37" s="127">
        <v>71593</v>
      </c>
      <c r="C37" s="127">
        <v>66916.5483870967</v>
      </c>
      <c r="D37" s="32">
        <v>80021.899999999994</v>
      </c>
      <c r="E37" s="50">
        <v>77400</v>
      </c>
      <c r="F37" s="20">
        <f t="shared" si="13"/>
        <v>0.15666456004662652</v>
      </c>
      <c r="G37" s="2">
        <f t="shared" si="10"/>
        <v>0.2331966592064158</v>
      </c>
      <c r="H37" s="2">
        <f t="shared" si="11"/>
        <v>0.30311325757575758</v>
      </c>
      <c r="I37" s="29"/>
      <c r="J37" s="32">
        <v>7.19</v>
      </c>
      <c r="K37" s="20" t="e">
        <f t="shared" si="14"/>
        <v>#DIV/0!</v>
      </c>
      <c r="L37" s="4">
        <f t="shared" si="12"/>
        <v>0.7784033130673127</v>
      </c>
      <c r="M37" s="65">
        <v>1</v>
      </c>
      <c r="N37" s="66">
        <v>0.8841</v>
      </c>
      <c r="O37" s="50">
        <v>17802.77</v>
      </c>
      <c r="P37" s="50" t="s">
        <v>175</v>
      </c>
      <c r="Q37" s="321" t="s">
        <v>412</v>
      </c>
    </row>
    <row r="38" spans="1:17">
      <c r="A38" s="13">
        <f t="shared" si="15"/>
        <v>46146</v>
      </c>
      <c r="B38" s="127">
        <v>71593</v>
      </c>
      <c r="C38" s="127"/>
      <c r="D38" s="34"/>
      <c r="E38" s="34"/>
      <c r="F38" s="20" t="e">
        <f t="shared" si="13"/>
        <v>#DIV/0!</v>
      </c>
      <c r="G38" s="2">
        <f t="shared" si="10"/>
        <v>0</v>
      </c>
      <c r="H38" s="2">
        <f t="shared" si="11"/>
        <v>0</v>
      </c>
      <c r="I38" s="29"/>
      <c r="J38" s="34"/>
      <c r="K38" s="20" t="e">
        <f t="shared" si="14"/>
        <v>#DIV/0!</v>
      </c>
      <c r="L38" s="4" t="e">
        <f t="shared" si="12"/>
        <v>#DIV/0!</v>
      </c>
      <c r="M38" s="103"/>
      <c r="N38" s="103"/>
      <c r="O38" s="34"/>
      <c r="P38" s="6"/>
      <c r="Q38" s="14"/>
    </row>
    <row r="39" spans="1:17">
      <c r="A39" s="13">
        <f t="shared" si="15"/>
        <v>46147</v>
      </c>
      <c r="B39" s="127">
        <v>71593</v>
      </c>
      <c r="C39" s="127"/>
      <c r="D39" s="34"/>
      <c r="E39" s="34"/>
      <c r="F39" s="20" t="e">
        <f t="shared" si="13"/>
        <v>#DIV/0!</v>
      </c>
      <c r="G39" s="2">
        <f t="shared" si="10"/>
        <v>0</v>
      </c>
      <c r="H39" s="2">
        <f t="shared" si="11"/>
        <v>0</v>
      </c>
      <c r="I39" s="29"/>
      <c r="J39" s="34"/>
      <c r="K39" s="20" t="e">
        <f t="shared" si="14"/>
        <v>#DIV/0!</v>
      </c>
      <c r="L39" s="4" t="e">
        <f t="shared" si="12"/>
        <v>#DIV/0!</v>
      </c>
      <c r="M39" s="103"/>
      <c r="N39" s="103"/>
      <c r="O39" s="34"/>
      <c r="P39" s="6"/>
      <c r="Q39" s="14"/>
    </row>
    <row r="40" spans="1:17">
      <c r="A40" s="13">
        <f t="shared" si="15"/>
        <v>46148</v>
      </c>
      <c r="B40" s="127">
        <v>71593</v>
      </c>
      <c r="C40" s="127"/>
      <c r="D40" s="34"/>
      <c r="E40" s="34"/>
      <c r="F40" s="20" t="e">
        <f t="shared" si="13"/>
        <v>#DIV/0!</v>
      </c>
      <c r="G40" s="2">
        <f t="shared" si="10"/>
        <v>0</v>
      </c>
      <c r="H40" s="2">
        <f t="shared" si="11"/>
        <v>0</v>
      </c>
      <c r="I40" s="29"/>
      <c r="J40" s="34"/>
      <c r="K40" s="20" t="e">
        <f t="shared" si="14"/>
        <v>#DIV/0!</v>
      </c>
      <c r="L40" s="4" t="e">
        <f t="shared" si="12"/>
        <v>#DIV/0!</v>
      </c>
      <c r="M40" s="103"/>
      <c r="N40" s="103"/>
      <c r="O40" s="34"/>
      <c r="P40" s="6"/>
      <c r="Q40" s="14"/>
    </row>
    <row r="41" spans="1:17">
      <c r="A41" s="13">
        <f t="shared" si="15"/>
        <v>46149</v>
      </c>
      <c r="B41" s="127">
        <v>71593</v>
      </c>
      <c r="C41" s="127"/>
      <c r="D41" s="34"/>
      <c r="E41" s="34"/>
      <c r="F41" s="20" t="e">
        <f t="shared" si="13"/>
        <v>#DIV/0!</v>
      </c>
      <c r="G41" s="2">
        <f t="shared" si="10"/>
        <v>0</v>
      </c>
      <c r="H41" s="2">
        <f t="shared" si="11"/>
        <v>0</v>
      </c>
      <c r="I41" s="29"/>
      <c r="J41" s="34"/>
      <c r="K41" s="20" t="e">
        <f t="shared" si="14"/>
        <v>#DIV/0!</v>
      </c>
      <c r="L41" s="4" t="e">
        <f t="shared" si="12"/>
        <v>#DIV/0!</v>
      </c>
      <c r="M41" s="103"/>
      <c r="N41" s="103"/>
      <c r="O41" s="34"/>
      <c r="P41" s="6"/>
      <c r="Q41" s="202"/>
    </row>
    <row r="42" spans="1:17">
      <c r="A42" s="13">
        <f t="shared" si="15"/>
        <v>46150</v>
      </c>
      <c r="B42" s="127">
        <v>71593</v>
      </c>
      <c r="C42" s="127"/>
      <c r="D42" s="34"/>
      <c r="E42" s="34"/>
      <c r="F42" s="20" t="e">
        <f t="shared" si="13"/>
        <v>#DIV/0!</v>
      </c>
      <c r="G42" s="2">
        <f t="shared" si="10"/>
        <v>0</v>
      </c>
      <c r="H42" s="2">
        <f t="shared" si="11"/>
        <v>0</v>
      </c>
      <c r="I42" s="29"/>
      <c r="J42" s="34"/>
      <c r="K42" s="20" t="e">
        <f t="shared" si="14"/>
        <v>#DIV/0!</v>
      </c>
      <c r="L42" s="4" t="e">
        <f t="shared" si="12"/>
        <v>#DIV/0!</v>
      </c>
      <c r="M42" s="103"/>
      <c r="N42" s="103"/>
      <c r="O42" s="34"/>
      <c r="P42" s="6"/>
      <c r="Q42" s="14"/>
    </row>
    <row r="43" spans="1:17">
      <c r="A43" s="13">
        <f t="shared" si="15"/>
        <v>46151</v>
      </c>
      <c r="B43" s="127">
        <v>71593</v>
      </c>
      <c r="C43" s="127"/>
      <c r="D43" s="34"/>
      <c r="E43" s="34"/>
      <c r="F43" s="20" t="e">
        <f t="shared" si="13"/>
        <v>#DIV/0!</v>
      </c>
      <c r="G43" s="2">
        <f t="shared" si="10"/>
        <v>0</v>
      </c>
      <c r="H43" s="2">
        <f t="shared" si="11"/>
        <v>0</v>
      </c>
      <c r="I43" s="29"/>
      <c r="J43" s="34"/>
      <c r="K43" s="20" t="e">
        <f t="shared" si="14"/>
        <v>#DIV/0!</v>
      </c>
      <c r="L43" s="4" t="e">
        <f t="shared" si="12"/>
        <v>#DIV/0!</v>
      </c>
      <c r="M43" s="103"/>
      <c r="N43" s="103"/>
      <c r="O43" s="34"/>
      <c r="P43" s="6"/>
      <c r="Q43" s="6"/>
    </row>
    <row r="44" spans="1:17">
      <c r="A44" s="13">
        <f t="shared" si="15"/>
        <v>46152</v>
      </c>
      <c r="B44" s="127">
        <v>71593</v>
      </c>
      <c r="C44" s="127"/>
      <c r="D44" s="34"/>
      <c r="E44" s="34"/>
      <c r="F44" s="20" t="e">
        <f t="shared" si="13"/>
        <v>#DIV/0!</v>
      </c>
      <c r="G44" s="2">
        <f t="shared" si="10"/>
        <v>0</v>
      </c>
      <c r="H44" s="2">
        <f t="shared" si="11"/>
        <v>0</v>
      </c>
      <c r="I44" s="29"/>
      <c r="J44" s="34"/>
      <c r="K44" s="20" t="e">
        <f t="shared" si="14"/>
        <v>#DIV/0!</v>
      </c>
      <c r="L44" s="4" t="e">
        <f t="shared" si="12"/>
        <v>#DIV/0!</v>
      </c>
      <c r="M44" s="103"/>
      <c r="N44" s="103"/>
      <c r="O44" s="34"/>
      <c r="P44" s="6"/>
      <c r="Q44" s="16"/>
    </row>
    <row r="45" spans="1:17">
      <c r="A45" s="13">
        <f t="shared" si="15"/>
        <v>46153</v>
      </c>
      <c r="B45" s="127">
        <v>71593</v>
      </c>
      <c r="C45" s="127"/>
      <c r="D45" s="34"/>
      <c r="E45" s="34"/>
      <c r="F45" s="20" t="e">
        <f t="shared" si="13"/>
        <v>#DIV/0!</v>
      </c>
      <c r="G45" s="2">
        <f t="shared" si="10"/>
        <v>0</v>
      </c>
      <c r="H45" s="2">
        <f t="shared" si="11"/>
        <v>0</v>
      </c>
      <c r="I45" s="29"/>
      <c r="J45" s="34"/>
      <c r="K45" s="20" t="e">
        <f t="shared" si="14"/>
        <v>#DIV/0!</v>
      </c>
      <c r="L45" s="4" t="e">
        <f t="shared" si="12"/>
        <v>#DIV/0!</v>
      </c>
      <c r="M45" s="103"/>
      <c r="N45" s="103"/>
      <c r="O45" s="34"/>
      <c r="P45" s="6"/>
      <c r="Q45" s="6"/>
    </row>
    <row r="46" spans="1:17">
      <c r="A46" s="13">
        <f t="shared" si="15"/>
        <v>46154</v>
      </c>
      <c r="B46" s="127">
        <v>71593</v>
      </c>
      <c r="C46" s="127"/>
      <c r="D46" s="34"/>
      <c r="E46" s="34"/>
      <c r="F46" s="20" t="e">
        <f t="shared" si="13"/>
        <v>#DIV/0!</v>
      </c>
      <c r="G46" s="2">
        <f t="shared" si="10"/>
        <v>0</v>
      </c>
      <c r="H46" s="2">
        <f t="shared" si="11"/>
        <v>0</v>
      </c>
      <c r="I46" s="29"/>
      <c r="J46" s="34"/>
      <c r="K46" s="20" t="e">
        <f t="shared" si="14"/>
        <v>#DIV/0!</v>
      </c>
      <c r="L46" s="4" t="e">
        <f t="shared" si="12"/>
        <v>#DIV/0!</v>
      </c>
      <c r="M46" s="104"/>
      <c r="N46" s="103"/>
      <c r="O46" s="34"/>
      <c r="P46" s="6"/>
      <c r="Q46" s="6"/>
    </row>
    <row r="47" spans="1:17">
      <c r="A47" s="13">
        <f t="shared" si="15"/>
        <v>46155</v>
      </c>
      <c r="B47" s="127">
        <v>71593</v>
      </c>
      <c r="C47" s="127"/>
      <c r="D47" s="34"/>
      <c r="E47" s="34"/>
      <c r="F47" s="20" t="e">
        <f t="shared" si="13"/>
        <v>#DIV/0!</v>
      </c>
      <c r="G47" s="2">
        <f t="shared" si="10"/>
        <v>0</v>
      </c>
      <c r="H47" s="2">
        <f t="shared" si="11"/>
        <v>0</v>
      </c>
      <c r="I47" s="29"/>
      <c r="J47" s="34"/>
      <c r="K47" s="20" t="e">
        <f t="shared" si="14"/>
        <v>#DIV/0!</v>
      </c>
      <c r="L47" s="4" t="e">
        <f t="shared" si="12"/>
        <v>#DIV/0!</v>
      </c>
      <c r="M47" s="104"/>
      <c r="N47" s="103"/>
      <c r="O47" s="34"/>
      <c r="P47" s="6"/>
      <c r="Q47" s="31"/>
    </row>
    <row r="48" spans="1:17">
      <c r="A48" s="13">
        <f t="shared" si="15"/>
        <v>46156</v>
      </c>
      <c r="B48" s="127">
        <v>71593</v>
      </c>
      <c r="C48" s="127"/>
      <c r="D48" s="34"/>
      <c r="E48" s="34"/>
      <c r="F48" s="20" t="e">
        <f t="shared" si="13"/>
        <v>#DIV/0!</v>
      </c>
      <c r="G48" s="2">
        <f t="shared" si="10"/>
        <v>0</v>
      </c>
      <c r="H48" s="2">
        <f t="shared" si="11"/>
        <v>0</v>
      </c>
      <c r="I48" s="29"/>
      <c r="J48" s="34"/>
      <c r="K48" s="20" t="e">
        <f t="shared" si="14"/>
        <v>#DIV/0!</v>
      </c>
      <c r="L48" s="4" t="e">
        <f t="shared" si="12"/>
        <v>#DIV/0!</v>
      </c>
      <c r="M48" s="104"/>
      <c r="N48" s="103"/>
      <c r="O48" s="34"/>
      <c r="P48" s="6"/>
      <c r="Q48" s="32"/>
    </row>
    <row r="49" spans="1:17">
      <c r="A49" s="13">
        <f t="shared" si="15"/>
        <v>46157</v>
      </c>
      <c r="B49" s="127">
        <v>71593</v>
      </c>
      <c r="C49" s="127"/>
      <c r="D49" s="34"/>
      <c r="E49" s="34"/>
      <c r="F49" s="20" t="e">
        <f t="shared" si="13"/>
        <v>#DIV/0!</v>
      </c>
      <c r="G49" s="2">
        <f t="shared" si="10"/>
        <v>0</v>
      </c>
      <c r="H49" s="2">
        <f t="shared" si="11"/>
        <v>0</v>
      </c>
      <c r="I49" s="29"/>
      <c r="J49" s="34"/>
      <c r="K49" s="20" t="e">
        <f t="shared" si="14"/>
        <v>#DIV/0!</v>
      </c>
      <c r="L49" s="4" t="e">
        <f t="shared" si="12"/>
        <v>#DIV/0!</v>
      </c>
      <c r="M49" s="104"/>
      <c r="N49" s="103"/>
      <c r="O49" s="34"/>
      <c r="P49" s="6"/>
      <c r="Q49" s="32"/>
    </row>
    <row r="50" spans="1:17">
      <c r="A50" s="13">
        <f t="shared" si="15"/>
        <v>46158</v>
      </c>
      <c r="B50" s="127">
        <v>71593</v>
      </c>
      <c r="C50" s="127"/>
      <c r="D50" s="34"/>
      <c r="E50" s="34"/>
      <c r="F50" s="20" t="e">
        <f t="shared" si="13"/>
        <v>#DIV/0!</v>
      </c>
      <c r="G50" s="2">
        <f t="shared" si="10"/>
        <v>0</v>
      </c>
      <c r="H50" s="2">
        <f t="shared" si="11"/>
        <v>0</v>
      </c>
      <c r="I50" s="29"/>
      <c r="J50" s="34"/>
      <c r="K50" s="20" t="e">
        <f t="shared" si="14"/>
        <v>#DIV/0!</v>
      </c>
      <c r="L50" s="4" t="e">
        <f t="shared" si="12"/>
        <v>#DIV/0!</v>
      </c>
      <c r="M50" s="104"/>
      <c r="N50" s="103"/>
      <c r="O50" s="34"/>
      <c r="P50" s="6"/>
      <c r="Q50" s="32"/>
    </row>
    <row r="51" spans="1:17">
      <c r="A51" s="13">
        <f t="shared" si="15"/>
        <v>46159</v>
      </c>
      <c r="B51" s="127">
        <v>71593</v>
      </c>
      <c r="C51" s="127"/>
      <c r="D51" s="34"/>
      <c r="E51" s="34"/>
      <c r="F51" s="20" t="e">
        <f t="shared" si="13"/>
        <v>#DIV/0!</v>
      </c>
      <c r="G51" s="2">
        <f t="shared" si="10"/>
        <v>0</v>
      </c>
      <c r="H51" s="2">
        <f t="shared" si="11"/>
        <v>0</v>
      </c>
      <c r="I51" s="29"/>
      <c r="J51" s="34"/>
      <c r="K51" s="20" t="e">
        <f t="shared" si="14"/>
        <v>#DIV/0!</v>
      </c>
      <c r="L51" s="4" t="e">
        <f t="shared" si="12"/>
        <v>#DIV/0!</v>
      </c>
      <c r="M51" s="103"/>
      <c r="N51" s="103"/>
      <c r="O51" s="34"/>
      <c r="P51" s="6"/>
      <c r="Q51" s="6"/>
    </row>
    <row r="52" spans="1:17">
      <c r="A52" s="13">
        <f t="shared" si="15"/>
        <v>46160</v>
      </c>
      <c r="B52" s="127">
        <v>71593</v>
      </c>
      <c r="C52" s="127"/>
      <c r="D52" s="34"/>
      <c r="E52" s="34"/>
      <c r="F52" s="20" t="e">
        <f t="shared" si="13"/>
        <v>#DIV/0!</v>
      </c>
      <c r="G52" s="2">
        <f t="shared" si="10"/>
        <v>0</v>
      </c>
      <c r="H52" s="2">
        <f t="shared" si="11"/>
        <v>0</v>
      </c>
      <c r="I52" s="29"/>
      <c r="J52" s="34"/>
      <c r="K52" s="20" t="e">
        <f t="shared" si="14"/>
        <v>#DIV/0!</v>
      </c>
      <c r="L52" s="4" t="e">
        <f t="shared" si="12"/>
        <v>#DIV/0!</v>
      </c>
      <c r="M52" s="103"/>
      <c r="N52" s="103"/>
      <c r="O52" s="34"/>
      <c r="P52" s="6"/>
      <c r="Q52" s="14"/>
    </row>
    <row r="53" spans="1:17">
      <c r="A53" s="13">
        <f t="shared" si="15"/>
        <v>46161</v>
      </c>
      <c r="B53" s="127">
        <v>71593</v>
      </c>
      <c r="C53" s="127"/>
      <c r="D53" s="34"/>
      <c r="E53" s="34"/>
      <c r="F53" s="20" t="e">
        <f t="shared" si="13"/>
        <v>#DIV/0!</v>
      </c>
      <c r="G53" s="2">
        <f t="shared" si="10"/>
        <v>0</v>
      </c>
      <c r="H53" s="2">
        <f t="shared" si="11"/>
        <v>0</v>
      </c>
      <c r="I53" s="29"/>
      <c r="J53" s="34"/>
      <c r="K53" s="20" t="e">
        <f t="shared" si="14"/>
        <v>#DIV/0!</v>
      </c>
      <c r="L53" s="4" t="e">
        <f t="shared" si="12"/>
        <v>#DIV/0!</v>
      </c>
      <c r="M53" s="103"/>
      <c r="N53" s="103"/>
      <c r="O53" s="34"/>
      <c r="P53" s="6"/>
      <c r="Q53" s="14"/>
    </row>
    <row r="54" spans="1:17">
      <c r="A54" s="13">
        <f t="shared" si="15"/>
        <v>46162</v>
      </c>
      <c r="B54" s="127">
        <v>71593</v>
      </c>
      <c r="C54" s="127"/>
      <c r="D54" s="34"/>
      <c r="E54" s="34"/>
      <c r="F54" s="20" t="e">
        <f t="shared" si="13"/>
        <v>#DIV/0!</v>
      </c>
      <c r="G54" s="2">
        <f t="shared" si="10"/>
        <v>0</v>
      </c>
      <c r="H54" s="2">
        <f t="shared" si="11"/>
        <v>0</v>
      </c>
      <c r="I54" s="29"/>
      <c r="J54" s="34"/>
      <c r="K54" s="20" t="e">
        <f t="shared" si="14"/>
        <v>#DIV/0!</v>
      </c>
      <c r="L54" s="4" t="e">
        <f t="shared" si="12"/>
        <v>#DIV/0!</v>
      </c>
      <c r="M54" s="103"/>
      <c r="N54" s="103"/>
      <c r="O54" s="34"/>
      <c r="P54" s="6"/>
      <c r="Q54" s="14"/>
    </row>
    <row r="55" spans="1:17">
      <c r="A55" s="13">
        <f t="shared" si="15"/>
        <v>46163</v>
      </c>
      <c r="B55" s="127">
        <v>71593</v>
      </c>
      <c r="C55" s="127"/>
      <c r="D55" s="34"/>
      <c r="E55" s="34"/>
      <c r="F55" s="20" t="e">
        <f>(IF(ISBLANK(E55),0,E55-C55))/C55</f>
        <v>#DIV/0!</v>
      </c>
      <c r="G55" s="2">
        <f t="shared" si="10"/>
        <v>0</v>
      </c>
      <c r="H55" s="2">
        <f t="shared" si="11"/>
        <v>0</v>
      </c>
      <c r="I55" s="29"/>
      <c r="J55" s="34"/>
      <c r="K55" s="20" t="e">
        <f>(IF(ISBLANK(J55),0,J55-I55))/I55</f>
        <v>#DIV/0!</v>
      </c>
      <c r="L55" s="4" t="e">
        <f t="shared" si="12"/>
        <v>#DIV/0!</v>
      </c>
      <c r="M55" s="103"/>
      <c r="N55" s="103"/>
      <c r="O55" s="34"/>
      <c r="P55" s="6"/>
      <c r="Q55" s="6"/>
    </row>
    <row r="56" spans="1:17">
      <c r="A56" s="13">
        <f t="shared" si="15"/>
        <v>46164</v>
      </c>
      <c r="B56" s="127">
        <v>71593</v>
      </c>
      <c r="C56" s="127"/>
      <c r="D56" s="34"/>
      <c r="E56" s="34"/>
      <c r="F56" s="20" t="e">
        <f t="shared" ref="F56:F65" si="16">(IF(ISBLANK(E56),0,E56-C56))/C56</f>
        <v>#DIV/0!</v>
      </c>
      <c r="G56" s="2">
        <f t="shared" si="10"/>
        <v>0</v>
      </c>
      <c r="H56" s="2">
        <f t="shared" si="11"/>
        <v>0</v>
      </c>
      <c r="I56" s="29"/>
      <c r="J56" s="34"/>
      <c r="K56" s="20" t="e">
        <f t="shared" ref="K56:K65" si="17">(IF(ISBLANK(J56),0,J56-I56))/I56</f>
        <v>#DIV/0!</v>
      </c>
      <c r="L56" s="4" t="e">
        <f t="shared" si="12"/>
        <v>#DIV/0!</v>
      </c>
      <c r="M56" s="103"/>
      <c r="N56" s="103"/>
      <c r="O56" s="34"/>
      <c r="P56" s="6"/>
      <c r="Q56" s="6"/>
    </row>
    <row r="57" spans="1:17">
      <c r="A57" s="13">
        <f t="shared" si="15"/>
        <v>46165</v>
      </c>
      <c r="B57" s="127">
        <v>71593</v>
      </c>
      <c r="C57" s="127"/>
      <c r="D57" s="14"/>
      <c r="E57" s="14"/>
      <c r="F57" s="20" t="e">
        <f t="shared" si="16"/>
        <v>#DIV/0!</v>
      </c>
      <c r="G57" s="2">
        <f t="shared" si="10"/>
        <v>0</v>
      </c>
      <c r="H57" s="2">
        <f t="shared" si="11"/>
        <v>0</v>
      </c>
      <c r="I57" s="29"/>
      <c r="J57" s="14"/>
      <c r="K57" s="20" t="e">
        <f t="shared" si="17"/>
        <v>#DIV/0!</v>
      </c>
      <c r="L57" s="4" t="e">
        <f t="shared" si="12"/>
        <v>#DIV/0!</v>
      </c>
      <c r="M57" s="103"/>
      <c r="N57" s="103"/>
      <c r="O57" s="34"/>
      <c r="P57" s="6"/>
      <c r="Q57" s="6"/>
    </row>
    <row r="58" spans="1:17">
      <c r="A58" s="13">
        <f t="shared" si="15"/>
        <v>46166</v>
      </c>
      <c r="B58" s="127">
        <v>71593</v>
      </c>
      <c r="C58" s="127"/>
      <c r="D58" s="14"/>
      <c r="E58" s="14"/>
      <c r="F58" s="20" t="e">
        <f t="shared" si="16"/>
        <v>#DIV/0!</v>
      </c>
      <c r="G58" s="2">
        <f t="shared" ref="G58:G65" si="18">D58/($D$2*24)</f>
        <v>0</v>
      </c>
      <c r="H58" s="2">
        <f t="shared" si="11"/>
        <v>0</v>
      </c>
      <c r="I58" s="29"/>
      <c r="J58" s="14"/>
      <c r="K58" s="20" t="e">
        <f t="shared" si="17"/>
        <v>#DIV/0!</v>
      </c>
      <c r="L58" s="4" t="e">
        <f t="shared" si="12"/>
        <v>#DIV/0!</v>
      </c>
      <c r="M58" s="103"/>
      <c r="N58" s="103"/>
      <c r="O58" s="34"/>
      <c r="P58" s="6"/>
      <c r="Q58" s="288"/>
    </row>
    <row r="59" spans="1:17">
      <c r="A59" s="13">
        <f t="shared" si="15"/>
        <v>46167</v>
      </c>
      <c r="B59" s="127">
        <v>71593</v>
      </c>
      <c r="C59" s="1"/>
      <c r="D59" s="14"/>
      <c r="E59" s="14"/>
      <c r="F59" s="20" t="e">
        <f t="shared" si="16"/>
        <v>#DIV/0!</v>
      </c>
      <c r="G59" s="2">
        <f t="shared" si="18"/>
        <v>0</v>
      </c>
      <c r="H59" s="2">
        <f t="shared" si="11"/>
        <v>0</v>
      </c>
      <c r="I59" s="29"/>
      <c r="J59" s="14"/>
      <c r="K59" s="20" t="e">
        <f t="shared" si="17"/>
        <v>#DIV/0!</v>
      </c>
      <c r="L59" s="4" t="e">
        <f t="shared" si="12"/>
        <v>#DIV/0!</v>
      </c>
      <c r="M59" s="103"/>
      <c r="N59" s="103"/>
      <c r="O59" s="34"/>
      <c r="P59" s="155"/>
      <c r="Q59" s="6"/>
    </row>
    <row r="60" spans="1:17">
      <c r="A60" s="13">
        <f t="shared" si="15"/>
        <v>46168</v>
      </c>
      <c r="B60" s="127">
        <v>71593</v>
      </c>
      <c r="C60" s="1"/>
      <c r="D60" s="14"/>
      <c r="E60" s="14"/>
      <c r="F60" s="20" t="e">
        <f t="shared" si="16"/>
        <v>#DIV/0!</v>
      </c>
      <c r="G60" s="2">
        <f t="shared" si="18"/>
        <v>0</v>
      </c>
      <c r="H60" s="2">
        <f t="shared" si="11"/>
        <v>0</v>
      </c>
      <c r="I60" s="29"/>
      <c r="J60" s="14"/>
      <c r="K60" s="20" t="e">
        <f t="shared" si="17"/>
        <v>#DIV/0!</v>
      </c>
      <c r="L60" s="4" t="e">
        <f t="shared" si="12"/>
        <v>#DIV/0!</v>
      </c>
      <c r="M60" s="103"/>
      <c r="N60" s="103"/>
      <c r="O60" s="34"/>
      <c r="P60" s="6"/>
      <c r="Q60" s="123"/>
    </row>
    <row r="61" spans="1:17">
      <c r="A61" s="13">
        <f t="shared" si="15"/>
        <v>46169</v>
      </c>
      <c r="B61" s="127">
        <v>71593</v>
      </c>
      <c r="C61" s="1"/>
      <c r="D61" s="14"/>
      <c r="E61" s="14"/>
      <c r="F61" s="20" t="e">
        <f t="shared" si="16"/>
        <v>#DIV/0!</v>
      </c>
      <c r="G61" s="2">
        <f t="shared" si="18"/>
        <v>0</v>
      </c>
      <c r="H61" s="2">
        <f t="shared" si="11"/>
        <v>0</v>
      </c>
      <c r="I61" s="29"/>
      <c r="J61" s="14"/>
      <c r="K61" s="20" t="e">
        <f t="shared" si="17"/>
        <v>#DIV/0!</v>
      </c>
      <c r="L61" s="4" t="e">
        <f t="shared" si="12"/>
        <v>#DIV/0!</v>
      </c>
      <c r="M61" s="103"/>
      <c r="N61" s="103"/>
      <c r="O61" s="34"/>
      <c r="P61" s="6"/>
      <c r="Q61" s="6"/>
    </row>
    <row r="62" spans="1:17">
      <c r="A62" s="13">
        <f t="shared" si="15"/>
        <v>46170</v>
      </c>
      <c r="B62" s="127">
        <v>71593</v>
      </c>
      <c r="C62" s="1"/>
      <c r="D62" s="14"/>
      <c r="E62" s="14"/>
      <c r="F62" s="20" t="e">
        <f t="shared" si="16"/>
        <v>#DIV/0!</v>
      </c>
      <c r="G62" s="2">
        <f t="shared" si="18"/>
        <v>0</v>
      </c>
      <c r="H62" s="2">
        <f t="shared" ref="H62:H65" si="19">D62/($H$2*24)</f>
        <v>0</v>
      </c>
      <c r="I62" s="29"/>
      <c r="J62" s="14"/>
      <c r="K62" s="20" t="e">
        <f t="shared" si="17"/>
        <v>#DIV/0!</v>
      </c>
      <c r="L62" s="4" t="e">
        <f t="shared" si="12"/>
        <v>#DIV/0!</v>
      </c>
      <c r="M62" s="103"/>
      <c r="N62" s="103"/>
      <c r="O62" s="34"/>
      <c r="P62" s="6"/>
      <c r="Q62" s="6"/>
    </row>
    <row r="63" spans="1:17">
      <c r="A63" s="13">
        <f t="shared" si="15"/>
        <v>46171</v>
      </c>
      <c r="B63" s="127">
        <v>71593</v>
      </c>
      <c r="C63" s="1"/>
      <c r="D63" s="14"/>
      <c r="E63" s="14"/>
      <c r="F63" s="20" t="e">
        <f t="shared" si="16"/>
        <v>#DIV/0!</v>
      </c>
      <c r="G63" s="2">
        <f t="shared" si="18"/>
        <v>0</v>
      </c>
      <c r="H63" s="2">
        <f t="shared" si="19"/>
        <v>0</v>
      </c>
      <c r="I63" s="29"/>
      <c r="J63" s="14"/>
      <c r="K63" s="20" t="e">
        <f t="shared" si="17"/>
        <v>#DIV/0!</v>
      </c>
      <c r="L63" s="4" t="e">
        <f t="shared" si="12"/>
        <v>#DIV/0!</v>
      </c>
      <c r="M63" s="103"/>
      <c r="N63" s="103"/>
      <c r="O63" s="34"/>
      <c r="P63" s="6"/>
      <c r="Q63" s="6"/>
    </row>
    <row r="64" spans="1:17">
      <c r="A64" s="13">
        <f t="shared" si="15"/>
        <v>46172</v>
      </c>
      <c r="B64" s="127">
        <v>71593</v>
      </c>
      <c r="C64" s="1"/>
      <c r="D64" s="14"/>
      <c r="E64" s="14"/>
      <c r="F64" s="20" t="e">
        <f t="shared" si="16"/>
        <v>#DIV/0!</v>
      </c>
      <c r="G64" s="2">
        <f t="shared" si="18"/>
        <v>0</v>
      </c>
      <c r="H64" s="2">
        <f t="shared" si="19"/>
        <v>0</v>
      </c>
      <c r="I64" s="29"/>
      <c r="J64" s="14"/>
      <c r="K64" s="20" t="e">
        <f t="shared" si="17"/>
        <v>#DIV/0!</v>
      </c>
      <c r="L64" s="4" t="e">
        <f t="shared" si="12"/>
        <v>#DIV/0!</v>
      </c>
      <c r="M64" s="103"/>
      <c r="N64" s="103"/>
      <c r="O64" s="34"/>
      <c r="P64" s="6"/>
      <c r="Q64" s="6"/>
    </row>
    <row r="65" spans="1:17">
      <c r="A65" s="13">
        <f t="shared" si="15"/>
        <v>46173</v>
      </c>
      <c r="B65" s="127">
        <v>71593</v>
      </c>
      <c r="C65" s="1"/>
      <c r="D65" s="14"/>
      <c r="E65" s="14"/>
      <c r="F65" s="20" t="e">
        <f t="shared" si="16"/>
        <v>#DIV/0!</v>
      </c>
      <c r="G65" s="2">
        <f t="shared" si="18"/>
        <v>0</v>
      </c>
      <c r="H65" s="2">
        <f t="shared" si="19"/>
        <v>0</v>
      </c>
      <c r="I65" s="29"/>
      <c r="J65" s="14"/>
      <c r="K65" s="20" t="e">
        <f t="shared" si="17"/>
        <v>#DIV/0!</v>
      </c>
      <c r="L65" s="4" t="e">
        <f t="shared" si="12"/>
        <v>#DIV/0!</v>
      </c>
      <c r="M65" s="103"/>
      <c r="N65" s="103"/>
      <c r="O65" s="34"/>
      <c r="P65" s="6"/>
      <c r="Q65" s="6"/>
    </row>
    <row r="66" spans="1:17">
      <c r="A66" s="349">
        <v>46143</v>
      </c>
      <c r="B66" s="89">
        <f>SUM(B35:B65)</f>
        <v>2219383</v>
      </c>
      <c r="C66" s="89">
        <f>SUM(C35:C65)</f>
        <v>200749.6451612901</v>
      </c>
      <c r="D66" s="89">
        <f>SUM(D35:D65)</f>
        <v>236121.8</v>
      </c>
      <c r="E66" s="89">
        <f>SUM(E35:E65)</f>
        <v>228510</v>
      </c>
      <c r="F66" s="160">
        <f>(IF(ISBLANK(E66),0,E66-C66))/C66</f>
        <v>0.13828345657301733</v>
      </c>
      <c r="G66" s="90">
        <f>AVERAGE(G35:G65)</f>
        <v>2.2196671615099188E-2</v>
      </c>
      <c r="H66" s="90">
        <f>AVERAGE(H35:H65)</f>
        <v>2.8851637341153469E-2</v>
      </c>
      <c r="I66" s="89">
        <f>SUM(I35:I65)</f>
        <v>0</v>
      </c>
      <c r="J66" s="89">
        <f>SUM(J35:J65)</f>
        <v>21.04</v>
      </c>
      <c r="K66" s="160" t="e">
        <f>(IF(ISBLANK(J66),0,J66-I66))/I66</f>
        <v>#DIV/0!</v>
      </c>
      <c r="L66" s="161">
        <f t="shared" si="12"/>
        <v>0.78490131566700549</v>
      </c>
      <c r="M66" s="90">
        <f>AVERAGE(M35:M65)</f>
        <v>1</v>
      </c>
      <c r="N66" s="90">
        <f>AVERAGE(N35:N65)</f>
        <v>0.9143</v>
      </c>
      <c r="O66" s="89">
        <f>SUM(O35:O65)</f>
        <v>38838.18</v>
      </c>
      <c r="P66" s="89">
        <f>SUM(P35:P65)</f>
        <v>0</v>
      </c>
      <c r="Q66" s="19"/>
    </row>
  </sheetData>
  <mergeCells count="4">
    <mergeCell ref="A1:Q1"/>
    <mergeCell ref="B2:C2"/>
    <mergeCell ref="E2:G2"/>
    <mergeCell ref="I2:J2"/>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6ECF4-AE01-400B-9E1E-3B0C3DDB453C}">
  <dimension ref="A1:Q66"/>
  <sheetViews>
    <sheetView topLeftCell="A21"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6.81640625" bestFit="1" customWidth="1"/>
    <col min="9" max="10" width="9.7265625" bestFit="1" customWidth="1"/>
    <col min="11" max="11" width="9.81640625" bestFit="1" customWidth="1"/>
    <col min="12" max="12" width="7" bestFit="1" customWidth="1"/>
    <col min="13" max="14" width="9.26953125" bestFit="1" customWidth="1"/>
    <col min="15" max="16" width="9.7265625" bestFit="1" customWidth="1"/>
    <col min="17" max="17" width="62.453125" bestFit="1" customWidth="1"/>
    <col min="18" max="18" width="10" customWidth="1"/>
  </cols>
  <sheetData>
    <row r="1" spans="1:17" ht="18.5">
      <c r="A1" s="405" t="s">
        <v>594</v>
      </c>
      <c r="B1" s="406"/>
      <c r="C1" s="406"/>
      <c r="D1" s="406"/>
      <c r="E1" s="406"/>
      <c r="F1" s="406"/>
      <c r="G1" s="406"/>
      <c r="H1" s="406"/>
      <c r="I1" s="406"/>
      <c r="J1" s="406"/>
      <c r="K1" s="406"/>
      <c r="L1" s="406"/>
      <c r="M1" s="406"/>
      <c r="N1" s="406"/>
      <c r="O1" s="406"/>
      <c r="P1" s="406"/>
      <c r="Q1" s="406"/>
    </row>
    <row r="2" spans="1:17" ht="18.5">
      <c r="A2" s="7">
        <v>46113</v>
      </c>
      <c r="B2" s="407" t="s">
        <v>172</v>
      </c>
      <c r="C2" s="408"/>
      <c r="D2" s="8">
        <v>12300</v>
      </c>
      <c r="E2" s="407" t="s">
        <v>173</v>
      </c>
      <c r="F2" s="407"/>
      <c r="G2" s="408"/>
      <c r="H2" s="8">
        <v>10120</v>
      </c>
      <c r="I2" s="409" t="s">
        <v>174</v>
      </c>
      <c r="J2" s="410"/>
      <c r="K2" s="9">
        <v>44497</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59855</v>
      </c>
      <c r="C4" s="1">
        <v>58370</v>
      </c>
      <c r="D4" s="6">
        <v>55466</v>
      </c>
      <c r="E4" s="6">
        <v>54285</v>
      </c>
      <c r="F4" s="20">
        <f>(IF(ISBLANK(E4),0,E4-C4))/C4</f>
        <v>-6.998458112043858E-2</v>
      </c>
      <c r="G4" s="2">
        <f t="shared" ref="G4:G27" si="0">D4/($D$2*24)</f>
        <v>0.18789295392953931</v>
      </c>
      <c r="H4" s="2">
        <f t="shared" ref="H4:H21" si="1">D4/($H$2*24)</f>
        <v>0.22836791831357048</v>
      </c>
      <c r="I4" s="86">
        <v>6.6</v>
      </c>
      <c r="J4" s="49">
        <v>5.47</v>
      </c>
      <c r="K4" s="20">
        <f>(IF(ISBLANK(J4),0,J4-I4))/I4</f>
        <v>-0.1712121212121212</v>
      </c>
      <c r="L4" s="4">
        <f t="shared" ref="L4:L35" si="2">D4/($D$2*J4)</f>
        <v>0.82439321650986164</v>
      </c>
      <c r="M4" s="174">
        <v>1</v>
      </c>
      <c r="N4" s="177">
        <v>1</v>
      </c>
      <c r="O4" s="49"/>
      <c r="P4" s="49"/>
      <c r="Q4" s="49"/>
    </row>
    <row r="5" spans="1:17">
      <c r="A5" s="13">
        <f>A4+1</f>
        <v>46114</v>
      </c>
      <c r="B5" s="1">
        <v>59855</v>
      </c>
      <c r="C5" s="1">
        <v>58370</v>
      </c>
      <c r="D5" s="6">
        <v>53083</v>
      </c>
      <c r="E5" s="6">
        <v>52080</v>
      </c>
      <c r="F5" s="20">
        <f t="shared" ref="F5:F33" si="3">(IF(ISBLANK(E5),0,E5-C5))/C5</f>
        <v>-0.10776083604591399</v>
      </c>
      <c r="G5" s="2">
        <f t="shared" si="0"/>
        <v>0.17982046070460705</v>
      </c>
      <c r="H5" s="2">
        <f t="shared" si="1"/>
        <v>0.21855648880105402</v>
      </c>
      <c r="I5" s="86">
        <v>6.6</v>
      </c>
      <c r="J5" s="50">
        <v>5.21</v>
      </c>
      <c r="K5" s="20">
        <f t="shared" ref="K5:K34" si="4">(IF(ISBLANK(J5),0,J5-I5))/I5</f>
        <v>-0.21060606060606057</v>
      </c>
      <c r="L5" s="4">
        <f t="shared" si="2"/>
        <v>0.82834761169108817</v>
      </c>
      <c r="M5" s="175">
        <v>1</v>
      </c>
      <c r="N5" s="178">
        <v>1</v>
      </c>
      <c r="O5" s="50"/>
      <c r="P5" s="50"/>
      <c r="Q5" s="50"/>
    </row>
    <row r="6" spans="1:17">
      <c r="A6" s="13">
        <f t="shared" ref="A6:A33" si="5">A5+1</f>
        <v>46115</v>
      </c>
      <c r="B6" s="1">
        <v>59855</v>
      </c>
      <c r="C6" s="1">
        <v>58370</v>
      </c>
      <c r="D6" s="6">
        <v>60651</v>
      </c>
      <c r="E6" s="6">
        <v>60060</v>
      </c>
      <c r="F6" s="20">
        <f t="shared" si="3"/>
        <v>2.8953229398663696E-2</v>
      </c>
      <c r="G6" s="2">
        <f t="shared" si="0"/>
        <v>0.20545731707317072</v>
      </c>
      <c r="H6" s="2">
        <f t="shared" si="1"/>
        <v>0.2497159090909091</v>
      </c>
      <c r="I6" s="86">
        <v>6.6</v>
      </c>
      <c r="J6" s="50">
        <v>5.91</v>
      </c>
      <c r="K6" s="20">
        <f t="shared" si="4"/>
        <v>-0.10454545454545447</v>
      </c>
      <c r="L6" s="4">
        <f t="shared" si="2"/>
        <v>0.8343444348149065</v>
      </c>
      <c r="M6" s="175">
        <v>1</v>
      </c>
      <c r="N6" s="178">
        <v>1</v>
      </c>
      <c r="O6" s="50"/>
      <c r="P6" s="50"/>
      <c r="Q6" s="50"/>
    </row>
    <row r="7" spans="1:17">
      <c r="A7" s="13">
        <f t="shared" si="5"/>
        <v>46116</v>
      </c>
      <c r="B7" s="1">
        <v>59855</v>
      </c>
      <c r="C7" s="1">
        <v>58370</v>
      </c>
      <c r="D7" s="6">
        <v>61602</v>
      </c>
      <c r="E7" s="6">
        <v>59745</v>
      </c>
      <c r="F7" s="20">
        <f t="shared" si="3"/>
        <v>2.3556621552167208E-2</v>
      </c>
      <c r="G7" s="2">
        <f t="shared" si="0"/>
        <v>0.20867886178861789</v>
      </c>
      <c r="H7" s="2">
        <f t="shared" si="1"/>
        <v>0.25363142292490121</v>
      </c>
      <c r="I7" s="86">
        <v>6.6</v>
      </c>
      <c r="J7" s="50">
        <v>6.02</v>
      </c>
      <c r="K7" s="20">
        <f t="shared" si="4"/>
        <v>-8.787878787878789E-2</v>
      </c>
      <c r="L7" s="4">
        <f t="shared" si="2"/>
        <v>0.83194230613402476</v>
      </c>
      <c r="M7" s="175">
        <v>1</v>
      </c>
      <c r="N7" s="178">
        <v>1</v>
      </c>
      <c r="O7" s="50"/>
      <c r="P7" s="50"/>
      <c r="Q7" s="50"/>
    </row>
    <row r="8" spans="1:17">
      <c r="A8" s="13">
        <f t="shared" si="5"/>
        <v>46117</v>
      </c>
      <c r="B8" s="1">
        <v>59855</v>
      </c>
      <c r="C8" s="1">
        <v>58370</v>
      </c>
      <c r="D8" s="6">
        <v>70324</v>
      </c>
      <c r="E8" s="6">
        <v>68880</v>
      </c>
      <c r="F8" s="20">
        <f t="shared" si="3"/>
        <v>0.18005824910056537</v>
      </c>
      <c r="G8" s="2">
        <f t="shared" si="0"/>
        <v>0.23822493224932248</v>
      </c>
      <c r="H8" s="2">
        <f t="shared" si="1"/>
        <v>0.28954216073781291</v>
      </c>
      <c r="I8" s="86">
        <v>6.6</v>
      </c>
      <c r="J8" s="50">
        <v>6.91</v>
      </c>
      <c r="K8" s="20">
        <f t="shared" si="4"/>
        <v>4.696969696969705E-2</v>
      </c>
      <c r="L8" s="4">
        <f t="shared" si="2"/>
        <v>0.82740931606132273</v>
      </c>
      <c r="M8" s="175">
        <v>1</v>
      </c>
      <c r="N8" s="178">
        <v>1</v>
      </c>
      <c r="O8" s="50"/>
      <c r="P8" s="50"/>
      <c r="Q8" s="50"/>
    </row>
    <row r="9" spans="1:17">
      <c r="A9" s="13">
        <f t="shared" si="5"/>
        <v>46118</v>
      </c>
      <c r="B9" s="1">
        <v>59855</v>
      </c>
      <c r="C9" s="1">
        <v>58370</v>
      </c>
      <c r="D9" s="6">
        <v>75127</v>
      </c>
      <c r="E9" s="6">
        <v>73605</v>
      </c>
      <c r="F9" s="20">
        <f t="shared" si="3"/>
        <v>0.26100736679801267</v>
      </c>
      <c r="G9" s="2">
        <f t="shared" si="0"/>
        <v>0.25449525745257451</v>
      </c>
      <c r="H9" s="2">
        <f t="shared" si="1"/>
        <v>0.30931735836627139</v>
      </c>
      <c r="I9" s="86">
        <v>6.6</v>
      </c>
      <c r="J9" s="50">
        <v>7.43</v>
      </c>
      <c r="K9" s="20">
        <f t="shared" si="4"/>
        <v>0.12575757575757576</v>
      </c>
      <c r="L9" s="4">
        <f t="shared" si="2"/>
        <v>0.82205735920077905</v>
      </c>
      <c r="M9" s="175">
        <v>1</v>
      </c>
      <c r="N9" s="178">
        <v>1</v>
      </c>
      <c r="O9" s="50"/>
      <c r="P9" s="50"/>
      <c r="Q9" s="50"/>
    </row>
    <row r="10" spans="1:17">
      <c r="A10" s="13">
        <f t="shared" si="5"/>
        <v>46119</v>
      </c>
      <c r="B10" s="1">
        <v>59855</v>
      </c>
      <c r="C10" s="1">
        <v>58370</v>
      </c>
      <c r="D10" s="6">
        <v>72051</v>
      </c>
      <c r="E10" s="6">
        <v>70560</v>
      </c>
      <c r="F10" s="20">
        <f t="shared" si="3"/>
        <v>0.2088401576152133</v>
      </c>
      <c r="G10" s="2">
        <f t="shared" si="0"/>
        <v>0.24407520325203252</v>
      </c>
      <c r="H10" s="2">
        <f t="shared" si="1"/>
        <v>0.29665266798418971</v>
      </c>
      <c r="I10" s="86">
        <v>6.6</v>
      </c>
      <c r="J10" s="50">
        <v>7.09</v>
      </c>
      <c r="K10" s="20">
        <f t="shared" si="4"/>
        <v>7.4242424242424276E-2</v>
      </c>
      <c r="L10" s="4">
        <f t="shared" si="2"/>
        <v>0.82620661185455291</v>
      </c>
      <c r="M10" s="175">
        <v>1</v>
      </c>
      <c r="N10" s="178">
        <v>1</v>
      </c>
      <c r="O10" s="50"/>
      <c r="P10" s="50"/>
      <c r="Q10" s="50"/>
    </row>
    <row r="11" spans="1:17">
      <c r="A11" s="13">
        <f t="shared" si="5"/>
        <v>46120</v>
      </c>
      <c r="B11" s="1">
        <v>59855</v>
      </c>
      <c r="C11" s="1">
        <v>58370</v>
      </c>
      <c r="D11" s="6">
        <v>69166</v>
      </c>
      <c r="E11" s="6">
        <v>67725</v>
      </c>
      <c r="F11" s="20">
        <f t="shared" si="3"/>
        <v>0.1602706869967449</v>
      </c>
      <c r="G11" s="2">
        <f t="shared" si="0"/>
        <v>0.23430216802168022</v>
      </c>
      <c r="H11" s="2">
        <f t="shared" si="1"/>
        <v>0.28477437417654811</v>
      </c>
      <c r="I11" s="86">
        <v>6.6</v>
      </c>
      <c r="J11" s="50">
        <v>6.76</v>
      </c>
      <c r="K11" s="20">
        <f t="shared" si="4"/>
        <v>2.4242424242424267E-2</v>
      </c>
      <c r="L11" s="4">
        <f t="shared" si="2"/>
        <v>0.83184201664501856</v>
      </c>
      <c r="M11" s="175">
        <v>1</v>
      </c>
      <c r="N11" s="178">
        <v>1</v>
      </c>
      <c r="O11" s="50"/>
      <c r="P11" s="50"/>
      <c r="Q11" s="50"/>
    </row>
    <row r="12" spans="1:17">
      <c r="A12" s="13">
        <f t="shared" si="5"/>
        <v>46121</v>
      </c>
      <c r="B12" s="1">
        <v>59855</v>
      </c>
      <c r="C12" s="1">
        <v>58370</v>
      </c>
      <c r="D12" s="6">
        <v>70556</v>
      </c>
      <c r="E12" s="6">
        <v>69195</v>
      </c>
      <c r="F12" s="20">
        <f t="shared" si="3"/>
        <v>0.18545485694706185</v>
      </c>
      <c r="G12" s="2">
        <f t="shared" si="0"/>
        <v>0.2390108401084011</v>
      </c>
      <c r="H12" s="2">
        <f t="shared" si="1"/>
        <v>0.29049736495388667</v>
      </c>
      <c r="I12" s="86">
        <v>6.6</v>
      </c>
      <c r="J12" s="50">
        <v>6.92</v>
      </c>
      <c r="K12" s="20">
        <f t="shared" si="4"/>
        <v>4.8484848484848533E-2</v>
      </c>
      <c r="L12" s="4">
        <f t="shared" si="2"/>
        <v>0.82893932985572627</v>
      </c>
      <c r="M12" s="175">
        <v>1</v>
      </c>
      <c r="N12" s="178">
        <v>1</v>
      </c>
      <c r="O12" s="50"/>
      <c r="P12" s="50"/>
      <c r="Q12" s="50"/>
    </row>
    <row r="13" spans="1:17">
      <c r="A13" s="13">
        <f t="shared" si="5"/>
        <v>46122</v>
      </c>
      <c r="B13" s="1">
        <v>59855</v>
      </c>
      <c r="C13" s="1">
        <v>58370</v>
      </c>
      <c r="D13" s="6">
        <v>68611</v>
      </c>
      <c r="E13" s="6">
        <v>67200</v>
      </c>
      <c r="F13" s="20">
        <f t="shared" si="3"/>
        <v>0.15127634058591743</v>
      </c>
      <c r="G13" s="2">
        <f t="shared" si="0"/>
        <v>0.2324220867208672</v>
      </c>
      <c r="H13" s="2">
        <f t="shared" si="1"/>
        <v>0.28248929512516469</v>
      </c>
      <c r="I13" s="86">
        <v>6.6</v>
      </c>
      <c r="J13" s="50">
        <v>6.76</v>
      </c>
      <c r="K13" s="20">
        <f t="shared" si="4"/>
        <v>2.4242424242424267E-2</v>
      </c>
      <c r="L13" s="4">
        <f t="shared" si="2"/>
        <v>0.82516717179006105</v>
      </c>
      <c r="M13" s="175">
        <v>1</v>
      </c>
      <c r="N13" s="178">
        <v>1</v>
      </c>
      <c r="O13" s="50"/>
      <c r="P13" s="50"/>
      <c r="Q13" s="50"/>
    </row>
    <row r="14" spans="1:17">
      <c r="A14" s="13">
        <f t="shared" si="5"/>
        <v>46123</v>
      </c>
      <c r="B14" s="1">
        <v>59855</v>
      </c>
      <c r="C14" s="1">
        <v>58370</v>
      </c>
      <c r="D14" s="6">
        <v>66156</v>
      </c>
      <c r="E14" s="6">
        <v>64785</v>
      </c>
      <c r="F14" s="20">
        <f t="shared" si="3"/>
        <v>0.10990234709611102</v>
      </c>
      <c r="G14" s="2">
        <f t="shared" si="0"/>
        <v>0.22410569105691056</v>
      </c>
      <c r="H14" s="2">
        <f t="shared" si="1"/>
        <v>0.2723814229249012</v>
      </c>
      <c r="I14" s="86">
        <v>6.6</v>
      </c>
      <c r="J14" s="50">
        <v>6.59</v>
      </c>
      <c r="K14" s="20">
        <f t="shared" si="4"/>
        <v>-1.5151515151514828E-3</v>
      </c>
      <c r="L14" s="4">
        <f t="shared" si="2"/>
        <v>0.8161664014212221</v>
      </c>
      <c r="M14" s="175">
        <v>1</v>
      </c>
      <c r="N14" s="178">
        <v>1</v>
      </c>
      <c r="O14" s="50"/>
      <c r="P14" s="50"/>
      <c r="Q14" s="50"/>
    </row>
    <row r="15" spans="1:17">
      <c r="A15" s="13">
        <f t="shared" si="5"/>
        <v>46124</v>
      </c>
      <c r="B15" s="1">
        <v>59855</v>
      </c>
      <c r="C15" s="1">
        <v>58370</v>
      </c>
      <c r="D15" s="6">
        <v>57635</v>
      </c>
      <c r="E15" s="6">
        <v>56595</v>
      </c>
      <c r="F15" s="20">
        <f t="shared" si="3"/>
        <v>-3.0409456912797669E-2</v>
      </c>
      <c r="G15" s="2">
        <f t="shared" si="0"/>
        <v>0.19524051490514904</v>
      </c>
      <c r="H15" s="2">
        <f t="shared" si="1"/>
        <v>0.23729825428194992</v>
      </c>
      <c r="I15" s="86">
        <v>6.6</v>
      </c>
      <c r="J15" s="50">
        <v>6.14</v>
      </c>
      <c r="K15" s="20">
        <f t="shared" si="4"/>
        <v>-6.9696969696969702E-2</v>
      </c>
      <c r="L15" s="4">
        <f t="shared" si="2"/>
        <v>0.76315510712110379</v>
      </c>
      <c r="M15" s="175">
        <v>1</v>
      </c>
      <c r="N15" s="178">
        <v>1</v>
      </c>
      <c r="O15" s="50">
        <v>4805</v>
      </c>
      <c r="P15" s="50"/>
      <c r="Q15" s="50" t="s">
        <v>595</v>
      </c>
    </row>
    <row r="16" spans="1:17">
      <c r="A16" s="13">
        <f t="shared" si="5"/>
        <v>46125</v>
      </c>
      <c r="B16" s="1">
        <v>59855</v>
      </c>
      <c r="C16" s="1">
        <v>58370</v>
      </c>
      <c r="D16" s="6">
        <v>59752</v>
      </c>
      <c r="E16" s="6">
        <v>59115</v>
      </c>
      <c r="F16" s="20">
        <f t="shared" si="3"/>
        <v>1.2763405859174234E-2</v>
      </c>
      <c r="G16" s="2">
        <f t="shared" si="0"/>
        <v>0.20241192411924119</v>
      </c>
      <c r="H16" s="2">
        <f t="shared" si="1"/>
        <v>0.24601449275362319</v>
      </c>
      <c r="I16" s="86">
        <v>6.6</v>
      </c>
      <c r="J16" s="50">
        <v>6.35</v>
      </c>
      <c r="K16" s="20">
        <f t="shared" si="4"/>
        <v>-3.787878787878788E-2</v>
      </c>
      <c r="L16" s="4">
        <f t="shared" si="2"/>
        <v>0.76502144549004547</v>
      </c>
      <c r="M16" s="175">
        <v>1</v>
      </c>
      <c r="N16" s="178">
        <v>1</v>
      </c>
      <c r="O16" s="50">
        <v>4385</v>
      </c>
      <c r="P16" s="50"/>
      <c r="Q16" s="50" t="s">
        <v>596</v>
      </c>
    </row>
    <row r="17" spans="1:17">
      <c r="A17" s="13">
        <f t="shared" si="5"/>
        <v>46126</v>
      </c>
      <c r="B17" s="1">
        <v>59855</v>
      </c>
      <c r="C17" s="1">
        <v>58370</v>
      </c>
      <c r="D17" s="6">
        <v>59413</v>
      </c>
      <c r="E17" s="6">
        <v>59115</v>
      </c>
      <c r="F17" s="20">
        <f t="shared" si="3"/>
        <v>1.2763405859174234E-2</v>
      </c>
      <c r="G17" s="2">
        <f t="shared" si="0"/>
        <v>0.20126355013550135</v>
      </c>
      <c r="H17" s="2">
        <f t="shared" si="1"/>
        <v>0.2446187417654809</v>
      </c>
      <c r="I17" s="86">
        <v>6.6</v>
      </c>
      <c r="J17" s="50">
        <v>6.7</v>
      </c>
      <c r="K17" s="20">
        <f t="shared" si="4"/>
        <v>1.5151515151515233E-2</v>
      </c>
      <c r="L17" s="4">
        <f t="shared" si="2"/>
        <v>0.72094406018687052</v>
      </c>
      <c r="M17" s="175">
        <v>1</v>
      </c>
      <c r="N17" s="178">
        <v>1</v>
      </c>
      <c r="O17" s="50">
        <v>7885</v>
      </c>
      <c r="P17" s="50"/>
      <c r="Q17" s="50" t="s">
        <v>596</v>
      </c>
    </row>
    <row r="18" spans="1:17">
      <c r="A18" s="13">
        <f t="shared" si="5"/>
        <v>46127</v>
      </c>
      <c r="B18" s="1">
        <v>59855</v>
      </c>
      <c r="C18" s="1">
        <v>58370</v>
      </c>
      <c r="D18" s="6">
        <v>60069</v>
      </c>
      <c r="E18" s="6">
        <v>57540</v>
      </c>
      <c r="F18" s="20">
        <f t="shared" si="3"/>
        <v>-1.4219633373308206E-2</v>
      </c>
      <c r="G18" s="2">
        <f t="shared" si="0"/>
        <v>0.20348577235772358</v>
      </c>
      <c r="H18" s="2">
        <f t="shared" si="1"/>
        <v>0.24731966403162056</v>
      </c>
      <c r="I18" s="86">
        <v>6.6</v>
      </c>
      <c r="J18" s="50">
        <v>6.78</v>
      </c>
      <c r="K18" s="20">
        <f t="shared" si="4"/>
        <v>2.7272727272727365E-2</v>
      </c>
      <c r="L18" s="4">
        <f t="shared" si="2"/>
        <v>0.72030361896539319</v>
      </c>
      <c r="M18" s="175">
        <v>1</v>
      </c>
      <c r="N18" s="178">
        <v>1</v>
      </c>
      <c r="O18" s="50">
        <v>10260</v>
      </c>
      <c r="P18" s="50"/>
      <c r="Q18" s="50" t="s">
        <v>596</v>
      </c>
    </row>
    <row r="19" spans="1:17">
      <c r="A19" s="13">
        <f t="shared" si="5"/>
        <v>46128</v>
      </c>
      <c r="B19" s="1">
        <v>59855</v>
      </c>
      <c r="C19" s="1">
        <v>58370</v>
      </c>
      <c r="D19" s="6">
        <v>60662</v>
      </c>
      <c r="E19" s="6">
        <v>59535</v>
      </c>
      <c r="F19" s="20">
        <f t="shared" si="3"/>
        <v>1.9958882987836216E-2</v>
      </c>
      <c r="G19" s="2">
        <f t="shared" si="0"/>
        <v>0.20549457994579945</v>
      </c>
      <c r="H19" s="2">
        <f t="shared" si="1"/>
        <v>0.24976119894598156</v>
      </c>
      <c r="I19" s="86">
        <v>6.6</v>
      </c>
      <c r="J19" s="50">
        <v>7.06</v>
      </c>
      <c r="K19" s="20">
        <f t="shared" si="4"/>
        <v>6.9696969696969702E-2</v>
      </c>
      <c r="L19" s="4">
        <f t="shared" si="2"/>
        <v>0.69856514429166949</v>
      </c>
      <c r="M19" s="175">
        <v>1</v>
      </c>
      <c r="N19" s="178">
        <v>1</v>
      </c>
      <c r="O19" s="50">
        <v>11065</v>
      </c>
      <c r="P19" s="50"/>
      <c r="Q19" s="50" t="s">
        <v>596</v>
      </c>
    </row>
    <row r="20" spans="1:17">
      <c r="A20" s="13">
        <f t="shared" si="5"/>
        <v>46129</v>
      </c>
      <c r="B20" s="1">
        <v>59855</v>
      </c>
      <c r="C20" s="1">
        <v>58370</v>
      </c>
      <c r="D20" s="6">
        <v>44851</v>
      </c>
      <c r="E20" s="6">
        <v>43995</v>
      </c>
      <c r="F20" s="20">
        <f t="shared" si="3"/>
        <v>-0.24627377077265719</v>
      </c>
      <c r="G20" s="2">
        <f t="shared" si="0"/>
        <v>0.15193428184281843</v>
      </c>
      <c r="H20" s="2">
        <f t="shared" si="1"/>
        <v>0.18466320816864296</v>
      </c>
      <c r="I20" s="86">
        <v>6.6</v>
      </c>
      <c r="J20" s="50">
        <v>4.67</v>
      </c>
      <c r="K20" s="20">
        <f t="shared" si="4"/>
        <v>-0.29242424242424242</v>
      </c>
      <c r="L20" s="4">
        <f t="shared" si="2"/>
        <v>0.78081857906373497</v>
      </c>
      <c r="M20" s="175">
        <v>1</v>
      </c>
      <c r="N20" s="178">
        <v>1</v>
      </c>
      <c r="O20" s="50">
        <v>2705</v>
      </c>
      <c r="P20" s="50"/>
      <c r="Q20" s="50" t="s">
        <v>596</v>
      </c>
    </row>
    <row r="21" spans="1:17">
      <c r="A21" s="13">
        <f t="shared" si="5"/>
        <v>46130</v>
      </c>
      <c r="B21" s="1">
        <v>59855</v>
      </c>
      <c r="C21" s="1">
        <v>58370</v>
      </c>
      <c r="D21" s="6">
        <v>48635</v>
      </c>
      <c r="E21" s="6">
        <v>47670</v>
      </c>
      <c r="F21" s="20">
        <f t="shared" si="3"/>
        <v>-0.18331334589686482</v>
      </c>
      <c r="G21" s="2">
        <f t="shared" si="0"/>
        <v>0.16475271002710026</v>
      </c>
      <c r="H21" s="2">
        <f t="shared" si="1"/>
        <v>0.20024291831357049</v>
      </c>
      <c r="I21" s="86">
        <v>6.6</v>
      </c>
      <c r="J21" s="50">
        <v>5.13</v>
      </c>
      <c r="K21" s="20">
        <f t="shared" si="4"/>
        <v>-0.22272727272727269</v>
      </c>
      <c r="L21" s="4">
        <f t="shared" si="2"/>
        <v>0.77077291240748669</v>
      </c>
      <c r="M21" s="175">
        <v>1</v>
      </c>
      <c r="N21" s="178">
        <v>1</v>
      </c>
      <c r="O21" s="50">
        <v>3630</v>
      </c>
      <c r="P21" s="50"/>
      <c r="Q21" s="50" t="s">
        <v>596</v>
      </c>
    </row>
    <row r="22" spans="1:17">
      <c r="A22" s="13">
        <f t="shared" si="5"/>
        <v>46131</v>
      </c>
      <c r="B22" s="1">
        <v>59855</v>
      </c>
      <c r="C22" s="1">
        <v>58370</v>
      </c>
      <c r="D22" s="6">
        <v>40284</v>
      </c>
      <c r="E22" s="6">
        <v>39585</v>
      </c>
      <c r="F22" s="20">
        <f t="shared" si="3"/>
        <v>-0.32182628062360802</v>
      </c>
      <c r="G22" s="2">
        <f t="shared" si="0"/>
        <v>0.13646341463414635</v>
      </c>
      <c r="H22" s="2">
        <f t="shared" ref="H22:H27" si="6">E22/($D$2*24)</f>
        <v>0.13409552845528455</v>
      </c>
      <c r="I22" s="86">
        <v>6.6</v>
      </c>
      <c r="J22" s="50">
        <v>4.04</v>
      </c>
      <c r="K22" s="20">
        <f t="shared" si="4"/>
        <v>-0.38787878787878782</v>
      </c>
      <c r="L22" s="4">
        <f t="shared" si="2"/>
        <v>0.81067375030185951</v>
      </c>
      <c r="M22" s="175">
        <v>1</v>
      </c>
      <c r="N22" s="178">
        <v>1</v>
      </c>
      <c r="O22" s="50">
        <v>815</v>
      </c>
      <c r="P22" s="50"/>
      <c r="Q22" s="50" t="s">
        <v>596</v>
      </c>
    </row>
    <row r="23" spans="1:17">
      <c r="A23" s="13">
        <f t="shared" si="5"/>
        <v>46132</v>
      </c>
      <c r="B23" s="1">
        <v>59855</v>
      </c>
      <c r="C23" s="1">
        <v>58370</v>
      </c>
      <c r="D23" s="6">
        <v>56072</v>
      </c>
      <c r="E23" s="6">
        <v>55020</v>
      </c>
      <c r="F23" s="20">
        <f t="shared" si="3"/>
        <v>-5.7392496145280109E-2</v>
      </c>
      <c r="G23" s="2">
        <f t="shared" si="0"/>
        <v>0.18994579945799459</v>
      </c>
      <c r="H23" s="2">
        <f t="shared" si="6"/>
        <v>0.1863821138211382</v>
      </c>
      <c r="I23" s="86">
        <v>6.6</v>
      </c>
      <c r="J23" s="50">
        <v>5.69</v>
      </c>
      <c r="K23" s="20">
        <f t="shared" si="4"/>
        <v>-0.13787878787878777</v>
      </c>
      <c r="L23" s="4">
        <f t="shared" si="2"/>
        <v>0.80117736150999475</v>
      </c>
      <c r="M23" s="175">
        <v>1</v>
      </c>
      <c r="N23" s="178">
        <v>1</v>
      </c>
      <c r="O23" s="50">
        <v>1880</v>
      </c>
      <c r="P23" s="50"/>
      <c r="Q23" s="50" t="s">
        <v>596</v>
      </c>
    </row>
    <row r="24" spans="1:17">
      <c r="A24" s="13">
        <f t="shared" si="5"/>
        <v>46133</v>
      </c>
      <c r="B24" s="1">
        <v>59855</v>
      </c>
      <c r="C24" s="1">
        <v>58370</v>
      </c>
      <c r="D24" s="6">
        <v>53609</v>
      </c>
      <c r="E24" s="6">
        <v>52605</v>
      </c>
      <c r="F24" s="20">
        <f>(IF(ISBLANK(E24),0,E24-C24))/C24</f>
        <v>-9.876648963508651E-2</v>
      </c>
      <c r="G24" s="2">
        <f t="shared" si="0"/>
        <v>0.18160230352303522</v>
      </c>
      <c r="H24" s="2">
        <f t="shared" si="6"/>
        <v>0.17820121951219511</v>
      </c>
      <c r="I24" s="86">
        <v>6.6</v>
      </c>
      <c r="J24" s="50">
        <v>5.69</v>
      </c>
      <c r="K24" s="20">
        <f>(IF(ISBLANK(J24),0,J24-I24))/I24</f>
        <v>-0.13787878787878777</v>
      </c>
      <c r="L24" s="4">
        <f t="shared" si="2"/>
        <v>0.76598511152071103</v>
      </c>
      <c r="M24" s="175">
        <v>1</v>
      </c>
      <c r="N24" s="178">
        <v>1</v>
      </c>
      <c r="O24" s="50">
        <v>4295</v>
      </c>
      <c r="P24" s="50"/>
      <c r="Q24" s="50" t="s">
        <v>596</v>
      </c>
    </row>
    <row r="25" spans="1:17">
      <c r="A25" s="13">
        <f t="shared" si="5"/>
        <v>46134</v>
      </c>
      <c r="B25" s="1">
        <v>59855</v>
      </c>
      <c r="C25" s="1">
        <v>58370</v>
      </c>
      <c r="D25" s="6">
        <v>52006</v>
      </c>
      <c r="E25" s="6">
        <v>51030</v>
      </c>
      <c r="F25" s="20">
        <f t="shared" si="3"/>
        <v>-0.12574952886756896</v>
      </c>
      <c r="G25" s="2">
        <f t="shared" si="0"/>
        <v>0.1761720867208672</v>
      </c>
      <c r="H25" s="2">
        <f t="shared" si="6"/>
        <v>0.17286585365853657</v>
      </c>
      <c r="I25" s="86">
        <v>6.6</v>
      </c>
      <c r="J25" s="50">
        <v>5.17</v>
      </c>
      <c r="K25" s="20">
        <f t="shared" si="4"/>
        <v>-0.21666666666666665</v>
      </c>
      <c r="L25" s="4">
        <f t="shared" si="2"/>
        <v>0.8178201317796544</v>
      </c>
      <c r="M25" s="175">
        <v>1</v>
      </c>
      <c r="N25" s="178">
        <v>1</v>
      </c>
      <c r="O25" s="50">
        <v>670</v>
      </c>
      <c r="P25" s="50">
        <v>2183</v>
      </c>
      <c r="Q25" s="50" t="s">
        <v>597</v>
      </c>
    </row>
    <row r="26" spans="1:17">
      <c r="A26" s="13">
        <f t="shared" si="5"/>
        <v>46135</v>
      </c>
      <c r="B26" s="1">
        <v>59855</v>
      </c>
      <c r="C26" s="1">
        <v>58370</v>
      </c>
      <c r="D26" s="6">
        <v>58663</v>
      </c>
      <c r="E26" s="6">
        <v>57435</v>
      </c>
      <c r="F26" s="20">
        <f t="shared" si="3"/>
        <v>-1.6018502655473704E-2</v>
      </c>
      <c r="G26" s="2">
        <f t="shared" si="0"/>
        <v>0.19872289972899729</v>
      </c>
      <c r="H26" s="2">
        <f t="shared" si="6"/>
        <v>0.19456300813008129</v>
      </c>
      <c r="I26" s="86">
        <v>6.6</v>
      </c>
      <c r="J26" s="50">
        <v>6.32</v>
      </c>
      <c r="K26" s="20">
        <f t="shared" si="4"/>
        <v>-4.242424242424233E-2</v>
      </c>
      <c r="L26" s="4">
        <f t="shared" si="2"/>
        <v>0.75464392302150873</v>
      </c>
      <c r="M26" s="175">
        <v>1</v>
      </c>
      <c r="N26" s="178">
        <v>1</v>
      </c>
      <c r="O26" s="50">
        <v>5765</v>
      </c>
      <c r="P26" s="50">
        <v>2551</v>
      </c>
      <c r="Q26" s="50" t="s">
        <v>597</v>
      </c>
    </row>
    <row r="27" spans="1:17">
      <c r="A27" s="13">
        <f t="shared" si="5"/>
        <v>46136</v>
      </c>
      <c r="B27" s="1">
        <v>59855</v>
      </c>
      <c r="C27" s="1">
        <v>58370</v>
      </c>
      <c r="D27" s="6">
        <v>50711</v>
      </c>
      <c r="E27" s="6">
        <v>49770</v>
      </c>
      <c r="F27" s="20">
        <f t="shared" si="3"/>
        <v>-0.14733596025355492</v>
      </c>
      <c r="G27" s="2">
        <f t="shared" si="0"/>
        <v>0.17178523035230353</v>
      </c>
      <c r="H27" s="2">
        <f t="shared" si="6"/>
        <v>0.16859756097560977</v>
      </c>
      <c r="I27" s="86">
        <v>6.6</v>
      </c>
      <c r="J27" s="50">
        <v>5.52</v>
      </c>
      <c r="K27" s="20">
        <f t="shared" si="4"/>
        <v>-0.16363636363636366</v>
      </c>
      <c r="L27" s="4">
        <f t="shared" si="2"/>
        <v>0.74689230587958055</v>
      </c>
      <c r="M27" s="175">
        <v>1</v>
      </c>
      <c r="N27" s="178">
        <v>1</v>
      </c>
      <c r="O27" s="50">
        <v>5430</v>
      </c>
      <c r="P27" s="50">
        <v>2410</v>
      </c>
      <c r="Q27" s="50" t="s">
        <v>597</v>
      </c>
    </row>
    <row r="28" spans="1:17">
      <c r="A28" s="13">
        <f t="shared" si="5"/>
        <v>46137</v>
      </c>
      <c r="B28" s="1">
        <v>59855</v>
      </c>
      <c r="C28" s="1">
        <v>58370</v>
      </c>
      <c r="D28" s="6">
        <v>49389</v>
      </c>
      <c r="E28" s="6">
        <v>48405</v>
      </c>
      <c r="F28" s="20">
        <f t="shared" si="3"/>
        <v>-0.17072126092170636</v>
      </c>
      <c r="G28" s="2">
        <f t="shared" ref="G28:H33" si="7">D28/($D$2*24)</f>
        <v>0.16730691056910568</v>
      </c>
      <c r="H28" s="2">
        <f t="shared" si="7"/>
        <v>0.16397357723577236</v>
      </c>
      <c r="I28" s="86">
        <v>6.6</v>
      </c>
      <c r="J28" s="6">
        <v>5.13</v>
      </c>
      <c r="K28" s="20">
        <f t="shared" si="4"/>
        <v>-0.22272727272727269</v>
      </c>
      <c r="L28" s="4">
        <f t="shared" si="2"/>
        <v>0.78272238862739507</v>
      </c>
      <c r="M28" s="176">
        <v>1</v>
      </c>
      <c r="N28" s="176">
        <v>1</v>
      </c>
      <c r="O28" s="6">
        <v>2895</v>
      </c>
      <c r="P28" s="6">
        <v>1277</v>
      </c>
      <c r="Q28" s="50" t="s">
        <v>597</v>
      </c>
    </row>
    <row r="29" spans="1:17">
      <c r="A29" s="13">
        <f t="shared" si="5"/>
        <v>46138</v>
      </c>
      <c r="B29" s="1">
        <v>59855</v>
      </c>
      <c r="C29" s="1">
        <v>58370</v>
      </c>
      <c r="D29" s="6">
        <v>51318</v>
      </c>
      <c r="E29" s="6">
        <v>50400</v>
      </c>
      <c r="F29" s="20">
        <f t="shared" si="3"/>
        <v>-0.13654274456056192</v>
      </c>
      <c r="G29" s="2">
        <f t="shared" si="7"/>
        <v>0.17384146341463413</v>
      </c>
      <c r="H29" s="2">
        <f t="shared" si="7"/>
        <v>0.17073170731707318</v>
      </c>
      <c r="I29" s="86">
        <v>6.6</v>
      </c>
      <c r="J29" s="6">
        <v>5.22</v>
      </c>
      <c r="K29" s="20">
        <f t="shared" si="4"/>
        <v>-0.20909090909090908</v>
      </c>
      <c r="L29" s="4">
        <f t="shared" si="2"/>
        <v>0.79927109615923742</v>
      </c>
      <c r="M29" s="176">
        <v>1</v>
      </c>
      <c r="N29" s="176">
        <v>1</v>
      </c>
      <c r="O29" s="6">
        <v>1800</v>
      </c>
      <c r="P29" s="6"/>
      <c r="Q29" s="50" t="s">
        <v>595</v>
      </c>
    </row>
    <row r="30" spans="1:17">
      <c r="A30" s="13">
        <f t="shared" si="5"/>
        <v>46139</v>
      </c>
      <c r="B30" s="1"/>
      <c r="C30" s="1"/>
      <c r="D30" s="6"/>
      <c r="E30" s="6"/>
      <c r="F30" s="20" t="e">
        <f t="shared" si="3"/>
        <v>#DIV/0!</v>
      </c>
      <c r="G30" s="2">
        <f t="shared" si="7"/>
        <v>0</v>
      </c>
      <c r="H30" s="2">
        <f t="shared" si="7"/>
        <v>0</v>
      </c>
      <c r="I30" s="86"/>
      <c r="J30" s="6"/>
      <c r="K30" s="20" t="e">
        <f t="shared" si="4"/>
        <v>#DIV/0!</v>
      </c>
      <c r="L30" s="4" t="e">
        <f t="shared" si="2"/>
        <v>#DIV/0!</v>
      </c>
      <c r="M30" s="6"/>
      <c r="N30" s="6"/>
      <c r="O30" s="6"/>
      <c r="P30" s="6"/>
      <c r="Q30" s="6"/>
    </row>
    <row r="31" spans="1:17">
      <c r="A31" s="13">
        <f t="shared" si="5"/>
        <v>46140</v>
      </c>
      <c r="B31" s="1"/>
      <c r="C31" s="1"/>
      <c r="D31" s="6"/>
      <c r="E31" s="6"/>
      <c r="F31" s="20" t="e">
        <f t="shared" si="3"/>
        <v>#DIV/0!</v>
      </c>
      <c r="G31" s="2">
        <f t="shared" si="7"/>
        <v>0</v>
      </c>
      <c r="H31" s="2">
        <f t="shared" si="7"/>
        <v>0</v>
      </c>
      <c r="I31" s="86"/>
      <c r="J31" s="6"/>
      <c r="K31" s="20" t="e">
        <f t="shared" si="4"/>
        <v>#DIV/0!</v>
      </c>
      <c r="L31" s="4" t="e">
        <f t="shared" si="2"/>
        <v>#DIV/0!</v>
      </c>
      <c r="M31" s="6"/>
      <c r="N31" s="6"/>
      <c r="O31" s="6"/>
      <c r="P31" s="6"/>
      <c r="Q31" s="6"/>
    </row>
    <row r="32" spans="1:17">
      <c r="A32" s="13">
        <f t="shared" si="5"/>
        <v>46141</v>
      </c>
      <c r="B32" s="1"/>
      <c r="C32" s="1"/>
      <c r="D32" s="6"/>
      <c r="E32" s="6"/>
      <c r="F32" s="20" t="e">
        <f t="shared" si="3"/>
        <v>#DIV/0!</v>
      </c>
      <c r="G32" s="2">
        <f t="shared" si="7"/>
        <v>0</v>
      </c>
      <c r="H32" s="2">
        <f t="shared" si="7"/>
        <v>0</v>
      </c>
      <c r="I32" s="86"/>
      <c r="J32" s="6"/>
      <c r="K32" s="20" t="e">
        <f t="shared" si="4"/>
        <v>#DIV/0!</v>
      </c>
      <c r="L32" s="4" t="e">
        <f t="shared" si="2"/>
        <v>#DIV/0!</v>
      </c>
      <c r="M32" s="6"/>
      <c r="N32" s="6"/>
      <c r="O32" s="6"/>
      <c r="P32" s="6"/>
      <c r="Q32" s="6"/>
    </row>
    <row r="33" spans="1:17">
      <c r="A33" s="13">
        <f t="shared" si="5"/>
        <v>46142</v>
      </c>
      <c r="B33" s="1"/>
      <c r="C33" s="1"/>
      <c r="D33" s="6"/>
      <c r="E33" s="6"/>
      <c r="F33" s="20" t="e">
        <f t="shared" si="3"/>
        <v>#DIV/0!</v>
      </c>
      <c r="G33" s="2">
        <f t="shared" si="7"/>
        <v>0</v>
      </c>
      <c r="H33" s="2">
        <f t="shared" si="7"/>
        <v>0</v>
      </c>
      <c r="I33" s="86"/>
      <c r="J33" s="6"/>
      <c r="K33" s="20" t="e">
        <f t="shared" si="4"/>
        <v>#DIV/0!</v>
      </c>
      <c r="L33" s="4" t="e">
        <f t="shared" si="2"/>
        <v>#DIV/0!</v>
      </c>
      <c r="M33" s="6"/>
      <c r="N33" s="6"/>
      <c r="O33" s="6"/>
      <c r="P33" s="6"/>
      <c r="Q33" s="6"/>
    </row>
    <row r="34" spans="1:17">
      <c r="A34" s="349">
        <v>46113</v>
      </c>
      <c r="B34" s="89">
        <f>SUM(B4:B33)</f>
        <v>1556230</v>
      </c>
      <c r="C34" s="89">
        <f>SUM(C4:C33)</f>
        <v>1517620</v>
      </c>
      <c r="D34" s="89">
        <f>SUM(D4:D33)</f>
        <v>1525862</v>
      </c>
      <c r="E34" s="89">
        <f>SUM(E4:E33)</f>
        <v>1495935</v>
      </c>
      <c r="F34" s="92">
        <f>(IF(ISBLANK(E34),0,E34-C34))/C34</f>
        <v>-1.4288820653391494E-2</v>
      </c>
      <c r="G34" s="90">
        <f>AVERAGE(G4:G33)</f>
        <v>0.17229697380307132</v>
      </c>
      <c r="H34" s="90">
        <f>AVERAGE(H4:H33)</f>
        <v>0.19850851435885897</v>
      </c>
      <c r="I34" s="89">
        <f>SUM(I4:I33)</f>
        <v>171.59999999999991</v>
      </c>
      <c r="J34" s="89">
        <f>SUM(J4:J33)</f>
        <v>156.68</v>
      </c>
      <c r="K34" s="92">
        <f t="shared" si="4"/>
        <v>-8.6946386946386428E-2</v>
      </c>
      <c r="L34" s="93">
        <f t="shared" si="2"/>
        <v>0.79176551658291661</v>
      </c>
      <c r="M34" s="90">
        <f>AVERAGE(M4:M33)</f>
        <v>1</v>
      </c>
      <c r="N34" s="90">
        <f>AVERAGE(N4:N33)</f>
        <v>1</v>
      </c>
      <c r="O34" s="89">
        <f>SUM(O4:O33)</f>
        <v>68285</v>
      </c>
      <c r="P34" s="89">
        <f>SUM(P4:P33)</f>
        <v>8421</v>
      </c>
      <c r="Q34" s="19"/>
    </row>
    <row r="35" spans="1:17">
      <c r="A35" s="13">
        <v>46143</v>
      </c>
      <c r="B35" s="127"/>
      <c r="C35" s="127"/>
      <c r="D35" s="33"/>
      <c r="E35" s="33"/>
      <c r="F35" s="20" t="e">
        <f>(IF(ISBLANK(E35),0,E35-C35))/C35</f>
        <v>#DIV/0!</v>
      </c>
      <c r="G35" s="2">
        <f t="shared" ref="G35:G57" si="8">D35/($D$2*24)</f>
        <v>0</v>
      </c>
      <c r="H35" s="2">
        <f t="shared" ref="H35:H61" si="9">D35/($H$2*24)</f>
        <v>0</v>
      </c>
      <c r="I35" s="28"/>
      <c r="J35" s="33"/>
      <c r="K35" s="20" t="e">
        <f>(IF(ISBLANK(J35),0,J35-I35))/I35</f>
        <v>#DIV/0!</v>
      </c>
      <c r="L35" s="4" t="e">
        <f t="shared" si="2"/>
        <v>#DIV/0!</v>
      </c>
      <c r="M35" s="103"/>
      <c r="N35" s="103"/>
      <c r="O35" s="33"/>
      <c r="P35" s="6"/>
      <c r="Q35" s="6"/>
    </row>
    <row r="36" spans="1:17">
      <c r="A36" s="13">
        <f>A35+1</f>
        <v>46144</v>
      </c>
      <c r="B36" s="127"/>
      <c r="C36" s="127"/>
      <c r="D36" s="34"/>
      <c r="E36" s="34"/>
      <c r="F36" s="20" t="e">
        <f t="shared" ref="F36:F54" si="10">(IF(ISBLANK(E36),0,E36-C36))/C36</f>
        <v>#DIV/0!</v>
      </c>
      <c r="G36" s="2">
        <f t="shared" si="8"/>
        <v>0</v>
      </c>
      <c r="H36" s="2">
        <f t="shared" si="9"/>
        <v>0</v>
      </c>
      <c r="I36" s="29"/>
      <c r="J36" s="34"/>
      <c r="K36" s="20" t="e">
        <f t="shared" ref="K36:K54" si="11">(IF(ISBLANK(J36),0,J36-I36))/I36</f>
        <v>#DIV/0!</v>
      </c>
      <c r="L36" s="4" t="e">
        <f t="shared" ref="L36:L66" si="12">D36/($D$2*J36)</f>
        <v>#DIV/0!</v>
      </c>
      <c r="M36" s="103"/>
      <c r="N36" s="103"/>
      <c r="O36" s="34"/>
      <c r="P36" s="6"/>
      <c r="Q36" s="6"/>
    </row>
    <row r="37" spans="1:17">
      <c r="A37" s="13">
        <f t="shared" ref="A37:A65" si="13">A36+1</f>
        <v>46145</v>
      </c>
      <c r="B37" s="127"/>
      <c r="C37" s="127"/>
      <c r="D37" s="34"/>
      <c r="E37" s="34"/>
      <c r="F37" s="20" t="e">
        <f t="shared" si="10"/>
        <v>#DIV/0!</v>
      </c>
      <c r="G37" s="2">
        <f t="shared" si="8"/>
        <v>0</v>
      </c>
      <c r="H37" s="2">
        <f t="shared" si="9"/>
        <v>0</v>
      </c>
      <c r="I37" s="29"/>
      <c r="J37" s="34"/>
      <c r="K37" s="20" t="e">
        <f t="shared" si="11"/>
        <v>#DIV/0!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83368-9E3D-427A-9558-AA137D2FB975}">
  <dimension ref="A1:Q66"/>
  <sheetViews>
    <sheetView topLeftCell="A27"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6.81640625" bestFit="1" customWidth="1"/>
    <col min="9" max="10" width="9.7265625" bestFit="1" customWidth="1"/>
    <col min="11" max="11" width="10.1796875" bestFit="1" customWidth="1"/>
    <col min="12" max="12" width="7" bestFit="1" customWidth="1"/>
    <col min="13" max="14" width="9.26953125" bestFit="1" customWidth="1"/>
    <col min="15" max="15" width="11.453125" bestFit="1" customWidth="1"/>
    <col min="16" max="16" width="9.7265625" bestFit="1" customWidth="1"/>
    <col min="17" max="17" width="62.453125" bestFit="1" customWidth="1"/>
    <col min="18" max="18" width="10" customWidth="1"/>
  </cols>
  <sheetData>
    <row r="1" spans="1:17" ht="18.5">
      <c r="A1" s="405" t="s">
        <v>598</v>
      </c>
      <c r="B1" s="406"/>
      <c r="C1" s="406"/>
      <c r="D1" s="406"/>
      <c r="E1" s="406"/>
      <c r="F1" s="406"/>
      <c r="G1" s="406"/>
      <c r="H1" s="406"/>
      <c r="I1" s="406"/>
      <c r="J1" s="406"/>
      <c r="K1" s="406"/>
      <c r="L1" s="406"/>
      <c r="M1" s="406"/>
      <c r="N1" s="406"/>
      <c r="O1" s="406"/>
      <c r="P1" s="406"/>
      <c r="Q1" s="406"/>
    </row>
    <row r="2" spans="1:17" ht="18.5">
      <c r="A2" s="7">
        <v>46113</v>
      </c>
      <c r="B2" s="407" t="s">
        <v>172</v>
      </c>
      <c r="C2" s="408"/>
      <c r="D2" s="8">
        <v>20998</v>
      </c>
      <c r="E2" s="407" t="s">
        <v>173</v>
      </c>
      <c r="F2" s="407"/>
      <c r="G2" s="408"/>
      <c r="H2" s="8">
        <v>14850</v>
      </c>
      <c r="I2" s="409" t="s">
        <v>174</v>
      </c>
      <c r="J2" s="410"/>
      <c r="K2" s="9">
        <v>45535</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115353</v>
      </c>
      <c r="C4" s="1">
        <v>89136</v>
      </c>
      <c r="D4" s="6">
        <v>102205</v>
      </c>
      <c r="E4" s="6">
        <v>101310</v>
      </c>
      <c r="F4" s="20">
        <f>(IF(ISBLANK(E4),0,E4-C4))/C4</f>
        <v>0.13657781367797522</v>
      </c>
      <c r="G4" s="2">
        <f t="shared" ref="G4:G27" si="0">D4/($D$2*24)</f>
        <v>0.20280701336635235</v>
      </c>
      <c r="H4" s="2">
        <f t="shared" ref="H4:H21" si="1">D4/($H$2*24)</f>
        <v>0.28677048260381593</v>
      </c>
      <c r="I4" s="86">
        <v>6.67</v>
      </c>
      <c r="J4" s="182">
        <v>6.4</v>
      </c>
      <c r="K4" s="20">
        <f>(IF(ISBLANK(J4),0,J4-I4))/I4</f>
        <v>-4.0479760119939964E-2</v>
      </c>
      <c r="L4" s="4">
        <f t="shared" ref="L4:L35" si="2">D4/($D$2*J4)</f>
        <v>0.76052630012382128</v>
      </c>
      <c r="M4" s="174">
        <v>1</v>
      </c>
      <c r="N4" s="177">
        <v>1</v>
      </c>
      <c r="O4" s="49">
        <v>0</v>
      </c>
      <c r="P4" s="49">
        <v>0</v>
      </c>
      <c r="Q4" s="49"/>
    </row>
    <row r="5" spans="1:17">
      <c r="A5" s="13">
        <f>A4+1</f>
        <v>46114</v>
      </c>
      <c r="B5" s="1">
        <v>115353</v>
      </c>
      <c r="C5" s="1">
        <v>89136</v>
      </c>
      <c r="D5" s="6">
        <v>106376</v>
      </c>
      <c r="E5" s="6">
        <v>105600</v>
      </c>
      <c r="F5" s="20">
        <f t="shared" ref="F5:F33" si="3">(IF(ISBLANK(E5),0,E5-C5))/C5</f>
        <v>0.18470651588583736</v>
      </c>
      <c r="G5" s="2">
        <f t="shared" si="0"/>
        <v>0.21108359526304094</v>
      </c>
      <c r="H5" s="2">
        <f t="shared" si="1"/>
        <v>0.2984736251402918</v>
      </c>
      <c r="I5" s="86">
        <v>6.67</v>
      </c>
      <c r="J5" s="183">
        <v>6.79</v>
      </c>
      <c r="K5" s="20">
        <f t="shared" ref="K5:K34" si="4">(IF(ISBLANK(J5),0,J5-I5))/I5</f>
        <v>1.799100449775114E-2</v>
      </c>
      <c r="L5" s="4">
        <f t="shared" si="2"/>
        <v>0.74609812758659522</v>
      </c>
      <c r="M5" s="175">
        <v>1</v>
      </c>
      <c r="N5" s="178">
        <v>1</v>
      </c>
      <c r="O5" s="50">
        <v>0</v>
      </c>
      <c r="P5" s="49">
        <v>0</v>
      </c>
      <c r="Q5" s="50"/>
    </row>
    <row r="6" spans="1:17">
      <c r="A6" s="13">
        <f t="shared" ref="A6:A33" si="5">A5+1</f>
        <v>46115</v>
      </c>
      <c r="B6" s="1">
        <v>115353</v>
      </c>
      <c r="C6" s="1">
        <v>89136</v>
      </c>
      <c r="D6" s="6">
        <v>102636</v>
      </c>
      <c r="E6" s="6">
        <v>101805</v>
      </c>
      <c r="F6" s="20">
        <f t="shared" si="3"/>
        <v>0.14213112547119008</v>
      </c>
      <c r="G6" s="2">
        <f t="shared" si="0"/>
        <v>0.20366225354795695</v>
      </c>
      <c r="H6" s="2">
        <f t="shared" si="1"/>
        <v>0.287979797979798</v>
      </c>
      <c r="I6" s="86">
        <v>6.67</v>
      </c>
      <c r="J6" s="183">
        <v>6.69</v>
      </c>
      <c r="K6" s="20">
        <f t="shared" si="4"/>
        <v>2.9985007496252567E-3</v>
      </c>
      <c r="L6" s="4">
        <f t="shared" si="2"/>
        <v>0.73062691855769313</v>
      </c>
      <c r="M6" s="175">
        <v>1</v>
      </c>
      <c r="N6" s="178">
        <v>1</v>
      </c>
      <c r="O6" s="50">
        <v>0</v>
      </c>
      <c r="P6" s="49">
        <v>0</v>
      </c>
      <c r="Q6" s="50"/>
    </row>
    <row r="7" spans="1:17" ht="26.5">
      <c r="A7" s="13">
        <f t="shared" si="5"/>
        <v>46116</v>
      </c>
      <c r="B7" s="1">
        <v>115353</v>
      </c>
      <c r="C7" s="1">
        <v>89136</v>
      </c>
      <c r="D7" s="6">
        <v>77986</v>
      </c>
      <c r="E7" s="6">
        <v>77385</v>
      </c>
      <c r="F7" s="20">
        <f t="shared" si="3"/>
        <v>-0.1318322563274098</v>
      </c>
      <c r="G7" s="2">
        <f t="shared" si="0"/>
        <v>0.15474886497126711</v>
      </c>
      <c r="H7" s="2">
        <f t="shared" si="1"/>
        <v>0.21881593714927047</v>
      </c>
      <c r="I7" s="86">
        <v>6.67</v>
      </c>
      <c r="J7" s="183">
        <v>5.45</v>
      </c>
      <c r="K7" s="20">
        <f t="shared" si="4"/>
        <v>-0.18290854572713638</v>
      </c>
      <c r="L7" s="4">
        <f t="shared" si="2"/>
        <v>0.68146289161658902</v>
      </c>
      <c r="M7" s="175">
        <v>0.99919999999999998</v>
      </c>
      <c r="N7" s="178">
        <v>0.96450000000000002</v>
      </c>
      <c r="O7" s="186">
        <v>5964</v>
      </c>
      <c r="P7" s="49">
        <v>0</v>
      </c>
      <c r="Q7" s="83" t="s">
        <v>599</v>
      </c>
    </row>
    <row r="8" spans="1:17">
      <c r="A8" s="13">
        <f t="shared" si="5"/>
        <v>46117</v>
      </c>
      <c r="B8" s="1">
        <v>115353</v>
      </c>
      <c r="C8" s="1">
        <v>89136</v>
      </c>
      <c r="D8" s="6">
        <v>109664</v>
      </c>
      <c r="E8" s="6">
        <v>108570</v>
      </c>
      <c r="F8" s="20">
        <f t="shared" si="3"/>
        <v>0.21802638664512655</v>
      </c>
      <c r="G8" s="2">
        <f t="shared" si="0"/>
        <v>0.21760802616122171</v>
      </c>
      <c r="H8" s="2">
        <f t="shared" si="1"/>
        <v>0.30769921436588105</v>
      </c>
      <c r="I8" s="86">
        <v>6.67</v>
      </c>
      <c r="J8" s="183">
        <v>7.2</v>
      </c>
      <c r="K8" s="20">
        <f t="shared" si="4"/>
        <v>7.9460269865067504E-2</v>
      </c>
      <c r="L8" s="4">
        <f t="shared" si="2"/>
        <v>0.7253600872040723</v>
      </c>
      <c r="M8" s="175">
        <v>1</v>
      </c>
      <c r="N8" s="178">
        <v>1</v>
      </c>
      <c r="O8" s="49">
        <v>0</v>
      </c>
      <c r="P8" s="49">
        <v>0</v>
      </c>
      <c r="Q8" s="50"/>
    </row>
    <row r="9" spans="1:17">
      <c r="A9" s="13">
        <f t="shared" si="5"/>
        <v>46118</v>
      </c>
      <c r="B9" s="1">
        <v>115353</v>
      </c>
      <c r="C9" s="1">
        <v>89136</v>
      </c>
      <c r="D9" s="6">
        <v>112049</v>
      </c>
      <c r="E9" s="6">
        <v>111045</v>
      </c>
      <c r="F9" s="20">
        <f t="shared" si="3"/>
        <v>0.24579294561120085</v>
      </c>
      <c r="G9" s="2">
        <f t="shared" si="0"/>
        <v>0.22234061974156269</v>
      </c>
      <c r="H9" s="2">
        <f t="shared" si="1"/>
        <v>0.31439113355780024</v>
      </c>
      <c r="I9" s="86">
        <v>6.67</v>
      </c>
      <c r="J9" s="183">
        <v>7.21</v>
      </c>
      <c r="K9" s="20">
        <f t="shared" si="4"/>
        <v>8.0959520239880067E-2</v>
      </c>
      <c r="L9" s="4">
        <f t="shared" si="2"/>
        <v>0.74010747209396743</v>
      </c>
      <c r="M9" s="175">
        <v>1</v>
      </c>
      <c r="N9" s="178">
        <v>1</v>
      </c>
      <c r="O9" s="49">
        <v>0</v>
      </c>
      <c r="P9" s="49">
        <v>0</v>
      </c>
      <c r="Q9" s="50"/>
    </row>
    <row r="10" spans="1:17">
      <c r="A10" s="13">
        <f t="shared" si="5"/>
        <v>46119</v>
      </c>
      <c r="B10" s="1">
        <v>115353</v>
      </c>
      <c r="C10" s="1">
        <v>89136</v>
      </c>
      <c r="D10" s="6">
        <v>109564</v>
      </c>
      <c r="E10" s="6">
        <v>108570</v>
      </c>
      <c r="F10" s="20">
        <f t="shared" si="3"/>
        <v>0.21802638664512655</v>
      </c>
      <c r="G10" s="2">
        <f t="shared" si="0"/>
        <v>0.21740959456456171</v>
      </c>
      <c r="H10" s="2">
        <f t="shared" si="1"/>
        <v>0.30741863075196407</v>
      </c>
      <c r="I10" s="86">
        <v>6.67</v>
      </c>
      <c r="J10" s="183">
        <v>7.13</v>
      </c>
      <c r="K10" s="20">
        <f t="shared" si="4"/>
        <v>6.8965517241379309E-2</v>
      </c>
      <c r="L10" s="4">
        <f t="shared" si="2"/>
        <v>0.73181350204060047</v>
      </c>
      <c r="M10" s="175">
        <v>1</v>
      </c>
      <c r="N10" s="178">
        <v>1</v>
      </c>
      <c r="O10" s="49">
        <v>0</v>
      </c>
      <c r="P10" s="49">
        <v>0</v>
      </c>
      <c r="Q10" s="50"/>
    </row>
    <row r="11" spans="1:17" ht="58">
      <c r="A11" s="13">
        <f t="shared" si="5"/>
        <v>46120</v>
      </c>
      <c r="B11" s="1">
        <v>115353</v>
      </c>
      <c r="C11" s="1">
        <v>89136</v>
      </c>
      <c r="D11" s="6">
        <v>80051</v>
      </c>
      <c r="E11" s="6">
        <v>79530</v>
      </c>
      <c r="F11" s="20">
        <f t="shared" si="3"/>
        <v>-0.10776790522347873</v>
      </c>
      <c r="G11" s="2">
        <f t="shared" si="0"/>
        <v>0.1588464774422961</v>
      </c>
      <c r="H11" s="2">
        <f t="shared" si="1"/>
        <v>0.22460998877665544</v>
      </c>
      <c r="I11" s="86">
        <v>6.67</v>
      </c>
      <c r="J11" s="183">
        <v>6.94</v>
      </c>
      <c r="K11" s="20">
        <f t="shared" si="4"/>
        <v>4.0479760119940103E-2</v>
      </c>
      <c r="L11" s="4">
        <f t="shared" si="2"/>
        <v>0.54932499403675883</v>
      </c>
      <c r="M11" s="175">
        <v>1</v>
      </c>
      <c r="N11" s="178">
        <v>0.66439999999999999</v>
      </c>
      <c r="O11" s="186">
        <v>25202</v>
      </c>
      <c r="P11" s="49">
        <v>0</v>
      </c>
      <c r="Q11" s="187" t="s">
        <v>600</v>
      </c>
    </row>
    <row r="12" spans="1:17" ht="43.5">
      <c r="A12" s="13">
        <f t="shared" si="5"/>
        <v>46121</v>
      </c>
      <c r="B12" s="1">
        <v>115353</v>
      </c>
      <c r="C12" s="1">
        <v>89136</v>
      </c>
      <c r="D12" s="6">
        <v>23352</v>
      </c>
      <c r="E12" s="6">
        <v>22770</v>
      </c>
      <c r="F12" s="20">
        <f t="shared" si="3"/>
        <v>-0.74454765751211627</v>
      </c>
      <c r="G12" s="2">
        <f t="shared" si="0"/>
        <v>4.6337746452043055E-2</v>
      </c>
      <c r="H12" s="2">
        <f t="shared" si="1"/>
        <v>6.5521885521885523E-2</v>
      </c>
      <c r="I12" s="86">
        <v>6.67</v>
      </c>
      <c r="J12" s="183">
        <v>6.9</v>
      </c>
      <c r="K12" s="20">
        <f t="shared" si="4"/>
        <v>3.4482758620689717E-2</v>
      </c>
      <c r="L12" s="4">
        <f t="shared" si="2"/>
        <v>0.16117477026797583</v>
      </c>
      <c r="M12" s="175">
        <v>1</v>
      </c>
      <c r="N12" s="178">
        <v>0.30890000000000001</v>
      </c>
      <c r="O12" s="186">
        <v>86336</v>
      </c>
      <c r="P12" s="49">
        <v>0</v>
      </c>
      <c r="Q12" s="187" t="s">
        <v>601</v>
      </c>
    </row>
    <row r="13" spans="1:17">
      <c r="A13" s="13">
        <f t="shared" si="5"/>
        <v>46122</v>
      </c>
      <c r="B13" s="1">
        <v>115353</v>
      </c>
      <c r="C13" s="1">
        <v>89136</v>
      </c>
      <c r="D13" s="6">
        <v>103970</v>
      </c>
      <c r="E13" s="6">
        <v>103125</v>
      </c>
      <c r="F13" s="20">
        <f t="shared" si="3"/>
        <v>0.15693995691976306</v>
      </c>
      <c r="G13" s="2">
        <f t="shared" si="0"/>
        <v>0.20630933104740135</v>
      </c>
      <c r="H13" s="2">
        <f t="shared" si="1"/>
        <v>0.29172278338945007</v>
      </c>
      <c r="I13" s="86">
        <v>6.67</v>
      </c>
      <c r="J13" s="183">
        <v>6.83</v>
      </c>
      <c r="K13" s="20">
        <f t="shared" si="4"/>
        <v>2.3988005997001519E-2</v>
      </c>
      <c r="L13" s="4">
        <f t="shared" si="2"/>
        <v>0.72495226136714963</v>
      </c>
      <c r="M13" s="175">
        <v>1</v>
      </c>
      <c r="N13" s="178">
        <v>1</v>
      </c>
      <c r="O13" s="50">
        <v>0</v>
      </c>
      <c r="P13" s="49">
        <v>0</v>
      </c>
      <c r="Q13" s="50"/>
    </row>
    <row r="14" spans="1:17">
      <c r="A14" s="13">
        <f t="shared" si="5"/>
        <v>46123</v>
      </c>
      <c r="B14" s="1">
        <v>115353</v>
      </c>
      <c r="C14" s="1">
        <v>89136</v>
      </c>
      <c r="D14" s="6">
        <v>107141</v>
      </c>
      <c r="E14" s="6">
        <v>106425</v>
      </c>
      <c r="F14" s="20">
        <f t="shared" si="3"/>
        <v>0.19396203554119548</v>
      </c>
      <c r="G14" s="2">
        <f t="shared" si="0"/>
        <v>0.21260159697748993</v>
      </c>
      <c r="H14" s="2">
        <f t="shared" si="1"/>
        <v>0.30062008978675647</v>
      </c>
      <c r="I14" s="86">
        <v>6.67</v>
      </c>
      <c r="J14" s="183">
        <v>7.07</v>
      </c>
      <c r="K14" s="20">
        <f t="shared" si="4"/>
        <v>5.9970014992503803E-2</v>
      </c>
      <c r="L14" s="4">
        <f t="shared" si="2"/>
        <v>0.72170273372839566</v>
      </c>
      <c r="M14" s="175">
        <v>1</v>
      </c>
      <c r="N14" s="178">
        <v>1</v>
      </c>
      <c r="O14" s="50">
        <v>0</v>
      </c>
      <c r="P14" s="49">
        <v>0</v>
      </c>
      <c r="Q14" s="50"/>
    </row>
    <row r="15" spans="1:17">
      <c r="A15" s="13">
        <f t="shared" si="5"/>
        <v>46124</v>
      </c>
      <c r="B15" s="1">
        <v>115353</v>
      </c>
      <c r="C15" s="1">
        <v>89136</v>
      </c>
      <c r="D15" s="6">
        <v>106321</v>
      </c>
      <c r="E15" s="6">
        <v>105600</v>
      </c>
      <c r="F15" s="20">
        <f t="shared" si="3"/>
        <v>0.18470651588583736</v>
      </c>
      <c r="G15" s="2">
        <f t="shared" si="0"/>
        <v>0.21097445788487793</v>
      </c>
      <c r="H15" s="2">
        <f t="shared" si="1"/>
        <v>0.29831930415263747</v>
      </c>
      <c r="I15" s="86">
        <v>6.67</v>
      </c>
      <c r="J15" s="183">
        <v>6.83</v>
      </c>
      <c r="K15" s="20">
        <f t="shared" si="4"/>
        <v>2.3988005997001519E-2</v>
      </c>
      <c r="L15" s="4">
        <f t="shared" si="2"/>
        <v>0.74134509359254319</v>
      </c>
      <c r="M15" s="175">
        <v>1</v>
      </c>
      <c r="N15" s="178">
        <v>1</v>
      </c>
      <c r="O15" s="50">
        <v>0</v>
      </c>
      <c r="P15" s="49">
        <v>0</v>
      </c>
      <c r="Q15" s="50"/>
    </row>
    <row r="16" spans="1:17">
      <c r="A16" s="13">
        <f t="shared" si="5"/>
        <v>46125</v>
      </c>
      <c r="B16" s="1">
        <v>115353</v>
      </c>
      <c r="C16" s="1">
        <v>89136</v>
      </c>
      <c r="D16" s="6">
        <v>104052</v>
      </c>
      <c r="E16" s="6">
        <v>103125</v>
      </c>
      <c r="F16" s="20">
        <f t="shared" si="3"/>
        <v>0.15693995691976306</v>
      </c>
      <c r="G16" s="2">
        <f t="shared" si="0"/>
        <v>0.20647204495666255</v>
      </c>
      <c r="H16" s="2">
        <f t="shared" si="1"/>
        <v>0.29195286195286196</v>
      </c>
      <c r="I16" s="86">
        <v>6.67</v>
      </c>
      <c r="J16" s="183">
        <v>7</v>
      </c>
      <c r="K16" s="20">
        <f t="shared" si="4"/>
        <v>4.9475262368815602E-2</v>
      </c>
      <c r="L16" s="4">
        <f t="shared" si="2"/>
        <v>0.7079041541371287</v>
      </c>
      <c r="M16" s="175">
        <v>1</v>
      </c>
      <c r="N16" s="178">
        <v>1</v>
      </c>
      <c r="O16" s="50">
        <v>0</v>
      </c>
      <c r="P16" s="49">
        <v>0</v>
      </c>
      <c r="Q16" s="50"/>
    </row>
    <row r="17" spans="1:17">
      <c r="A17" s="13">
        <f t="shared" si="5"/>
        <v>46126</v>
      </c>
      <c r="B17" s="1">
        <v>115353</v>
      </c>
      <c r="C17" s="1">
        <v>89136</v>
      </c>
      <c r="D17" s="6">
        <v>106996</v>
      </c>
      <c r="E17" s="6">
        <v>106260</v>
      </c>
      <c r="F17" s="20">
        <f t="shared" si="3"/>
        <v>0.19211093161012385</v>
      </c>
      <c r="G17" s="2">
        <f t="shared" si="0"/>
        <v>0.21231387116233291</v>
      </c>
      <c r="H17" s="2">
        <f t="shared" si="1"/>
        <v>0.30021324354657686</v>
      </c>
      <c r="I17" s="86">
        <v>6.67</v>
      </c>
      <c r="J17" s="183">
        <v>7.14</v>
      </c>
      <c r="K17" s="20">
        <f t="shared" si="4"/>
        <v>7.0464767616191873E-2</v>
      </c>
      <c r="L17" s="4">
        <f t="shared" si="2"/>
        <v>0.71366007113389218</v>
      </c>
      <c r="M17" s="175">
        <v>1</v>
      </c>
      <c r="N17" s="178">
        <v>1</v>
      </c>
      <c r="O17" s="50">
        <v>0</v>
      </c>
      <c r="P17" s="49">
        <v>0</v>
      </c>
      <c r="Q17" s="50"/>
    </row>
    <row r="18" spans="1:17">
      <c r="A18" s="13">
        <f t="shared" si="5"/>
        <v>46127</v>
      </c>
      <c r="B18" s="1">
        <v>115353</v>
      </c>
      <c r="C18" s="1">
        <v>89136</v>
      </c>
      <c r="D18" s="6">
        <v>110481</v>
      </c>
      <c r="E18" s="6">
        <v>109725</v>
      </c>
      <c r="F18" s="20">
        <f t="shared" si="3"/>
        <v>0.2309841141626279</v>
      </c>
      <c r="G18" s="2">
        <f t="shared" si="0"/>
        <v>0.2192292123059339</v>
      </c>
      <c r="H18" s="2">
        <f t="shared" si="1"/>
        <v>0.30999158249158248</v>
      </c>
      <c r="I18" s="86">
        <v>6.67</v>
      </c>
      <c r="J18" s="183">
        <v>7.56</v>
      </c>
      <c r="K18" s="20">
        <f t="shared" si="4"/>
        <v>0.1334332833583208</v>
      </c>
      <c r="L18" s="4">
        <f t="shared" si="2"/>
        <v>0.69596575335217103</v>
      </c>
      <c r="M18" s="175">
        <v>1</v>
      </c>
      <c r="N18" s="178">
        <v>1</v>
      </c>
      <c r="O18" s="50">
        <v>0</v>
      </c>
      <c r="P18" s="49">
        <v>0</v>
      </c>
      <c r="Q18" s="50"/>
    </row>
    <row r="19" spans="1:17">
      <c r="A19" s="13">
        <f t="shared" si="5"/>
        <v>46128</v>
      </c>
      <c r="B19" s="1">
        <v>115353</v>
      </c>
      <c r="C19" s="1">
        <v>89136</v>
      </c>
      <c r="D19" s="6">
        <v>111348</v>
      </c>
      <c r="E19" s="6">
        <v>110385</v>
      </c>
      <c r="F19" s="20">
        <f t="shared" si="3"/>
        <v>0.23838852988691439</v>
      </c>
      <c r="G19" s="2">
        <f t="shared" si="0"/>
        <v>0.22094961424897611</v>
      </c>
      <c r="H19" s="2">
        <f t="shared" si="1"/>
        <v>0.31242424242424244</v>
      </c>
      <c r="I19" s="86">
        <v>6.67</v>
      </c>
      <c r="J19" s="183">
        <v>7.65</v>
      </c>
      <c r="K19" s="20">
        <f t="shared" si="4"/>
        <v>0.14692653673163425</v>
      </c>
      <c r="L19" s="4">
        <f t="shared" si="2"/>
        <v>0.6931752603889445</v>
      </c>
      <c r="M19" s="175">
        <v>1</v>
      </c>
      <c r="N19" s="178">
        <v>1</v>
      </c>
      <c r="O19" s="50">
        <v>0</v>
      </c>
      <c r="P19" s="49">
        <v>0</v>
      </c>
      <c r="Q19" s="50"/>
    </row>
    <row r="20" spans="1:17">
      <c r="A20" s="13">
        <f t="shared" si="5"/>
        <v>46129</v>
      </c>
      <c r="B20" s="1">
        <v>115353</v>
      </c>
      <c r="C20" s="1">
        <v>89136</v>
      </c>
      <c r="D20" s="6">
        <v>98543</v>
      </c>
      <c r="E20" s="6">
        <v>97845</v>
      </c>
      <c r="F20" s="20">
        <f t="shared" si="3"/>
        <v>9.7704631125471189E-2</v>
      </c>
      <c r="G20" s="2">
        <f t="shared" si="0"/>
        <v>0.19554044829666317</v>
      </c>
      <c r="H20" s="2">
        <f t="shared" si="1"/>
        <v>0.27649551066217731</v>
      </c>
      <c r="I20" s="86">
        <v>6.67</v>
      </c>
      <c r="J20" s="183">
        <v>6.48</v>
      </c>
      <c r="K20" s="20">
        <f t="shared" si="4"/>
        <v>-2.8485757121439206E-2</v>
      </c>
      <c r="L20" s="4">
        <f t="shared" si="2"/>
        <v>0.72422388258023396</v>
      </c>
      <c r="M20" s="175">
        <v>1</v>
      </c>
      <c r="N20" s="178">
        <v>1</v>
      </c>
      <c r="O20" s="50">
        <v>0</v>
      </c>
      <c r="P20" s="49">
        <v>0</v>
      </c>
      <c r="Q20" s="50"/>
    </row>
    <row r="21" spans="1:17">
      <c r="A21" s="13">
        <f t="shared" si="5"/>
        <v>46130</v>
      </c>
      <c r="B21" s="1">
        <v>115353</v>
      </c>
      <c r="C21" s="1">
        <v>89136</v>
      </c>
      <c r="D21" s="6">
        <v>87716</v>
      </c>
      <c r="E21" s="6">
        <v>87285</v>
      </c>
      <c r="F21" s="20">
        <f t="shared" si="3"/>
        <v>-2.0766020463112548E-2</v>
      </c>
      <c r="G21" s="2">
        <f t="shared" si="0"/>
        <v>0.17405625932628505</v>
      </c>
      <c r="H21" s="2">
        <f t="shared" si="1"/>
        <v>0.24611672278338945</v>
      </c>
      <c r="I21" s="86">
        <v>6.67</v>
      </c>
      <c r="J21" s="183">
        <v>5.84</v>
      </c>
      <c r="K21" s="20">
        <f t="shared" si="4"/>
        <v>-0.12443778110944528</v>
      </c>
      <c r="L21" s="4">
        <f t="shared" si="2"/>
        <v>0.71529969586144537</v>
      </c>
      <c r="M21" s="175">
        <v>1</v>
      </c>
      <c r="N21" s="178">
        <v>1</v>
      </c>
      <c r="O21" s="50">
        <v>0</v>
      </c>
      <c r="P21" s="49">
        <v>0</v>
      </c>
      <c r="Q21" s="50"/>
    </row>
    <row r="22" spans="1:17">
      <c r="A22" s="13">
        <f t="shared" si="5"/>
        <v>46131</v>
      </c>
      <c r="B22" s="1">
        <v>115353</v>
      </c>
      <c r="C22" s="1">
        <v>89136</v>
      </c>
      <c r="D22" s="6">
        <v>101927</v>
      </c>
      <c r="E22" s="6">
        <v>101145</v>
      </c>
      <c r="F22" s="20">
        <f t="shared" si="3"/>
        <v>0.13472670974690359</v>
      </c>
      <c r="G22" s="2">
        <f t="shared" si="0"/>
        <v>0.20225537352763756</v>
      </c>
      <c r="H22" s="2">
        <f t="shared" ref="H22:H27" si="6">E22/($D$2*24)</f>
        <v>0.20070363844175637</v>
      </c>
      <c r="I22" s="86">
        <v>6.67</v>
      </c>
      <c r="J22" s="183">
        <v>6.62</v>
      </c>
      <c r="K22" s="20">
        <f t="shared" si="4"/>
        <v>-7.4962518740629416E-3</v>
      </c>
      <c r="L22" s="4">
        <f t="shared" si="2"/>
        <v>0.73325210946575547</v>
      </c>
      <c r="M22" s="175">
        <v>1</v>
      </c>
      <c r="N22" s="178">
        <v>1</v>
      </c>
      <c r="O22" s="50">
        <v>0</v>
      </c>
      <c r="P22" s="49">
        <v>0</v>
      </c>
      <c r="Q22" s="50"/>
    </row>
    <row r="23" spans="1:17">
      <c r="A23" s="13">
        <f t="shared" si="5"/>
        <v>46132</v>
      </c>
      <c r="B23" s="1">
        <v>115353</v>
      </c>
      <c r="C23" s="1">
        <v>89136</v>
      </c>
      <c r="D23" s="6">
        <v>99126</v>
      </c>
      <c r="E23" s="6">
        <v>98340</v>
      </c>
      <c r="F23" s="20">
        <f t="shared" si="3"/>
        <v>0.10325794291868605</v>
      </c>
      <c r="G23" s="2">
        <f t="shared" si="0"/>
        <v>0.19669730450519096</v>
      </c>
      <c r="H23" s="2">
        <f t="shared" si="6"/>
        <v>0.19513763215544339</v>
      </c>
      <c r="I23" s="86">
        <v>6.67</v>
      </c>
      <c r="J23" s="183">
        <v>6.45</v>
      </c>
      <c r="K23" s="20">
        <f t="shared" si="4"/>
        <v>-3.2983508245877022E-2</v>
      </c>
      <c r="L23" s="4">
        <f t="shared" si="2"/>
        <v>0.73189694699605934</v>
      </c>
      <c r="M23" s="175">
        <v>1</v>
      </c>
      <c r="N23" s="178">
        <v>1</v>
      </c>
      <c r="O23" s="50">
        <v>0</v>
      </c>
      <c r="P23" s="49">
        <v>0</v>
      </c>
      <c r="Q23" s="50"/>
    </row>
    <row r="24" spans="1:17">
      <c r="A24" s="13">
        <f t="shared" si="5"/>
        <v>46133</v>
      </c>
      <c r="B24" s="1">
        <v>115353</v>
      </c>
      <c r="C24" s="1">
        <v>89136</v>
      </c>
      <c r="D24" s="6">
        <v>102591</v>
      </c>
      <c r="E24" s="6">
        <v>101970</v>
      </c>
      <c r="F24" s="20">
        <f>(IF(ISBLANK(E24),0,E24-C24))/C24</f>
        <v>0.14398222940226171</v>
      </c>
      <c r="G24" s="2">
        <f t="shared" si="0"/>
        <v>0.20357295932945996</v>
      </c>
      <c r="H24" s="2">
        <f t="shared" si="6"/>
        <v>0.20234069911420136</v>
      </c>
      <c r="I24" s="86">
        <v>6.67</v>
      </c>
      <c r="J24" s="183">
        <v>6.66</v>
      </c>
      <c r="K24" s="20">
        <f>(IF(ISBLANK(J24),0,J24-I24))/I24</f>
        <v>-1.4992503748125618E-3</v>
      </c>
      <c r="L24" s="4">
        <f t="shared" si="2"/>
        <v>0.73359624983589178</v>
      </c>
      <c r="M24" s="175">
        <v>1</v>
      </c>
      <c r="N24" s="178">
        <v>1</v>
      </c>
      <c r="O24" s="50">
        <v>0</v>
      </c>
      <c r="P24" s="49">
        <v>0</v>
      </c>
      <c r="Q24" s="50"/>
    </row>
    <row r="25" spans="1:17">
      <c r="A25" s="13">
        <f t="shared" si="5"/>
        <v>46134</v>
      </c>
      <c r="B25" s="1">
        <v>115353</v>
      </c>
      <c r="C25" s="1">
        <v>89136</v>
      </c>
      <c r="D25" s="6">
        <v>103238</v>
      </c>
      <c r="E25" s="6">
        <v>102465</v>
      </c>
      <c r="F25" s="20">
        <f t="shared" si="3"/>
        <v>0.14953554119547657</v>
      </c>
      <c r="G25" s="2">
        <f t="shared" si="0"/>
        <v>0.20485681175985015</v>
      </c>
      <c r="H25" s="2">
        <f t="shared" si="6"/>
        <v>0.20332293551766836</v>
      </c>
      <c r="I25" s="86">
        <v>6.67</v>
      </c>
      <c r="J25" s="183">
        <v>6.62</v>
      </c>
      <c r="K25" s="20">
        <f t="shared" si="4"/>
        <v>-7.4962518740629416E-3</v>
      </c>
      <c r="L25" s="4">
        <f t="shared" si="2"/>
        <v>0.74268330547377692</v>
      </c>
      <c r="M25" s="175">
        <v>1</v>
      </c>
      <c r="N25" s="178">
        <v>1</v>
      </c>
      <c r="O25" s="50">
        <v>0</v>
      </c>
      <c r="P25" s="49">
        <v>0</v>
      </c>
      <c r="Q25" s="50"/>
    </row>
    <row r="26" spans="1:17">
      <c r="A26" s="13">
        <f t="shared" si="5"/>
        <v>46135</v>
      </c>
      <c r="B26" s="1">
        <v>115353</v>
      </c>
      <c r="C26" s="1">
        <v>89136</v>
      </c>
      <c r="D26" s="6">
        <v>98777</v>
      </c>
      <c r="E26" s="6">
        <v>98175</v>
      </c>
      <c r="F26" s="20">
        <f t="shared" si="3"/>
        <v>0.10140683898761443</v>
      </c>
      <c r="G26" s="2">
        <f t="shared" si="0"/>
        <v>0.19600477823284757</v>
      </c>
      <c r="H26" s="2">
        <f t="shared" si="6"/>
        <v>0.19481022002095438</v>
      </c>
      <c r="I26" s="86">
        <v>6.67</v>
      </c>
      <c r="J26" s="183">
        <v>6.45</v>
      </c>
      <c r="K26" s="20">
        <f t="shared" si="4"/>
        <v>-3.2983508245877022E-2</v>
      </c>
      <c r="L26" s="4">
        <f t="shared" si="2"/>
        <v>0.72932010505245604</v>
      </c>
      <c r="M26" s="175">
        <v>1</v>
      </c>
      <c r="N26" s="178">
        <v>1</v>
      </c>
      <c r="O26" s="50">
        <v>0</v>
      </c>
      <c r="P26" s="49">
        <v>0</v>
      </c>
      <c r="Q26" s="50"/>
    </row>
    <row r="27" spans="1:17">
      <c r="A27" s="13">
        <f t="shared" si="5"/>
        <v>46136</v>
      </c>
      <c r="B27" s="1">
        <v>115353</v>
      </c>
      <c r="C27" s="1">
        <v>89136</v>
      </c>
      <c r="D27" s="6">
        <v>88328</v>
      </c>
      <c r="E27" s="6">
        <v>87780</v>
      </c>
      <c r="F27" s="20">
        <f t="shared" si="3"/>
        <v>-1.5212708669897684E-2</v>
      </c>
      <c r="G27" s="2">
        <f t="shared" si="0"/>
        <v>0.17527066069784425</v>
      </c>
      <c r="H27" s="2">
        <f t="shared" si="6"/>
        <v>0.17418325554814745</v>
      </c>
      <c r="I27" s="86">
        <v>6.67</v>
      </c>
      <c r="J27" s="183">
        <v>5.88</v>
      </c>
      <c r="K27" s="20">
        <f t="shared" si="4"/>
        <v>-0.1184407796101949</v>
      </c>
      <c r="L27" s="4">
        <f t="shared" si="2"/>
        <v>0.7153904518279357</v>
      </c>
      <c r="M27" s="175">
        <v>1</v>
      </c>
      <c r="N27" s="178">
        <v>1</v>
      </c>
      <c r="O27" s="50">
        <v>0</v>
      </c>
      <c r="P27" s="49">
        <v>0</v>
      </c>
      <c r="Q27" s="50"/>
    </row>
    <row r="28" spans="1:17">
      <c r="A28" s="13">
        <f t="shared" si="5"/>
        <v>46137</v>
      </c>
      <c r="B28" s="1">
        <v>115353</v>
      </c>
      <c r="C28" s="1">
        <v>89136</v>
      </c>
      <c r="D28" s="6">
        <v>100442</v>
      </c>
      <c r="E28" s="6">
        <v>99825</v>
      </c>
      <c r="F28" s="20">
        <f t="shared" si="3"/>
        <v>0.11991787829833064</v>
      </c>
      <c r="G28" s="2">
        <f t="shared" ref="G28:H33" si="7">D28/($D$2*24)</f>
        <v>0.19930866431723657</v>
      </c>
      <c r="H28" s="2">
        <f t="shared" si="7"/>
        <v>0.19808434136584438</v>
      </c>
      <c r="I28" s="86">
        <v>6.67</v>
      </c>
      <c r="J28" s="185">
        <v>6.61</v>
      </c>
      <c r="K28" s="20">
        <f t="shared" si="4"/>
        <v>-8.9955022488755042E-3</v>
      </c>
      <c r="L28" s="4">
        <f t="shared" si="2"/>
        <v>0.723662321272871</v>
      </c>
      <c r="M28" s="176">
        <v>1</v>
      </c>
      <c r="N28" s="176">
        <v>1</v>
      </c>
      <c r="O28" s="6">
        <v>0</v>
      </c>
      <c r="P28" s="49">
        <v>0</v>
      </c>
      <c r="Q28" s="50"/>
    </row>
    <row r="29" spans="1:17">
      <c r="A29" s="13">
        <f t="shared" si="5"/>
        <v>46138</v>
      </c>
      <c r="B29" s="1">
        <v>115353</v>
      </c>
      <c r="C29" s="1">
        <v>89136</v>
      </c>
      <c r="D29" s="6">
        <v>95745</v>
      </c>
      <c r="E29" s="6">
        <v>95040</v>
      </c>
      <c r="F29" s="20">
        <f t="shared" si="3"/>
        <v>6.623586429725363E-2</v>
      </c>
      <c r="G29" s="2">
        <f t="shared" si="7"/>
        <v>0.18998833222211639</v>
      </c>
      <c r="H29" s="2">
        <f t="shared" si="7"/>
        <v>0.18858938946566339</v>
      </c>
      <c r="I29" s="86">
        <v>6.67</v>
      </c>
      <c r="J29" s="185">
        <v>6.46</v>
      </c>
      <c r="K29" s="20">
        <f t="shared" si="4"/>
        <v>-3.1484257871064465E-2</v>
      </c>
      <c r="L29" s="4">
        <f t="shared" si="2"/>
        <v>0.70583900515956566</v>
      </c>
      <c r="M29" s="176">
        <v>1</v>
      </c>
      <c r="N29" s="176">
        <v>1</v>
      </c>
      <c r="O29" s="6">
        <v>0</v>
      </c>
      <c r="P29" s="49">
        <v>0</v>
      </c>
      <c r="Q29" s="50"/>
    </row>
    <row r="30" spans="1:17">
      <c r="A30" s="13">
        <f t="shared" si="5"/>
        <v>46139</v>
      </c>
      <c r="B30" s="1"/>
      <c r="C30" s="1"/>
      <c r="D30" s="6"/>
      <c r="E30" s="6"/>
      <c r="F30" s="20" t="e">
        <f t="shared" si="3"/>
        <v>#DIV/0!</v>
      </c>
      <c r="G30" s="2">
        <f t="shared" si="7"/>
        <v>0</v>
      </c>
      <c r="H30" s="2">
        <f t="shared" si="7"/>
        <v>0</v>
      </c>
      <c r="I30" s="86"/>
      <c r="J30" s="6"/>
      <c r="K30" s="20" t="e">
        <f t="shared" si="4"/>
        <v>#DIV/0!</v>
      </c>
      <c r="L30" s="4" t="e">
        <f t="shared" si="2"/>
        <v>#DIV/0!</v>
      </c>
      <c r="M30" s="6"/>
      <c r="N30" s="6"/>
      <c r="O30" s="6"/>
      <c r="P30" s="6"/>
      <c r="Q30" s="6"/>
    </row>
    <row r="31" spans="1:17">
      <c r="A31" s="13">
        <f t="shared" si="5"/>
        <v>46140</v>
      </c>
      <c r="B31" s="1"/>
      <c r="C31" s="1"/>
      <c r="D31" s="6"/>
      <c r="E31" s="6"/>
      <c r="F31" s="20" t="e">
        <f t="shared" si="3"/>
        <v>#DIV/0!</v>
      </c>
      <c r="G31" s="2">
        <f t="shared" si="7"/>
        <v>0</v>
      </c>
      <c r="H31" s="2">
        <f t="shared" si="7"/>
        <v>0</v>
      </c>
      <c r="I31" s="86"/>
      <c r="J31" s="6"/>
      <c r="K31" s="20" t="e">
        <f t="shared" si="4"/>
        <v>#DIV/0!</v>
      </c>
      <c r="L31" s="4" t="e">
        <f t="shared" si="2"/>
        <v>#DIV/0!</v>
      </c>
      <c r="M31" s="6"/>
      <c r="N31" s="6"/>
      <c r="O31" s="6"/>
      <c r="P31" s="6"/>
      <c r="Q31" s="6"/>
    </row>
    <row r="32" spans="1:17">
      <c r="A32" s="13">
        <f t="shared" si="5"/>
        <v>46141</v>
      </c>
      <c r="B32" s="1"/>
      <c r="C32" s="1"/>
      <c r="D32" s="6"/>
      <c r="E32" s="6"/>
      <c r="F32" s="20" t="e">
        <f t="shared" si="3"/>
        <v>#DIV/0!</v>
      </c>
      <c r="G32" s="2">
        <f t="shared" si="7"/>
        <v>0</v>
      </c>
      <c r="H32" s="2">
        <f t="shared" si="7"/>
        <v>0</v>
      </c>
      <c r="I32" s="86"/>
      <c r="J32" s="6"/>
      <c r="K32" s="20" t="e">
        <f t="shared" si="4"/>
        <v>#DIV/0!</v>
      </c>
      <c r="L32" s="4" t="e">
        <f t="shared" si="2"/>
        <v>#DIV/0!</v>
      </c>
      <c r="M32" s="6"/>
      <c r="N32" s="6"/>
      <c r="O32" s="6"/>
      <c r="P32" s="6"/>
      <c r="Q32" s="6"/>
    </row>
    <row r="33" spans="1:17">
      <c r="A33" s="13">
        <f t="shared" si="5"/>
        <v>46142</v>
      </c>
      <c r="B33" s="1"/>
      <c r="C33" s="1"/>
      <c r="D33" s="6"/>
      <c r="E33" s="6"/>
      <c r="F33" s="20" t="e">
        <f t="shared" si="3"/>
        <v>#DIV/0!</v>
      </c>
      <c r="G33" s="2">
        <f t="shared" si="7"/>
        <v>0</v>
      </c>
      <c r="H33" s="2">
        <f t="shared" si="7"/>
        <v>0</v>
      </c>
      <c r="I33" s="86"/>
      <c r="J33" s="6"/>
      <c r="K33" s="20" t="e">
        <f t="shared" si="4"/>
        <v>#DIV/0!</v>
      </c>
      <c r="L33" s="4" t="e">
        <f t="shared" si="2"/>
        <v>#DIV/0!</v>
      </c>
      <c r="M33" s="6"/>
      <c r="N33" s="6"/>
      <c r="O33" s="6"/>
      <c r="P33" s="6"/>
      <c r="Q33" s="6"/>
    </row>
    <row r="34" spans="1:17">
      <c r="A34" s="349">
        <v>46113</v>
      </c>
      <c r="B34" s="89">
        <f>SUM(B4:B33)</f>
        <v>2999178</v>
      </c>
      <c r="C34" s="89">
        <f>SUM(C4:C33)</f>
        <v>2317536</v>
      </c>
      <c r="D34" s="89">
        <f>SUM(D4:D33)</f>
        <v>2550625</v>
      </c>
      <c r="E34" s="89">
        <f>SUM(E4:E33)</f>
        <v>2531100</v>
      </c>
      <c r="F34" s="92">
        <f>(IF(ISBLANK(E34),0,E34-C34))/C34</f>
        <v>9.2151319332256329E-2</v>
      </c>
      <c r="G34" s="90">
        <f>AVERAGE(G4:G33)</f>
        <v>0.16870819707697027</v>
      </c>
      <c r="H34" s="90">
        <f>AVERAGE(H4:H33)</f>
        <v>0.2165569716222239</v>
      </c>
      <c r="I34" s="89">
        <f>SUM(I4:I33)</f>
        <v>173.41999999999993</v>
      </c>
      <c r="J34" s="89">
        <f>SUM(J4:J33)</f>
        <v>174.86</v>
      </c>
      <c r="K34" s="92">
        <f t="shared" si="4"/>
        <v>8.3035405374240773E-3</v>
      </c>
      <c r="L34" s="93">
        <f t="shared" si="2"/>
        <v>0.69466946068522595</v>
      </c>
      <c r="M34" s="90">
        <f>AVERAGE(M4:M33)</f>
        <v>0.99996923076923083</v>
      </c>
      <c r="N34" s="90">
        <f>AVERAGE(N4:N33)</f>
        <v>0.95914615384615387</v>
      </c>
      <c r="O34" s="89">
        <f>SUM(O4:O33)</f>
        <v>117502</v>
      </c>
      <c r="P34" s="89">
        <f>SUM(P4:P33)</f>
        <v>0</v>
      </c>
      <c r="Q34" s="19"/>
    </row>
    <row r="35" spans="1:17">
      <c r="A35" s="13">
        <v>46143</v>
      </c>
      <c r="B35" s="127"/>
      <c r="C35" s="127"/>
      <c r="D35" s="33"/>
      <c r="E35" s="33"/>
      <c r="F35" s="20" t="e">
        <f>(IF(ISBLANK(E35),0,E35-C35))/C35</f>
        <v>#DIV/0!</v>
      </c>
      <c r="G35" s="2">
        <f t="shared" ref="G35:G57" si="8">D35/($D$2*24)</f>
        <v>0</v>
      </c>
      <c r="H35" s="2">
        <f t="shared" ref="H35:H61" si="9">D35/($H$2*24)</f>
        <v>0</v>
      </c>
      <c r="I35" s="28"/>
      <c r="J35" s="33"/>
      <c r="K35" s="20" t="e">
        <f>(IF(ISBLANK(J35),0,J35-I35))/I35</f>
        <v>#DIV/0!</v>
      </c>
      <c r="L35" s="4" t="e">
        <f t="shared" si="2"/>
        <v>#DIV/0!</v>
      </c>
      <c r="M35" s="103"/>
      <c r="N35" s="103"/>
      <c r="O35" s="33"/>
      <c r="P35" s="6"/>
      <c r="Q35" s="6"/>
    </row>
    <row r="36" spans="1:17">
      <c r="A36" s="13">
        <f>A35+1</f>
        <v>46144</v>
      </c>
      <c r="B36" s="127"/>
      <c r="C36" s="127"/>
      <c r="D36" s="34"/>
      <c r="E36" s="34"/>
      <c r="F36" s="20" t="e">
        <f t="shared" ref="F36:F54" si="10">(IF(ISBLANK(E36),0,E36-C36))/C36</f>
        <v>#DIV/0!</v>
      </c>
      <c r="G36" s="2">
        <f t="shared" si="8"/>
        <v>0</v>
      </c>
      <c r="H36" s="2">
        <f t="shared" si="9"/>
        <v>0</v>
      </c>
      <c r="I36" s="29"/>
      <c r="J36" s="34"/>
      <c r="K36" s="20" t="e">
        <f t="shared" ref="K36:K54" si="11">(IF(ISBLANK(J36),0,J36-I36))/I36</f>
        <v>#DIV/0!</v>
      </c>
      <c r="L36" s="4" t="e">
        <f t="shared" ref="L36:L66" si="12">D36/($D$2*J36)</f>
        <v>#DIV/0!</v>
      </c>
      <c r="M36" s="103"/>
      <c r="N36" s="103"/>
      <c r="O36" s="34"/>
      <c r="P36" s="6"/>
      <c r="Q36" s="6"/>
    </row>
    <row r="37" spans="1:17">
      <c r="A37" s="13">
        <f t="shared" ref="A37:A65" si="13">A36+1</f>
        <v>46145</v>
      </c>
      <c r="B37" s="127"/>
      <c r="C37" s="127"/>
      <c r="D37" s="34"/>
      <c r="E37" s="34"/>
      <c r="F37" s="20" t="e">
        <f t="shared" si="10"/>
        <v>#DIV/0!</v>
      </c>
      <c r="G37" s="2">
        <f t="shared" si="8"/>
        <v>0</v>
      </c>
      <c r="H37" s="2">
        <f t="shared" si="9"/>
        <v>0</v>
      </c>
      <c r="I37" s="29"/>
      <c r="J37" s="34"/>
      <c r="K37" s="20" t="e">
        <f t="shared" si="11"/>
        <v>#DIV/0!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BADEB-9AB0-4816-8956-EA6E531EEF49}">
  <dimension ref="A1:Q66"/>
  <sheetViews>
    <sheetView topLeftCell="A22"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6.81640625" bestFit="1" customWidth="1"/>
    <col min="9" max="10" width="9.7265625" bestFit="1" customWidth="1"/>
    <col min="11" max="11" width="10.1796875" bestFit="1" customWidth="1"/>
    <col min="12" max="12" width="7" bestFit="1" customWidth="1"/>
    <col min="13" max="14" width="9.26953125" bestFit="1" customWidth="1"/>
    <col min="15" max="15" width="11.453125" bestFit="1" customWidth="1"/>
    <col min="16" max="16" width="9.7265625" bestFit="1" customWidth="1"/>
    <col min="17" max="17" width="62.453125" bestFit="1" customWidth="1"/>
    <col min="18" max="18" width="10" customWidth="1"/>
  </cols>
  <sheetData>
    <row r="1" spans="1:17" ht="18.5">
      <c r="A1" s="405" t="s">
        <v>602</v>
      </c>
      <c r="B1" s="406"/>
      <c r="C1" s="406"/>
      <c r="D1" s="406"/>
      <c r="E1" s="406"/>
      <c r="F1" s="406"/>
      <c r="G1" s="406"/>
      <c r="H1" s="406"/>
      <c r="I1" s="406"/>
      <c r="J1" s="406"/>
      <c r="K1" s="406"/>
      <c r="L1" s="406"/>
      <c r="M1" s="406"/>
      <c r="N1" s="406"/>
      <c r="O1" s="406"/>
      <c r="P1" s="406"/>
      <c r="Q1" s="406"/>
    </row>
    <row r="2" spans="1:17" ht="18.5">
      <c r="A2" s="7">
        <v>46113</v>
      </c>
      <c r="B2" s="407" t="s">
        <v>172</v>
      </c>
      <c r="C2" s="408"/>
      <c r="D2" s="8">
        <v>8390</v>
      </c>
      <c r="E2" s="407" t="s">
        <v>173</v>
      </c>
      <c r="F2" s="407"/>
      <c r="G2" s="408"/>
      <c r="H2" s="8">
        <v>6000</v>
      </c>
      <c r="I2" s="409" t="s">
        <v>174</v>
      </c>
      <c r="J2" s="410"/>
      <c r="K2" s="9">
        <v>45596</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42306</v>
      </c>
      <c r="C4" s="1">
        <v>38075</v>
      </c>
      <c r="D4" s="6">
        <v>42941</v>
      </c>
      <c r="E4" s="6">
        <v>42480</v>
      </c>
      <c r="F4" s="20">
        <f>(IF(ISBLANK(E4),0,E4-C4))/C4</f>
        <v>0.11569271175311885</v>
      </c>
      <c r="G4" s="2">
        <f t="shared" ref="G4:G27" si="0">D4/($D$2*24)</f>
        <v>0.21325486690504569</v>
      </c>
      <c r="H4" s="2">
        <f t="shared" ref="H4:H21" si="1">D4/($H$2*24)</f>
        <v>0.29820138888888886</v>
      </c>
      <c r="I4" s="86">
        <v>7</v>
      </c>
      <c r="J4" s="182">
        <v>6.36</v>
      </c>
      <c r="K4" s="20">
        <f>(IF(ISBLANK(J4),0,J4-I4))/I4</f>
        <v>-9.1428571428571387E-2</v>
      </c>
      <c r="L4" s="4">
        <f t="shared" ref="L4:L35" si="2">D4/($D$2*J4)</f>
        <v>0.80473534681149317</v>
      </c>
      <c r="M4" s="174">
        <v>1</v>
      </c>
      <c r="N4" s="177">
        <v>1</v>
      </c>
      <c r="O4" s="49"/>
      <c r="P4" s="49"/>
      <c r="Q4" s="49"/>
    </row>
    <row r="5" spans="1:17">
      <c r="A5" s="13">
        <f>A4+1</f>
        <v>46114</v>
      </c>
      <c r="B5" s="1">
        <v>42306</v>
      </c>
      <c r="C5" s="1">
        <v>38075</v>
      </c>
      <c r="D5" s="6">
        <v>46212</v>
      </c>
      <c r="E5" s="6">
        <v>45720</v>
      </c>
      <c r="F5" s="20">
        <f t="shared" ref="F5:F33" si="3">(IF(ISBLANK(E5),0,E5-C5))/C5</f>
        <v>0.20078791858174655</v>
      </c>
      <c r="G5" s="2">
        <f t="shared" si="0"/>
        <v>0.22949940405244337</v>
      </c>
      <c r="H5" s="2">
        <f t="shared" si="1"/>
        <v>0.32091666666666668</v>
      </c>
      <c r="I5" s="86">
        <v>7</v>
      </c>
      <c r="J5" s="182">
        <v>6.82</v>
      </c>
      <c r="K5" s="20">
        <f t="shared" ref="K5:K34" si="4">(IF(ISBLANK(J5),0,J5-I5))/I5</f>
        <v>-2.5714285714285672E-2</v>
      </c>
      <c r="L5" s="4">
        <f t="shared" si="2"/>
        <v>0.80762253625493274</v>
      </c>
      <c r="M5" s="175">
        <v>1</v>
      </c>
      <c r="N5" s="178">
        <v>1</v>
      </c>
      <c r="O5" s="50"/>
      <c r="P5" s="49"/>
      <c r="Q5" s="50"/>
    </row>
    <row r="6" spans="1:17">
      <c r="A6" s="13">
        <f t="shared" ref="A6:A33" si="5">A5+1</f>
        <v>46115</v>
      </c>
      <c r="B6" s="1">
        <v>42306</v>
      </c>
      <c r="C6" s="1">
        <v>38075</v>
      </c>
      <c r="D6" s="6">
        <v>46453</v>
      </c>
      <c r="E6" s="6">
        <v>46080</v>
      </c>
      <c r="F6" s="20">
        <f t="shared" si="3"/>
        <v>0.21024294156270518</v>
      </c>
      <c r="G6" s="2">
        <f t="shared" si="0"/>
        <v>0.23069626539531188</v>
      </c>
      <c r="H6" s="2">
        <f t="shared" si="1"/>
        <v>0.32259027777777777</v>
      </c>
      <c r="I6" s="86">
        <v>7</v>
      </c>
      <c r="J6" s="182">
        <v>6.85</v>
      </c>
      <c r="K6" s="20">
        <f t="shared" si="4"/>
        <v>-2.1428571428571481E-2</v>
      </c>
      <c r="L6" s="4">
        <f t="shared" si="2"/>
        <v>0.80827888605656717</v>
      </c>
      <c r="M6" s="175">
        <v>1</v>
      </c>
      <c r="N6" s="178">
        <v>1</v>
      </c>
      <c r="O6" s="50"/>
      <c r="P6" s="49"/>
      <c r="Q6" s="50"/>
    </row>
    <row r="7" spans="1:17" ht="43.5">
      <c r="A7" s="13">
        <f t="shared" si="5"/>
        <v>46116</v>
      </c>
      <c r="B7" s="1">
        <v>42306</v>
      </c>
      <c r="C7" s="1">
        <v>38075</v>
      </c>
      <c r="D7" s="6">
        <v>20346</v>
      </c>
      <c r="E7" s="6">
        <v>19440</v>
      </c>
      <c r="F7" s="20">
        <f t="shared" si="3"/>
        <v>-0.48942875902823374</v>
      </c>
      <c r="G7" s="2">
        <f t="shared" si="0"/>
        <v>0.10104290822407629</v>
      </c>
      <c r="H7" s="2">
        <f t="shared" si="1"/>
        <v>0.14129166666666668</v>
      </c>
      <c r="I7" s="86">
        <v>7</v>
      </c>
      <c r="J7" s="182">
        <v>5.24</v>
      </c>
      <c r="K7" s="20">
        <f t="shared" si="4"/>
        <v>-0.25142857142857139</v>
      </c>
      <c r="L7" s="4">
        <f t="shared" si="2"/>
        <v>0.46279194606447155</v>
      </c>
      <c r="M7" s="175">
        <v>1</v>
      </c>
      <c r="N7" s="178">
        <v>0.42749999999999999</v>
      </c>
      <c r="O7" s="186">
        <v>16544</v>
      </c>
      <c r="P7" s="49"/>
      <c r="Q7" s="187" t="s">
        <v>603</v>
      </c>
    </row>
    <row r="8" spans="1:17">
      <c r="A8" s="13">
        <f t="shared" si="5"/>
        <v>46117</v>
      </c>
      <c r="B8" s="1">
        <v>42306</v>
      </c>
      <c r="C8" s="1">
        <v>38075</v>
      </c>
      <c r="D8" s="6">
        <v>49203</v>
      </c>
      <c r="E8" s="6">
        <v>48660</v>
      </c>
      <c r="F8" s="20">
        <f t="shared" si="3"/>
        <v>0.27800393959290876</v>
      </c>
      <c r="G8" s="2">
        <f t="shared" si="0"/>
        <v>0.24435339690107272</v>
      </c>
      <c r="H8" s="2">
        <f t="shared" si="1"/>
        <v>0.34168749999999998</v>
      </c>
      <c r="I8" s="86">
        <v>7</v>
      </c>
      <c r="J8" s="182">
        <v>7.23</v>
      </c>
      <c r="K8" s="20">
        <f t="shared" si="4"/>
        <v>3.2857142857142918E-2</v>
      </c>
      <c r="L8" s="4">
        <f t="shared" si="2"/>
        <v>0.81113160797036576</v>
      </c>
      <c r="M8" s="175">
        <v>1</v>
      </c>
      <c r="N8" s="178">
        <v>1</v>
      </c>
      <c r="O8" s="49"/>
      <c r="P8" s="49"/>
      <c r="Q8" s="50"/>
    </row>
    <row r="9" spans="1:17">
      <c r="A9" s="13">
        <f t="shared" si="5"/>
        <v>46118</v>
      </c>
      <c r="B9" s="1">
        <v>42306</v>
      </c>
      <c r="C9" s="1">
        <v>38075</v>
      </c>
      <c r="D9" s="6">
        <v>49247</v>
      </c>
      <c r="E9" s="6">
        <v>48720</v>
      </c>
      <c r="F9" s="20">
        <f t="shared" si="3"/>
        <v>0.27957977675640183</v>
      </c>
      <c r="G9" s="2">
        <f t="shared" si="0"/>
        <v>0.24457191100516487</v>
      </c>
      <c r="H9" s="2">
        <f t="shared" si="1"/>
        <v>0.34199305555555554</v>
      </c>
      <c r="I9" s="86">
        <v>7</v>
      </c>
      <c r="J9" s="182">
        <v>7.22</v>
      </c>
      <c r="K9" s="20">
        <f t="shared" si="4"/>
        <v>3.1428571428571396E-2</v>
      </c>
      <c r="L9" s="4">
        <f t="shared" si="2"/>
        <v>0.81298142162381681</v>
      </c>
      <c r="M9" s="175">
        <v>1</v>
      </c>
      <c r="N9" s="178">
        <v>1</v>
      </c>
      <c r="O9" s="49"/>
      <c r="P9" s="49"/>
      <c r="Q9" s="50"/>
    </row>
    <row r="10" spans="1:17">
      <c r="A10" s="13">
        <f t="shared" si="5"/>
        <v>46119</v>
      </c>
      <c r="B10" s="1">
        <v>42306</v>
      </c>
      <c r="C10" s="1">
        <v>38075</v>
      </c>
      <c r="D10" s="6">
        <v>49052</v>
      </c>
      <c r="E10" s="6">
        <v>48540</v>
      </c>
      <c r="F10" s="20">
        <f t="shared" si="3"/>
        <v>0.27485226526592255</v>
      </c>
      <c r="G10" s="2">
        <f t="shared" si="0"/>
        <v>0.24360349622566546</v>
      </c>
      <c r="H10" s="2">
        <f t="shared" si="1"/>
        <v>0.34063888888888888</v>
      </c>
      <c r="I10" s="86">
        <v>7</v>
      </c>
      <c r="J10" s="182">
        <v>7.23</v>
      </c>
      <c r="K10" s="20">
        <f t="shared" si="4"/>
        <v>3.2857142857142918E-2</v>
      </c>
      <c r="L10" s="4">
        <f t="shared" si="2"/>
        <v>0.80864231112254092</v>
      </c>
      <c r="M10" s="175">
        <v>1</v>
      </c>
      <c r="N10" s="178">
        <v>1</v>
      </c>
      <c r="O10" s="49"/>
      <c r="P10" s="49"/>
      <c r="Q10" s="50"/>
    </row>
    <row r="11" spans="1:17" ht="29">
      <c r="A11" s="13">
        <f t="shared" si="5"/>
        <v>46120</v>
      </c>
      <c r="B11" s="1">
        <v>42306</v>
      </c>
      <c r="C11" s="1">
        <v>38075</v>
      </c>
      <c r="D11" s="6">
        <v>36095</v>
      </c>
      <c r="E11" s="6">
        <v>35640</v>
      </c>
      <c r="F11" s="20">
        <f t="shared" si="3"/>
        <v>-6.3952724885095208E-2</v>
      </c>
      <c r="G11" s="2">
        <f t="shared" si="0"/>
        <v>0.17925605880015891</v>
      </c>
      <c r="H11" s="2">
        <f t="shared" si="1"/>
        <v>0.25065972222222221</v>
      </c>
      <c r="I11" s="86">
        <v>7</v>
      </c>
      <c r="J11" s="182">
        <v>6.94</v>
      </c>
      <c r="K11" s="20">
        <f t="shared" si="4"/>
        <v>-8.5714285714285163E-3</v>
      </c>
      <c r="L11" s="4">
        <f t="shared" si="2"/>
        <v>0.61990567884781178</v>
      </c>
      <c r="M11" s="175">
        <v>1</v>
      </c>
      <c r="N11" s="178">
        <v>0.65449999999999997</v>
      </c>
      <c r="O11" s="186">
        <v>11437.98</v>
      </c>
      <c r="P11" s="49"/>
      <c r="Q11" s="187" t="s">
        <v>604</v>
      </c>
    </row>
    <row r="12" spans="1:17" ht="29">
      <c r="A12" s="13">
        <f t="shared" si="5"/>
        <v>46121</v>
      </c>
      <c r="B12" s="1">
        <v>42306</v>
      </c>
      <c r="C12" s="1">
        <v>38075</v>
      </c>
      <c r="D12" s="6">
        <v>10815</v>
      </c>
      <c r="E12" s="6">
        <v>10740</v>
      </c>
      <c r="F12" s="20">
        <f t="shared" si="3"/>
        <v>-0.71792514773473404</v>
      </c>
      <c r="G12" s="2">
        <f t="shared" si="0"/>
        <v>5.3709773539928486E-2</v>
      </c>
      <c r="H12" s="2">
        <f t="shared" si="1"/>
        <v>7.5104166666666666E-2</v>
      </c>
      <c r="I12" s="86">
        <v>7</v>
      </c>
      <c r="J12" s="182">
        <v>6.8739999999999997</v>
      </c>
      <c r="K12" s="20">
        <f t="shared" si="4"/>
        <v>-1.8000000000000047E-2</v>
      </c>
      <c r="L12" s="4">
        <f t="shared" si="2"/>
        <v>0.18752321282488851</v>
      </c>
      <c r="M12" s="175">
        <v>1</v>
      </c>
      <c r="N12" s="178">
        <v>0.34689999999999999</v>
      </c>
      <c r="O12" s="186">
        <v>36416.79</v>
      </c>
      <c r="P12" s="49"/>
      <c r="Q12" s="187" t="s">
        <v>604</v>
      </c>
    </row>
    <row r="13" spans="1:17" ht="43.5">
      <c r="A13" s="13">
        <f t="shared" si="5"/>
        <v>46122</v>
      </c>
      <c r="B13" s="1">
        <v>42306</v>
      </c>
      <c r="C13" s="1">
        <v>38075</v>
      </c>
      <c r="D13" s="6">
        <v>45824</v>
      </c>
      <c r="E13" s="6">
        <v>45420</v>
      </c>
      <c r="F13" s="20">
        <f t="shared" si="3"/>
        <v>0.19290873276428103</v>
      </c>
      <c r="G13" s="2">
        <f t="shared" si="0"/>
        <v>0.22757250695272149</v>
      </c>
      <c r="H13" s="2">
        <f t="shared" si="1"/>
        <v>0.31822222222222224</v>
      </c>
      <c r="I13" s="86">
        <v>7</v>
      </c>
      <c r="J13" s="182">
        <v>6.97</v>
      </c>
      <c r="K13" s="20">
        <f t="shared" si="4"/>
        <v>-4.2857142857143215E-3</v>
      </c>
      <c r="L13" s="4">
        <f t="shared" si="2"/>
        <v>0.78360691059760634</v>
      </c>
      <c r="M13" s="175">
        <v>1</v>
      </c>
      <c r="N13" s="178">
        <v>0.98599999999999999</v>
      </c>
      <c r="O13" s="186">
        <v>1145.5999999999999</v>
      </c>
      <c r="P13" s="49"/>
      <c r="Q13" s="187" t="s">
        <v>603</v>
      </c>
    </row>
    <row r="14" spans="1:17">
      <c r="A14" s="13">
        <f t="shared" si="5"/>
        <v>46123</v>
      </c>
      <c r="B14" s="1">
        <v>42306</v>
      </c>
      <c r="C14" s="1">
        <v>38075</v>
      </c>
      <c r="D14" s="6">
        <v>46582</v>
      </c>
      <c r="E14" s="6">
        <v>46080</v>
      </c>
      <c r="F14" s="20">
        <f t="shared" si="3"/>
        <v>0.21024294156270518</v>
      </c>
      <c r="G14" s="2">
        <f t="shared" si="0"/>
        <v>0.23133690901867301</v>
      </c>
      <c r="H14" s="2">
        <f t="shared" si="1"/>
        <v>0.32348611111111109</v>
      </c>
      <c r="I14" s="86">
        <v>7</v>
      </c>
      <c r="J14" s="182">
        <v>7</v>
      </c>
      <c r="K14" s="20">
        <f t="shared" si="4"/>
        <v>0</v>
      </c>
      <c r="L14" s="4">
        <f t="shared" si="2"/>
        <v>0.79315511663545035</v>
      </c>
      <c r="M14" s="175">
        <v>1</v>
      </c>
      <c r="N14" s="178">
        <v>1</v>
      </c>
      <c r="O14" s="50"/>
      <c r="P14" s="49"/>
      <c r="Q14" s="50"/>
    </row>
    <row r="15" spans="1:17">
      <c r="A15" s="13">
        <f t="shared" si="5"/>
        <v>46124</v>
      </c>
      <c r="B15" s="1">
        <v>42306</v>
      </c>
      <c r="C15" s="1">
        <v>38075</v>
      </c>
      <c r="D15" s="6">
        <v>45287</v>
      </c>
      <c r="E15" s="6">
        <v>44820</v>
      </c>
      <c r="F15" s="20">
        <f t="shared" si="3"/>
        <v>0.17715036112934995</v>
      </c>
      <c r="G15" s="2">
        <f t="shared" si="0"/>
        <v>0.2249056416368693</v>
      </c>
      <c r="H15" s="2">
        <f t="shared" si="1"/>
        <v>0.31449305555555557</v>
      </c>
      <c r="I15" s="86">
        <v>7</v>
      </c>
      <c r="J15" s="182">
        <v>6.79</v>
      </c>
      <c r="K15" s="20">
        <f t="shared" si="4"/>
        <v>-2.9999999999999995E-2</v>
      </c>
      <c r="L15" s="4">
        <f t="shared" si="2"/>
        <v>0.79495366705226256</v>
      </c>
      <c r="M15" s="175">
        <v>1</v>
      </c>
      <c r="N15" s="178">
        <v>1</v>
      </c>
      <c r="O15" s="50"/>
      <c r="P15" s="49"/>
      <c r="Q15" s="50"/>
    </row>
    <row r="16" spans="1:17">
      <c r="A16" s="13">
        <f t="shared" si="5"/>
        <v>46125</v>
      </c>
      <c r="B16" s="1">
        <v>42306</v>
      </c>
      <c r="C16" s="1">
        <v>38075</v>
      </c>
      <c r="D16" s="6">
        <v>44224</v>
      </c>
      <c r="E16" s="6">
        <v>43920</v>
      </c>
      <c r="F16" s="20">
        <f t="shared" si="3"/>
        <v>0.15351280367695339</v>
      </c>
      <c r="G16" s="2">
        <f t="shared" si="0"/>
        <v>0.21962653953118791</v>
      </c>
      <c r="H16" s="2">
        <f t="shared" si="1"/>
        <v>0.30711111111111111</v>
      </c>
      <c r="I16" s="86">
        <v>7</v>
      </c>
      <c r="J16" s="182">
        <v>6.68</v>
      </c>
      <c r="K16" s="20">
        <f t="shared" si="4"/>
        <v>-4.5714285714285756E-2</v>
      </c>
      <c r="L16" s="4">
        <f t="shared" si="2"/>
        <v>0.78907738753720214</v>
      </c>
      <c r="M16" s="175">
        <v>1</v>
      </c>
      <c r="N16" s="178">
        <v>1</v>
      </c>
      <c r="O16" s="50"/>
      <c r="P16" s="49"/>
      <c r="Q16" s="50"/>
    </row>
    <row r="17" spans="1:17">
      <c r="A17" s="13">
        <f t="shared" si="5"/>
        <v>46126</v>
      </c>
      <c r="B17" s="1">
        <v>42306</v>
      </c>
      <c r="C17" s="1">
        <v>38075</v>
      </c>
      <c r="D17" s="6">
        <v>45948</v>
      </c>
      <c r="E17" s="6">
        <v>45540</v>
      </c>
      <c r="F17" s="20">
        <f t="shared" si="3"/>
        <v>0.19606040709126724</v>
      </c>
      <c r="G17" s="2">
        <f t="shared" si="0"/>
        <v>0.22818831942789033</v>
      </c>
      <c r="H17" s="2">
        <f t="shared" si="1"/>
        <v>0.31908333333333333</v>
      </c>
      <c r="I17" s="86">
        <v>7</v>
      </c>
      <c r="J17" s="182">
        <v>7.01</v>
      </c>
      <c r="K17" s="20">
        <f t="shared" si="4"/>
        <v>1.4285714285713982E-3</v>
      </c>
      <c r="L17" s="4">
        <f t="shared" si="2"/>
        <v>0.78124388962473157</v>
      </c>
      <c r="M17" s="175">
        <v>1</v>
      </c>
      <c r="N17" s="178">
        <v>1</v>
      </c>
      <c r="O17" s="50"/>
      <c r="P17" s="49"/>
      <c r="Q17" s="50"/>
    </row>
    <row r="18" spans="1:17">
      <c r="A18" s="13">
        <f t="shared" si="5"/>
        <v>46127</v>
      </c>
      <c r="B18" s="1">
        <v>42306</v>
      </c>
      <c r="C18" s="1">
        <v>38075</v>
      </c>
      <c r="D18" s="6">
        <v>47108</v>
      </c>
      <c r="E18" s="6">
        <v>46740</v>
      </c>
      <c r="F18" s="20">
        <f t="shared" si="3"/>
        <v>0.22757715036112935</v>
      </c>
      <c r="G18" s="2">
        <f t="shared" si="0"/>
        <v>0.23394914580850218</v>
      </c>
      <c r="H18" s="2">
        <f t="shared" si="1"/>
        <v>0.32713888888888887</v>
      </c>
      <c r="I18" s="86">
        <v>7</v>
      </c>
      <c r="J18" s="182">
        <v>7.15</v>
      </c>
      <c r="K18" s="20">
        <f t="shared" si="4"/>
        <v>2.1428571428571481E-2</v>
      </c>
      <c r="L18" s="4">
        <f t="shared" si="2"/>
        <v>0.78528384607049684</v>
      </c>
      <c r="M18" s="175">
        <v>1</v>
      </c>
      <c r="N18" s="178">
        <v>1</v>
      </c>
      <c r="O18" s="50"/>
      <c r="P18" s="49"/>
      <c r="Q18" s="50"/>
    </row>
    <row r="19" spans="1:17">
      <c r="A19" s="13">
        <f t="shared" si="5"/>
        <v>46128</v>
      </c>
      <c r="B19" s="1">
        <v>42306</v>
      </c>
      <c r="C19" s="1">
        <v>38075</v>
      </c>
      <c r="D19" s="6">
        <v>47741</v>
      </c>
      <c r="E19" s="6">
        <v>47340</v>
      </c>
      <c r="F19" s="20">
        <f t="shared" si="3"/>
        <v>0.2433355219960604</v>
      </c>
      <c r="G19" s="2">
        <f t="shared" si="0"/>
        <v>0.23709276916964642</v>
      </c>
      <c r="H19" s="2">
        <f t="shared" si="1"/>
        <v>0.33153472222222224</v>
      </c>
      <c r="I19" s="86">
        <v>7</v>
      </c>
      <c r="J19" s="182">
        <v>7.2</v>
      </c>
      <c r="K19" s="20">
        <f t="shared" si="4"/>
        <v>2.8571428571428598E-2</v>
      </c>
      <c r="L19" s="4">
        <f t="shared" si="2"/>
        <v>0.79030923056548796</v>
      </c>
      <c r="M19" s="175">
        <v>1</v>
      </c>
      <c r="N19" s="178">
        <v>1</v>
      </c>
      <c r="O19" s="50"/>
      <c r="P19" s="49"/>
      <c r="Q19" s="50"/>
    </row>
    <row r="20" spans="1:17">
      <c r="A20" s="13">
        <f t="shared" si="5"/>
        <v>46129</v>
      </c>
      <c r="B20" s="1">
        <v>42306</v>
      </c>
      <c r="C20" s="1">
        <v>38075</v>
      </c>
      <c r="D20" s="6">
        <v>43105</v>
      </c>
      <c r="E20" s="6">
        <v>42480</v>
      </c>
      <c r="F20" s="20">
        <f t="shared" si="3"/>
        <v>0.11569271175311885</v>
      </c>
      <c r="G20" s="2">
        <f t="shared" si="0"/>
        <v>0.21406932856575289</v>
      </c>
      <c r="H20" s="2">
        <f t="shared" si="1"/>
        <v>0.29934027777777777</v>
      </c>
      <c r="I20" s="86">
        <v>7</v>
      </c>
      <c r="J20" s="182">
        <v>6.35</v>
      </c>
      <c r="K20" s="20">
        <f t="shared" si="4"/>
        <v>-9.2857142857142902E-2</v>
      </c>
      <c r="L20" s="4">
        <f t="shared" si="2"/>
        <v>0.80908092686268807</v>
      </c>
      <c r="M20" s="175">
        <v>1</v>
      </c>
      <c r="N20" s="178">
        <v>1</v>
      </c>
      <c r="O20" s="50"/>
      <c r="P20" s="49"/>
      <c r="Q20" s="50"/>
    </row>
    <row r="21" spans="1:17" ht="26.5">
      <c r="A21" s="13">
        <f t="shared" si="5"/>
        <v>46130</v>
      </c>
      <c r="B21" s="1">
        <v>42306</v>
      </c>
      <c r="C21" s="1">
        <v>38075</v>
      </c>
      <c r="D21" s="6">
        <v>38637</v>
      </c>
      <c r="E21" s="6">
        <v>38160</v>
      </c>
      <c r="F21" s="20">
        <f t="shared" si="3"/>
        <v>2.2324359816152332E-3</v>
      </c>
      <c r="G21" s="2">
        <f t="shared" si="0"/>
        <v>0.19188021454112039</v>
      </c>
      <c r="H21" s="2">
        <f t="shared" si="1"/>
        <v>0.26831250000000001</v>
      </c>
      <c r="I21" s="86">
        <v>7</v>
      </c>
      <c r="J21" s="182">
        <v>5.8</v>
      </c>
      <c r="K21" s="20">
        <f t="shared" si="4"/>
        <v>-0.17142857142857146</v>
      </c>
      <c r="L21" s="4">
        <f t="shared" si="2"/>
        <v>0.79398709465291195</v>
      </c>
      <c r="M21" s="175">
        <v>0.98670000000000002</v>
      </c>
      <c r="N21" s="178">
        <v>1</v>
      </c>
      <c r="O21" s="50"/>
      <c r="P21" s="186">
        <v>1266</v>
      </c>
      <c r="Q21" s="83" t="s">
        <v>605</v>
      </c>
    </row>
    <row r="22" spans="1:17">
      <c r="A22" s="13">
        <f t="shared" si="5"/>
        <v>46131</v>
      </c>
      <c r="B22" s="1">
        <v>42306</v>
      </c>
      <c r="C22" s="1">
        <v>38075</v>
      </c>
      <c r="D22" s="6">
        <v>42098</v>
      </c>
      <c r="E22" s="6">
        <v>41760</v>
      </c>
      <c r="F22" s="20">
        <f t="shared" si="3"/>
        <v>9.678266579120158E-2</v>
      </c>
      <c r="G22" s="2">
        <f t="shared" si="0"/>
        <v>0.20906833531982519</v>
      </c>
      <c r="H22" s="2">
        <f t="shared" ref="H22:H27" si="6">E22/($D$2*24)</f>
        <v>0.20738974970202623</v>
      </c>
      <c r="I22" s="86">
        <v>7</v>
      </c>
      <c r="J22" s="182">
        <v>6.26</v>
      </c>
      <c r="K22" s="20">
        <f t="shared" si="4"/>
        <v>-0.10571428571428575</v>
      </c>
      <c r="L22" s="4">
        <f t="shared" si="2"/>
        <v>0.8015399437181796</v>
      </c>
      <c r="M22" s="175">
        <v>0.98660000000000003</v>
      </c>
      <c r="N22" s="178">
        <v>1</v>
      </c>
      <c r="O22" s="50"/>
      <c r="P22" s="186">
        <v>1194</v>
      </c>
      <c r="Q22" s="83" t="s">
        <v>606</v>
      </c>
    </row>
    <row r="23" spans="1:17">
      <c r="A23" s="13">
        <f t="shared" si="5"/>
        <v>46132</v>
      </c>
      <c r="B23" s="1">
        <v>42306</v>
      </c>
      <c r="C23" s="1">
        <v>38075</v>
      </c>
      <c r="D23" s="6">
        <v>40472</v>
      </c>
      <c r="E23" s="6">
        <v>40020</v>
      </c>
      <c r="F23" s="20">
        <f t="shared" si="3"/>
        <v>5.1083388049901507E-2</v>
      </c>
      <c r="G23" s="2">
        <f t="shared" si="0"/>
        <v>0.20099324592769169</v>
      </c>
      <c r="H23" s="2">
        <f t="shared" si="6"/>
        <v>0.19874851013110847</v>
      </c>
      <c r="I23" s="86">
        <v>7</v>
      </c>
      <c r="J23" s="182">
        <v>6.37</v>
      </c>
      <c r="K23" s="20">
        <f t="shared" si="4"/>
        <v>-8.9999999999999983E-2</v>
      </c>
      <c r="L23" s="4">
        <f t="shared" si="2"/>
        <v>0.75727439595990587</v>
      </c>
      <c r="M23" s="175">
        <v>0.98309999999999997</v>
      </c>
      <c r="N23" s="178">
        <v>1</v>
      </c>
      <c r="O23" s="50"/>
      <c r="P23" s="186">
        <v>1877</v>
      </c>
      <c r="Q23" s="83" t="s">
        <v>607</v>
      </c>
    </row>
    <row r="24" spans="1:17">
      <c r="A24" s="13">
        <f t="shared" si="5"/>
        <v>46133</v>
      </c>
      <c r="B24" s="1">
        <v>42306</v>
      </c>
      <c r="C24" s="1">
        <v>38075</v>
      </c>
      <c r="D24" s="6">
        <v>41472</v>
      </c>
      <c r="E24" s="6">
        <v>41160</v>
      </c>
      <c r="F24" s="20">
        <f>(IF(ISBLANK(E24),0,E24-C24))/C24</f>
        <v>8.1024294156270521E-2</v>
      </c>
      <c r="G24" s="2">
        <f t="shared" si="0"/>
        <v>0.20595947556615019</v>
      </c>
      <c r="H24" s="2">
        <f t="shared" si="6"/>
        <v>0.20441001191895114</v>
      </c>
      <c r="I24" s="86">
        <v>7</v>
      </c>
      <c r="J24" s="182">
        <v>6.54</v>
      </c>
      <c r="K24" s="20">
        <f>(IF(ISBLANK(J24),0,J24-I24))/I24</f>
        <v>-6.5714285714285711E-2</v>
      </c>
      <c r="L24" s="4">
        <f t="shared" si="2"/>
        <v>0.75581458923357869</v>
      </c>
      <c r="M24" s="175">
        <v>0.97840000000000005</v>
      </c>
      <c r="N24" s="178">
        <v>1</v>
      </c>
      <c r="O24" s="50"/>
      <c r="P24" s="186">
        <v>2095</v>
      </c>
      <c r="Q24" s="83" t="s">
        <v>607</v>
      </c>
    </row>
    <row r="25" spans="1:17">
      <c r="A25" s="13">
        <f t="shared" si="5"/>
        <v>46134</v>
      </c>
      <c r="B25" s="1">
        <v>42306</v>
      </c>
      <c r="C25" s="1">
        <v>38075</v>
      </c>
      <c r="D25" s="6">
        <v>41624</v>
      </c>
      <c r="E25" s="6">
        <v>41340</v>
      </c>
      <c r="F25" s="20">
        <f t="shared" si="3"/>
        <v>8.5751805646749835E-2</v>
      </c>
      <c r="G25" s="2">
        <f t="shared" si="0"/>
        <v>0.20671434247119586</v>
      </c>
      <c r="H25" s="2">
        <f t="shared" si="6"/>
        <v>0.20530393325387367</v>
      </c>
      <c r="I25" s="86">
        <v>7</v>
      </c>
      <c r="J25" s="182">
        <v>6.58</v>
      </c>
      <c r="K25" s="20">
        <f t="shared" si="4"/>
        <v>-5.9999999999999991E-2</v>
      </c>
      <c r="L25" s="4">
        <f t="shared" si="2"/>
        <v>0.75397328560922505</v>
      </c>
      <c r="M25" s="175">
        <v>0.97829999999999995</v>
      </c>
      <c r="N25" s="178">
        <v>1</v>
      </c>
      <c r="O25" s="50"/>
      <c r="P25" s="186">
        <v>2104</v>
      </c>
      <c r="Q25" s="83" t="s">
        <v>607</v>
      </c>
    </row>
    <row r="26" spans="1:17">
      <c r="A26" s="13">
        <f t="shared" si="5"/>
        <v>46135</v>
      </c>
      <c r="B26" s="1">
        <v>42306</v>
      </c>
      <c r="C26" s="1">
        <v>38075</v>
      </c>
      <c r="D26" s="6">
        <v>42356</v>
      </c>
      <c r="E26" s="6">
        <v>41760</v>
      </c>
      <c r="F26" s="20">
        <f t="shared" si="3"/>
        <v>9.678266579120158E-2</v>
      </c>
      <c r="G26" s="2">
        <f t="shared" si="0"/>
        <v>0.21034962256654749</v>
      </c>
      <c r="H26" s="2">
        <f t="shared" si="6"/>
        <v>0.20738974970202623</v>
      </c>
      <c r="I26" s="86">
        <v>7</v>
      </c>
      <c r="J26" s="182">
        <v>6.32</v>
      </c>
      <c r="K26" s="20">
        <f t="shared" si="4"/>
        <v>-9.71428571428571E-2</v>
      </c>
      <c r="L26" s="4">
        <f t="shared" si="2"/>
        <v>0.79879603506283847</v>
      </c>
      <c r="M26" s="175">
        <v>1</v>
      </c>
      <c r="N26" s="178">
        <v>1</v>
      </c>
      <c r="O26" s="50"/>
      <c r="P26" s="49"/>
      <c r="Q26" s="50"/>
    </row>
    <row r="27" spans="1:17">
      <c r="A27" s="13">
        <f t="shared" si="5"/>
        <v>46136</v>
      </c>
      <c r="B27" s="1">
        <v>42306</v>
      </c>
      <c r="C27" s="1">
        <v>38075</v>
      </c>
      <c r="D27" s="6">
        <v>39294</v>
      </c>
      <c r="E27" s="6">
        <v>39060</v>
      </c>
      <c r="F27" s="20">
        <f t="shared" si="3"/>
        <v>2.586999343401182E-2</v>
      </c>
      <c r="G27" s="2">
        <f t="shared" si="0"/>
        <v>0.19514302741358761</v>
      </c>
      <c r="H27" s="2">
        <f t="shared" si="6"/>
        <v>0.19398092967818831</v>
      </c>
      <c r="I27" s="86">
        <v>7</v>
      </c>
      <c r="J27" s="182">
        <v>6.12</v>
      </c>
      <c r="K27" s="20">
        <f t="shared" si="4"/>
        <v>-0.1257142857142857</v>
      </c>
      <c r="L27" s="4">
        <f t="shared" si="2"/>
        <v>0.7652667741709317</v>
      </c>
      <c r="M27" s="175">
        <v>1</v>
      </c>
      <c r="N27" s="178">
        <v>1</v>
      </c>
      <c r="O27" s="50"/>
      <c r="P27" s="49"/>
      <c r="Q27" s="50"/>
    </row>
    <row r="28" spans="1:17">
      <c r="A28" s="13">
        <f t="shared" si="5"/>
        <v>46137</v>
      </c>
      <c r="B28" s="1">
        <v>42306</v>
      </c>
      <c r="C28" s="1">
        <v>38075</v>
      </c>
      <c r="D28" s="6">
        <v>42705</v>
      </c>
      <c r="E28" s="6">
        <v>42120</v>
      </c>
      <c r="F28" s="20">
        <f t="shared" si="3"/>
        <v>0.10623768877216021</v>
      </c>
      <c r="G28" s="2">
        <f t="shared" ref="G28:H33" si="7">D28/($D$2*24)</f>
        <v>0.21208283671036948</v>
      </c>
      <c r="H28" s="2">
        <f t="shared" si="7"/>
        <v>0.20917759237187128</v>
      </c>
      <c r="I28" s="86">
        <v>7</v>
      </c>
      <c r="J28" s="182">
        <v>6.46</v>
      </c>
      <c r="K28" s="20">
        <f t="shared" si="4"/>
        <v>-7.7142857142857152E-2</v>
      </c>
      <c r="L28" s="4">
        <f t="shared" si="2"/>
        <v>0.78792385155555222</v>
      </c>
      <c r="M28" s="176">
        <v>1</v>
      </c>
      <c r="N28" s="176">
        <v>1</v>
      </c>
      <c r="O28" s="6"/>
      <c r="P28" s="49"/>
      <c r="Q28" s="50"/>
    </row>
    <row r="29" spans="1:17" ht="43.5">
      <c r="A29" s="13">
        <f t="shared" si="5"/>
        <v>46138</v>
      </c>
      <c r="B29" s="1">
        <v>42306</v>
      </c>
      <c r="C29" s="1">
        <v>38075</v>
      </c>
      <c r="D29" s="6">
        <v>41756</v>
      </c>
      <c r="E29" s="6">
        <v>41340</v>
      </c>
      <c r="F29" s="20">
        <f t="shared" si="3"/>
        <v>8.5751805646749835E-2</v>
      </c>
      <c r="G29" s="2">
        <f t="shared" si="7"/>
        <v>0.20736988478347237</v>
      </c>
      <c r="H29" s="2">
        <f t="shared" si="7"/>
        <v>0.20530393325387367</v>
      </c>
      <c r="I29" s="86">
        <v>7</v>
      </c>
      <c r="J29" s="182">
        <v>6.51</v>
      </c>
      <c r="K29" s="20">
        <f t="shared" si="4"/>
        <v>-7.0000000000000034E-2</v>
      </c>
      <c r="L29" s="4">
        <f t="shared" si="2"/>
        <v>0.76449727109114241</v>
      </c>
      <c r="M29" s="176">
        <v>1</v>
      </c>
      <c r="N29" s="176">
        <v>0.98009999999999997</v>
      </c>
      <c r="O29" s="186">
        <v>1333.55</v>
      </c>
      <c r="P29" s="49"/>
      <c r="Q29" s="187" t="s">
        <v>603</v>
      </c>
    </row>
    <row r="30" spans="1:17">
      <c r="A30" s="13">
        <f t="shared" si="5"/>
        <v>46139</v>
      </c>
      <c r="B30" s="1"/>
      <c r="C30" s="1"/>
      <c r="D30" s="6"/>
      <c r="E30" s="6"/>
      <c r="F30" s="20" t="e">
        <f t="shared" si="3"/>
        <v>#DIV/0!</v>
      </c>
      <c r="G30" s="2">
        <f t="shared" si="7"/>
        <v>0</v>
      </c>
      <c r="H30" s="2">
        <f t="shared" si="7"/>
        <v>0</v>
      </c>
      <c r="I30" s="86"/>
      <c r="J30" s="6"/>
      <c r="K30" s="20" t="e">
        <f t="shared" si="4"/>
        <v>#DIV/0!</v>
      </c>
      <c r="L30" s="4" t="e">
        <f t="shared" si="2"/>
        <v>#DIV/0!</v>
      </c>
      <c r="M30" s="6"/>
      <c r="N30" s="6"/>
      <c r="O30" s="6"/>
      <c r="P30" s="6"/>
      <c r="Q30" s="6"/>
    </row>
    <row r="31" spans="1:17">
      <c r="A31" s="13">
        <f t="shared" si="5"/>
        <v>46140</v>
      </c>
      <c r="B31" s="1"/>
      <c r="C31" s="1"/>
      <c r="D31" s="6"/>
      <c r="E31" s="6"/>
      <c r="F31" s="20" t="e">
        <f t="shared" si="3"/>
        <v>#DIV/0!</v>
      </c>
      <c r="G31" s="2">
        <f t="shared" si="7"/>
        <v>0</v>
      </c>
      <c r="H31" s="2">
        <f t="shared" si="7"/>
        <v>0</v>
      </c>
      <c r="I31" s="86"/>
      <c r="J31" s="6"/>
      <c r="K31" s="20" t="e">
        <f t="shared" si="4"/>
        <v>#DIV/0!</v>
      </c>
      <c r="L31" s="4" t="e">
        <f t="shared" si="2"/>
        <v>#DIV/0!</v>
      </c>
      <c r="M31" s="6"/>
      <c r="N31" s="6"/>
      <c r="O31" s="6"/>
      <c r="P31" s="6"/>
      <c r="Q31" s="6"/>
    </row>
    <row r="32" spans="1:17">
      <c r="A32" s="13">
        <f t="shared" si="5"/>
        <v>46141</v>
      </c>
      <c r="B32" s="1"/>
      <c r="C32" s="1"/>
      <c r="D32" s="6"/>
      <c r="E32" s="6"/>
      <c r="F32" s="20" t="e">
        <f t="shared" si="3"/>
        <v>#DIV/0!</v>
      </c>
      <c r="G32" s="2">
        <f t="shared" si="7"/>
        <v>0</v>
      </c>
      <c r="H32" s="2">
        <f t="shared" si="7"/>
        <v>0</v>
      </c>
      <c r="I32" s="86"/>
      <c r="J32" s="6"/>
      <c r="K32" s="20" t="e">
        <f t="shared" si="4"/>
        <v>#DIV/0!</v>
      </c>
      <c r="L32" s="4" t="e">
        <f t="shared" si="2"/>
        <v>#DIV/0!</v>
      </c>
      <c r="M32" s="6"/>
      <c r="N32" s="6"/>
      <c r="O32" s="6"/>
      <c r="P32" s="6"/>
      <c r="Q32" s="6"/>
    </row>
    <row r="33" spans="1:17">
      <c r="A33" s="13">
        <f t="shared" si="5"/>
        <v>46142</v>
      </c>
      <c r="B33" s="1"/>
      <c r="C33" s="1"/>
      <c r="D33" s="6"/>
      <c r="E33" s="6"/>
      <c r="F33" s="20" t="e">
        <f t="shared" si="3"/>
        <v>#DIV/0!</v>
      </c>
      <c r="G33" s="2">
        <f t="shared" si="7"/>
        <v>0</v>
      </c>
      <c r="H33" s="2">
        <f t="shared" si="7"/>
        <v>0</v>
      </c>
      <c r="I33" s="86"/>
      <c r="J33" s="6"/>
      <c r="K33" s="20" t="e">
        <f t="shared" si="4"/>
        <v>#DIV/0!</v>
      </c>
      <c r="L33" s="4" t="e">
        <f t="shared" si="2"/>
        <v>#DIV/0!</v>
      </c>
      <c r="M33" s="6"/>
      <c r="N33" s="6"/>
      <c r="O33" s="6"/>
      <c r="P33" s="6"/>
      <c r="Q33" s="6"/>
    </row>
    <row r="34" spans="1:17">
      <c r="A34" s="349">
        <v>46113</v>
      </c>
      <c r="B34" s="89">
        <f>SUM(B4:B33)</f>
        <v>1099956</v>
      </c>
      <c r="C34" s="89">
        <f>SUM(C4:C33)</f>
        <v>989950</v>
      </c>
      <c r="D34" s="89">
        <f>SUM(D4:D33)</f>
        <v>1086597</v>
      </c>
      <c r="E34" s="89">
        <f>SUM(E4:E33)</f>
        <v>1075080</v>
      </c>
      <c r="F34" s="92">
        <f>(IF(ISBLANK(E34),0,E34-C34))/C34</f>
        <v>8.5994242133441076E-2</v>
      </c>
      <c r="G34" s="90">
        <f>AVERAGE(G4:G33)</f>
        <v>0.17987634088200236</v>
      </c>
      <c r="H34" s="90">
        <f>AVERAGE(H4:H33)</f>
        <v>0.22911699885224912</v>
      </c>
      <c r="I34" s="89">
        <f>SUM(I4:I33)</f>
        <v>182</v>
      </c>
      <c r="J34" s="89">
        <f>SUM(J4:J33)</f>
        <v>172.87400000000002</v>
      </c>
      <c r="K34" s="92">
        <f t="shared" si="4"/>
        <v>-5.014285714285701E-2</v>
      </c>
      <c r="L34" s="93">
        <f t="shared" si="2"/>
        <v>0.74916393115819446</v>
      </c>
      <c r="M34" s="90">
        <f>AVERAGE(M4:M33)</f>
        <v>0.9966576923076923</v>
      </c>
      <c r="N34" s="90">
        <f>AVERAGE(N4:N33)</f>
        <v>0.93826923076923074</v>
      </c>
      <c r="O34" s="89">
        <f>SUM(O4:O33)</f>
        <v>66877.920000000013</v>
      </c>
      <c r="P34" s="89">
        <f>SUM(P4:P33)</f>
        <v>8536</v>
      </c>
      <c r="Q34" s="19"/>
    </row>
    <row r="35" spans="1:17">
      <c r="A35" s="13">
        <v>46143</v>
      </c>
      <c r="B35" s="127"/>
      <c r="C35" s="127"/>
      <c r="D35" s="33"/>
      <c r="E35" s="33"/>
      <c r="F35" s="20" t="e">
        <f>(IF(ISBLANK(E35),0,E35-C35))/C35</f>
        <v>#DIV/0!</v>
      </c>
      <c r="G35" s="2">
        <f t="shared" ref="G35:G57" si="8">D35/($D$2*24)</f>
        <v>0</v>
      </c>
      <c r="H35" s="2">
        <f t="shared" ref="H35:H61" si="9">D35/($H$2*24)</f>
        <v>0</v>
      </c>
      <c r="I35" s="28"/>
      <c r="J35" s="33"/>
      <c r="K35" s="20" t="e">
        <f>(IF(ISBLANK(J35),0,J35-I35))/I35</f>
        <v>#DIV/0!</v>
      </c>
      <c r="L35" s="4" t="e">
        <f t="shared" si="2"/>
        <v>#DIV/0!</v>
      </c>
      <c r="M35" s="103"/>
      <c r="N35" s="103"/>
      <c r="O35" s="33"/>
      <c r="P35" s="6"/>
      <c r="Q35" s="6"/>
    </row>
    <row r="36" spans="1:17">
      <c r="A36" s="13">
        <f>A35+1</f>
        <v>46144</v>
      </c>
      <c r="B36" s="127"/>
      <c r="C36" s="127"/>
      <c r="D36" s="34"/>
      <c r="E36" s="34"/>
      <c r="F36" s="20" t="e">
        <f t="shared" ref="F36:F54" si="10">(IF(ISBLANK(E36),0,E36-C36))/C36</f>
        <v>#DIV/0!</v>
      </c>
      <c r="G36" s="2">
        <f t="shared" si="8"/>
        <v>0</v>
      </c>
      <c r="H36" s="2">
        <f t="shared" si="9"/>
        <v>0</v>
      </c>
      <c r="I36" s="29"/>
      <c r="J36" s="34"/>
      <c r="K36" s="20" t="e">
        <f t="shared" ref="K36:K54" si="11">(IF(ISBLANK(J36),0,J36-I36))/I36</f>
        <v>#DIV/0!</v>
      </c>
      <c r="L36" s="4" t="e">
        <f t="shared" ref="L36:L66" si="12">D36/($D$2*J36)</f>
        <v>#DIV/0!</v>
      </c>
      <c r="M36" s="103"/>
      <c r="N36" s="103"/>
      <c r="O36" s="34"/>
      <c r="P36" s="6"/>
      <c r="Q36" s="6"/>
    </row>
    <row r="37" spans="1:17">
      <c r="A37" s="13">
        <f t="shared" ref="A37:A65" si="13">A36+1</f>
        <v>46145</v>
      </c>
      <c r="B37" s="127"/>
      <c r="C37" s="127"/>
      <c r="D37" s="34"/>
      <c r="E37" s="34"/>
      <c r="F37" s="20" t="e">
        <f t="shared" si="10"/>
        <v>#DIV/0!</v>
      </c>
      <c r="G37" s="2">
        <f t="shared" si="8"/>
        <v>0</v>
      </c>
      <c r="H37" s="2">
        <f t="shared" si="9"/>
        <v>0</v>
      </c>
      <c r="I37" s="29"/>
      <c r="J37" s="34"/>
      <c r="K37" s="20" t="e">
        <f t="shared" si="11"/>
        <v>#DIV/0!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933B-F61C-49FE-A3CA-7660178CACD5}">
  <dimension ref="A1:Q66"/>
  <sheetViews>
    <sheetView topLeftCell="A22"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1796875" bestFit="1" customWidth="1"/>
    <col min="12" max="12" width="7" bestFit="1" customWidth="1"/>
    <col min="13" max="14" width="9.26953125" bestFit="1" customWidth="1"/>
    <col min="15" max="15" width="11.453125" bestFit="1" customWidth="1"/>
    <col min="16" max="16" width="9.7265625" bestFit="1" customWidth="1"/>
    <col min="17" max="17" width="62.453125" bestFit="1" customWidth="1"/>
    <col min="18" max="18" width="10" customWidth="1"/>
  </cols>
  <sheetData>
    <row r="1" spans="1:17" ht="18.5">
      <c r="A1" s="405" t="s">
        <v>608</v>
      </c>
      <c r="B1" s="406"/>
      <c r="C1" s="406"/>
      <c r="D1" s="406"/>
      <c r="E1" s="406"/>
      <c r="F1" s="406"/>
      <c r="G1" s="406"/>
      <c r="H1" s="406"/>
      <c r="I1" s="406"/>
      <c r="J1" s="406"/>
      <c r="K1" s="406"/>
      <c r="L1" s="406"/>
      <c r="M1" s="406"/>
      <c r="N1" s="406"/>
      <c r="O1" s="406"/>
      <c r="P1" s="406"/>
      <c r="Q1" s="406"/>
    </row>
    <row r="2" spans="1:17" ht="18.5">
      <c r="A2" s="7">
        <v>46113</v>
      </c>
      <c r="B2" s="407" t="s">
        <v>172</v>
      </c>
      <c r="C2" s="408"/>
      <c r="D2" s="8">
        <v>1900</v>
      </c>
      <c r="E2" s="407" t="s">
        <v>173</v>
      </c>
      <c r="F2" s="407"/>
      <c r="G2" s="408"/>
      <c r="H2" s="8">
        <v>1540</v>
      </c>
      <c r="I2" s="409" t="s">
        <v>174</v>
      </c>
      <c r="J2" s="410"/>
      <c r="K2" s="9">
        <v>45351</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10309</v>
      </c>
      <c r="C4" s="1">
        <v>10309</v>
      </c>
      <c r="D4" s="6">
        <v>9329</v>
      </c>
      <c r="E4" s="6">
        <v>9180</v>
      </c>
      <c r="F4" s="20">
        <f>(IF(ISBLANK(E4),0,E4-C4))/C4</f>
        <v>-0.10951595693083713</v>
      </c>
      <c r="G4" s="2">
        <f t="shared" ref="G4:G27" si="0">D4/($D$2*24)</f>
        <v>0.20458333333333334</v>
      </c>
      <c r="H4" s="2">
        <f t="shared" ref="H4:H21" si="1">D4/($H$2*24)</f>
        <v>0.25240800865800866</v>
      </c>
      <c r="I4" s="86">
        <v>6.7</v>
      </c>
      <c r="J4" s="185">
        <v>6.01</v>
      </c>
      <c r="K4" s="20">
        <f>(IF(ISBLANK(J4),0,J4-I4))/I4</f>
        <v>-0.10298507462686572</v>
      </c>
      <c r="L4" s="4">
        <f t="shared" ref="L4:L35" si="2">D4/($D$2*J4)</f>
        <v>0.81697171381031619</v>
      </c>
      <c r="M4" s="189">
        <v>1</v>
      </c>
      <c r="N4" s="189">
        <v>1</v>
      </c>
      <c r="O4" s="49"/>
      <c r="P4" s="49"/>
      <c r="Q4" s="49"/>
    </row>
    <row r="5" spans="1:17">
      <c r="A5" s="13">
        <f>A4+1</f>
        <v>46114</v>
      </c>
      <c r="B5" s="1">
        <v>10309</v>
      </c>
      <c r="C5" s="1">
        <v>10309</v>
      </c>
      <c r="D5" s="6">
        <v>10947</v>
      </c>
      <c r="E5" s="6">
        <v>10740</v>
      </c>
      <c r="F5" s="20">
        <f t="shared" ref="F5:F33" si="3">(IF(ISBLANK(E5),0,E5-C5))/C5</f>
        <v>4.1808128819478124E-2</v>
      </c>
      <c r="G5" s="2">
        <f t="shared" si="0"/>
        <v>0.2400657894736842</v>
      </c>
      <c r="H5" s="2">
        <f t="shared" si="1"/>
        <v>0.29618506493506491</v>
      </c>
      <c r="I5" s="86">
        <v>6.7</v>
      </c>
      <c r="J5" s="185">
        <v>6.77</v>
      </c>
      <c r="K5" s="20">
        <f t="shared" ref="K5:K34" si="4">(IF(ISBLANK(J5),0,J5-I5))/I5</f>
        <v>1.0447761194029761E-2</v>
      </c>
      <c r="L5" s="4">
        <f t="shared" si="2"/>
        <v>0.85104563476638417</v>
      </c>
      <c r="M5" s="189">
        <v>1</v>
      </c>
      <c r="N5" s="189">
        <v>1</v>
      </c>
      <c r="O5" s="50"/>
      <c r="P5" s="49"/>
      <c r="Q5" s="50"/>
    </row>
    <row r="6" spans="1:17">
      <c r="A6" s="13">
        <f t="shared" ref="A6:A33" si="5">A5+1</f>
        <v>46115</v>
      </c>
      <c r="B6" s="1">
        <v>10309</v>
      </c>
      <c r="C6" s="1">
        <v>10309</v>
      </c>
      <c r="D6" s="6">
        <v>11136</v>
      </c>
      <c r="E6" s="6">
        <v>10935</v>
      </c>
      <c r="F6" s="20">
        <f t="shared" si="3"/>
        <v>6.0723639538267531E-2</v>
      </c>
      <c r="G6" s="2">
        <f t="shared" si="0"/>
        <v>0.24421052631578946</v>
      </c>
      <c r="H6" s="2">
        <f t="shared" si="1"/>
        <v>0.30129870129870129</v>
      </c>
      <c r="I6" s="86">
        <v>6.7</v>
      </c>
      <c r="J6" s="185">
        <v>6.79</v>
      </c>
      <c r="K6" s="20">
        <f t="shared" si="4"/>
        <v>1.3432835820895501E-2</v>
      </c>
      <c r="L6" s="4">
        <f t="shared" si="2"/>
        <v>0.86318890008526472</v>
      </c>
      <c r="M6" s="189">
        <v>1</v>
      </c>
      <c r="N6" s="189">
        <v>1</v>
      </c>
      <c r="O6" s="50"/>
      <c r="P6" s="49"/>
      <c r="Q6" s="50"/>
    </row>
    <row r="7" spans="1:17">
      <c r="A7" s="13">
        <f t="shared" si="5"/>
        <v>46116</v>
      </c>
      <c r="B7" s="1">
        <v>10309</v>
      </c>
      <c r="C7" s="1">
        <v>10309</v>
      </c>
      <c r="D7" s="6">
        <v>8794</v>
      </c>
      <c r="E7" s="6">
        <v>8625</v>
      </c>
      <c r="F7" s="20">
        <f t="shared" si="3"/>
        <v>-0.1633524105150839</v>
      </c>
      <c r="G7" s="2">
        <f t="shared" si="0"/>
        <v>0.19285087719298247</v>
      </c>
      <c r="H7" s="2">
        <f t="shared" si="1"/>
        <v>0.23793290043290044</v>
      </c>
      <c r="I7" s="86">
        <v>6.7</v>
      </c>
      <c r="J7" s="185">
        <v>5.3</v>
      </c>
      <c r="K7" s="20">
        <f t="shared" si="4"/>
        <v>-0.20895522388059706</v>
      </c>
      <c r="L7" s="4">
        <f t="shared" si="2"/>
        <v>0.87328699106256202</v>
      </c>
      <c r="M7" s="189">
        <v>1</v>
      </c>
      <c r="N7" s="189">
        <v>1</v>
      </c>
      <c r="O7" s="186"/>
      <c r="P7" s="49"/>
      <c r="Q7" s="187"/>
    </row>
    <row r="8" spans="1:17">
      <c r="A8" s="13">
        <f t="shared" si="5"/>
        <v>46117</v>
      </c>
      <c r="B8" s="1">
        <v>10309</v>
      </c>
      <c r="C8" s="1">
        <v>10309</v>
      </c>
      <c r="D8" s="6">
        <v>11175</v>
      </c>
      <c r="E8" s="6">
        <v>10995</v>
      </c>
      <c r="F8" s="20">
        <f t="shared" si="3"/>
        <v>6.6543796682510425E-2</v>
      </c>
      <c r="G8" s="2">
        <f t="shared" si="0"/>
        <v>0.24506578947368421</v>
      </c>
      <c r="H8" s="2">
        <f t="shared" si="1"/>
        <v>0.30235389610389612</v>
      </c>
      <c r="I8" s="86">
        <v>6.7</v>
      </c>
      <c r="J8" s="185">
        <v>6.71</v>
      </c>
      <c r="K8" s="20">
        <f t="shared" si="4"/>
        <v>1.492537313432804E-3</v>
      </c>
      <c r="L8" s="4">
        <f t="shared" si="2"/>
        <v>0.87653933641854265</v>
      </c>
      <c r="M8" s="189">
        <v>1</v>
      </c>
      <c r="N8" s="189">
        <v>1</v>
      </c>
      <c r="O8" s="49"/>
      <c r="P8" s="49"/>
      <c r="Q8" s="50"/>
    </row>
    <row r="9" spans="1:17">
      <c r="A9" s="13">
        <f t="shared" si="5"/>
        <v>46118</v>
      </c>
      <c r="B9" s="1">
        <v>10309</v>
      </c>
      <c r="C9" s="1">
        <v>10309</v>
      </c>
      <c r="D9" s="6">
        <v>11571</v>
      </c>
      <c r="E9" s="6">
        <v>11340</v>
      </c>
      <c r="F9" s="20">
        <f t="shared" si="3"/>
        <v>0.10000970026190707</v>
      </c>
      <c r="G9" s="2">
        <f t="shared" si="0"/>
        <v>0.25374999999999998</v>
      </c>
      <c r="H9" s="2">
        <f t="shared" si="1"/>
        <v>0.3130681818181818</v>
      </c>
      <c r="I9" s="86">
        <v>6.7</v>
      </c>
      <c r="J9" s="185">
        <v>7.12</v>
      </c>
      <c r="K9" s="20">
        <f t="shared" si="4"/>
        <v>6.2686567164179086E-2</v>
      </c>
      <c r="L9" s="4">
        <f t="shared" si="2"/>
        <v>0.8553370786516854</v>
      </c>
      <c r="M9" s="189">
        <v>1</v>
      </c>
      <c r="N9" s="189">
        <v>1</v>
      </c>
      <c r="O9" s="49"/>
      <c r="P9" s="49"/>
      <c r="Q9" s="50"/>
    </row>
    <row r="10" spans="1:17">
      <c r="A10" s="13">
        <f t="shared" si="5"/>
        <v>46119</v>
      </c>
      <c r="B10" s="1">
        <v>10309</v>
      </c>
      <c r="C10" s="1">
        <v>10309</v>
      </c>
      <c r="D10" s="6">
        <v>11525</v>
      </c>
      <c r="E10" s="6">
        <v>11280</v>
      </c>
      <c r="F10" s="20">
        <f t="shared" si="3"/>
        <v>9.4189543117664171E-2</v>
      </c>
      <c r="G10" s="2">
        <f t="shared" si="0"/>
        <v>0.25274122807017546</v>
      </c>
      <c r="H10" s="2">
        <f t="shared" si="1"/>
        <v>0.31182359307359309</v>
      </c>
      <c r="I10" s="86">
        <v>6.7</v>
      </c>
      <c r="J10" s="185">
        <v>7.23</v>
      </c>
      <c r="K10" s="20">
        <f t="shared" si="4"/>
        <v>7.9104477611940338E-2</v>
      </c>
      <c r="L10" s="4">
        <f t="shared" si="2"/>
        <v>0.83897503093834169</v>
      </c>
      <c r="M10" s="189">
        <v>1</v>
      </c>
      <c r="N10" s="189">
        <v>1</v>
      </c>
      <c r="O10" s="49"/>
      <c r="P10" s="49"/>
      <c r="Q10" s="50"/>
    </row>
    <row r="11" spans="1:17">
      <c r="A11" s="13">
        <f t="shared" si="5"/>
        <v>46120</v>
      </c>
      <c r="B11" s="1">
        <v>10309</v>
      </c>
      <c r="C11" s="1">
        <v>10309</v>
      </c>
      <c r="D11" s="6">
        <v>8333</v>
      </c>
      <c r="E11" s="6">
        <v>8175</v>
      </c>
      <c r="F11" s="20">
        <f t="shared" si="3"/>
        <v>-0.20700358909690561</v>
      </c>
      <c r="G11" s="2">
        <f t="shared" si="0"/>
        <v>0.18274122807017543</v>
      </c>
      <c r="H11" s="2">
        <f t="shared" si="1"/>
        <v>0.22545995670995672</v>
      </c>
      <c r="I11" s="86">
        <v>6.7</v>
      </c>
      <c r="J11" s="185">
        <v>5.34</v>
      </c>
      <c r="K11" s="20">
        <f t="shared" si="4"/>
        <v>-0.20298507462686571</v>
      </c>
      <c r="L11" s="4">
        <f t="shared" si="2"/>
        <v>0.82130889020303566</v>
      </c>
      <c r="M11" s="189">
        <v>1</v>
      </c>
      <c r="N11" s="189">
        <v>1</v>
      </c>
      <c r="O11" s="186"/>
      <c r="P11" s="49"/>
      <c r="Q11" s="187"/>
    </row>
    <row r="12" spans="1:17">
      <c r="A12" s="13">
        <f t="shared" si="5"/>
        <v>46121</v>
      </c>
      <c r="B12" s="1">
        <v>10309</v>
      </c>
      <c r="C12" s="1">
        <v>10309</v>
      </c>
      <c r="D12" s="6">
        <v>10595</v>
      </c>
      <c r="E12" s="6">
        <v>10395</v>
      </c>
      <c r="F12" s="20">
        <f t="shared" si="3"/>
        <v>8.3422252400814825E-3</v>
      </c>
      <c r="G12" s="2">
        <f t="shared" si="0"/>
        <v>0.23234649122807016</v>
      </c>
      <c r="H12" s="2">
        <f t="shared" si="1"/>
        <v>0.28666125541125542</v>
      </c>
      <c r="I12" s="86">
        <v>6.7</v>
      </c>
      <c r="J12" s="185">
        <v>6.78</v>
      </c>
      <c r="K12" s="20">
        <f t="shared" si="4"/>
        <v>1.1940298507462697E-2</v>
      </c>
      <c r="L12" s="4">
        <f t="shared" si="2"/>
        <v>0.82246545567458473</v>
      </c>
      <c r="M12" s="189">
        <v>1</v>
      </c>
      <c r="N12" s="189">
        <v>1</v>
      </c>
      <c r="O12" s="186"/>
      <c r="P12" s="49"/>
      <c r="Q12" s="187"/>
    </row>
    <row r="13" spans="1:17">
      <c r="A13" s="13">
        <f t="shared" si="5"/>
        <v>46122</v>
      </c>
      <c r="B13" s="1">
        <v>10309</v>
      </c>
      <c r="C13" s="1">
        <v>10309</v>
      </c>
      <c r="D13" s="6">
        <v>11111</v>
      </c>
      <c r="E13" s="6">
        <v>10860</v>
      </c>
      <c r="F13" s="20">
        <f t="shared" si="3"/>
        <v>5.3448443107963914E-2</v>
      </c>
      <c r="G13" s="2">
        <f t="shared" si="0"/>
        <v>0.24366228070175439</v>
      </c>
      <c r="H13" s="2">
        <f t="shared" si="1"/>
        <v>0.30062229437229437</v>
      </c>
      <c r="I13" s="86">
        <v>6.7</v>
      </c>
      <c r="J13" s="185">
        <v>6.81</v>
      </c>
      <c r="K13" s="20">
        <f t="shared" si="4"/>
        <v>1.641791044776111E-2</v>
      </c>
      <c r="L13" s="4">
        <f t="shared" si="2"/>
        <v>0.85872169410309918</v>
      </c>
      <c r="M13" s="189">
        <v>1</v>
      </c>
      <c r="N13" s="189">
        <v>1</v>
      </c>
      <c r="O13" s="186"/>
      <c r="P13" s="49"/>
      <c r="Q13" s="187"/>
    </row>
    <row r="14" spans="1:17">
      <c r="A14" s="13">
        <f t="shared" si="5"/>
        <v>46123</v>
      </c>
      <c r="B14" s="1">
        <v>10309</v>
      </c>
      <c r="C14" s="1">
        <v>10309</v>
      </c>
      <c r="D14" s="6">
        <v>11131</v>
      </c>
      <c r="E14" s="6">
        <v>10980</v>
      </c>
      <c r="F14" s="20">
        <f t="shared" si="3"/>
        <v>6.5088757396449703E-2</v>
      </c>
      <c r="G14" s="2">
        <f t="shared" si="0"/>
        <v>0.24410087719298246</v>
      </c>
      <c r="H14" s="2">
        <f t="shared" si="1"/>
        <v>0.30116341991341994</v>
      </c>
      <c r="I14" s="86">
        <v>6.7</v>
      </c>
      <c r="J14" s="185">
        <v>7.06</v>
      </c>
      <c r="K14" s="20">
        <f t="shared" si="4"/>
        <v>5.3731343283582006E-2</v>
      </c>
      <c r="L14" s="4">
        <f t="shared" si="2"/>
        <v>0.82980468167586108</v>
      </c>
      <c r="M14" s="189">
        <v>1</v>
      </c>
      <c r="N14" s="189">
        <v>1</v>
      </c>
      <c r="O14" s="50"/>
      <c r="P14" s="49"/>
      <c r="Q14" s="50"/>
    </row>
    <row r="15" spans="1:17">
      <c r="A15" s="13">
        <f t="shared" si="5"/>
        <v>46124</v>
      </c>
      <c r="B15" s="1">
        <v>10309</v>
      </c>
      <c r="C15" s="1">
        <v>10309</v>
      </c>
      <c r="D15" s="6">
        <v>10817</v>
      </c>
      <c r="E15" s="6">
        <v>10620</v>
      </c>
      <c r="F15" s="20">
        <f t="shared" si="3"/>
        <v>3.0167814530992338E-2</v>
      </c>
      <c r="G15" s="2">
        <f t="shared" si="0"/>
        <v>0.23721491228070177</v>
      </c>
      <c r="H15" s="2">
        <f t="shared" si="1"/>
        <v>0.29266774891774894</v>
      </c>
      <c r="I15" s="86">
        <v>6.7</v>
      </c>
      <c r="J15" s="185">
        <v>6.89</v>
      </c>
      <c r="K15" s="20">
        <f t="shared" si="4"/>
        <v>2.8358208955223806E-2</v>
      </c>
      <c r="L15" s="4">
        <f t="shared" si="2"/>
        <v>0.82629287296615994</v>
      </c>
      <c r="M15" s="189">
        <v>1</v>
      </c>
      <c r="N15" s="189">
        <v>1</v>
      </c>
      <c r="O15" s="50"/>
      <c r="P15" s="49"/>
      <c r="Q15" s="50"/>
    </row>
    <row r="16" spans="1:17">
      <c r="A16" s="13">
        <f t="shared" si="5"/>
        <v>46125</v>
      </c>
      <c r="B16" s="1">
        <v>10309</v>
      </c>
      <c r="C16" s="1">
        <v>10309</v>
      </c>
      <c r="D16" s="6">
        <v>10571</v>
      </c>
      <c r="E16" s="6">
        <v>10395</v>
      </c>
      <c r="F16" s="20">
        <f t="shared" si="3"/>
        <v>8.3422252400814825E-3</v>
      </c>
      <c r="G16" s="2">
        <f t="shared" si="0"/>
        <v>0.23182017543859648</v>
      </c>
      <c r="H16" s="2">
        <f t="shared" si="1"/>
        <v>0.28601190476190474</v>
      </c>
      <c r="I16" s="86">
        <v>6.7</v>
      </c>
      <c r="J16" s="185">
        <v>6.82</v>
      </c>
      <c r="K16" s="20">
        <f t="shared" si="4"/>
        <v>1.7910447761194045E-2</v>
      </c>
      <c r="L16" s="4">
        <f t="shared" si="2"/>
        <v>0.81578947368421051</v>
      </c>
      <c r="M16" s="189">
        <v>1</v>
      </c>
      <c r="N16" s="189">
        <v>1</v>
      </c>
      <c r="O16" s="50"/>
      <c r="P16" s="49"/>
      <c r="Q16" s="50"/>
    </row>
    <row r="17" spans="1:17">
      <c r="A17" s="13">
        <f t="shared" si="5"/>
        <v>46126</v>
      </c>
      <c r="B17" s="1">
        <v>10309</v>
      </c>
      <c r="C17" s="1">
        <v>10309</v>
      </c>
      <c r="D17" s="6">
        <v>11003</v>
      </c>
      <c r="E17" s="6">
        <v>10815</v>
      </c>
      <c r="F17" s="20">
        <f t="shared" si="3"/>
        <v>4.9083325249781741E-2</v>
      </c>
      <c r="G17" s="2">
        <f t="shared" si="0"/>
        <v>0.24129385964912281</v>
      </c>
      <c r="H17" s="2">
        <f t="shared" si="1"/>
        <v>0.29770021645021644</v>
      </c>
      <c r="I17" s="86">
        <v>6.7</v>
      </c>
      <c r="J17" s="185">
        <v>7.13</v>
      </c>
      <c r="K17" s="20">
        <f t="shared" si="4"/>
        <v>6.4179104477611895E-2</v>
      </c>
      <c r="L17" s="4">
        <f t="shared" si="2"/>
        <v>0.81220934524248911</v>
      </c>
      <c r="M17" s="189">
        <v>1</v>
      </c>
      <c r="N17" s="189">
        <v>1</v>
      </c>
      <c r="O17" s="50"/>
      <c r="P17" s="49"/>
      <c r="Q17" s="50"/>
    </row>
    <row r="18" spans="1:17">
      <c r="A18" s="13">
        <f t="shared" si="5"/>
        <v>46127</v>
      </c>
      <c r="B18" s="1">
        <v>10309</v>
      </c>
      <c r="C18" s="1">
        <v>10309</v>
      </c>
      <c r="D18" s="6">
        <v>11368</v>
      </c>
      <c r="E18" s="6">
        <v>11190</v>
      </c>
      <c r="F18" s="20">
        <f t="shared" si="3"/>
        <v>8.5459307401299839E-2</v>
      </c>
      <c r="G18" s="2">
        <f t="shared" si="0"/>
        <v>0.24929824561403507</v>
      </c>
      <c r="H18" s="2">
        <f t="shared" si="1"/>
        <v>0.30757575757575756</v>
      </c>
      <c r="I18" s="86">
        <v>6.7</v>
      </c>
      <c r="J18" s="185">
        <v>7.25</v>
      </c>
      <c r="K18" s="20">
        <f t="shared" si="4"/>
        <v>8.2089552238805943E-2</v>
      </c>
      <c r="L18" s="4">
        <f t="shared" si="2"/>
        <v>0.82526315789473681</v>
      </c>
      <c r="M18" s="189">
        <v>1</v>
      </c>
      <c r="N18" s="189">
        <v>1</v>
      </c>
      <c r="O18" s="50"/>
      <c r="P18" s="49"/>
      <c r="Q18" s="50"/>
    </row>
    <row r="19" spans="1:17">
      <c r="A19" s="13">
        <f t="shared" si="5"/>
        <v>46128</v>
      </c>
      <c r="B19" s="1">
        <v>10309</v>
      </c>
      <c r="C19" s="1">
        <v>10309</v>
      </c>
      <c r="D19" s="6">
        <v>11570</v>
      </c>
      <c r="E19" s="6">
        <v>11355</v>
      </c>
      <c r="F19" s="20">
        <f t="shared" si="3"/>
        <v>0.10146473954796779</v>
      </c>
      <c r="G19" s="2">
        <f t="shared" si="0"/>
        <v>0.25372807017543858</v>
      </c>
      <c r="H19" s="2">
        <f t="shared" si="1"/>
        <v>0.31304112554112556</v>
      </c>
      <c r="I19" s="86">
        <v>6.7</v>
      </c>
      <c r="J19" s="185">
        <v>6.92</v>
      </c>
      <c r="K19" s="20">
        <f t="shared" si="4"/>
        <v>3.2835820895522352E-2</v>
      </c>
      <c r="L19" s="4">
        <f t="shared" si="2"/>
        <v>0.87998174627319747</v>
      </c>
      <c r="M19" s="189">
        <v>1</v>
      </c>
      <c r="N19" s="189">
        <v>1</v>
      </c>
      <c r="O19" s="50"/>
      <c r="P19" s="49"/>
      <c r="Q19" s="50"/>
    </row>
    <row r="20" spans="1:17">
      <c r="A20" s="13">
        <f t="shared" si="5"/>
        <v>46129</v>
      </c>
      <c r="B20" s="1">
        <v>10309</v>
      </c>
      <c r="C20" s="1">
        <v>10309</v>
      </c>
      <c r="D20" s="6">
        <v>10189</v>
      </c>
      <c r="E20" s="6">
        <v>10020</v>
      </c>
      <c r="F20" s="20">
        <f t="shared" si="3"/>
        <v>-2.803375691143661E-2</v>
      </c>
      <c r="G20" s="2">
        <f t="shared" si="0"/>
        <v>0.22344298245614036</v>
      </c>
      <c r="H20" s="2">
        <f t="shared" si="1"/>
        <v>0.27567640692640694</v>
      </c>
      <c r="I20" s="86">
        <v>6.7</v>
      </c>
      <c r="J20" s="185">
        <v>6.82</v>
      </c>
      <c r="K20" s="20">
        <f t="shared" si="4"/>
        <v>1.7910447761194045E-2</v>
      </c>
      <c r="L20" s="4">
        <f t="shared" si="2"/>
        <v>0.78630961568143232</v>
      </c>
      <c r="M20" s="189">
        <v>1</v>
      </c>
      <c r="N20" s="189">
        <v>1</v>
      </c>
      <c r="O20" s="50"/>
      <c r="P20" s="49"/>
      <c r="Q20" s="50"/>
    </row>
    <row r="21" spans="1:17">
      <c r="A21" s="13">
        <f t="shared" si="5"/>
        <v>46130</v>
      </c>
      <c r="B21" s="1">
        <v>10309</v>
      </c>
      <c r="C21" s="1">
        <v>10309</v>
      </c>
      <c r="D21" s="6">
        <v>9528</v>
      </c>
      <c r="E21" s="6">
        <v>9360</v>
      </c>
      <c r="F21" s="20">
        <f t="shared" si="3"/>
        <v>-9.205548549810845E-2</v>
      </c>
      <c r="G21" s="2">
        <f t="shared" si="0"/>
        <v>0.20894736842105263</v>
      </c>
      <c r="H21" s="2">
        <f t="shared" si="1"/>
        <v>0.25779220779220779</v>
      </c>
      <c r="I21" s="86">
        <v>6.7</v>
      </c>
      <c r="J21" s="185">
        <v>6.56</v>
      </c>
      <c r="K21" s="20">
        <f t="shared" si="4"/>
        <v>-2.0895522388059785E-2</v>
      </c>
      <c r="L21" s="4">
        <f t="shared" si="2"/>
        <v>0.7644415917843389</v>
      </c>
      <c r="M21" s="189">
        <v>1</v>
      </c>
      <c r="N21" s="189">
        <v>1</v>
      </c>
      <c r="O21" s="50"/>
      <c r="P21" s="186"/>
      <c r="Q21" s="83"/>
    </row>
    <row r="22" spans="1:17">
      <c r="A22" s="13">
        <f t="shared" si="5"/>
        <v>46131</v>
      </c>
      <c r="B22" s="1">
        <v>10309</v>
      </c>
      <c r="C22" s="1">
        <v>10309</v>
      </c>
      <c r="D22" s="6">
        <v>10284</v>
      </c>
      <c r="E22" s="6">
        <v>10110</v>
      </c>
      <c r="F22" s="20">
        <f t="shared" si="3"/>
        <v>-1.9303521195072268E-2</v>
      </c>
      <c r="G22" s="2">
        <f t="shared" si="0"/>
        <v>0.22552631578947369</v>
      </c>
      <c r="H22" s="2">
        <f t="shared" ref="H22:H27" si="6">E22/($D$2*24)</f>
        <v>0.22171052631578947</v>
      </c>
      <c r="I22" s="86">
        <v>6.7</v>
      </c>
      <c r="J22" s="185">
        <v>6.76</v>
      </c>
      <c r="K22" s="20">
        <f t="shared" si="4"/>
        <v>8.9552238805969565E-3</v>
      </c>
      <c r="L22" s="4">
        <f t="shared" si="2"/>
        <v>0.80068514481469943</v>
      </c>
      <c r="M22" s="189">
        <v>1</v>
      </c>
      <c r="N22" s="189">
        <v>1</v>
      </c>
      <c r="O22" s="50"/>
      <c r="P22" s="186"/>
      <c r="Q22" s="83"/>
    </row>
    <row r="23" spans="1:17">
      <c r="A23" s="13">
        <f t="shared" si="5"/>
        <v>46132</v>
      </c>
      <c r="B23" s="1">
        <v>10309</v>
      </c>
      <c r="C23" s="1">
        <v>10309</v>
      </c>
      <c r="D23" s="6">
        <v>9973</v>
      </c>
      <c r="E23" s="6">
        <v>9795</v>
      </c>
      <c r="F23" s="20">
        <f t="shared" si="3"/>
        <v>-4.9859346202347464E-2</v>
      </c>
      <c r="G23" s="2">
        <f t="shared" si="0"/>
        <v>0.21870614035087718</v>
      </c>
      <c r="H23" s="2">
        <f t="shared" si="6"/>
        <v>0.21480263157894736</v>
      </c>
      <c r="I23" s="86">
        <v>6.7</v>
      </c>
      <c r="J23" s="185">
        <v>6.32</v>
      </c>
      <c r="K23" s="20">
        <f t="shared" si="4"/>
        <v>-5.6716417910447743E-2</v>
      </c>
      <c r="L23" s="4">
        <f t="shared" si="2"/>
        <v>0.83052964690206532</v>
      </c>
      <c r="M23" s="189">
        <v>1</v>
      </c>
      <c r="N23" s="189">
        <v>1</v>
      </c>
      <c r="O23" s="50"/>
      <c r="P23" s="186"/>
      <c r="Q23" s="83"/>
    </row>
    <row r="24" spans="1:17">
      <c r="A24" s="13">
        <f t="shared" si="5"/>
        <v>46133</v>
      </c>
      <c r="B24" s="1">
        <v>10309</v>
      </c>
      <c r="C24" s="1">
        <v>10309</v>
      </c>
      <c r="D24" s="6">
        <v>10669</v>
      </c>
      <c r="E24" s="6">
        <v>10485</v>
      </c>
      <c r="F24" s="20">
        <f>(IF(ISBLANK(E24),0,E24-C24))/C24</f>
        <v>1.7072460956445823E-2</v>
      </c>
      <c r="G24" s="2">
        <f t="shared" si="0"/>
        <v>0.23396929824561402</v>
      </c>
      <c r="H24" s="2">
        <f t="shared" si="6"/>
        <v>0.2299342105263158</v>
      </c>
      <c r="I24" s="86">
        <v>6.7</v>
      </c>
      <c r="J24" s="185">
        <v>6.92</v>
      </c>
      <c r="K24" s="20">
        <f>(IF(ISBLANK(J24),0,J24-I24))/I24</f>
        <v>3.2835820895522352E-2</v>
      </c>
      <c r="L24" s="4">
        <f t="shared" si="2"/>
        <v>0.81145421356860359</v>
      </c>
      <c r="M24" s="189">
        <v>1</v>
      </c>
      <c r="N24" s="189">
        <v>1</v>
      </c>
      <c r="O24" s="50"/>
      <c r="P24" s="186"/>
      <c r="Q24" s="83"/>
    </row>
    <row r="25" spans="1:17">
      <c r="A25" s="13">
        <f t="shared" si="5"/>
        <v>46134</v>
      </c>
      <c r="B25" s="1">
        <v>10309</v>
      </c>
      <c r="C25" s="1">
        <v>10309</v>
      </c>
      <c r="D25" s="6">
        <v>10413</v>
      </c>
      <c r="E25" s="6">
        <v>10245</v>
      </c>
      <c r="F25" s="20">
        <f t="shared" si="3"/>
        <v>-6.2081676205257546E-3</v>
      </c>
      <c r="G25" s="2">
        <f t="shared" si="0"/>
        <v>0.22835526315789473</v>
      </c>
      <c r="H25" s="2">
        <f t="shared" si="6"/>
        <v>0.22467105263157894</v>
      </c>
      <c r="I25" s="86">
        <v>6.7</v>
      </c>
      <c r="J25" s="185">
        <v>6.84</v>
      </c>
      <c r="K25" s="20">
        <f t="shared" si="4"/>
        <v>2.0895522388059654E-2</v>
      </c>
      <c r="L25" s="4">
        <f t="shared" si="2"/>
        <v>0.80124653739612184</v>
      </c>
      <c r="M25" s="189">
        <v>1</v>
      </c>
      <c r="N25" s="189">
        <v>1</v>
      </c>
      <c r="O25" s="50"/>
      <c r="P25" s="186"/>
      <c r="Q25" s="83"/>
    </row>
    <row r="26" spans="1:17">
      <c r="A26" s="13">
        <f t="shared" si="5"/>
        <v>46135</v>
      </c>
      <c r="B26" s="1">
        <v>10309</v>
      </c>
      <c r="C26" s="1">
        <v>10309</v>
      </c>
      <c r="D26" s="6">
        <v>10026</v>
      </c>
      <c r="E26" s="6">
        <v>9840</v>
      </c>
      <c r="F26" s="20">
        <f t="shared" si="3"/>
        <v>-4.5494228344165291E-2</v>
      </c>
      <c r="G26" s="2">
        <f t="shared" si="0"/>
        <v>0.21986842105263157</v>
      </c>
      <c r="H26" s="2">
        <f t="shared" si="6"/>
        <v>0.21578947368421053</v>
      </c>
      <c r="I26" s="86">
        <v>6.7</v>
      </c>
      <c r="J26" s="185">
        <v>6.48</v>
      </c>
      <c r="K26" s="20">
        <f t="shared" si="4"/>
        <v>-3.2835820895522352E-2</v>
      </c>
      <c r="L26" s="4">
        <f t="shared" si="2"/>
        <v>0.81432748538011701</v>
      </c>
      <c r="M26" s="189">
        <v>1</v>
      </c>
      <c r="N26" s="189">
        <v>1</v>
      </c>
      <c r="O26" s="50"/>
      <c r="P26" s="49"/>
      <c r="Q26" s="50"/>
    </row>
    <row r="27" spans="1:17">
      <c r="A27" s="13">
        <f t="shared" si="5"/>
        <v>46136</v>
      </c>
      <c r="B27" s="1">
        <v>10309</v>
      </c>
      <c r="C27" s="1">
        <v>10309</v>
      </c>
      <c r="D27" s="6">
        <v>9406</v>
      </c>
      <c r="E27" s="6">
        <v>9255</v>
      </c>
      <c r="F27" s="20">
        <f t="shared" si="3"/>
        <v>-0.10224076050053352</v>
      </c>
      <c r="G27" s="2">
        <f t="shared" si="0"/>
        <v>0.20627192982456141</v>
      </c>
      <c r="H27" s="2">
        <f t="shared" si="6"/>
        <v>0.20296052631578948</v>
      </c>
      <c r="I27" s="86">
        <v>6.7</v>
      </c>
      <c r="J27" s="185">
        <v>6.24</v>
      </c>
      <c r="K27" s="20">
        <f t="shared" si="4"/>
        <v>-6.8656716417910435E-2</v>
      </c>
      <c r="L27" s="4">
        <f t="shared" si="2"/>
        <v>0.79335357624831304</v>
      </c>
      <c r="M27" s="189">
        <v>1</v>
      </c>
      <c r="N27" s="189">
        <v>1</v>
      </c>
      <c r="O27" s="50"/>
      <c r="P27" s="49"/>
      <c r="Q27" s="50"/>
    </row>
    <row r="28" spans="1:17">
      <c r="A28" s="13">
        <f t="shared" si="5"/>
        <v>46137</v>
      </c>
      <c r="B28" s="1">
        <v>10309</v>
      </c>
      <c r="C28" s="1">
        <v>10309</v>
      </c>
      <c r="D28" s="6">
        <v>10301</v>
      </c>
      <c r="E28" s="6">
        <v>10125</v>
      </c>
      <c r="F28" s="20">
        <f t="shared" si="3"/>
        <v>-1.7848481909011542E-2</v>
      </c>
      <c r="G28" s="2">
        <f t="shared" ref="G28:H33" si="7">D28/($D$2*24)</f>
        <v>0.22589912280701754</v>
      </c>
      <c r="H28" s="2">
        <f t="shared" si="7"/>
        <v>0.22203947368421054</v>
      </c>
      <c r="I28" s="86">
        <v>6.7</v>
      </c>
      <c r="J28" s="185">
        <v>6.78</v>
      </c>
      <c r="K28" s="20">
        <f t="shared" si="4"/>
        <v>1.1940298507462697E-2</v>
      </c>
      <c r="L28" s="4">
        <f t="shared" si="2"/>
        <v>0.79964291259121256</v>
      </c>
      <c r="M28" s="189">
        <v>1</v>
      </c>
      <c r="N28" s="189">
        <v>1</v>
      </c>
      <c r="O28" s="6"/>
      <c r="P28" s="49"/>
      <c r="Q28" s="50"/>
    </row>
    <row r="29" spans="1:17">
      <c r="A29" s="13">
        <f t="shared" si="5"/>
        <v>46138</v>
      </c>
      <c r="B29" s="1">
        <v>10309</v>
      </c>
      <c r="C29" s="1">
        <v>10309</v>
      </c>
      <c r="D29" s="6">
        <v>9681</v>
      </c>
      <c r="E29" s="6">
        <v>9510</v>
      </c>
      <c r="F29" s="20">
        <f t="shared" si="3"/>
        <v>-7.7505092637501216E-2</v>
      </c>
      <c r="G29" s="2">
        <f t="shared" si="7"/>
        <v>0.21230263157894738</v>
      </c>
      <c r="H29" s="2">
        <f t="shared" si="7"/>
        <v>0.20855263157894738</v>
      </c>
      <c r="I29" s="86">
        <v>6.7</v>
      </c>
      <c r="J29" s="185">
        <v>6.36</v>
      </c>
      <c r="K29" s="20">
        <f t="shared" si="4"/>
        <v>-5.0746268656716394E-2</v>
      </c>
      <c r="L29" s="4">
        <f t="shared" si="2"/>
        <v>0.80114200595829199</v>
      </c>
      <c r="M29" s="189">
        <v>1</v>
      </c>
      <c r="N29" s="189">
        <v>1</v>
      </c>
      <c r="O29" s="186"/>
      <c r="P29" s="49"/>
      <c r="Q29" s="187"/>
    </row>
    <row r="30" spans="1:17">
      <c r="A30" s="13">
        <f t="shared" si="5"/>
        <v>46139</v>
      </c>
      <c r="B30" s="1"/>
      <c r="C30" s="1"/>
      <c r="D30" s="6"/>
      <c r="E30" s="6"/>
      <c r="F30" s="20" t="e">
        <f t="shared" si="3"/>
        <v>#DIV/0!</v>
      </c>
      <c r="G30" s="2">
        <f t="shared" si="7"/>
        <v>0</v>
      </c>
      <c r="H30" s="2">
        <f t="shared" si="7"/>
        <v>0</v>
      </c>
      <c r="I30" s="86"/>
      <c r="J30" s="6"/>
      <c r="K30" s="20" t="e">
        <f t="shared" si="4"/>
        <v>#DIV/0!</v>
      </c>
      <c r="L30" s="4" t="e">
        <f t="shared" si="2"/>
        <v>#DIV/0!</v>
      </c>
      <c r="M30" s="6"/>
      <c r="N30" s="6"/>
      <c r="O30" s="6"/>
      <c r="P30" s="6"/>
      <c r="Q30" s="6"/>
    </row>
    <row r="31" spans="1:17">
      <c r="A31" s="13">
        <f t="shared" si="5"/>
        <v>46140</v>
      </c>
      <c r="B31" s="1"/>
      <c r="C31" s="1"/>
      <c r="D31" s="6"/>
      <c r="E31" s="6"/>
      <c r="F31" s="20" t="e">
        <f t="shared" si="3"/>
        <v>#DIV/0!</v>
      </c>
      <c r="G31" s="2">
        <f t="shared" si="7"/>
        <v>0</v>
      </c>
      <c r="H31" s="2">
        <f t="shared" si="7"/>
        <v>0</v>
      </c>
      <c r="I31" s="86"/>
      <c r="J31" s="6"/>
      <c r="K31" s="20" t="e">
        <f t="shared" si="4"/>
        <v>#DIV/0!</v>
      </c>
      <c r="L31" s="4" t="e">
        <f t="shared" si="2"/>
        <v>#DIV/0!</v>
      </c>
      <c r="M31" s="6"/>
      <c r="N31" s="6"/>
      <c r="O31" s="6"/>
      <c r="P31" s="6"/>
      <c r="Q31" s="6"/>
    </row>
    <row r="32" spans="1:17">
      <c r="A32" s="13">
        <f t="shared" si="5"/>
        <v>46141</v>
      </c>
      <c r="B32" s="1"/>
      <c r="C32" s="1"/>
      <c r="D32" s="6"/>
      <c r="E32" s="6"/>
      <c r="F32" s="20" t="e">
        <f t="shared" si="3"/>
        <v>#DIV/0!</v>
      </c>
      <c r="G32" s="2">
        <f t="shared" si="7"/>
        <v>0</v>
      </c>
      <c r="H32" s="2">
        <f t="shared" si="7"/>
        <v>0</v>
      </c>
      <c r="I32" s="86"/>
      <c r="J32" s="6"/>
      <c r="K32" s="20" t="e">
        <f t="shared" si="4"/>
        <v>#DIV/0!</v>
      </c>
      <c r="L32" s="4" t="e">
        <f t="shared" si="2"/>
        <v>#DIV/0!</v>
      </c>
      <c r="M32" s="6"/>
      <c r="N32" s="6"/>
      <c r="O32" s="6"/>
      <c r="P32" s="6"/>
      <c r="Q32" s="6"/>
    </row>
    <row r="33" spans="1:17">
      <c r="A33" s="13">
        <f t="shared" si="5"/>
        <v>46142</v>
      </c>
      <c r="B33" s="1"/>
      <c r="C33" s="1"/>
      <c r="D33" s="6"/>
      <c r="E33" s="6"/>
      <c r="F33" s="20" t="e">
        <f t="shared" si="3"/>
        <v>#DIV/0!</v>
      </c>
      <c r="G33" s="2">
        <f t="shared" si="7"/>
        <v>0</v>
      </c>
      <c r="H33" s="2">
        <f t="shared" si="7"/>
        <v>0</v>
      </c>
      <c r="I33" s="86"/>
      <c r="J33" s="6"/>
      <c r="K33" s="20" t="e">
        <f t="shared" si="4"/>
        <v>#DIV/0!</v>
      </c>
      <c r="L33" s="4" t="e">
        <f t="shared" si="2"/>
        <v>#DIV/0!</v>
      </c>
      <c r="M33" s="6"/>
      <c r="N33" s="6"/>
      <c r="O33" s="6"/>
      <c r="P33" s="6"/>
      <c r="Q33" s="6"/>
    </row>
    <row r="34" spans="1:17">
      <c r="A34" s="349">
        <v>46113</v>
      </c>
      <c r="B34" s="89">
        <f>SUM(B4:B33)</f>
        <v>268034</v>
      </c>
      <c r="C34" s="89">
        <f>SUM(C4:C33)</f>
        <v>268034</v>
      </c>
      <c r="D34" s="89">
        <f>SUM(D4:D33)</f>
        <v>271446</v>
      </c>
      <c r="E34" s="89">
        <f>SUM(E4:E33)</f>
        <v>266625</v>
      </c>
      <c r="F34" s="92">
        <f>(IF(ISBLANK(E34),0,E34-C34))/C34</f>
        <v>-5.2567957796398968E-3</v>
      </c>
      <c r="G34" s="90">
        <f>AVERAGE(G4:G33)</f>
        <v>0.19842543859649125</v>
      </c>
      <c r="H34" s="90">
        <f>AVERAGE(H4:H33)</f>
        <v>0.22999677223361428</v>
      </c>
      <c r="I34" s="89">
        <f>SUM(I4:I33)</f>
        <v>174.19999999999996</v>
      </c>
      <c r="J34" s="89">
        <f>SUM(J4:J33)</f>
        <v>173.01000000000005</v>
      </c>
      <c r="K34" s="92">
        <f t="shared" si="4"/>
        <v>-6.8312284730190171E-3</v>
      </c>
      <c r="L34" s="93">
        <f t="shared" si="2"/>
        <v>0.82576912195522589</v>
      </c>
      <c r="M34" s="90">
        <f>AVERAGE(M4:M33)</f>
        <v>1</v>
      </c>
      <c r="N34" s="90">
        <f>AVERAGE(N4:N33)</f>
        <v>1</v>
      </c>
      <c r="O34" s="89">
        <f>SUM(O4:O33)</f>
        <v>0</v>
      </c>
      <c r="P34" s="89">
        <f>SUM(P4:P33)</f>
        <v>0</v>
      </c>
      <c r="Q34" s="19"/>
    </row>
    <row r="35" spans="1:17">
      <c r="A35" s="13">
        <v>46143</v>
      </c>
      <c r="B35" s="127"/>
      <c r="C35" s="127"/>
      <c r="D35" s="33"/>
      <c r="E35" s="33"/>
      <c r="F35" s="20" t="e">
        <f>(IF(ISBLANK(E35),0,E35-C35))/C35</f>
        <v>#DIV/0!</v>
      </c>
      <c r="G35" s="2">
        <f t="shared" ref="G35:G57" si="8">D35/($D$2*24)</f>
        <v>0</v>
      </c>
      <c r="H35" s="2">
        <f t="shared" ref="H35:H61" si="9">D35/($H$2*24)</f>
        <v>0</v>
      </c>
      <c r="I35" s="28"/>
      <c r="J35" s="33"/>
      <c r="K35" s="20" t="e">
        <f>(IF(ISBLANK(J35),0,J35-I35))/I35</f>
        <v>#DIV/0!</v>
      </c>
      <c r="L35" s="4" t="e">
        <f t="shared" si="2"/>
        <v>#DIV/0!</v>
      </c>
      <c r="M35" s="103"/>
      <c r="N35" s="103"/>
      <c r="O35" s="33"/>
      <c r="P35" s="6"/>
      <c r="Q35" s="6"/>
    </row>
    <row r="36" spans="1:17">
      <c r="A36" s="13">
        <f>A35+1</f>
        <v>46144</v>
      </c>
      <c r="B36" s="127"/>
      <c r="C36" s="127"/>
      <c r="D36" s="34"/>
      <c r="E36" s="34"/>
      <c r="F36" s="20" t="e">
        <f t="shared" ref="F36:F54" si="10">(IF(ISBLANK(E36),0,E36-C36))/C36</f>
        <v>#DIV/0!</v>
      </c>
      <c r="G36" s="2">
        <f t="shared" si="8"/>
        <v>0</v>
      </c>
      <c r="H36" s="2">
        <f t="shared" si="9"/>
        <v>0</v>
      </c>
      <c r="I36" s="29"/>
      <c r="J36" s="34"/>
      <c r="K36" s="20" t="e">
        <f t="shared" ref="K36:K54" si="11">(IF(ISBLANK(J36),0,J36-I36))/I36</f>
        <v>#DIV/0!</v>
      </c>
      <c r="L36" s="4" t="e">
        <f t="shared" ref="L36:L66" si="12">D36/($D$2*J36)</f>
        <v>#DIV/0!</v>
      </c>
      <c r="M36" s="103"/>
      <c r="N36" s="103"/>
      <c r="O36" s="34"/>
      <c r="P36" s="6"/>
      <c r="Q36" s="6"/>
    </row>
    <row r="37" spans="1:17">
      <c r="A37" s="13">
        <f t="shared" ref="A37:A65" si="13">A36+1</f>
        <v>46145</v>
      </c>
      <c r="B37" s="127"/>
      <c r="C37" s="127"/>
      <c r="D37" s="34"/>
      <c r="E37" s="34"/>
      <c r="F37" s="20" t="e">
        <f t="shared" si="10"/>
        <v>#DIV/0!</v>
      </c>
      <c r="G37" s="2">
        <f t="shared" si="8"/>
        <v>0</v>
      </c>
      <c r="H37" s="2">
        <f t="shared" si="9"/>
        <v>0</v>
      </c>
      <c r="I37" s="29"/>
      <c r="J37" s="34"/>
      <c r="K37" s="20" t="e">
        <f t="shared" si="11"/>
        <v>#DIV/0!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0470-2E2F-4AE9-8CAF-0E7AE2A017B0}">
  <dimension ref="A1:Q66"/>
  <sheetViews>
    <sheetView topLeftCell="A25" workbookViewId="0">
      <selection activeCell="A34" sqref="A34"/>
    </sheetView>
  </sheetViews>
  <sheetFormatPr defaultRowHeight="14.5"/>
  <cols>
    <col min="1" max="1" width="10.81640625" bestFit="1" customWidth="1"/>
    <col min="2" max="2" width="11.269531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9.7265625" bestFit="1" customWidth="1"/>
    <col min="17" max="17" width="62.453125" bestFit="1" customWidth="1"/>
    <col min="18" max="18" width="10" customWidth="1"/>
  </cols>
  <sheetData>
    <row r="1" spans="1:17" ht="18.5">
      <c r="A1" s="405" t="s">
        <v>609</v>
      </c>
      <c r="B1" s="406"/>
      <c r="C1" s="406"/>
      <c r="D1" s="406"/>
      <c r="E1" s="406"/>
      <c r="F1" s="406"/>
      <c r="G1" s="406"/>
      <c r="H1" s="406"/>
      <c r="I1" s="406"/>
      <c r="J1" s="406"/>
      <c r="K1" s="406"/>
      <c r="L1" s="406"/>
      <c r="M1" s="406"/>
      <c r="N1" s="406"/>
      <c r="O1" s="406"/>
      <c r="P1" s="406"/>
      <c r="Q1" s="406"/>
    </row>
    <row r="2" spans="1:17" ht="18.5">
      <c r="A2" s="7">
        <v>46113</v>
      </c>
      <c r="B2" s="407" t="s">
        <v>172</v>
      </c>
      <c r="C2" s="408"/>
      <c r="D2" s="8">
        <v>6000</v>
      </c>
      <c r="E2" s="407" t="s">
        <v>173</v>
      </c>
      <c r="F2" s="407"/>
      <c r="G2" s="408"/>
      <c r="H2" s="8">
        <v>3900</v>
      </c>
      <c r="I2" s="409" t="s">
        <v>174</v>
      </c>
      <c r="J2" s="410"/>
      <c r="K2" s="9">
        <v>45807</v>
      </c>
      <c r="L2" s="10" t="s">
        <v>175</v>
      </c>
      <c r="M2" s="10" t="s">
        <v>175</v>
      </c>
      <c r="N2" s="10" t="s">
        <v>175</v>
      </c>
      <c r="O2" s="10" t="s">
        <v>175</v>
      </c>
      <c r="P2" s="10" t="s">
        <v>175</v>
      </c>
      <c r="Q2" s="11" t="s">
        <v>175</v>
      </c>
    </row>
    <row r="3" spans="1:17" ht="52">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f>A2</f>
        <v>46113</v>
      </c>
      <c r="B4" s="1">
        <v>31082</v>
      </c>
      <c r="C4" s="1">
        <v>27973</v>
      </c>
      <c r="D4" s="6">
        <v>30138</v>
      </c>
      <c r="E4" s="6">
        <v>30105</v>
      </c>
      <c r="F4" s="20">
        <f>(IF(ISBLANK(E4),0,E4-C4))/C4</f>
        <v>7.6216351481786002E-2</v>
      </c>
      <c r="G4" s="2">
        <f t="shared" ref="G4:G27" si="0">D4/($D$2*24)</f>
        <v>0.20929166666666665</v>
      </c>
      <c r="H4" s="2">
        <f t="shared" ref="H4:H21" si="1">D4/($H$2*24)</f>
        <v>0.32198717948717948</v>
      </c>
      <c r="I4" s="86">
        <v>6.99</v>
      </c>
      <c r="J4" s="183">
        <v>6.36</v>
      </c>
      <c r="K4" s="20">
        <f>(IF(ISBLANK(J4),0,J4-I4))/I4</f>
        <v>-9.0128755364806842E-2</v>
      </c>
      <c r="L4" s="4">
        <f t="shared" ref="L4:L35" si="2">D4/($D$2*J4)</f>
        <v>0.78977987421383644</v>
      </c>
      <c r="M4" s="66">
        <v>1</v>
      </c>
      <c r="N4" s="66">
        <v>1</v>
      </c>
      <c r="O4" s="49"/>
      <c r="P4" s="49"/>
      <c r="Q4" s="49"/>
    </row>
    <row r="5" spans="1:17">
      <c r="A5" s="13">
        <f>A4+1</f>
        <v>46114</v>
      </c>
      <c r="B5" s="1">
        <v>31082</v>
      </c>
      <c r="C5" s="1">
        <v>27973</v>
      </c>
      <c r="D5" s="6">
        <v>32570</v>
      </c>
      <c r="E5" s="6">
        <v>32445</v>
      </c>
      <c r="F5" s="20">
        <f t="shared" ref="F5:F33" si="3">(IF(ISBLANK(E5),0,E5-C5))/C5</f>
        <v>0.15986844457155114</v>
      </c>
      <c r="G5" s="2">
        <f t="shared" si="0"/>
        <v>0.22618055555555555</v>
      </c>
      <c r="H5" s="2">
        <f t="shared" si="1"/>
        <v>0.34797008547008546</v>
      </c>
      <c r="I5" s="86">
        <v>6.99</v>
      </c>
      <c r="J5" s="183">
        <v>6.78</v>
      </c>
      <c r="K5" s="20">
        <f t="shared" ref="K5:K34" si="4">(IF(ISBLANK(J5),0,J5-I5))/I5</f>
        <v>-3.0042918454935615E-2</v>
      </c>
      <c r="L5" s="4">
        <f t="shared" si="2"/>
        <v>0.8006391347099312</v>
      </c>
      <c r="M5" s="66">
        <v>1</v>
      </c>
      <c r="N5" s="66">
        <v>1</v>
      </c>
      <c r="O5" s="50"/>
      <c r="P5" s="49"/>
      <c r="Q5" s="50"/>
    </row>
    <row r="6" spans="1:17">
      <c r="A6" s="13">
        <f t="shared" ref="A6:A33" si="5">A5+1</f>
        <v>46115</v>
      </c>
      <c r="B6" s="1">
        <v>31082</v>
      </c>
      <c r="C6" s="1">
        <v>27973</v>
      </c>
      <c r="D6" s="6">
        <v>32141</v>
      </c>
      <c r="E6" s="6">
        <v>32085</v>
      </c>
      <c r="F6" s="20">
        <f t="shared" si="3"/>
        <v>0.14699889178851036</v>
      </c>
      <c r="G6" s="2">
        <f t="shared" si="0"/>
        <v>0.22320138888888888</v>
      </c>
      <c r="H6" s="2">
        <f t="shared" si="1"/>
        <v>0.34338675213675213</v>
      </c>
      <c r="I6" s="86">
        <v>6.99</v>
      </c>
      <c r="J6" s="183">
        <v>6.81</v>
      </c>
      <c r="K6" s="20">
        <f t="shared" si="4"/>
        <v>-2.5751072961373477E-2</v>
      </c>
      <c r="L6" s="4">
        <f t="shared" si="2"/>
        <v>0.78661282427802248</v>
      </c>
      <c r="M6" s="66">
        <v>1</v>
      </c>
      <c r="N6" s="66">
        <v>1</v>
      </c>
      <c r="O6" s="50"/>
      <c r="P6" s="49"/>
      <c r="Q6" s="50"/>
    </row>
    <row r="7" spans="1:17">
      <c r="A7" s="13">
        <f t="shared" si="5"/>
        <v>46116</v>
      </c>
      <c r="B7" s="1">
        <v>31082</v>
      </c>
      <c r="C7" s="1">
        <v>27973</v>
      </c>
      <c r="D7" s="6">
        <v>25755</v>
      </c>
      <c r="E7" s="6">
        <v>25650</v>
      </c>
      <c r="F7" s="20">
        <f t="shared" si="3"/>
        <v>-8.3044364208343754E-2</v>
      </c>
      <c r="G7" s="2">
        <f t="shared" si="0"/>
        <v>0.17885416666666668</v>
      </c>
      <c r="H7" s="2">
        <f t="shared" si="1"/>
        <v>0.27516025641025643</v>
      </c>
      <c r="I7" s="86">
        <v>6.99</v>
      </c>
      <c r="J7" s="183">
        <v>5.84</v>
      </c>
      <c r="K7" s="20">
        <f t="shared" si="4"/>
        <v>-0.16452074391988561</v>
      </c>
      <c r="L7" s="4">
        <f t="shared" si="2"/>
        <v>0.73501712328767121</v>
      </c>
      <c r="M7" s="66">
        <v>1</v>
      </c>
      <c r="N7" s="66">
        <v>0.95799999999999996</v>
      </c>
      <c r="O7" s="186">
        <v>2090</v>
      </c>
      <c r="P7" s="49"/>
      <c r="Q7" s="191" t="s">
        <v>610</v>
      </c>
    </row>
    <row r="8" spans="1:17">
      <c r="A8" s="13">
        <f t="shared" si="5"/>
        <v>46117</v>
      </c>
      <c r="B8" s="1">
        <v>31082</v>
      </c>
      <c r="C8" s="1">
        <v>27973</v>
      </c>
      <c r="D8" s="6">
        <v>34387</v>
      </c>
      <c r="E8" s="6">
        <v>34200</v>
      </c>
      <c r="F8" s="20">
        <f t="shared" si="3"/>
        <v>0.22260751438887499</v>
      </c>
      <c r="G8" s="2">
        <f t="shared" si="0"/>
        <v>0.23879861111111111</v>
      </c>
      <c r="H8" s="2">
        <f t="shared" si="1"/>
        <v>0.36738247863247864</v>
      </c>
      <c r="I8" s="86">
        <v>6.99</v>
      </c>
      <c r="J8" s="183">
        <v>7.23</v>
      </c>
      <c r="K8" s="20">
        <f t="shared" si="4"/>
        <v>3.4334763948497882E-2</v>
      </c>
      <c r="L8" s="4">
        <f t="shared" si="2"/>
        <v>0.79269248501613643</v>
      </c>
      <c r="M8" s="66">
        <v>1</v>
      </c>
      <c r="N8" s="66">
        <v>1</v>
      </c>
      <c r="O8" s="49"/>
      <c r="P8" s="49"/>
      <c r="Q8" s="50"/>
    </row>
    <row r="9" spans="1:17">
      <c r="A9" s="13">
        <f t="shared" si="5"/>
        <v>46118</v>
      </c>
      <c r="B9" s="1">
        <v>31082</v>
      </c>
      <c r="C9" s="1">
        <v>27973</v>
      </c>
      <c r="D9" s="6">
        <v>34394</v>
      </c>
      <c r="E9" s="6">
        <v>34200</v>
      </c>
      <c r="F9" s="20">
        <f t="shared" si="3"/>
        <v>0.22260751438887499</v>
      </c>
      <c r="G9" s="2">
        <f t="shared" si="0"/>
        <v>0.23884722222222221</v>
      </c>
      <c r="H9" s="2">
        <f t="shared" si="1"/>
        <v>0.36745726495726494</v>
      </c>
      <c r="I9" s="86">
        <v>6.99</v>
      </c>
      <c r="J9" s="183">
        <v>7.22</v>
      </c>
      <c r="K9" s="20">
        <f t="shared" si="4"/>
        <v>3.2904148783977044E-2</v>
      </c>
      <c r="L9" s="4">
        <f t="shared" si="2"/>
        <v>0.79395198522622346</v>
      </c>
      <c r="M9" s="66">
        <v>1</v>
      </c>
      <c r="N9" s="66">
        <v>1</v>
      </c>
      <c r="O9" s="49"/>
      <c r="P9" s="49"/>
      <c r="Q9" s="50"/>
    </row>
    <row r="10" spans="1:17">
      <c r="A10" s="13">
        <f t="shared" si="5"/>
        <v>46119</v>
      </c>
      <c r="B10" s="1">
        <v>31082</v>
      </c>
      <c r="C10" s="1">
        <v>27973</v>
      </c>
      <c r="D10" s="6">
        <v>34131</v>
      </c>
      <c r="E10" s="6">
        <v>33885</v>
      </c>
      <c r="F10" s="20">
        <f t="shared" si="3"/>
        <v>0.2113466557037143</v>
      </c>
      <c r="G10" s="2">
        <f t="shared" si="0"/>
        <v>0.23702083333333332</v>
      </c>
      <c r="H10" s="2">
        <f t="shared" si="1"/>
        <v>0.36464743589743592</v>
      </c>
      <c r="I10" s="86">
        <v>6.99</v>
      </c>
      <c r="J10" s="183">
        <v>7.23</v>
      </c>
      <c r="K10" s="20">
        <f t="shared" si="4"/>
        <v>3.4334763948497882E-2</v>
      </c>
      <c r="L10" s="4">
        <f t="shared" si="2"/>
        <v>0.78679114799446748</v>
      </c>
      <c r="M10" s="66">
        <v>1</v>
      </c>
      <c r="N10" s="66">
        <v>1</v>
      </c>
      <c r="O10" s="49"/>
      <c r="P10" s="49"/>
      <c r="Q10" s="50"/>
    </row>
    <row r="11" spans="1:17">
      <c r="A11" s="13">
        <f t="shared" si="5"/>
        <v>46120</v>
      </c>
      <c r="B11" s="1">
        <v>31082</v>
      </c>
      <c r="C11" s="1">
        <v>27973</v>
      </c>
      <c r="D11" s="6">
        <v>24106</v>
      </c>
      <c r="E11" s="6">
        <v>23895</v>
      </c>
      <c r="F11" s="20">
        <f t="shared" si="3"/>
        <v>-0.1457834340256676</v>
      </c>
      <c r="G11" s="2">
        <f t="shared" si="0"/>
        <v>0.16740277777777779</v>
      </c>
      <c r="H11" s="2">
        <f t="shared" si="1"/>
        <v>0.25754273504273506</v>
      </c>
      <c r="I11" s="86">
        <v>6.99</v>
      </c>
      <c r="J11" s="183">
        <v>6.94</v>
      </c>
      <c r="K11" s="20">
        <f t="shared" si="4"/>
        <v>-7.1530758226036936E-3</v>
      </c>
      <c r="L11" s="4">
        <f t="shared" si="2"/>
        <v>0.5789145052833814</v>
      </c>
      <c r="M11" s="66">
        <v>1</v>
      </c>
      <c r="N11" s="66">
        <v>0.65449999999999997</v>
      </c>
      <c r="O11" s="186">
        <v>7627</v>
      </c>
      <c r="P11" s="49"/>
      <c r="Q11" s="188" t="s">
        <v>611</v>
      </c>
    </row>
    <row r="12" spans="1:17">
      <c r="A12" s="13">
        <f t="shared" si="5"/>
        <v>46121</v>
      </c>
      <c r="B12" s="1">
        <v>31082</v>
      </c>
      <c r="C12" s="1">
        <v>27973</v>
      </c>
      <c r="D12" s="6">
        <v>5751</v>
      </c>
      <c r="E12" s="6">
        <v>5715</v>
      </c>
      <c r="F12" s="20">
        <f t="shared" si="3"/>
        <v>-0.79569584956922745</v>
      </c>
      <c r="G12" s="2">
        <f t="shared" si="0"/>
        <v>3.9937500000000001E-2</v>
      </c>
      <c r="H12" s="2">
        <f t="shared" si="1"/>
        <v>6.1442307692307692E-2</v>
      </c>
      <c r="I12" s="86">
        <v>6.99</v>
      </c>
      <c r="J12" s="183">
        <v>6.8739999999999997</v>
      </c>
      <c r="K12" s="20">
        <f t="shared" si="4"/>
        <v>-1.6595135908440709E-2</v>
      </c>
      <c r="L12" s="4">
        <f t="shared" si="2"/>
        <v>0.13943846377654931</v>
      </c>
      <c r="M12" s="66">
        <v>1</v>
      </c>
      <c r="N12" s="66">
        <v>0.3533</v>
      </c>
      <c r="O12" s="186">
        <v>19365</v>
      </c>
      <c r="P12" s="49"/>
      <c r="Q12" s="188" t="s">
        <v>611</v>
      </c>
    </row>
    <row r="13" spans="1:17">
      <c r="A13" s="13">
        <f t="shared" si="5"/>
        <v>46122</v>
      </c>
      <c r="B13" s="1">
        <v>31082</v>
      </c>
      <c r="C13" s="1">
        <v>27973</v>
      </c>
      <c r="D13" s="6">
        <v>32406</v>
      </c>
      <c r="E13" s="6">
        <v>32355</v>
      </c>
      <c r="F13" s="20">
        <f t="shared" si="3"/>
        <v>0.15665105637579094</v>
      </c>
      <c r="G13" s="2">
        <f t="shared" si="0"/>
        <v>0.22504166666666667</v>
      </c>
      <c r="H13" s="2">
        <f t="shared" si="1"/>
        <v>0.3462179487179487</v>
      </c>
      <c r="I13" s="86">
        <v>6.99</v>
      </c>
      <c r="J13" s="183">
        <v>6.97</v>
      </c>
      <c r="K13" s="20">
        <f t="shared" si="4"/>
        <v>-2.8612303290415537E-3</v>
      </c>
      <c r="L13" s="4">
        <f t="shared" si="2"/>
        <v>0.77489239598278337</v>
      </c>
      <c r="M13" s="66">
        <v>1</v>
      </c>
      <c r="N13" s="66">
        <v>0.98409999999999997</v>
      </c>
      <c r="O13" s="186">
        <v>810</v>
      </c>
      <c r="P13" s="49"/>
      <c r="Q13" s="190" t="s">
        <v>610</v>
      </c>
    </row>
    <row r="14" spans="1:17">
      <c r="A14" s="13">
        <f t="shared" si="5"/>
        <v>46123</v>
      </c>
      <c r="B14" s="1">
        <v>31082</v>
      </c>
      <c r="C14" s="1">
        <v>27973</v>
      </c>
      <c r="D14" s="6">
        <v>32664</v>
      </c>
      <c r="E14" s="6">
        <v>32625</v>
      </c>
      <c r="F14" s="20">
        <f t="shared" si="3"/>
        <v>0.16630322096307154</v>
      </c>
      <c r="G14" s="2">
        <f t="shared" si="0"/>
        <v>0.22683333333333333</v>
      </c>
      <c r="H14" s="2">
        <f t="shared" si="1"/>
        <v>0.34897435897435897</v>
      </c>
      <c r="I14" s="86">
        <v>6.99</v>
      </c>
      <c r="J14" s="183">
        <v>7.03</v>
      </c>
      <c r="K14" s="20">
        <f t="shared" si="4"/>
        <v>5.7224606580829809E-3</v>
      </c>
      <c r="L14" s="4">
        <f t="shared" si="2"/>
        <v>0.77439544807965865</v>
      </c>
      <c r="M14" s="66">
        <v>1</v>
      </c>
      <c r="N14" s="66">
        <v>1</v>
      </c>
      <c r="O14" s="50"/>
      <c r="P14" s="49"/>
      <c r="Q14" s="50"/>
    </row>
    <row r="15" spans="1:17">
      <c r="A15" s="13">
        <f t="shared" si="5"/>
        <v>46124</v>
      </c>
      <c r="B15" s="1">
        <v>31082</v>
      </c>
      <c r="C15" s="1">
        <v>27973</v>
      </c>
      <c r="D15" s="6">
        <v>31650</v>
      </c>
      <c r="E15" s="6">
        <v>31635</v>
      </c>
      <c r="F15" s="20">
        <f t="shared" si="3"/>
        <v>0.13091195080970935</v>
      </c>
      <c r="G15" s="2">
        <f t="shared" si="0"/>
        <v>0.21979166666666666</v>
      </c>
      <c r="H15" s="2">
        <f t="shared" si="1"/>
        <v>0.33814102564102566</v>
      </c>
      <c r="I15" s="86">
        <v>6.99</v>
      </c>
      <c r="J15" s="183">
        <v>6.79</v>
      </c>
      <c r="K15" s="20">
        <f t="shared" si="4"/>
        <v>-2.8612303290414903E-2</v>
      </c>
      <c r="L15" s="4">
        <f t="shared" si="2"/>
        <v>0.7768777614138439</v>
      </c>
      <c r="M15" s="66">
        <v>1</v>
      </c>
      <c r="N15" s="66">
        <v>1</v>
      </c>
      <c r="O15" s="50"/>
      <c r="P15" s="49"/>
      <c r="Q15" s="50"/>
    </row>
    <row r="16" spans="1:17">
      <c r="A16" s="13">
        <f t="shared" si="5"/>
        <v>46125</v>
      </c>
      <c r="B16" s="1">
        <v>31082</v>
      </c>
      <c r="C16" s="1">
        <v>27973</v>
      </c>
      <c r="D16" s="6">
        <v>31320</v>
      </c>
      <c r="E16" s="6">
        <v>31275</v>
      </c>
      <c r="F16" s="20">
        <f t="shared" si="3"/>
        <v>0.11804239802666858</v>
      </c>
      <c r="G16" s="2">
        <f t="shared" si="0"/>
        <v>0.2175</v>
      </c>
      <c r="H16" s="2">
        <f t="shared" si="1"/>
        <v>0.33461538461538459</v>
      </c>
      <c r="I16" s="86">
        <v>6.99</v>
      </c>
      <c r="J16" s="183">
        <v>6.75</v>
      </c>
      <c r="K16" s="20">
        <f t="shared" si="4"/>
        <v>-3.4334763948497882E-2</v>
      </c>
      <c r="L16" s="4">
        <f t="shared" si="2"/>
        <v>0.77333333333333332</v>
      </c>
      <c r="M16" s="66">
        <v>1</v>
      </c>
      <c r="N16" s="66">
        <v>1</v>
      </c>
      <c r="O16" s="50"/>
      <c r="P16" s="49"/>
      <c r="Q16" s="50"/>
    </row>
    <row r="17" spans="1:17">
      <c r="A17" s="13">
        <f t="shared" si="5"/>
        <v>46126</v>
      </c>
      <c r="B17" s="1">
        <v>31082</v>
      </c>
      <c r="C17" s="1">
        <v>27973</v>
      </c>
      <c r="D17" s="6">
        <v>32310</v>
      </c>
      <c r="E17" s="6">
        <v>32310</v>
      </c>
      <c r="F17" s="20">
        <f t="shared" si="3"/>
        <v>0.15504236227791085</v>
      </c>
      <c r="G17" s="2">
        <f t="shared" si="0"/>
        <v>0.22437499999999999</v>
      </c>
      <c r="H17" s="2">
        <f t="shared" si="1"/>
        <v>0.34519230769230769</v>
      </c>
      <c r="I17" s="86">
        <v>6.99</v>
      </c>
      <c r="J17" s="183">
        <v>6.9</v>
      </c>
      <c r="K17" s="20">
        <f t="shared" si="4"/>
        <v>-1.2875536480686674E-2</v>
      </c>
      <c r="L17" s="4">
        <f t="shared" si="2"/>
        <v>0.7804347826086957</v>
      </c>
      <c r="M17" s="66">
        <v>1</v>
      </c>
      <c r="N17" s="66">
        <v>1</v>
      </c>
      <c r="O17" s="50"/>
      <c r="P17" s="49"/>
      <c r="Q17" s="50"/>
    </row>
    <row r="18" spans="1:17">
      <c r="A18" s="13">
        <f t="shared" si="5"/>
        <v>46127</v>
      </c>
      <c r="B18" s="1">
        <v>31082</v>
      </c>
      <c r="C18" s="1">
        <v>27973</v>
      </c>
      <c r="D18" s="6">
        <v>32906</v>
      </c>
      <c r="E18" s="6">
        <v>32850</v>
      </c>
      <c r="F18" s="20">
        <f t="shared" si="3"/>
        <v>0.17434669145247203</v>
      </c>
      <c r="G18" s="2">
        <f t="shared" si="0"/>
        <v>0.22851388888888888</v>
      </c>
      <c r="H18" s="2">
        <f t="shared" si="1"/>
        <v>0.35155982905982908</v>
      </c>
      <c r="I18" s="86">
        <v>6.99</v>
      </c>
      <c r="J18" s="183">
        <v>7</v>
      </c>
      <c r="K18" s="20">
        <f t="shared" si="4"/>
        <v>1.4306151645207133E-3</v>
      </c>
      <c r="L18" s="4">
        <f t="shared" si="2"/>
        <v>0.78347619047619044</v>
      </c>
      <c r="M18" s="66">
        <v>1</v>
      </c>
      <c r="N18" s="66">
        <v>1</v>
      </c>
      <c r="O18" s="50"/>
      <c r="P18" s="49"/>
      <c r="Q18" s="50"/>
    </row>
    <row r="19" spans="1:17">
      <c r="A19" s="13">
        <f t="shared" si="5"/>
        <v>46128</v>
      </c>
      <c r="B19" s="1">
        <v>31082</v>
      </c>
      <c r="C19" s="1">
        <v>27973</v>
      </c>
      <c r="D19" s="6">
        <v>33262</v>
      </c>
      <c r="E19" s="6">
        <v>33210</v>
      </c>
      <c r="F19" s="20">
        <f t="shared" si="3"/>
        <v>0.18721624423551281</v>
      </c>
      <c r="G19" s="2">
        <f t="shared" si="0"/>
        <v>0.23098611111111111</v>
      </c>
      <c r="H19" s="2">
        <f t="shared" si="1"/>
        <v>0.35536324786324786</v>
      </c>
      <c r="I19" s="86">
        <v>6.99</v>
      </c>
      <c r="J19" s="183">
        <v>7.04</v>
      </c>
      <c r="K19" s="20">
        <f t="shared" si="4"/>
        <v>7.1530758226036936E-3</v>
      </c>
      <c r="L19" s="4">
        <f t="shared" si="2"/>
        <v>0.78745265151515154</v>
      </c>
      <c r="M19" s="66">
        <v>1</v>
      </c>
      <c r="N19" s="66">
        <v>1</v>
      </c>
      <c r="O19" s="50"/>
      <c r="P19" s="49"/>
      <c r="Q19" s="50"/>
    </row>
    <row r="20" spans="1:17">
      <c r="A20" s="13">
        <f t="shared" si="5"/>
        <v>46129</v>
      </c>
      <c r="B20" s="1">
        <v>31082</v>
      </c>
      <c r="C20" s="1">
        <v>27973</v>
      </c>
      <c r="D20" s="6">
        <v>30351</v>
      </c>
      <c r="E20" s="6">
        <v>30330</v>
      </c>
      <c r="F20" s="20">
        <f t="shared" si="3"/>
        <v>8.4259821971186505E-2</v>
      </c>
      <c r="G20" s="2">
        <f t="shared" si="0"/>
        <v>0.21077083333333332</v>
      </c>
      <c r="H20" s="2">
        <f t="shared" si="1"/>
        <v>0.32426282051282052</v>
      </c>
      <c r="I20" s="86">
        <v>6.99</v>
      </c>
      <c r="J20" s="183">
        <v>6.7</v>
      </c>
      <c r="K20" s="20">
        <f t="shared" si="4"/>
        <v>-4.1487839771101577E-2</v>
      </c>
      <c r="L20" s="4">
        <f t="shared" si="2"/>
        <v>0.755</v>
      </c>
      <c r="M20" s="66">
        <v>1</v>
      </c>
      <c r="N20" s="66">
        <v>1</v>
      </c>
      <c r="O20" s="50"/>
      <c r="P20" s="49"/>
      <c r="Q20" s="50"/>
    </row>
    <row r="21" spans="1:17">
      <c r="A21" s="13">
        <f t="shared" si="5"/>
        <v>46130</v>
      </c>
      <c r="B21" s="1">
        <v>31082</v>
      </c>
      <c r="C21" s="1">
        <v>27973</v>
      </c>
      <c r="D21" s="6">
        <v>28372</v>
      </c>
      <c r="E21" s="6">
        <v>28260</v>
      </c>
      <c r="F21" s="20">
        <f t="shared" si="3"/>
        <v>1.0259893468701962E-2</v>
      </c>
      <c r="G21" s="2">
        <f t="shared" si="0"/>
        <v>0.19702777777777777</v>
      </c>
      <c r="H21" s="2">
        <f t="shared" si="1"/>
        <v>0.30311965811965813</v>
      </c>
      <c r="I21" s="86">
        <v>6.99</v>
      </c>
      <c r="J21" s="183">
        <v>6.2</v>
      </c>
      <c r="K21" s="20">
        <f t="shared" si="4"/>
        <v>-0.11301859799713877</v>
      </c>
      <c r="L21" s="4">
        <f t="shared" si="2"/>
        <v>0.76268817204301076</v>
      </c>
      <c r="M21" s="66">
        <v>1</v>
      </c>
      <c r="N21" s="66">
        <v>1</v>
      </c>
      <c r="O21" s="50"/>
      <c r="P21" s="186"/>
      <c r="Q21" s="83"/>
    </row>
    <row r="22" spans="1:17">
      <c r="A22" s="13">
        <f t="shared" si="5"/>
        <v>46131</v>
      </c>
      <c r="B22" s="1">
        <v>31082</v>
      </c>
      <c r="C22" s="1">
        <v>27973</v>
      </c>
      <c r="D22" s="6">
        <v>30447</v>
      </c>
      <c r="E22" s="6">
        <v>30375</v>
      </c>
      <c r="F22" s="20">
        <f t="shared" si="3"/>
        <v>8.5868516069066606E-2</v>
      </c>
      <c r="G22" s="2">
        <f t="shared" si="0"/>
        <v>0.2114375</v>
      </c>
      <c r="H22" s="2">
        <f t="shared" ref="H22:H27" si="6">E22/($D$2*24)</f>
        <v>0.2109375</v>
      </c>
      <c r="I22" s="86">
        <v>6.99</v>
      </c>
      <c r="J22" s="183">
        <v>6.56</v>
      </c>
      <c r="K22" s="20">
        <f t="shared" si="4"/>
        <v>-6.1516452074392075E-2</v>
      </c>
      <c r="L22" s="4">
        <f t="shared" si="2"/>
        <v>0.77355182926829269</v>
      </c>
      <c r="M22" s="66">
        <v>1</v>
      </c>
      <c r="N22" s="66">
        <v>1</v>
      </c>
      <c r="O22" s="50"/>
      <c r="P22" s="186"/>
      <c r="Q22" s="83"/>
    </row>
    <row r="23" spans="1:17">
      <c r="A23" s="13">
        <f t="shared" si="5"/>
        <v>46132</v>
      </c>
      <c r="B23" s="1">
        <v>31082</v>
      </c>
      <c r="C23" s="1">
        <v>27973</v>
      </c>
      <c r="D23" s="6">
        <v>29831</v>
      </c>
      <c r="E23" s="6">
        <v>29790</v>
      </c>
      <c r="F23" s="20">
        <f t="shared" si="3"/>
        <v>6.4955492796625311E-2</v>
      </c>
      <c r="G23" s="2">
        <f t="shared" si="0"/>
        <v>0.20715972222222223</v>
      </c>
      <c r="H23" s="2">
        <f t="shared" si="6"/>
        <v>0.206875</v>
      </c>
      <c r="I23" s="86">
        <v>6.99</v>
      </c>
      <c r="J23" s="183">
        <v>6.51</v>
      </c>
      <c r="K23" s="20">
        <f t="shared" si="4"/>
        <v>-6.8669527896995763E-2</v>
      </c>
      <c r="L23" s="4">
        <f t="shared" si="2"/>
        <v>0.76372247823860728</v>
      </c>
      <c r="M23" s="66">
        <v>1</v>
      </c>
      <c r="N23" s="66">
        <v>1</v>
      </c>
      <c r="O23" s="50"/>
      <c r="P23" s="186"/>
      <c r="Q23" s="83"/>
    </row>
    <row r="24" spans="1:17">
      <c r="A24" s="13">
        <f t="shared" si="5"/>
        <v>46133</v>
      </c>
      <c r="B24" s="1">
        <v>31082</v>
      </c>
      <c r="C24" s="1">
        <v>27973</v>
      </c>
      <c r="D24" s="6">
        <v>30910</v>
      </c>
      <c r="E24" s="6">
        <v>30870</v>
      </c>
      <c r="F24" s="20">
        <f>(IF(ISBLANK(E24),0,E24-C24))/C24</f>
        <v>0.10356415114574768</v>
      </c>
      <c r="G24" s="2">
        <f t="shared" si="0"/>
        <v>0.21465277777777778</v>
      </c>
      <c r="H24" s="2">
        <f t="shared" si="6"/>
        <v>0.21437500000000001</v>
      </c>
      <c r="I24" s="86">
        <v>6.99</v>
      </c>
      <c r="J24" s="183">
        <v>6.59</v>
      </c>
      <c r="K24" s="20">
        <f>(IF(ISBLANK(J24),0,J24-I24))/I24</f>
        <v>-5.7224606580829805E-2</v>
      </c>
      <c r="L24" s="4">
        <f t="shared" si="2"/>
        <v>0.78174001011633787</v>
      </c>
      <c r="M24" s="66">
        <v>1</v>
      </c>
      <c r="N24" s="66">
        <v>1</v>
      </c>
      <c r="O24" s="50"/>
      <c r="P24" s="186"/>
      <c r="Q24" s="83"/>
    </row>
    <row r="25" spans="1:17">
      <c r="A25" s="13">
        <f t="shared" si="5"/>
        <v>46134</v>
      </c>
      <c r="B25" s="1">
        <v>31082</v>
      </c>
      <c r="C25" s="1">
        <v>27973</v>
      </c>
      <c r="D25" s="6">
        <v>31016</v>
      </c>
      <c r="E25" s="6">
        <v>30960</v>
      </c>
      <c r="F25" s="20">
        <f t="shared" si="3"/>
        <v>0.10678153934150789</v>
      </c>
      <c r="G25" s="2">
        <f t="shared" si="0"/>
        <v>0.21538888888888888</v>
      </c>
      <c r="H25" s="2">
        <f t="shared" si="6"/>
        <v>0.215</v>
      </c>
      <c r="I25" s="86">
        <v>6.99</v>
      </c>
      <c r="J25" s="183">
        <v>6.6</v>
      </c>
      <c r="K25" s="20">
        <f t="shared" si="4"/>
        <v>-5.5793991416309092E-2</v>
      </c>
      <c r="L25" s="4">
        <f t="shared" si="2"/>
        <v>0.78323232323232328</v>
      </c>
      <c r="M25" s="66">
        <v>1</v>
      </c>
      <c r="N25" s="66">
        <v>1</v>
      </c>
      <c r="O25" s="50"/>
      <c r="P25" s="186"/>
      <c r="Q25" s="83"/>
    </row>
    <row r="26" spans="1:17">
      <c r="A26" s="13">
        <f t="shared" si="5"/>
        <v>46135</v>
      </c>
      <c r="B26" s="1">
        <v>31082</v>
      </c>
      <c r="C26" s="1">
        <v>27973</v>
      </c>
      <c r="D26" s="6">
        <v>29432</v>
      </c>
      <c r="E26" s="6">
        <v>29430</v>
      </c>
      <c r="F26" s="20">
        <f t="shared" si="3"/>
        <v>5.2085940013584527E-2</v>
      </c>
      <c r="G26" s="2">
        <f t="shared" si="0"/>
        <v>0.2043888888888889</v>
      </c>
      <c r="H26" s="2">
        <f t="shared" si="6"/>
        <v>0.204375</v>
      </c>
      <c r="I26" s="86">
        <v>6.99</v>
      </c>
      <c r="J26" s="183">
        <v>6.39</v>
      </c>
      <c r="K26" s="20">
        <f t="shared" si="4"/>
        <v>-8.5836909871244704E-2</v>
      </c>
      <c r="L26" s="4">
        <f t="shared" si="2"/>
        <v>0.76765779864371408</v>
      </c>
      <c r="M26" s="66">
        <v>1</v>
      </c>
      <c r="N26" s="66">
        <v>1</v>
      </c>
      <c r="O26" s="50"/>
      <c r="P26" s="49"/>
      <c r="Q26" s="50"/>
    </row>
    <row r="27" spans="1:17">
      <c r="A27" s="13">
        <f t="shared" si="5"/>
        <v>46136</v>
      </c>
      <c r="B27" s="1">
        <v>31082</v>
      </c>
      <c r="C27" s="1">
        <v>27973</v>
      </c>
      <c r="D27" s="6">
        <v>28013</v>
      </c>
      <c r="E27" s="6">
        <v>27900</v>
      </c>
      <c r="F27" s="20">
        <f t="shared" si="3"/>
        <v>-2.6096593143388265E-3</v>
      </c>
      <c r="G27" s="2">
        <f t="shared" si="0"/>
        <v>0.19453472222222223</v>
      </c>
      <c r="H27" s="2">
        <f t="shared" si="6"/>
        <v>0.19375000000000001</v>
      </c>
      <c r="I27" s="86">
        <v>6.99</v>
      </c>
      <c r="J27" s="183">
        <v>6.2</v>
      </c>
      <c r="K27" s="20">
        <f t="shared" si="4"/>
        <v>-0.11301859799713877</v>
      </c>
      <c r="L27" s="4">
        <f t="shared" si="2"/>
        <v>0.75303763440860216</v>
      </c>
      <c r="M27" s="66">
        <v>1</v>
      </c>
      <c r="N27" s="66">
        <v>1</v>
      </c>
      <c r="O27" s="50"/>
      <c r="P27" s="49"/>
      <c r="Q27" s="50"/>
    </row>
    <row r="28" spans="1:17">
      <c r="A28" s="13">
        <f t="shared" si="5"/>
        <v>46137</v>
      </c>
      <c r="B28" s="1">
        <v>31082</v>
      </c>
      <c r="C28" s="1">
        <v>27973</v>
      </c>
      <c r="D28" s="6">
        <v>28380</v>
      </c>
      <c r="E28" s="6">
        <v>28350</v>
      </c>
      <c r="F28" s="20">
        <f t="shared" si="3"/>
        <v>1.347728166446216E-2</v>
      </c>
      <c r="G28" s="2">
        <f t="shared" ref="G28:H33" si="7">D28/($D$2*24)</f>
        <v>0.19708333333333333</v>
      </c>
      <c r="H28" s="2">
        <f t="shared" si="7"/>
        <v>0.19687499999999999</v>
      </c>
      <c r="I28" s="86">
        <v>6.99</v>
      </c>
      <c r="J28" s="183">
        <v>6.28</v>
      </c>
      <c r="K28" s="20">
        <f t="shared" si="4"/>
        <v>-0.10157367668097281</v>
      </c>
      <c r="L28" s="4">
        <f t="shared" si="2"/>
        <v>0.75318471337579618</v>
      </c>
      <c r="M28" s="66">
        <v>0.93259999999999998</v>
      </c>
      <c r="N28" s="66">
        <v>1</v>
      </c>
      <c r="O28" s="6"/>
      <c r="P28" s="186">
        <v>1491</v>
      </c>
      <c r="Q28" s="191" t="s">
        <v>612</v>
      </c>
    </row>
    <row r="29" spans="1:17" ht="43.5">
      <c r="A29" s="13">
        <f t="shared" si="5"/>
        <v>46138</v>
      </c>
      <c r="B29" s="1">
        <v>31082</v>
      </c>
      <c r="C29" s="1">
        <v>27973</v>
      </c>
      <c r="D29" s="6">
        <v>29068</v>
      </c>
      <c r="E29" s="6">
        <v>29025</v>
      </c>
      <c r="F29" s="20">
        <f t="shared" si="3"/>
        <v>3.7607693132663642E-2</v>
      </c>
      <c r="G29" s="2">
        <f t="shared" si="7"/>
        <v>0.2018611111111111</v>
      </c>
      <c r="H29" s="2">
        <f t="shared" si="7"/>
        <v>0.20156250000000001</v>
      </c>
      <c r="I29" s="86">
        <v>6.99</v>
      </c>
      <c r="J29" s="183">
        <v>6.32</v>
      </c>
      <c r="K29" s="20">
        <f t="shared" si="4"/>
        <v>-9.5851216022889832E-2</v>
      </c>
      <c r="L29" s="4">
        <f t="shared" si="2"/>
        <v>0.76656118143459917</v>
      </c>
      <c r="M29" s="66">
        <v>0.93120000000000003</v>
      </c>
      <c r="N29" s="66">
        <v>0.98040000000000005</v>
      </c>
      <c r="O29" s="186">
        <v>367</v>
      </c>
      <c r="P29" s="49">
        <v>511</v>
      </c>
      <c r="Q29" s="187" t="s">
        <v>613</v>
      </c>
    </row>
    <row r="30" spans="1:17">
      <c r="A30" s="13">
        <f t="shared" si="5"/>
        <v>46139</v>
      </c>
      <c r="B30" s="1"/>
      <c r="C30" s="1"/>
      <c r="D30" s="6"/>
      <c r="E30" s="6"/>
      <c r="F30" s="20" t="e">
        <f t="shared" si="3"/>
        <v>#DIV/0!</v>
      </c>
      <c r="G30" s="2">
        <f t="shared" si="7"/>
        <v>0</v>
      </c>
      <c r="H30" s="2">
        <f t="shared" si="7"/>
        <v>0</v>
      </c>
      <c r="I30" s="86"/>
      <c r="J30" s="6"/>
      <c r="K30" s="20" t="e">
        <f t="shared" si="4"/>
        <v>#DIV/0!</v>
      </c>
      <c r="L30" s="4" t="e">
        <f t="shared" si="2"/>
        <v>#DIV/0!</v>
      </c>
      <c r="M30" s="6"/>
      <c r="N30" s="6"/>
      <c r="O30" s="6"/>
      <c r="P30" s="6"/>
      <c r="Q30" s="6"/>
    </row>
    <row r="31" spans="1:17">
      <c r="A31" s="13">
        <f t="shared" si="5"/>
        <v>46140</v>
      </c>
      <c r="B31" s="1"/>
      <c r="C31" s="1"/>
      <c r="D31" s="6"/>
      <c r="E31" s="6"/>
      <c r="F31" s="20" t="e">
        <f t="shared" si="3"/>
        <v>#DIV/0!</v>
      </c>
      <c r="G31" s="2">
        <f t="shared" si="7"/>
        <v>0</v>
      </c>
      <c r="H31" s="2">
        <f t="shared" si="7"/>
        <v>0</v>
      </c>
      <c r="I31" s="86"/>
      <c r="J31" s="6"/>
      <c r="K31" s="20" t="e">
        <f t="shared" si="4"/>
        <v>#DIV/0!</v>
      </c>
      <c r="L31" s="4" t="e">
        <f t="shared" si="2"/>
        <v>#DIV/0!</v>
      </c>
      <c r="M31" s="6"/>
      <c r="N31" s="6"/>
      <c r="O31" s="6"/>
      <c r="P31" s="6"/>
      <c r="Q31" s="6"/>
    </row>
    <row r="32" spans="1:17">
      <c r="A32" s="13">
        <f t="shared" si="5"/>
        <v>46141</v>
      </c>
      <c r="B32" s="1"/>
      <c r="C32" s="1"/>
      <c r="D32" s="6"/>
      <c r="E32" s="6"/>
      <c r="F32" s="20" t="e">
        <f t="shared" si="3"/>
        <v>#DIV/0!</v>
      </c>
      <c r="G32" s="2">
        <f t="shared" si="7"/>
        <v>0</v>
      </c>
      <c r="H32" s="2">
        <f t="shared" si="7"/>
        <v>0</v>
      </c>
      <c r="I32" s="86"/>
      <c r="J32" s="6"/>
      <c r="K32" s="20" t="e">
        <f t="shared" si="4"/>
        <v>#DIV/0!</v>
      </c>
      <c r="L32" s="4" t="e">
        <f t="shared" si="2"/>
        <v>#DIV/0!</v>
      </c>
      <c r="M32" s="6"/>
      <c r="N32" s="6"/>
      <c r="O32" s="6"/>
      <c r="P32" s="6"/>
      <c r="Q32" s="6"/>
    </row>
    <row r="33" spans="1:17">
      <c r="A33" s="13">
        <f t="shared" si="5"/>
        <v>46142</v>
      </c>
      <c r="B33" s="1"/>
      <c r="C33" s="1"/>
      <c r="D33" s="6"/>
      <c r="E33" s="6"/>
      <c r="F33" s="20" t="e">
        <f t="shared" si="3"/>
        <v>#DIV/0!</v>
      </c>
      <c r="G33" s="2">
        <f t="shared" si="7"/>
        <v>0</v>
      </c>
      <c r="H33" s="2">
        <f t="shared" si="7"/>
        <v>0</v>
      </c>
      <c r="I33" s="86"/>
      <c r="J33" s="6"/>
      <c r="K33" s="20" t="e">
        <f t="shared" si="4"/>
        <v>#DIV/0!</v>
      </c>
      <c r="L33" s="4" t="e">
        <f t="shared" si="2"/>
        <v>#DIV/0!</v>
      </c>
      <c r="M33" s="6"/>
      <c r="N33" s="6"/>
      <c r="O33" s="6"/>
      <c r="P33" s="6"/>
      <c r="Q33" s="6"/>
    </row>
    <row r="34" spans="1:17">
      <c r="A34" s="349">
        <v>46113</v>
      </c>
      <c r="B34" s="89">
        <f>SUM(B4:B33)</f>
        <v>808132</v>
      </c>
      <c r="C34" s="89">
        <f>SUM(C4:C33)</f>
        <v>727298</v>
      </c>
      <c r="D34" s="89">
        <f>SUM(D4:D33)</f>
        <v>775711</v>
      </c>
      <c r="E34" s="89">
        <f>SUM(E4:E33)</f>
        <v>773730</v>
      </c>
      <c r="F34" s="92">
        <f>(IF(ISBLANK(E34),0,E34-C34))/C34</f>
        <v>6.3841781498092942E-2</v>
      </c>
      <c r="G34" s="90">
        <f>AVERAGE(G4:G33)</f>
        <v>0.17956273148148144</v>
      </c>
      <c r="H34" s="90">
        <f>AVERAGE(H4:H33)</f>
        <v>0.24660576923076921</v>
      </c>
      <c r="I34" s="89">
        <f>SUM(I4:I33)</f>
        <v>181.74000000000004</v>
      </c>
      <c r="J34" s="89">
        <f>SUM(J4:J33)</f>
        <v>174.11399999999998</v>
      </c>
      <c r="K34" s="92">
        <f t="shared" si="4"/>
        <v>-4.196104324859723E-2</v>
      </c>
      <c r="L34" s="93">
        <f t="shared" si="2"/>
        <v>0.74253171293903242</v>
      </c>
      <c r="M34" s="90">
        <f>AVERAGE(M4:M33)</f>
        <v>0.99476153846153847</v>
      </c>
      <c r="N34" s="90">
        <f>AVERAGE(N4:N33)</f>
        <v>0.95885769230769224</v>
      </c>
      <c r="O34" s="89">
        <f>SUM(O4:O33)</f>
        <v>30259</v>
      </c>
      <c r="P34" s="89">
        <f>SUM(P4:P33)</f>
        <v>2002</v>
      </c>
      <c r="Q34" s="19"/>
    </row>
    <row r="35" spans="1:17">
      <c r="A35" s="13">
        <v>46143</v>
      </c>
      <c r="B35" s="127"/>
      <c r="C35" s="127"/>
      <c r="D35" s="33"/>
      <c r="E35" s="33"/>
      <c r="F35" s="20" t="e">
        <f>(IF(ISBLANK(E35),0,E35-C35))/C35</f>
        <v>#DIV/0!</v>
      </c>
      <c r="G35" s="2">
        <f t="shared" ref="G35:G57" si="8">D35/($D$2*24)</f>
        <v>0</v>
      </c>
      <c r="H35" s="2">
        <f t="shared" ref="H35:H61" si="9">D35/($H$2*24)</f>
        <v>0</v>
      </c>
      <c r="I35" s="28"/>
      <c r="J35" s="33"/>
      <c r="K35" s="20" t="e">
        <f>(IF(ISBLANK(J35),0,J35-I35))/I35</f>
        <v>#DIV/0!</v>
      </c>
      <c r="L35" s="4" t="e">
        <f t="shared" si="2"/>
        <v>#DIV/0!</v>
      </c>
      <c r="M35" s="103"/>
      <c r="N35" s="103"/>
      <c r="O35" s="33"/>
      <c r="P35" s="6"/>
      <c r="Q35" s="6"/>
    </row>
    <row r="36" spans="1:17">
      <c r="A36" s="13">
        <f>A35+1</f>
        <v>46144</v>
      </c>
      <c r="B36" s="127"/>
      <c r="C36" s="127"/>
      <c r="D36" s="34"/>
      <c r="E36" s="34"/>
      <c r="F36" s="20" t="e">
        <f t="shared" ref="F36:F54" si="10">(IF(ISBLANK(E36),0,E36-C36))/C36</f>
        <v>#DIV/0!</v>
      </c>
      <c r="G36" s="2">
        <f t="shared" si="8"/>
        <v>0</v>
      </c>
      <c r="H36" s="2">
        <f t="shared" si="9"/>
        <v>0</v>
      </c>
      <c r="I36" s="29"/>
      <c r="J36" s="34"/>
      <c r="K36" s="20" t="e">
        <f t="shared" ref="K36:K54" si="11">(IF(ISBLANK(J36),0,J36-I36))/I36</f>
        <v>#DIV/0!</v>
      </c>
      <c r="L36" s="4" t="e">
        <f t="shared" ref="L36:L66" si="12">D36/($D$2*J36)</f>
        <v>#DIV/0!</v>
      </c>
      <c r="M36" s="103"/>
      <c r="N36" s="103"/>
      <c r="O36" s="34"/>
      <c r="P36" s="6"/>
      <c r="Q36" s="6"/>
    </row>
    <row r="37" spans="1:17">
      <c r="A37" s="13">
        <f t="shared" ref="A37:A65" si="13">A36+1</f>
        <v>46145</v>
      </c>
      <c r="B37" s="127"/>
      <c r="C37" s="127"/>
      <c r="D37" s="34"/>
      <c r="E37" s="34"/>
      <c r="F37" s="20" t="e">
        <f t="shared" si="10"/>
        <v>#DIV/0!</v>
      </c>
      <c r="G37" s="2">
        <f t="shared" si="8"/>
        <v>0</v>
      </c>
      <c r="H37" s="2">
        <f t="shared" si="9"/>
        <v>0</v>
      </c>
      <c r="I37" s="29"/>
      <c r="J37" s="34"/>
      <c r="K37" s="20" t="e">
        <f t="shared" si="11"/>
        <v>#DIV/0!</v>
      </c>
      <c r="L37" s="4" t="e">
        <f t="shared" si="12"/>
        <v>#DIV/0!</v>
      </c>
      <c r="M37" s="103"/>
      <c r="N37" s="104"/>
      <c r="O37" s="34"/>
      <c r="P37" s="6"/>
      <c r="Q37" s="6"/>
    </row>
    <row r="38" spans="1:17">
      <c r="A38" s="13">
        <f t="shared" si="13"/>
        <v>46146</v>
      </c>
      <c r="B38" s="127"/>
      <c r="C38" s="127"/>
      <c r="D38" s="34"/>
      <c r="E38" s="34"/>
      <c r="F38" s="20" t="e">
        <f t="shared" si="10"/>
        <v>#DIV/0!</v>
      </c>
      <c r="G38" s="2">
        <f t="shared" si="8"/>
        <v>0</v>
      </c>
      <c r="H38" s="2">
        <f t="shared" si="9"/>
        <v>0</v>
      </c>
      <c r="I38" s="29"/>
      <c r="J38" s="34"/>
      <c r="K38" s="20" t="e">
        <f t="shared" si="11"/>
        <v>#DIV/0!</v>
      </c>
      <c r="L38" s="4" t="e">
        <f t="shared" si="12"/>
        <v>#DIV/0!</v>
      </c>
      <c r="M38" s="103"/>
      <c r="N38" s="103"/>
      <c r="O38" s="34"/>
      <c r="P38" s="6"/>
      <c r="Q38" s="14"/>
    </row>
    <row r="39" spans="1:17">
      <c r="A39" s="13">
        <f t="shared" si="13"/>
        <v>46147</v>
      </c>
      <c r="B39" s="127"/>
      <c r="C39" s="127"/>
      <c r="D39" s="34"/>
      <c r="E39" s="34"/>
      <c r="F39" s="20" t="e">
        <f t="shared" si="10"/>
        <v>#DIV/0!</v>
      </c>
      <c r="G39" s="2">
        <f t="shared" si="8"/>
        <v>0</v>
      </c>
      <c r="H39" s="2">
        <f t="shared" si="9"/>
        <v>0</v>
      </c>
      <c r="I39" s="29"/>
      <c r="J39" s="34"/>
      <c r="K39" s="20" t="e">
        <f t="shared" si="11"/>
        <v>#DIV/0!</v>
      </c>
      <c r="L39" s="4" t="e">
        <f t="shared" si="12"/>
        <v>#DIV/0!</v>
      </c>
      <c r="M39" s="103"/>
      <c r="N39" s="103"/>
      <c r="O39" s="34"/>
      <c r="P39" s="6"/>
      <c r="Q39" s="14"/>
    </row>
    <row r="40" spans="1:17">
      <c r="A40" s="13">
        <f t="shared" si="13"/>
        <v>46148</v>
      </c>
      <c r="B40" s="127"/>
      <c r="C40" s="127"/>
      <c r="D40" s="34"/>
      <c r="E40" s="34"/>
      <c r="F40" s="20" t="e">
        <f t="shared" si="10"/>
        <v>#DIV/0!</v>
      </c>
      <c r="G40" s="2">
        <f t="shared" si="8"/>
        <v>0</v>
      </c>
      <c r="H40" s="2">
        <f t="shared" si="9"/>
        <v>0</v>
      </c>
      <c r="I40" s="29"/>
      <c r="J40" s="34"/>
      <c r="K40" s="20" t="e">
        <f t="shared" si="11"/>
        <v>#DIV/0!</v>
      </c>
      <c r="L40" s="4" t="e">
        <f t="shared" si="12"/>
        <v>#DIV/0!</v>
      </c>
      <c r="M40" s="103"/>
      <c r="N40" s="103"/>
      <c r="O40" s="34"/>
      <c r="P40" s="6"/>
      <c r="Q40" s="14"/>
    </row>
    <row r="41" spans="1:17">
      <c r="A41" s="13">
        <f t="shared" si="13"/>
        <v>46149</v>
      </c>
      <c r="B41" s="127"/>
      <c r="C41" s="127"/>
      <c r="D41" s="34"/>
      <c r="E41" s="34"/>
      <c r="F41" s="20" t="e">
        <f t="shared" si="10"/>
        <v>#DIV/0!</v>
      </c>
      <c r="G41" s="2">
        <f t="shared" si="8"/>
        <v>0</v>
      </c>
      <c r="H41" s="2">
        <f t="shared" si="9"/>
        <v>0</v>
      </c>
      <c r="I41" s="29"/>
      <c r="J41" s="34"/>
      <c r="K41" s="20" t="e">
        <f t="shared" si="11"/>
        <v>#DIV/0!</v>
      </c>
      <c r="L41" s="4" t="e">
        <f t="shared" si="12"/>
        <v>#DIV/0!</v>
      </c>
      <c r="M41" s="103"/>
      <c r="N41" s="103"/>
      <c r="O41" s="34"/>
      <c r="P41" s="6"/>
      <c r="Q41" s="202"/>
    </row>
    <row r="42" spans="1:17">
      <c r="A42" s="13">
        <f t="shared" si="13"/>
        <v>46150</v>
      </c>
      <c r="B42" s="127"/>
      <c r="C42" s="127"/>
      <c r="D42" s="34"/>
      <c r="E42" s="34"/>
      <c r="F42" s="20" t="e">
        <f t="shared" si="10"/>
        <v>#DIV/0!</v>
      </c>
      <c r="G42" s="2">
        <f t="shared" si="8"/>
        <v>0</v>
      </c>
      <c r="H42" s="2">
        <f t="shared" si="9"/>
        <v>0</v>
      </c>
      <c r="I42" s="29"/>
      <c r="J42" s="34"/>
      <c r="K42" s="20" t="e">
        <f t="shared" si="11"/>
        <v>#DIV/0!</v>
      </c>
      <c r="L42" s="4" t="e">
        <f t="shared" si="12"/>
        <v>#DIV/0!</v>
      </c>
      <c r="M42" s="103"/>
      <c r="N42" s="103"/>
      <c r="O42" s="34"/>
      <c r="P42" s="6"/>
      <c r="Q42" s="14"/>
    </row>
    <row r="43" spans="1:17">
      <c r="A43" s="13">
        <f t="shared" si="13"/>
        <v>46151</v>
      </c>
      <c r="B43" s="127"/>
      <c r="C43" s="127"/>
      <c r="D43" s="34"/>
      <c r="E43" s="34"/>
      <c r="F43" s="20" t="e">
        <f t="shared" si="10"/>
        <v>#DIV/0!</v>
      </c>
      <c r="G43" s="2">
        <f t="shared" si="8"/>
        <v>0</v>
      </c>
      <c r="H43" s="2">
        <f t="shared" si="9"/>
        <v>0</v>
      </c>
      <c r="I43" s="29"/>
      <c r="J43" s="34"/>
      <c r="K43" s="20" t="e">
        <f t="shared" si="11"/>
        <v>#DIV/0!</v>
      </c>
      <c r="L43" s="4" t="e">
        <f t="shared" si="12"/>
        <v>#DIV/0!</v>
      </c>
      <c r="M43" s="103"/>
      <c r="N43" s="103"/>
      <c r="O43" s="34"/>
      <c r="P43" s="6"/>
      <c r="Q43" s="6"/>
    </row>
    <row r="44" spans="1:17">
      <c r="A44" s="13">
        <f t="shared" si="13"/>
        <v>46152</v>
      </c>
      <c r="B44" s="127"/>
      <c r="C44" s="127"/>
      <c r="D44" s="34"/>
      <c r="E44" s="34"/>
      <c r="F44" s="20" t="e">
        <f t="shared" si="10"/>
        <v>#DIV/0!</v>
      </c>
      <c r="G44" s="2">
        <f t="shared" si="8"/>
        <v>0</v>
      </c>
      <c r="H44" s="2">
        <f t="shared" si="9"/>
        <v>0</v>
      </c>
      <c r="I44" s="29"/>
      <c r="J44" s="34"/>
      <c r="K44" s="20" t="e">
        <f t="shared" si="11"/>
        <v>#DIV/0!</v>
      </c>
      <c r="L44" s="4" t="e">
        <f t="shared" si="12"/>
        <v>#DIV/0!</v>
      </c>
      <c r="M44" s="103"/>
      <c r="N44" s="103"/>
      <c r="O44" s="34"/>
      <c r="P44" s="6"/>
      <c r="Q44" s="16"/>
    </row>
    <row r="45" spans="1:17">
      <c r="A45" s="13">
        <f t="shared" si="13"/>
        <v>46153</v>
      </c>
      <c r="B45" s="127"/>
      <c r="C45" s="127"/>
      <c r="D45" s="34"/>
      <c r="E45" s="34"/>
      <c r="F45" s="20" t="e">
        <f t="shared" si="10"/>
        <v>#DIV/0!</v>
      </c>
      <c r="G45" s="2">
        <f t="shared" si="8"/>
        <v>0</v>
      </c>
      <c r="H45" s="2">
        <f t="shared" si="9"/>
        <v>0</v>
      </c>
      <c r="I45" s="29"/>
      <c r="J45" s="34"/>
      <c r="K45" s="20" t="e">
        <f t="shared" si="11"/>
        <v>#DIV/0!</v>
      </c>
      <c r="L45" s="4" t="e">
        <f t="shared" si="12"/>
        <v>#DIV/0!</v>
      </c>
      <c r="M45" s="103"/>
      <c r="N45" s="103"/>
      <c r="O45" s="34"/>
      <c r="P45" s="6"/>
      <c r="Q45" s="6"/>
    </row>
    <row r="46" spans="1:17">
      <c r="A46" s="13">
        <f t="shared" si="13"/>
        <v>46154</v>
      </c>
      <c r="B46" s="127"/>
      <c r="C46" s="127"/>
      <c r="D46" s="34"/>
      <c r="E46" s="34"/>
      <c r="F46" s="20" t="e">
        <f t="shared" si="10"/>
        <v>#DIV/0!</v>
      </c>
      <c r="G46" s="2">
        <f t="shared" si="8"/>
        <v>0</v>
      </c>
      <c r="H46" s="2">
        <f t="shared" si="9"/>
        <v>0</v>
      </c>
      <c r="I46" s="29"/>
      <c r="J46" s="34"/>
      <c r="K46" s="20" t="e">
        <f t="shared" si="11"/>
        <v>#DIV/0!</v>
      </c>
      <c r="L46" s="4" t="e">
        <f t="shared" si="12"/>
        <v>#DIV/0!</v>
      </c>
      <c r="M46" s="104"/>
      <c r="N46" s="103"/>
      <c r="O46" s="34"/>
      <c r="P46" s="6"/>
      <c r="Q46" s="6"/>
    </row>
    <row r="47" spans="1:17">
      <c r="A47" s="13">
        <f t="shared" si="13"/>
        <v>46155</v>
      </c>
      <c r="B47" s="127"/>
      <c r="C47" s="127"/>
      <c r="D47" s="34"/>
      <c r="E47" s="34"/>
      <c r="F47" s="20" t="e">
        <f t="shared" si="10"/>
        <v>#DIV/0!</v>
      </c>
      <c r="G47" s="2">
        <f t="shared" si="8"/>
        <v>0</v>
      </c>
      <c r="H47" s="2">
        <f t="shared" si="9"/>
        <v>0</v>
      </c>
      <c r="I47" s="29"/>
      <c r="J47" s="34"/>
      <c r="K47" s="20" t="e">
        <f t="shared" si="11"/>
        <v>#DIV/0!</v>
      </c>
      <c r="L47" s="4" t="e">
        <f t="shared" si="12"/>
        <v>#DIV/0!</v>
      </c>
      <c r="M47" s="104"/>
      <c r="N47" s="103"/>
      <c r="O47" s="34"/>
      <c r="P47" s="6"/>
      <c r="Q47" s="31"/>
    </row>
    <row r="48" spans="1:17">
      <c r="A48" s="13">
        <f t="shared" si="13"/>
        <v>46156</v>
      </c>
      <c r="B48" s="127"/>
      <c r="C48" s="127"/>
      <c r="D48" s="34"/>
      <c r="E48" s="34"/>
      <c r="F48" s="20" t="e">
        <f t="shared" si="10"/>
        <v>#DIV/0!</v>
      </c>
      <c r="G48" s="2">
        <f t="shared" si="8"/>
        <v>0</v>
      </c>
      <c r="H48" s="2">
        <f t="shared" si="9"/>
        <v>0</v>
      </c>
      <c r="I48" s="29"/>
      <c r="J48" s="34"/>
      <c r="K48" s="20" t="e">
        <f t="shared" si="11"/>
        <v>#DIV/0!</v>
      </c>
      <c r="L48" s="4" t="e">
        <f t="shared" si="12"/>
        <v>#DIV/0!</v>
      </c>
      <c r="M48" s="104"/>
      <c r="N48" s="103"/>
      <c r="O48" s="34"/>
      <c r="P48" s="6"/>
      <c r="Q48" s="32"/>
    </row>
    <row r="49" spans="1:17">
      <c r="A49" s="13">
        <f t="shared" si="13"/>
        <v>46157</v>
      </c>
      <c r="B49" s="127"/>
      <c r="C49" s="127"/>
      <c r="D49" s="34"/>
      <c r="E49" s="34"/>
      <c r="F49" s="20" t="e">
        <f t="shared" si="10"/>
        <v>#DIV/0!</v>
      </c>
      <c r="G49" s="2">
        <f t="shared" si="8"/>
        <v>0</v>
      </c>
      <c r="H49" s="2">
        <f t="shared" si="9"/>
        <v>0</v>
      </c>
      <c r="I49" s="29"/>
      <c r="J49" s="34"/>
      <c r="K49" s="20" t="e">
        <f t="shared" si="11"/>
        <v>#DIV/0!</v>
      </c>
      <c r="L49" s="4" t="e">
        <f t="shared" si="12"/>
        <v>#DIV/0!</v>
      </c>
      <c r="M49" s="104"/>
      <c r="N49" s="103"/>
      <c r="O49" s="34"/>
      <c r="P49" s="6"/>
      <c r="Q49" s="32"/>
    </row>
    <row r="50" spans="1:17">
      <c r="A50" s="13">
        <f t="shared" si="13"/>
        <v>46158</v>
      </c>
      <c r="B50" s="127"/>
      <c r="C50" s="127"/>
      <c r="D50" s="34"/>
      <c r="E50" s="34"/>
      <c r="F50" s="20" t="e">
        <f t="shared" si="10"/>
        <v>#DIV/0!</v>
      </c>
      <c r="G50" s="2">
        <f t="shared" si="8"/>
        <v>0</v>
      </c>
      <c r="H50" s="2">
        <f t="shared" si="9"/>
        <v>0</v>
      </c>
      <c r="I50" s="29"/>
      <c r="J50" s="34"/>
      <c r="K50" s="20" t="e">
        <f t="shared" si="11"/>
        <v>#DIV/0!</v>
      </c>
      <c r="L50" s="4" t="e">
        <f t="shared" si="12"/>
        <v>#DIV/0!</v>
      </c>
      <c r="M50" s="104"/>
      <c r="N50" s="103"/>
      <c r="O50" s="34"/>
      <c r="P50" s="6"/>
      <c r="Q50" s="32"/>
    </row>
    <row r="51" spans="1:17">
      <c r="A51" s="13">
        <f t="shared" si="13"/>
        <v>46159</v>
      </c>
      <c r="B51" s="127"/>
      <c r="C51" s="127"/>
      <c r="D51" s="34"/>
      <c r="E51" s="34"/>
      <c r="F51" s="20" t="e">
        <f t="shared" si="10"/>
        <v>#DIV/0!</v>
      </c>
      <c r="G51" s="2">
        <f t="shared" si="8"/>
        <v>0</v>
      </c>
      <c r="H51" s="2">
        <f t="shared" si="9"/>
        <v>0</v>
      </c>
      <c r="I51" s="29"/>
      <c r="J51" s="34"/>
      <c r="K51" s="20" t="e">
        <f t="shared" si="11"/>
        <v>#DIV/0!</v>
      </c>
      <c r="L51" s="4" t="e">
        <f t="shared" si="12"/>
        <v>#DIV/0!</v>
      </c>
      <c r="M51" s="103"/>
      <c r="N51" s="103"/>
      <c r="O51" s="34"/>
      <c r="P51" s="6"/>
      <c r="Q51" s="6"/>
    </row>
    <row r="52" spans="1:17">
      <c r="A52" s="13">
        <f t="shared" si="13"/>
        <v>46160</v>
      </c>
      <c r="B52" s="127"/>
      <c r="C52" s="127"/>
      <c r="D52" s="34"/>
      <c r="E52" s="34"/>
      <c r="F52" s="20" t="e">
        <f t="shared" si="10"/>
        <v>#DIV/0!</v>
      </c>
      <c r="G52" s="2">
        <f t="shared" si="8"/>
        <v>0</v>
      </c>
      <c r="H52" s="2">
        <f t="shared" si="9"/>
        <v>0</v>
      </c>
      <c r="I52" s="29"/>
      <c r="J52" s="34"/>
      <c r="K52" s="20" t="e">
        <f t="shared" si="11"/>
        <v>#DIV/0!</v>
      </c>
      <c r="L52" s="4" t="e">
        <f t="shared" si="12"/>
        <v>#DIV/0!</v>
      </c>
      <c r="M52" s="103"/>
      <c r="N52" s="103"/>
      <c r="O52" s="34"/>
      <c r="P52" s="6"/>
      <c r="Q52" s="14"/>
    </row>
    <row r="53" spans="1:17">
      <c r="A53" s="13">
        <f t="shared" si="13"/>
        <v>46161</v>
      </c>
      <c r="B53" s="127"/>
      <c r="C53" s="127"/>
      <c r="D53" s="34"/>
      <c r="E53" s="34"/>
      <c r="F53" s="20" t="e">
        <f t="shared" si="10"/>
        <v>#DIV/0!</v>
      </c>
      <c r="G53" s="2">
        <f t="shared" si="8"/>
        <v>0</v>
      </c>
      <c r="H53" s="2">
        <f t="shared" si="9"/>
        <v>0</v>
      </c>
      <c r="I53" s="29"/>
      <c r="J53" s="34"/>
      <c r="K53" s="20" t="e">
        <f t="shared" si="11"/>
        <v>#DIV/0!</v>
      </c>
      <c r="L53" s="4" t="e">
        <f t="shared" si="12"/>
        <v>#DIV/0!</v>
      </c>
      <c r="M53" s="103"/>
      <c r="N53" s="103"/>
      <c r="O53" s="34"/>
      <c r="P53" s="6"/>
      <c r="Q53" s="14"/>
    </row>
    <row r="54" spans="1:17">
      <c r="A54" s="13">
        <f t="shared" si="13"/>
        <v>46162</v>
      </c>
      <c r="B54" s="127"/>
      <c r="C54" s="127"/>
      <c r="D54" s="34"/>
      <c r="E54" s="34"/>
      <c r="F54" s="20" t="e">
        <f t="shared" si="10"/>
        <v>#DIV/0!</v>
      </c>
      <c r="G54" s="2">
        <f t="shared" si="8"/>
        <v>0</v>
      </c>
      <c r="H54" s="2">
        <f t="shared" si="9"/>
        <v>0</v>
      </c>
      <c r="I54" s="29"/>
      <c r="J54" s="34"/>
      <c r="K54" s="20" t="e">
        <f t="shared" si="11"/>
        <v>#DIV/0!</v>
      </c>
      <c r="L54" s="4" t="e">
        <f t="shared" si="12"/>
        <v>#DIV/0!</v>
      </c>
      <c r="M54" s="103"/>
      <c r="N54" s="103"/>
      <c r="O54" s="34"/>
      <c r="P54" s="6"/>
      <c r="Q54" s="14"/>
    </row>
    <row r="55" spans="1:17">
      <c r="A55" s="13">
        <f t="shared" si="13"/>
        <v>46163</v>
      </c>
      <c r="B55" s="127"/>
      <c r="C55" s="127"/>
      <c r="D55" s="34"/>
      <c r="E55" s="34"/>
      <c r="F55" s="20" t="e">
        <f>(IF(ISBLANK(E55),0,E55-C55))/C55</f>
        <v>#DIV/0!</v>
      </c>
      <c r="G55" s="2">
        <f t="shared" si="8"/>
        <v>0</v>
      </c>
      <c r="H55" s="2">
        <f t="shared" si="9"/>
        <v>0</v>
      </c>
      <c r="I55" s="29"/>
      <c r="J55" s="34"/>
      <c r="K55" s="20" t="e">
        <f>(IF(ISBLANK(J55),0,J55-I55))/I55</f>
        <v>#DIV/0!</v>
      </c>
      <c r="L55" s="4" t="e">
        <f t="shared" si="12"/>
        <v>#DIV/0!</v>
      </c>
      <c r="M55" s="103"/>
      <c r="N55" s="103"/>
      <c r="O55" s="34"/>
      <c r="P55" s="6"/>
      <c r="Q55" s="6"/>
    </row>
    <row r="56" spans="1:17">
      <c r="A56" s="13">
        <f t="shared" si="13"/>
        <v>46164</v>
      </c>
      <c r="B56" s="127"/>
      <c r="C56" s="127"/>
      <c r="D56" s="34"/>
      <c r="E56" s="34"/>
      <c r="F56" s="20" t="e">
        <f t="shared" ref="F56:F65" si="14">(IF(ISBLANK(E56),0,E56-C56))/C56</f>
        <v>#DIV/0!</v>
      </c>
      <c r="G56" s="2">
        <f t="shared" si="8"/>
        <v>0</v>
      </c>
      <c r="H56" s="2">
        <f t="shared" si="9"/>
        <v>0</v>
      </c>
      <c r="I56" s="29"/>
      <c r="J56" s="34"/>
      <c r="K56" s="20" t="e">
        <f t="shared" ref="K56:K65" si="15">(IF(ISBLANK(J56),0,J56-I56))/I56</f>
        <v>#DIV/0!</v>
      </c>
      <c r="L56" s="4" t="e">
        <f t="shared" si="12"/>
        <v>#DIV/0!</v>
      </c>
      <c r="M56" s="103"/>
      <c r="N56" s="103"/>
      <c r="O56" s="34"/>
      <c r="P56" s="6"/>
      <c r="Q56" s="6"/>
    </row>
    <row r="57" spans="1:17">
      <c r="A57" s="13">
        <f t="shared" si="13"/>
        <v>46165</v>
      </c>
      <c r="B57" s="127"/>
      <c r="C57" s="127"/>
      <c r="D57" s="14"/>
      <c r="E57" s="14"/>
      <c r="F57" s="20" t="e">
        <f t="shared" si="14"/>
        <v>#DIV/0!</v>
      </c>
      <c r="G57" s="2">
        <f t="shared" si="8"/>
        <v>0</v>
      </c>
      <c r="H57" s="2">
        <f t="shared" si="9"/>
        <v>0</v>
      </c>
      <c r="I57" s="29"/>
      <c r="J57" s="14"/>
      <c r="K57" s="20" t="e">
        <f t="shared" si="15"/>
        <v>#DIV/0!</v>
      </c>
      <c r="L57" s="4" t="e">
        <f t="shared" si="12"/>
        <v>#DIV/0!</v>
      </c>
      <c r="M57" s="103"/>
      <c r="N57" s="103"/>
      <c r="O57" s="34"/>
      <c r="P57" s="6"/>
      <c r="Q57" s="6"/>
    </row>
    <row r="58" spans="1:17">
      <c r="A58" s="13">
        <f t="shared" si="13"/>
        <v>46166</v>
      </c>
      <c r="B58" s="127"/>
      <c r="C58" s="127"/>
      <c r="D58" s="14"/>
      <c r="E58" s="14"/>
      <c r="F58" s="20" t="e">
        <f t="shared" si="14"/>
        <v>#DIV/0!</v>
      </c>
      <c r="G58" s="2">
        <f t="shared" ref="G58:G65" si="16">D58/($D$2*24)</f>
        <v>0</v>
      </c>
      <c r="H58" s="2">
        <f t="shared" si="9"/>
        <v>0</v>
      </c>
      <c r="I58" s="29"/>
      <c r="J58" s="14"/>
      <c r="K58" s="20" t="e">
        <f t="shared" si="15"/>
        <v>#DIV/0!</v>
      </c>
      <c r="L58" s="4" t="e">
        <f t="shared" si="12"/>
        <v>#DIV/0!</v>
      </c>
      <c r="M58" s="103"/>
      <c r="N58" s="103"/>
      <c r="O58" s="34"/>
      <c r="P58" s="6"/>
      <c r="Q58" s="288"/>
    </row>
    <row r="59" spans="1:17">
      <c r="A59" s="13">
        <f t="shared" si="13"/>
        <v>46167</v>
      </c>
      <c r="B59" s="1"/>
      <c r="C59" s="1"/>
      <c r="D59" s="14"/>
      <c r="E59" s="14"/>
      <c r="F59" s="20" t="e">
        <f t="shared" si="14"/>
        <v>#DIV/0!</v>
      </c>
      <c r="G59" s="2">
        <f t="shared" si="16"/>
        <v>0</v>
      </c>
      <c r="H59" s="2">
        <f t="shared" si="9"/>
        <v>0</v>
      </c>
      <c r="I59" s="29"/>
      <c r="J59" s="14"/>
      <c r="K59" s="20" t="e">
        <f t="shared" si="15"/>
        <v>#DIV/0!</v>
      </c>
      <c r="L59" s="4" t="e">
        <f t="shared" si="12"/>
        <v>#DIV/0!</v>
      </c>
      <c r="M59" s="103"/>
      <c r="N59" s="103"/>
      <c r="O59" s="34"/>
      <c r="P59" s="155"/>
      <c r="Q59" s="6"/>
    </row>
    <row r="60" spans="1:17">
      <c r="A60" s="13">
        <f t="shared" si="13"/>
        <v>46168</v>
      </c>
      <c r="B60" s="1"/>
      <c r="C60" s="1"/>
      <c r="D60" s="14"/>
      <c r="E60" s="14"/>
      <c r="F60" s="20" t="e">
        <f t="shared" si="14"/>
        <v>#DIV/0!</v>
      </c>
      <c r="G60" s="2">
        <f t="shared" si="16"/>
        <v>0</v>
      </c>
      <c r="H60" s="2">
        <f t="shared" si="9"/>
        <v>0</v>
      </c>
      <c r="I60" s="29"/>
      <c r="J60" s="14"/>
      <c r="K60" s="20" t="e">
        <f t="shared" si="15"/>
        <v>#DIV/0!</v>
      </c>
      <c r="L60" s="4" t="e">
        <f t="shared" si="12"/>
        <v>#DIV/0!</v>
      </c>
      <c r="M60" s="103"/>
      <c r="N60" s="103"/>
      <c r="O60" s="34"/>
      <c r="P60" s="6"/>
      <c r="Q60" s="123"/>
    </row>
    <row r="61" spans="1:17">
      <c r="A61" s="13">
        <f t="shared" si="13"/>
        <v>46169</v>
      </c>
      <c r="B61" s="1"/>
      <c r="C61" s="1"/>
      <c r="D61" s="14"/>
      <c r="E61" s="14"/>
      <c r="F61" s="20" t="e">
        <f t="shared" si="14"/>
        <v>#DIV/0!</v>
      </c>
      <c r="G61" s="2">
        <f t="shared" si="16"/>
        <v>0</v>
      </c>
      <c r="H61" s="2">
        <f t="shared" si="9"/>
        <v>0</v>
      </c>
      <c r="I61" s="29"/>
      <c r="J61" s="14"/>
      <c r="K61" s="20" t="e">
        <f t="shared" si="15"/>
        <v>#DIV/0!</v>
      </c>
      <c r="L61" s="4" t="e">
        <f t="shared" si="12"/>
        <v>#DIV/0!</v>
      </c>
      <c r="M61" s="103"/>
      <c r="N61" s="103"/>
      <c r="O61" s="34"/>
      <c r="P61" s="6"/>
      <c r="Q61" s="6"/>
    </row>
    <row r="62" spans="1:17">
      <c r="A62" s="13">
        <f t="shared" si="13"/>
        <v>46170</v>
      </c>
      <c r="B62" s="1"/>
      <c r="C62" s="1"/>
      <c r="D62" s="14"/>
      <c r="E62" s="14"/>
      <c r="F62" s="20" t="e">
        <f t="shared" si="14"/>
        <v>#DIV/0!</v>
      </c>
      <c r="G62" s="2">
        <f t="shared" si="16"/>
        <v>0</v>
      </c>
      <c r="H62" s="2">
        <f t="shared" ref="H62:H65" si="17">D62/($H$2*24)</f>
        <v>0</v>
      </c>
      <c r="I62" s="29"/>
      <c r="J62" s="14"/>
      <c r="K62" s="20" t="e">
        <f t="shared" si="15"/>
        <v>#DIV/0!</v>
      </c>
      <c r="L62" s="4" t="e">
        <f t="shared" si="12"/>
        <v>#DIV/0!</v>
      </c>
      <c r="M62" s="103"/>
      <c r="N62" s="103"/>
      <c r="O62" s="34"/>
      <c r="P62" s="6"/>
      <c r="Q62" s="6"/>
    </row>
    <row r="63" spans="1:17">
      <c r="A63" s="13">
        <f t="shared" si="13"/>
        <v>46171</v>
      </c>
      <c r="B63" s="1"/>
      <c r="C63" s="1"/>
      <c r="D63" s="14"/>
      <c r="E63" s="14"/>
      <c r="F63" s="20" t="e">
        <f t="shared" si="14"/>
        <v>#DIV/0!</v>
      </c>
      <c r="G63" s="2">
        <f t="shared" si="16"/>
        <v>0</v>
      </c>
      <c r="H63" s="2">
        <f t="shared" si="17"/>
        <v>0</v>
      </c>
      <c r="I63" s="29"/>
      <c r="J63" s="14"/>
      <c r="K63" s="20" t="e">
        <f t="shared" si="15"/>
        <v>#DIV/0!</v>
      </c>
      <c r="L63" s="4" t="e">
        <f t="shared" si="12"/>
        <v>#DIV/0!</v>
      </c>
      <c r="M63" s="103"/>
      <c r="N63" s="103"/>
      <c r="O63" s="34"/>
      <c r="P63" s="6"/>
      <c r="Q63" s="6"/>
    </row>
    <row r="64" spans="1:17">
      <c r="A64" s="13">
        <f t="shared" si="13"/>
        <v>46172</v>
      </c>
      <c r="B64" s="1"/>
      <c r="C64" s="1"/>
      <c r="D64" s="14"/>
      <c r="E64" s="14"/>
      <c r="F64" s="20" t="e">
        <f t="shared" si="14"/>
        <v>#DIV/0!</v>
      </c>
      <c r="G64" s="2">
        <f t="shared" si="16"/>
        <v>0</v>
      </c>
      <c r="H64" s="2">
        <f t="shared" si="17"/>
        <v>0</v>
      </c>
      <c r="I64" s="29"/>
      <c r="J64" s="14"/>
      <c r="K64" s="20" t="e">
        <f t="shared" si="15"/>
        <v>#DIV/0!</v>
      </c>
      <c r="L64" s="4" t="e">
        <f t="shared" si="12"/>
        <v>#DIV/0!</v>
      </c>
      <c r="M64" s="103"/>
      <c r="N64" s="103"/>
      <c r="O64" s="34"/>
      <c r="P64" s="6"/>
      <c r="Q64" s="6"/>
    </row>
    <row r="65" spans="1:17">
      <c r="A65" s="13">
        <f t="shared" si="13"/>
        <v>46173</v>
      </c>
      <c r="B65" s="1"/>
      <c r="C65" s="1"/>
      <c r="D65" s="14"/>
      <c r="E65" s="14"/>
      <c r="F65" s="20" t="e">
        <f t="shared" si="14"/>
        <v>#DIV/0!</v>
      </c>
      <c r="G65" s="2">
        <f t="shared" si="16"/>
        <v>0</v>
      </c>
      <c r="H65" s="2">
        <f t="shared" si="17"/>
        <v>0</v>
      </c>
      <c r="I65" s="29"/>
      <c r="J65" s="14"/>
      <c r="K65" s="20" t="e">
        <f t="shared" si="15"/>
        <v>#DIV/0!</v>
      </c>
      <c r="L65" s="4" t="e">
        <f t="shared" si="12"/>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2"/>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F494-52E1-4B2D-A391-15D07DE7105F}">
  <dimension ref="A1:Q66"/>
  <sheetViews>
    <sheetView workbookViewId="0">
      <pane xSplit="1" ySplit="3" topLeftCell="B26" activePane="bottomRight" state="frozen"/>
      <selection pane="topRight"/>
      <selection pane="bottomLeft"/>
      <selection pane="bottomRight" activeCell="A46" sqref="A46"/>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8.5">
      <c r="A1" s="405" t="s">
        <v>614</v>
      </c>
      <c r="B1" s="406"/>
      <c r="C1" s="406"/>
      <c r="D1" s="406"/>
      <c r="E1" s="406"/>
      <c r="F1" s="406"/>
      <c r="G1" s="406"/>
      <c r="H1" s="406"/>
      <c r="I1" s="406"/>
      <c r="J1" s="406"/>
      <c r="K1" s="406"/>
      <c r="L1" s="406"/>
      <c r="M1" s="406"/>
      <c r="N1" s="406"/>
      <c r="O1" s="406"/>
      <c r="P1" s="406"/>
      <c r="Q1" s="406"/>
    </row>
    <row r="2" spans="1:17" ht="18.5">
      <c r="A2" s="7">
        <v>46113</v>
      </c>
      <c r="B2" s="407" t="s">
        <v>172</v>
      </c>
      <c r="C2" s="408"/>
      <c r="D2" s="8">
        <v>4900</v>
      </c>
      <c r="E2" s="407" t="s">
        <v>173</v>
      </c>
      <c r="F2" s="407"/>
      <c r="G2" s="408"/>
      <c r="H2" s="8">
        <v>3960</v>
      </c>
      <c r="I2" s="409" t="s">
        <v>174</v>
      </c>
      <c r="J2" s="410"/>
      <c r="K2" s="9">
        <v>44743</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26695</v>
      </c>
      <c r="C4" s="1">
        <v>25386</v>
      </c>
      <c r="D4" s="6">
        <v>23217</v>
      </c>
      <c r="E4" s="6">
        <v>22750</v>
      </c>
      <c r="F4" s="21">
        <f t="shared" ref="F4:F35" si="0">(IF(ISBLANK(E4),0,E4-C4))/C4</f>
        <v>-0.10383676041912865</v>
      </c>
      <c r="G4" s="2">
        <f t="shared" ref="G4:G33" si="1">D4/($D$2*24)</f>
        <v>0.1974234693877551</v>
      </c>
      <c r="H4" s="2">
        <f t="shared" ref="H4:H21" si="2">D4/($H$2*24)</f>
        <v>0.24428661616161615</v>
      </c>
      <c r="I4" s="86">
        <v>6.9429999999999996</v>
      </c>
      <c r="J4" s="183">
        <v>6.76</v>
      </c>
      <c r="K4" s="21">
        <f t="shared" ref="K4:K35" si="3">(IF(ISBLANK(J4),0,J4-I4))/I4</f>
        <v>-2.6357482356330092E-2</v>
      </c>
      <c r="L4" s="22">
        <f t="shared" ref="L4:L35" si="4">D4/($D$2*J4)</f>
        <v>0.70091172563700033</v>
      </c>
      <c r="M4" s="64">
        <v>1</v>
      </c>
      <c r="N4" s="25">
        <v>1</v>
      </c>
      <c r="O4" s="49">
        <v>2855</v>
      </c>
      <c r="P4" s="49" t="s">
        <v>175</v>
      </c>
      <c r="Q4" s="50" t="s">
        <v>615</v>
      </c>
    </row>
    <row r="5" spans="1:17">
      <c r="A5" s="13">
        <f t="shared" ref="A5:A33" si="5">A4+1</f>
        <v>46114</v>
      </c>
      <c r="B5" s="1">
        <v>26695</v>
      </c>
      <c r="C5" s="1">
        <v>25386</v>
      </c>
      <c r="D5" s="6">
        <v>24022</v>
      </c>
      <c r="E5" s="6">
        <v>23600</v>
      </c>
      <c r="F5" s="21">
        <f t="shared" si="0"/>
        <v>-7.0353738280942255E-2</v>
      </c>
      <c r="G5" s="2">
        <f t="shared" si="1"/>
        <v>0.20426870748299319</v>
      </c>
      <c r="H5" s="2">
        <f t="shared" si="2"/>
        <v>0.25275673400673399</v>
      </c>
      <c r="I5" s="86">
        <v>6.9429999999999996</v>
      </c>
      <c r="J5" s="183">
        <v>6.92</v>
      </c>
      <c r="K5" s="21">
        <f t="shared" si="3"/>
        <v>-3.3126890393201337E-3</v>
      </c>
      <c r="L5" s="22">
        <f t="shared" si="4"/>
        <v>0.70844638433408047</v>
      </c>
      <c r="M5" s="64">
        <v>1</v>
      </c>
      <c r="N5" s="25">
        <v>1</v>
      </c>
      <c r="O5" s="50">
        <v>2493</v>
      </c>
      <c r="P5" s="49" t="s">
        <v>175</v>
      </c>
      <c r="Q5" s="50" t="s">
        <v>615</v>
      </c>
    </row>
    <row r="6" spans="1:17">
      <c r="A6" s="13">
        <f t="shared" si="5"/>
        <v>46115</v>
      </c>
      <c r="B6" s="1">
        <v>26695</v>
      </c>
      <c r="C6" s="1">
        <v>25386</v>
      </c>
      <c r="D6" s="6">
        <v>20269</v>
      </c>
      <c r="E6" s="6">
        <v>19850</v>
      </c>
      <c r="F6" s="21">
        <f t="shared" si="0"/>
        <v>-0.2180729535964705</v>
      </c>
      <c r="G6" s="2">
        <f t="shared" si="1"/>
        <v>0.17235544217687074</v>
      </c>
      <c r="H6" s="2">
        <f t="shared" si="2"/>
        <v>0.21326809764309765</v>
      </c>
      <c r="I6" s="86">
        <v>6.9429999999999996</v>
      </c>
      <c r="J6" s="183">
        <v>5.31</v>
      </c>
      <c r="K6" s="21">
        <f t="shared" si="3"/>
        <v>-0.23520092179173269</v>
      </c>
      <c r="L6" s="22">
        <f t="shared" si="4"/>
        <v>0.77900764825704305</v>
      </c>
      <c r="M6" s="64">
        <v>1</v>
      </c>
      <c r="N6" s="25">
        <v>1</v>
      </c>
      <c r="O6" s="50" t="s">
        <v>175</v>
      </c>
      <c r="P6" s="49" t="s">
        <v>175</v>
      </c>
      <c r="Q6" s="50"/>
    </row>
    <row r="7" spans="1:17">
      <c r="A7" s="13">
        <f t="shared" si="5"/>
        <v>46116</v>
      </c>
      <c r="B7" s="1">
        <v>26695</v>
      </c>
      <c r="C7" s="1">
        <v>25386</v>
      </c>
      <c r="D7" s="6">
        <v>23681</v>
      </c>
      <c r="E7" s="6">
        <v>22950</v>
      </c>
      <c r="F7" s="21">
        <f t="shared" si="0"/>
        <v>-9.5958402268967152E-2</v>
      </c>
      <c r="G7" s="2">
        <f t="shared" si="1"/>
        <v>0.20136904761904761</v>
      </c>
      <c r="H7" s="2">
        <f t="shared" si="2"/>
        <v>0.24916877104377105</v>
      </c>
      <c r="I7" s="86">
        <v>6.9429999999999996</v>
      </c>
      <c r="J7" s="183">
        <v>6.25</v>
      </c>
      <c r="K7" s="21">
        <f t="shared" si="3"/>
        <v>-9.9812761054299246E-2</v>
      </c>
      <c r="L7" s="22">
        <f t="shared" si="4"/>
        <v>0.77325714285714287</v>
      </c>
      <c r="M7" s="64">
        <v>1</v>
      </c>
      <c r="N7" s="25">
        <v>1</v>
      </c>
      <c r="O7" s="186" t="s">
        <v>175</v>
      </c>
      <c r="P7" s="49" t="s">
        <v>175</v>
      </c>
      <c r="Q7" s="191"/>
    </row>
    <row r="8" spans="1:17">
      <c r="A8" s="13">
        <f t="shared" si="5"/>
        <v>46117</v>
      </c>
      <c r="B8" s="1">
        <v>26695</v>
      </c>
      <c r="C8" s="1">
        <v>25386</v>
      </c>
      <c r="D8" s="6">
        <v>20677</v>
      </c>
      <c r="E8" s="6">
        <v>20300</v>
      </c>
      <c r="F8" s="21">
        <f t="shared" si="0"/>
        <v>-0.20034664775860711</v>
      </c>
      <c r="G8" s="2">
        <f t="shared" si="1"/>
        <v>0.17582482993197279</v>
      </c>
      <c r="H8" s="2">
        <f t="shared" si="2"/>
        <v>0.21756102693602694</v>
      </c>
      <c r="I8" s="86">
        <v>6.9429999999999996</v>
      </c>
      <c r="J8" s="183">
        <v>6.48</v>
      </c>
      <c r="K8" s="21">
        <f t="shared" si="3"/>
        <v>-6.6685870661097393E-2</v>
      </c>
      <c r="L8" s="22">
        <f t="shared" si="4"/>
        <v>0.65120307382212139</v>
      </c>
      <c r="M8" s="64">
        <v>1</v>
      </c>
      <c r="N8" s="25">
        <v>1</v>
      </c>
      <c r="O8" s="49">
        <v>4414</v>
      </c>
      <c r="P8" s="49" t="s">
        <v>175</v>
      </c>
      <c r="Q8" s="50" t="s">
        <v>615</v>
      </c>
    </row>
    <row r="9" spans="1:17">
      <c r="A9" s="13">
        <f t="shared" si="5"/>
        <v>46118</v>
      </c>
      <c r="B9" s="1">
        <v>26695</v>
      </c>
      <c r="C9" s="1">
        <v>25386</v>
      </c>
      <c r="D9" s="6">
        <v>22036</v>
      </c>
      <c r="E9" s="6">
        <v>21650</v>
      </c>
      <c r="F9" s="21">
        <f t="shared" si="0"/>
        <v>-0.14716773024501695</v>
      </c>
      <c r="G9" s="2">
        <f t="shared" si="1"/>
        <v>0.18738095238095237</v>
      </c>
      <c r="H9" s="2">
        <f t="shared" si="2"/>
        <v>0.23186026936026935</v>
      </c>
      <c r="I9" s="86">
        <v>6.9429999999999996</v>
      </c>
      <c r="J9" s="183">
        <v>6.95</v>
      </c>
      <c r="K9" s="21">
        <f t="shared" si="3"/>
        <v>1.0082097076192656E-3</v>
      </c>
      <c r="L9" s="22">
        <f t="shared" si="4"/>
        <v>0.64707091469681399</v>
      </c>
      <c r="M9" s="64">
        <v>1</v>
      </c>
      <c r="N9" s="25">
        <v>1</v>
      </c>
      <c r="O9" s="49">
        <v>4414</v>
      </c>
      <c r="P9" s="49"/>
      <c r="Q9" s="50" t="s">
        <v>615</v>
      </c>
    </row>
    <row r="10" spans="1:17">
      <c r="A10" s="13">
        <f t="shared" si="5"/>
        <v>46119</v>
      </c>
      <c r="B10" s="1">
        <v>26695</v>
      </c>
      <c r="C10" s="1">
        <v>25386</v>
      </c>
      <c r="D10" s="6">
        <v>12356</v>
      </c>
      <c r="E10" s="6">
        <v>12200</v>
      </c>
      <c r="F10" s="21">
        <f t="shared" si="0"/>
        <v>-0.51942015284014809</v>
      </c>
      <c r="G10" s="2">
        <f t="shared" si="1"/>
        <v>0.10506802721088436</v>
      </c>
      <c r="H10" s="2">
        <f t="shared" si="2"/>
        <v>0.13000841750841752</v>
      </c>
      <c r="I10" s="86">
        <v>6.9429999999999996</v>
      </c>
      <c r="J10" s="183">
        <v>4.78</v>
      </c>
      <c r="K10" s="21">
        <f t="shared" si="3"/>
        <v>-0.31153679965432801</v>
      </c>
      <c r="L10" s="22">
        <f t="shared" si="4"/>
        <v>0.52753821193749462</v>
      </c>
      <c r="M10" s="64">
        <v>0.84</v>
      </c>
      <c r="N10" s="25">
        <v>0.98</v>
      </c>
      <c r="O10" s="49">
        <v>6038</v>
      </c>
      <c r="P10" s="219">
        <v>308</v>
      </c>
      <c r="Q10" s="50" t="s">
        <v>616</v>
      </c>
    </row>
    <row r="11" spans="1:17">
      <c r="A11" s="13">
        <f t="shared" si="5"/>
        <v>46120</v>
      </c>
      <c r="B11" s="1">
        <v>26695</v>
      </c>
      <c r="C11" s="1">
        <v>25386</v>
      </c>
      <c r="D11" s="6">
        <v>14625</v>
      </c>
      <c r="E11" s="6">
        <v>14150</v>
      </c>
      <c r="F11" s="21">
        <f t="shared" si="0"/>
        <v>-0.44260616087607341</v>
      </c>
      <c r="G11" s="2">
        <f t="shared" si="1"/>
        <v>0.12436224489795919</v>
      </c>
      <c r="H11" s="2">
        <f t="shared" si="2"/>
        <v>0.15388257575757575</v>
      </c>
      <c r="I11" s="86">
        <v>6.9429999999999996</v>
      </c>
      <c r="J11" s="183">
        <v>5.74</v>
      </c>
      <c r="K11" s="21">
        <f t="shared" si="3"/>
        <v>-0.1732680397522684</v>
      </c>
      <c r="L11" s="22">
        <f t="shared" si="4"/>
        <v>0.51998151176847041</v>
      </c>
      <c r="M11" s="64">
        <v>1</v>
      </c>
      <c r="N11" s="25">
        <v>0.97</v>
      </c>
      <c r="O11" s="219">
        <v>6541</v>
      </c>
      <c r="P11" s="219">
        <v>1377</v>
      </c>
      <c r="Q11" s="50" t="s">
        <v>615</v>
      </c>
    </row>
    <row r="12" spans="1:17">
      <c r="A12" s="13">
        <f t="shared" si="5"/>
        <v>46121</v>
      </c>
      <c r="B12" s="1">
        <v>26695</v>
      </c>
      <c r="C12" s="1">
        <v>25386</v>
      </c>
      <c r="D12" s="6">
        <v>21011</v>
      </c>
      <c r="E12" s="6">
        <v>20650</v>
      </c>
      <c r="F12" s="21">
        <f t="shared" si="0"/>
        <v>-0.18655952099582446</v>
      </c>
      <c r="G12" s="2">
        <f t="shared" si="1"/>
        <v>0.17866496598639456</v>
      </c>
      <c r="H12" s="2">
        <f t="shared" si="2"/>
        <v>0.22107533670033669</v>
      </c>
      <c r="I12" s="86">
        <v>6.9429999999999996</v>
      </c>
      <c r="J12" s="183">
        <v>6.44</v>
      </c>
      <c r="K12" s="21">
        <f t="shared" si="3"/>
        <v>-7.2447068990349889E-2</v>
      </c>
      <c r="L12" s="22">
        <f t="shared" si="4"/>
        <v>0.66583217137786788</v>
      </c>
      <c r="M12" s="66">
        <v>1</v>
      </c>
      <c r="N12" s="25">
        <v>1</v>
      </c>
      <c r="O12" s="186">
        <v>1390</v>
      </c>
      <c r="P12" s="219">
        <v>3589</v>
      </c>
      <c r="Q12" s="50" t="s">
        <v>616</v>
      </c>
    </row>
    <row r="13" spans="1:17">
      <c r="A13" s="13">
        <f t="shared" si="5"/>
        <v>46122</v>
      </c>
      <c r="B13" s="1">
        <v>26695</v>
      </c>
      <c r="C13" s="1">
        <v>25386</v>
      </c>
      <c r="D13" s="6">
        <v>25380</v>
      </c>
      <c r="E13" s="6">
        <v>24750</v>
      </c>
      <c r="F13" s="21">
        <f t="shared" si="0"/>
        <v>-2.5053178917513592E-2</v>
      </c>
      <c r="G13" s="2">
        <f t="shared" si="1"/>
        <v>0.21581632653061225</v>
      </c>
      <c r="H13" s="2">
        <f t="shared" si="2"/>
        <v>0.26704545454545453</v>
      </c>
      <c r="I13" s="86">
        <v>6.9429999999999996</v>
      </c>
      <c r="J13" s="183">
        <v>7.04</v>
      </c>
      <c r="K13" s="21">
        <f t="shared" si="3"/>
        <v>1.3970905948437336E-2</v>
      </c>
      <c r="L13" s="22">
        <f t="shared" si="4"/>
        <v>0.73573747680890533</v>
      </c>
      <c r="M13" s="66">
        <v>1</v>
      </c>
      <c r="N13" s="25">
        <v>1</v>
      </c>
      <c r="O13" s="186">
        <v>2041</v>
      </c>
      <c r="P13" s="219"/>
      <c r="Q13" s="50" t="s">
        <v>615</v>
      </c>
    </row>
    <row r="14" spans="1:17">
      <c r="A14" s="13">
        <f t="shared" si="5"/>
        <v>46123</v>
      </c>
      <c r="B14" s="1">
        <v>26695</v>
      </c>
      <c r="C14" s="1">
        <v>25386</v>
      </c>
      <c r="D14" s="6">
        <v>21406</v>
      </c>
      <c r="E14" s="6">
        <v>21100</v>
      </c>
      <c r="F14" s="21">
        <f t="shared" si="0"/>
        <v>-0.16883321515796107</v>
      </c>
      <c r="G14" s="2">
        <f t="shared" si="1"/>
        <v>0.18202380952380953</v>
      </c>
      <c r="H14" s="2">
        <f t="shared" si="2"/>
        <v>0.22523148148148148</v>
      </c>
      <c r="I14" s="86">
        <v>6.9429999999999996</v>
      </c>
      <c r="J14" s="183">
        <v>5.6</v>
      </c>
      <c r="K14" s="21">
        <f t="shared" si="3"/>
        <v>-0.19343223390465217</v>
      </c>
      <c r="L14" s="22">
        <f t="shared" si="4"/>
        <v>0.7801020408163265</v>
      </c>
      <c r="M14" s="66">
        <v>0.88</v>
      </c>
      <c r="N14" s="25">
        <v>0.98</v>
      </c>
      <c r="O14" s="219"/>
      <c r="P14" s="219">
        <v>5788</v>
      </c>
      <c r="Q14" s="50" t="s">
        <v>617</v>
      </c>
    </row>
    <row r="15" spans="1:17">
      <c r="A15" s="13">
        <f t="shared" si="5"/>
        <v>46124</v>
      </c>
      <c r="B15" s="1">
        <v>26695</v>
      </c>
      <c r="C15" s="1">
        <v>25386</v>
      </c>
      <c r="D15" s="6">
        <v>25955</v>
      </c>
      <c r="E15" s="6">
        <v>25250</v>
      </c>
      <c r="F15" s="21">
        <f t="shared" si="0"/>
        <v>-5.3572835421098241E-3</v>
      </c>
      <c r="G15" s="2">
        <f t="shared" si="1"/>
        <v>0.22070578231292518</v>
      </c>
      <c r="H15" s="2">
        <f t="shared" si="2"/>
        <v>0.27309553872053871</v>
      </c>
      <c r="I15" s="86">
        <v>6.9429999999999996</v>
      </c>
      <c r="J15" s="183">
        <v>6.99</v>
      </c>
      <c r="K15" s="21">
        <f t="shared" si="3"/>
        <v>6.7694080368717558E-3</v>
      </c>
      <c r="L15" s="22">
        <f t="shared" si="4"/>
        <v>0.75778809377828382</v>
      </c>
      <c r="M15" s="66">
        <v>1</v>
      </c>
      <c r="N15" s="25">
        <v>1</v>
      </c>
      <c r="O15" s="219"/>
      <c r="P15" s="219"/>
      <c r="Q15" s="50"/>
    </row>
    <row r="16" spans="1:17">
      <c r="A16" s="13">
        <f t="shared" si="5"/>
        <v>46125</v>
      </c>
      <c r="B16" s="1">
        <v>26695</v>
      </c>
      <c r="C16" s="1">
        <v>25386</v>
      </c>
      <c r="D16" s="6">
        <v>26140</v>
      </c>
      <c r="E16" s="6">
        <v>25650</v>
      </c>
      <c r="F16" s="21">
        <f t="shared" si="0"/>
        <v>1.0399432758213189E-2</v>
      </c>
      <c r="G16" s="2">
        <f t="shared" si="1"/>
        <v>0.22227891156462584</v>
      </c>
      <c r="H16" s="2">
        <f t="shared" si="2"/>
        <v>0.27504208754208753</v>
      </c>
      <c r="I16" s="86">
        <v>6.9429999999999996</v>
      </c>
      <c r="J16" s="183">
        <v>7.1</v>
      </c>
      <c r="K16" s="21">
        <f t="shared" si="3"/>
        <v>2.2612703442316008E-2</v>
      </c>
      <c r="L16" s="22">
        <f t="shared" si="4"/>
        <v>0.75136533486634094</v>
      </c>
      <c r="M16" s="66">
        <v>1</v>
      </c>
      <c r="N16" s="25">
        <v>1</v>
      </c>
      <c r="O16" s="219"/>
      <c r="P16" s="219"/>
      <c r="Q16" s="50"/>
    </row>
    <row r="17" spans="1:17">
      <c r="A17" s="13">
        <f t="shared" si="5"/>
        <v>46126</v>
      </c>
      <c r="B17" s="1">
        <v>26695</v>
      </c>
      <c r="C17" s="1">
        <v>25386</v>
      </c>
      <c r="D17" s="6">
        <v>24530</v>
      </c>
      <c r="E17" s="6">
        <v>24000</v>
      </c>
      <c r="F17" s="21">
        <f t="shared" si="0"/>
        <v>-5.4597021980619241E-2</v>
      </c>
      <c r="G17" s="2">
        <f t="shared" si="1"/>
        <v>0.20858843537414967</v>
      </c>
      <c r="H17" s="2">
        <f t="shared" si="2"/>
        <v>0.25810185185185186</v>
      </c>
      <c r="I17" s="86">
        <v>6.9429999999999996</v>
      </c>
      <c r="J17" s="183">
        <v>7.16</v>
      </c>
      <c r="K17" s="21">
        <f t="shared" si="3"/>
        <v>3.1254500936194807E-2</v>
      </c>
      <c r="L17" s="22">
        <f t="shared" si="4"/>
        <v>0.69917911298597646</v>
      </c>
      <c r="M17" s="66">
        <v>1</v>
      </c>
      <c r="N17" s="25">
        <v>0.99880000000000002</v>
      </c>
      <c r="O17" s="219">
        <v>2550</v>
      </c>
      <c r="P17" s="219"/>
      <c r="Q17" s="50" t="s">
        <v>615</v>
      </c>
    </row>
    <row r="18" spans="1:17">
      <c r="A18" s="13">
        <f t="shared" si="5"/>
        <v>46127</v>
      </c>
      <c r="B18" s="1">
        <v>26695</v>
      </c>
      <c r="C18" s="1">
        <v>25386</v>
      </c>
      <c r="D18" s="6">
        <v>22813</v>
      </c>
      <c r="E18" s="6">
        <v>22300</v>
      </c>
      <c r="F18" s="21">
        <f t="shared" si="0"/>
        <v>-0.12156306625699204</v>
      </c>
      <c r="G18" s="2">
        <f t="shared" si="1"/>
        <v>0.19398809523809524</v>
      </c>
      <c r="H18" s="2">
        <f t="shared" si="2"/>
        <v>0.24003577441077442</v>
      </c>
      <c r="I18" s="86">
        <v>6.9429999999999996</v>
      </c>
      <c r="J18" s="183">
        <v>6.72</v>
      </c>
      <c r="K18" s="21">
        <f t="shared" si="3"/>
        <v>-3.211868068558258E-2</v>
      </c>
      <c r="L18" s="22">
        <f t="shared" si="4"/>
        <v>0.69281462585034015</v>
      </c>
      <c r="M18" s="66">
        <v>1</v>
      </c>
      <c r="N18" s="25">
        <v>0.99439999999999995</v>
      </c>
      <c r="O18" s="219">
        <v>2903</v>
      </c>
      <c r="P18" s="219"/>
      <c r="Q18" s="50" t="s">
        <v>615</v>
      </c>
    </row>
    <row r="19" spans="1:17">
      <c r="A19" s="13">
        <f t="shared" si="5"/>
        <v>46128</v>
      </c>
      <c r="B19" s="1">
        <v>26695</v>
      </c>
      <c r="C19" s="1">
        <v>25386</v>
      </c>
      <c r="D19" s="6">
        <v>24003</v>
      </c>
      <c r="E19" s="6">
        <v>23600</v>
      </c>
      <c r="F19" s="21">
        <f t="shared" si="0"/>
        <v>-7.0353738280942255E-2</v>
      </c>
      <c r="G19" s="2">
        <f t="shared" si="1"/>
        <v>0.20410714285714285</v>
      </c>
      <c r="H19" s="2">
        <f t="shared" si="2"/>
        <v>0.25255681818181819</v>
      </c>
      <c r="I19" s="86">
        <v>6.9429999999999996</v>
      </c>
      <c r="J19" s="183">
        <v>6.82</v>
      </c>
      <c r="K19" s="21">
        <f t="shared" si="3"/>
        <v>-1.7715684862451293E-2</v>
      </c>
      <c r="L19" s="22">
        <f t="shared" si="4"/>
        <v>0.7182656053623796</v>
      </c>
      <c r="M19" s="66">
        <v>1</v>
      </c>
      <c r="N19" s="25">
        <v>0.99880000000000002</v>
      </c>
      <c r="O19" s="219">
        <v>2378</v>
      </c>
      <c r="P19" s="219"/>
      <c r="Q19" s="50" t="s">
        <v>615</v>
      </c>
    </row>
    <row r="20" spans="1:17">
      <c r="A20" s="13">
        <f t="shared" si="5"/>
        <v>46129</v>
      </c>
      <c r="B20" s="1">
        <v>26695</v>
      </c>
      <c r="C20" s="1">
        <v>25386</v>
      </c>
      <c r="D20" s="6">
        <v>20865</v>
      </c>
      <c r="E20" s="6">
        <v>20150</v>
      </c>
      <c r="F20" s="21">
        <f t="shared" si="0"/>
        <v>-0.20625541637122824</v>
      </c>
      <c r="G20" s="2">
        <f t="shared" si="1"/>
        <v>0.17742346938775511</v>
      </c>
      <c r="H20" s="2">
        <f t="shared" si="2"/>
        <v>0.21953914141414141</v>
      </c>
      <c r="I20" s="86">
        <v>6.9429999999999996</v>
      </c>
      <c r="J20" s="183">
        <v>6.27</v>
      </c>
      <c r="K20" s="21">
        <f t="shared" si="3"/>
        <v>-9.693216188967306E-2</v>
      </c>
      <c r="L20" s="22">
        <f t="shared" si="4"/>
        <v>0.67913289717801006</v>
      </c>
      <c r="M20" s="66">
        <v>1</v>
      </c>
      <c r="N20" s="25">
        <v>0.99450000000000005</v>
      </c>
      <c r="O20" s="219">
        <v>3364</v>
      </c>
      <c r="P20" s="219"/>
      <c r="Q20" s="50" t="s">
        <v>615</v>
      </c>
    </row>
    <row r="21" spans="1:17">
      <c r="A21" s="13">
        <f t="shared" si="5"/>
        <v>46130</v>
      </c>
      <c r="B21" s="1">
        <v>26695</v>
      </c>
      <c r="C21" s="1">
        <v>25386</v>
      </c>
      <c r="D21" s="6">
        <v>25309</v>
      </c>
      <c r="E21" s="6">
        <v>24900</v>
      </c>
      <c r="F21" s="21">
        <f t="shared" si="0"/>
        <v>-1.9144410304892459E-2</v>
      </c>
      <c r="G21" s="2">
        <f t="shared" si="1"/>
        <v>0.21521258503401361</v>
      </c>
      <c r="H21" s="2">
        <f t="shared" si="2"/>
        <v>0.26629840067340066</v>
      </c>
      <c r="I21" s="86">
        <v>6.9429999999999996</v>
      </c>
      <c r="J21" s="183">
        <v>7.33</v>
      </c>
      <c r="K21" s="21">
        <f t="shared" si="3"/>
        <v>5.5739593835517853E-2</v>
      </c>
      <c r="L21" s="22">
        <f t="shared" si="4"/>
        <v>0.70465239301723415</v>
      </c>
      <c r="M21" s="66">
        <v>1</v>
      </c>
      <c r="N21" s="25">
        <v>0.99229999999999996</v>
      </c>
      <c r="O21" s="219">
        <v>2974</v>
      </c>
      <c r="P21" s="219"/>
      <c r="Q21" s="50" t="s">
        <v>615</v>
      </c>
    </row>
    <row r="22" spans="1:17">
      <c r="A22" s="13">
        <f t="shared" si="5"/>
        <v>46131</v>
      </c>
      <c r="B22" s="1">
        <v>26695</v>
      </c>
      <c r="C22" s="1">
        <v>25386</v>
      </c>
      <c r="D22" s="6">
        <v>20573</v>
      </c>
      <c r="E22" s="6">
        <v>20200</v>
      </c>
      <c r="F22" s="21">
        <f t="shared" si="0"/>
        <v>-0.20428582683368787</v>
      </c>
      <c r="G22" s="2">
        <f t="shared" si="1"/>
        <v>0.1749404761904762</v>
      </c>
      <c r="H22" s="2">
        <f t="shared" ref="H22:H33" si="6">E22/($D$2*24)</f>
        <v>0.17176870748299319</v>
      </c>
      <c r="I22" s="86">
        <v>6.9429999999999996</v>
      </c>
      <c r="J22" s="183">
        <v>6.76</v>
      </c>
      <c r="K22" s="21">
        <f t="shared" si="3"/>
        <v>-2.6357482356330092E-2</v>
      </c>
      <c r="L22" s="22">
        <f t="shared" si="4"/>
        <v>0.62109044801352498</v>
      </c>
      <c r="M22" s="66">
        <v>1</v>
      </c>
      <c r="N22" s="25">
        <v>0.98650000000000004</v>
      </c>
      <c r="O22" s="219">
        <v>5685</v>
      </c>
      <c r="P22" s="219"/>
      <c r="Q22" s="50" t="s">
        <v>615</v>
      </c>
    </row>
    <row r="23" spans="1:17">
      <c r="A23" s="13">
        <f t="shared" si="5"/>
        <v>46132</v>
      </c>
      <c r="B23" s="1">
        <v>26695</v>
      </c>
      <c r="C23" s="1">
        <v>25386</v>
      </c>
      <c r="D23" s="6">
        <v>23082</v>
      </c>
      <c r="E23" s="6">
        <v>22600</v>
      </c>
      <c r="F23" s="21">
        <f t="shared" si="0"/>
        <v>-0.10974552903174978</v>
      </c>
      <c r="G23" s="2">
        <f t="shared" si="1"/>
        <v>0.19627551020408163</v>
      </c>
      <c r="H23" s="2">
        <f t="shared" si="6"/>
        <v>0.19217687074829931</v>
      </c>
      <c r="I23" s="86">
        <v>6.9429999999999996</v>
      </c>
      <c r="J23" s="183">
        <v>6.91</v>
      </c>
      <c r="K23" s="21">
        <f t="shared" si="3"/>
        <v>-4.7529886216332246E-3</v>
      </c>
      <c r="L23" s="22">
        <f t="shared" si="4"/>
        <v>0.68170944209811279</v>
      </c>
      <c r="M23" s="66">
        <v>1</v>
      </c>
      <c r="N23" s="25">
        <v>0.99439999999999995</v>
      </c>
      <c r="O23" s="219">
        <v>3700</v>
      </c>
      <c r="P23" s="219"/>
      <c r="Q23" s="50" t="s">
        <v>615</v>
      </c>
    </row>
    <row r="24" spans="1:17">
      <c r="A24" s="13">
        <f t="shared" si="5"/>
        <v>46133</v>
      </c>
      <c r="B24" s="1">
        <v>26695</v>
      </c>
      <c r="C24" s="1">
        <v>25386</v>
      </c>
      <c r="D24" s="6">
        <v>22497</v>
      </c>
      <c r="E24" s="6">
        <v>22000</v>
      </c>
      <c r="F24" s="21">
        <f t="shared" si="0"/>
        <v>-0.13338060348223429</v>
      </c>
      <c r="G24" s="2">
        <f t="shared" si="1"/>
        <v>0.19130102040816327</v>
      </c>
      <c r="H24" s="2">
        <f t="shared" si="6"/>
        <v>0.1870748299319728</v>
      </c>
      <c r="I24" s="86">
        <v>6.9429999999999996</v>
      </c>
      <c r="J24" s="183">
        <v>6.86</v>
      </c>
      <c r="K24" s="21">
        <f t="shared" si="3"/>
        <v>-1.1954486533198805E-2</v>
      </c>
      <c r="L24" s="22">
        <f t="shared" si="4"/>
        <v>0.66927470696733504</v>
      </c>
      <c r="M24" s="66">
        <v>1</v>
      </c>
      <c r="N24" s="25">
        <v>0.99229999999999996</v>
      </c>
      <c r="O24" s="219">
        <v>4261</v>
      </c>
      <c r="P24" s="219"/>
      <c r="Q24" s="50" t="s">
        <v>615</v>
      </c>
    </row>
    <row r="25" spans="1:17">
      <c r="A25" s="13">
        <f t="shared" si="5"/>
        <v>46134</v>
      </c>
      <c r="B25" s="1">
        <v>26695</v>
      </c>
      <c r="C25" s="1">
        <v>25386</v>
      </c>
      <c r="D25" s="6">
        <v>22517</v>
      </c>
      <c r="E25" s="6">
        <v>22000</v>
      </c>
      <c r="F25" s="21">
        <f t="shared" si="0"/>
        <v>-0.13338060348223429</v>
      </c>
      <c r="G25" s="2">
        <f t="shared" si="1"/>
        <v>0.19147108843537414</v>
      </c>
      <c r="H25" s="2">
        <f t="shared" si="6"/>
        <v>0.1870748299319728</v>
      </c>
      <c r="I25" s="86">
        <v>6.9429999999999996</v>
      </c>
      <c r="J25" s="183">
        <v>6.52</v>
      </c>
      <c r="K25" s="21">
        <f t="shared" si="3"/>
        <v>-6.0924672331845037E-2</v>
      </c>
      <c r="L25" s="22">
        <f t="shared" si="4"/>
        <v>0.70480155252284971</v>
      </c>
      <c r="M25" s="66">
        <v>1</v>
      </c>
      <c r="N25" s="25">
        <v>0.99119999999999997</v>
      </c>
      <c r="O25" s="219">
        <v>3032</v>
      </c>
      <c r="P25" s="219"/>
      <c r="Q25" s="50" t="s">
        <v>615</v>
      </c>
    </row>
    <row r="26" spans="1:17">
      <c r="A26" s="13">
        <f t="shared" si="5"/>
        <v>46135</v>
      </c>
      <c r="B26" s="1">
        <v>26695</v>
      </c>
      <c r="C26" s="1">
        <v>25386</v>
      </c>
      <c r="D26" s="6">
        <v>24907</v>
      </c>
      <c r="E26" s="6">
        <v>24550</v>
      </c>
      <c r="F26" s="21">
        <f t="shared" si="0"/>
        <v>-3.2931537067675098E-2</v>
      </c>
      <c r="G26" s="2">
        <f t="shared" si="1"/>
        <v>0.21179421768707482</v>
      </c>
      <c r="H26" s="2">
        <f t="shared" si="6"/>
        <v>0.20875850340136054</v>
      </c>
      <c r="I26" s="86">
        <v>6.9429999999999996</v>
      </c>
      <c r="J26" s="183">
        <v>6.98</v>
      </c>
      <c r="K26" s="21">
        <f t="shared" si="3"/>
        <v>5.3291084545586649E-3</v>
      </c>
      <c r="L26" s="22">
        <f t="shared" si="4"/>
        <v>0.72823226711888189</v>
      </c>
      <c r="M26" s="66">
        <v>1</v>
      </c>
      <c r="N26" s="25">
        <v>0.99890000000000001</v>
      </c>
      <c r="O26" s="219">
        <v>2135</v>
      </c>
      <c r="P26" s="219"/>
      <c r="Q26" s="50" t="s">
        <v>615</v>
      </c>
    </row>
    <row r="27" spans="1:17">
      <c r="A27" s="13">
        <f t="shared" si="5"/>
        <v>46136</v>
      </c>
      <c r="B27" s="1">
        <v>26695</v>
      </c>
      <c r="C27" s="1">
        <v>25386</v>
      </c>
      <c r="D27" s="6">
        <v>25598</v>
      </c>
      <c r="E27" s="6">
        <v>24950</v>
      </c>
      <c r="F27" s="21">
        <f t="shared" si="0"/>
        <v>-1.7174820767352085E-2</v>
      </c>
      <c r="G27" s="2">
        <f t="shared" si="1"/>
        <v>0.21767006802721089</v>
      </c>
      <c r="H27" s="2">
        <f t="shared" si="6"/>
        <v>0.21215986394557823</v>
      </c>
      <c r="I27" s="86">
        <v>6.9429999999999996</v>
      </c>
      <c r="J27" s="183">
        <v>7.26</v>
      </c>
      <c r="K27" s="21">
        <f t="shared" si="3"/>
        <v>4.5657496759325969E-2</v>
      </c>
      <c r="L27" s="22">
        <f t="shared" si="4"/>
        <v>0.71957047281722608</v>
      </c>
      <c r="M27" s="66">
        <v>1</v>
      </c>
      <c r="N27" s="25">
        <v>0.99950000000000006</v>
      </c>
      <c r="O27" s="219">
        <v>1682</v>
      </c>
      <c r="P27" s="219"/>
      <c r="Q27" s="50" t="s">
        <v>615</v>
      </c>
    </row>
    <row r="28" spans="1:17">
      <c r="A28" s="13">
        <f t="shared" si="5"/>
        <v>46137</v>
      </c>
      <c r="B28" s="1">
        <v>26695</v>
      </c>
      <c r="C28" s="1">
        <v>25386</v>
      </c>
      <c r="D28" s="6">
        <v>25858</v>
      </c>
      <c r="E28" s="6">
        <v>25250</v>
      </c>
      <c r="F28" s="21">
        <f t="shared" si="0"/>
        <v>-5.3572835421098241E-3</v>
      </c>
      <c r="G28" s="2">
        <f t="shared" si="1"/>
        <v>0.21988095238095237</v>
      </c>
      <c r="H28" s="2">
        <f t="shared" si="6"/>
        <v>0.2147108843537415</v>
      </c>
      <c r="I28" s="86">
        <v>6.9429999999999996</v>
      </c>
      <c r="J28" s="183">
        <v>7.15</v>
      </c>
      <c r="K28" s="21">
        <f t="shared" si="3"/>
        <v>2.9814201353881714E-2</v>
      </c>
      <c r="L28" s="22">
        <f t="shared" si="4"/>
        <v>0.73806193806193809</v>
      </c>
      <c r="M28" s="66">
        <v>1</v>
      </c>
      <c r="N28" s="25">
        <v>1</v>
      </c>
      <c r="O28" s="219"/>
      <c r="P28" s="219"/>
      <c r="Q28" s="191"/>
    </row>
    <row r="29" spans="1:17">
      <c r="A29" s="13">
        <f t="shared" si="5"/>
        <v>46138</v>
      </c>
      <c r="B29" s="1">
        <v>26695</v>
      </c>
      <c r="C29" s="1">
        <v>25386</v>
      </c>
      <c r="D29" s="6">
        <v>22592</v>
      </c>
      <c r="E29" s="6">
        <v>22150</v>
      </c>
      <c r="F29" s="21">
        <f t="shared" si="0"/>
        <v>-0.12747183486961317</v>
      </c>
      <c r="G29" s="2">
        <f t="shared" si="1"/>
        <v>0.19210884353741497</v>
      </c>
      <c r="H29" s="2">
        <f t="shared" si="6"/>
        <v>0.18835034013605442</v>
      </c>
      <c r="I29" s="86">
        <v>6.9429999999999996</v>
      </c>
      <c r="J29" s="183">
        <v>6.94</v>
      </c>
      <c r="K29" s="21">
        <f t="shared" si="3"/>
        <v>-4.3208987469382483E-4</v>
      </c>
      <c r="L29" s="22">
        <f t="shared" si="4"/>
        <v>0.66435334940892787</v>
      </c>
      <c r="M29" s="66">
        <v>1</v>
      </c>
      <c r="N29" s="25">
        <v>0.9889</v>
      </c>
      <c r="O29" s="219">
        <v>3976</v>
      </c>
      <c r="P29" s="219"/>
      <c r="Q29" s="50" t="s">
        <v>615</v>
      </c>
    </row>
    <row r="30" spans="1:17">
      <c r="A30" s="13">
        <f t="shared" si="5"/>
        <v>46139</v>
      </c>
      <c r="B30" s="1">
        <v>26695</v>
      </c>
      <c r="C30" s="1">
        <v>25386</v>
      </c>
      <c r="D30" s="6">
        <v>23294</v>
      </c>
      <c r="E30" s="6">
        <v>22800</v>
      </c>
      <c r="F30" s="21">
        <f t="shared" si="0"/>
        <v>-0.10186717088158828</v>
      </c>
      <c r="G30" s="2">
        <f t="shared" si="1"/>
        <v>0.198078231292517</v>
      </c>
      <c r="H30" s="2">
        <f t="shared" si="6"/>
        <v>0.19387755102040816</v>
      </c>
      <c r="I30" s="86">
        <v>6.9429999999999996</v>
      </c>
      <c r="J30" s="6">
        <v>7.02</v>
      </c>
      <c r="K30" s="21">
        <f t="shared" si="3"/>
        <v>1.1090306783811028E-2</v>
      </c>
      <c r="L30" s="22">
        <f t="shared" si="4"/>
        <v>0.67719053433339149</v>
      </c>
      <c r="M30" s="66">
        <v>1</v>
      </c>
      <c r="N30" s="25">
        <v>0.98553333333333304</v>
      </c>
      <c r="O30" s="219">
        <v>3255</v>
      </c>
      <c r="P30" s="219"/>
      <c r="Q30" s="50" t="s">
        <v>615</v>
      </c>
    </row>
    <row r="31" spans="1:17">
      <c r="A31" s="13">
        <f t="shared" si="5"/>
        <v>46140</v>
      </c>
      <c r="B31" s="1">
        <v>26695</v>
      </c>
      <c r="C31" s="1">
        <v>25386</v>
      </c>
      <c r="D31" s="6">
        <v>22712</v>
      </c>
      <c r="E31" s="6">
        <v>22200</v>
      </c>
      <c r="F31" s="21">
        <f t="shared" si="0"/>
        <v>-0.1255022453320728</v>
      </c>
      <c r="G31" s="2">
        <f t="shared" si="1"/>
        <v>0.19312925170068027</v>
      </c>
      <c r="H31" s="2">
        <f t="shared" si="6"/>
        <v>0.18877551020408162</v>
      </c>
      <c r="I31" s="86">
        <v>6.9429999999999996</v>
      </c>
      <c r="J31" s="6">
        <v>7.1</v>
      </c>
      <c r="K31" s="21">
        <f t="shared" si="3"/>
        <v>2.2612703442316008E-2</v>
      </c>
      <c r="L31" s="22">
        <f t="shared" si="4"/>
        <v>0.65283127335441216</v>
      </c>
      <c r="M31" s="66">
        <v>1</v>
      </c>
      <c r="N31" s="25">
        <v>0.98023333333333296</v>
      </c>
      <c r="O31" s="219">
        <v>4077</v>
      </c>
      <c r="P31" s="219"/>
      <c r="Q31" s="50" t="s">
        <v>615</v>
      </c>
    </row>
    <row r="32" spans="1:17">
      <c r="A32" s="13">
        <f t="shared" si="5"/>
        <v>46141</v>
      </c>
      <c r="B32" s="1">
        <v>26695</v>
      </c>
      <c r="C32" s="1">
        <v>25386</v>
      </c>
      <c r="D32" s="6">
        <v>22811</v>
      </c>
      <c r="E32" s="6">
        <v>22150</v>
      </c>
      <c r="F32" s="21">
        <f t="shared" si="0"/>
        <v>-0.12747183486961317</v>
      </c>
      <c r="G32" s="2">
        <f t="shared" si="1"/>
        <v>0.19397108843537414</v>
      </c>
      <c r="H32" s="2">
        <f t="shared" si="6"/>
        <v>0.18835034013605442</v>
      </c>
      <c r="I32" s="86">
        <v>6.9429999999999996</v>
      </c>
      <c r="J32" s="6">
        <v>7.08</v>
      </c>
      <c r="K32" s="21">
        <f t="shared" si="3"/>
        <v>1.9732104277689826E-2</v>
      </c>
      <c r="L32" s="22">
        <f t="shared" si="4"/>
        <v>0.65752911334025133</v>
      </c>
      <c r="M32" s="66">
        <v>1</v>
      </c>
      <c r="N32" s="25">
        <v>0.97493333333333299</v>
      </c>
      <c r="O32" s="219">
        <v>3468</v>
      </c>
      <c r="P32" s="219"/>
      <c r="Q32" s="50" t="s">
        <v>615</v>
      </c>
    </row>
    <row r="33" spans="1:17">
      <c r="A33" s="13">
        <f t="shared" si="5"/>
        <v>46142</v>
      </c>
      <c r="B33" s="1">
        <v>26695</v>
      </c>
      <c r="C33" s="1">
        <v>25386</v>
      </c>
      <c r="D33" s="6">
        <v>21363</v>
      </c>
      <c r="E33" s="6">
        <v>20900</v>
      </c>
      <c r="F33" s="21">
        <f t="shared" si="0"/>
        <v>-0.17671157330812259</v>
      </c>
      <c r="G33" s="2">
        <f t="shared" si="1"/>
        <v>0.18165816326530612</v>
      </c>
      <c r="H33" s="2">
        <f t="shared" si="6"/>
        <v>0.17772108843537415</v>
      </c>
      <c r="I33" s="86">
        <v>6.9429999999999996</v>
      </c>
      <c r="J33" s="6">
        <v>6.52</v>
      </c>
      <c r="K33" s="21">
        <f t="shared" si="3"/>
        <v>-6.0924672331845037E-2</v>
      </c>
      <c r="L33" s="22">
        <f t="shared" si="4"/>
        <v>0.66868035557781402</v>
      </c>
      <c r="M33" s="66">
        <v>1</v>
      </c>
      <c r="N33" s="25">
        <v>0.96963333333333301</v>
      </c>
      <c r="O33" s="219">
        <v>3498</v>
      </c>
      <c r="P33" s="219"/>
      <c r="Q33" s="50" t="s">
        <v>615</v>
      </c>
    </row>
    <row r="34" spans="1:17">
      <c r="A34" s="349">
        <v>46113</v>
      </c>
      <c r="B34" s="89">
        <f>SUM(B4:B33)</f>
        <v>800850</v>
      </c>
      <c r="C34" s="89">
        <f>SUM(C4:C33)</f>
        <v>761580</v>
      </c>
      <c r="D34" s="89">
        <f>SUM(D4:D33)</f>
        <v>676099</v>
      </c>
      <c r="E34" s="89">
        <f>SUM(E4:E33)</f>
        <v>661550</v>
      </c>
      <c r="F34" s="160">
        <f t="shared" si="0"/>
        <v>-0.13134536096010924</v>
      </c>
      <c r="G34" s="90">
        <f>AVERAGE(G4:G33)</f>
        <v>0.19163803854875286</v>
      </c>
      <c r="H34" s="90">
        <f>AVERAGE(H4:H33)</f>
        <v>0.2167204571222428</v>
      </c>
      <c r="I34" s="89">
        <f>SUM(I4:I33)</f>
        <v>208.29000000000011</v>
      </c>
      <c r="J34" s="89">
        <f>SUM(J4:J33)</f>
        <v>199.76000000000002</v>
      </c>
      <c r="K34" s="160">
        <f t="shared" si="3"/>
        <v>-4.095251812377014E-2</v>
      </c>
      <c r="L34" s="161">
        <f t="shared" si="4"/>
        <v>0.69072580974720676</v>
      </c>
      <c r="M34" s="90">
        <f>AVERAGE(M4:M33)</f>
        <v>0.99066666666666658</v>
      </c>
      <c r="N34" s="90">
        <f>AVERAGE(N4:N33)</f>
        <v>0.99236111111111103</v>
      </c>
      <c r="O34" s="89">
        <f>SUM(O4:O33)</f>
        <v>83124</v>
      </c>
      <c r="P34" s="89">
        <f>SUM(P4:P33)</f>
        <v>11062</v>
      </c>
      <c r="Q34" s="19"/>
    </row>
    <row r="35" spans="1:17">
      <c r="A35" s="13">
        <v>46143</v>
      </c>
      <c r="B35" s="127">
        <v>26580.5</v>
      </c>
      <c r="C35" s="127">
        <v>25276.71</v>
      </c>
      <c r="D35" s="33">
        <v>22446</v>
      </c>
      <c r="E35" s="33">
        <v>21950</v>
      </c>
      <c r="F35" s="20">
        <f t="shared" si="0"/>
        <v>-0.13161166939843039</v>
      </c>
      <c r="G35" s="2">
        <f t="shared" ref="G35:G57" si="7">D35/($D$2*24)</f>
        <v>0.19086734693877552</v>
      </c>
      <c r="H35" s="2">
        <f t="shared" ref="H35:H61" si="8">D35/($H$2*24)</f>
        <v>0.23617424242424243</v>
      </c>
      <c r="I35" s="28">
        <v>6.9549000000000003</v>
      </c>
      <c r="J35" s="33">
        <v>6.8</v>
      </c>
      <c r="K35" s="20">
        <f t="shared" si="3"/>
        <v>-2.2272067175660396E-2</v>
      </c>
      <c r="L35" s="4">
        <f t="shared" si="4"/>
        <v>0.67364945978391355</v>
      </c>
      <c r="M35" s="66">
        <v>1</v>
      </c>
      <c r="N35" s="66">
        <v>1</v>
      </c>
      <c r="O35" s="33">
        <v>3566</v>
      </c>
      <c r="P35" s="6"/>
      <c r="Q35" s="50" t="s">
        <v>615</v>
      </c>
    </row>
    <row r="36" spans="1:17">
      <c r="A36" s="13">
        <f>A35+1</f>
        <v>46144</v>
      </c>
      <c r="B36" s="127">
        <v>26580.5</v>
      </c>
      <c r="C36" s="127">
        <v>25276.71</v>
      </c>
      <c r="D36" s="34">
        <v>22101</v>
      </c>
      <c r="E36" s="34">
        <v>21600</v>
      </c>
      <c r="F36" s="20">
        <f t="shared" ref="F36:F54" si="9">(IF(ISBLANK(E36),0,E36-C36))/C36</f>
        <v>-0.14545840815517522</v>
      </c>
      <c r="G36" s="2">
        <f t="shared" si="7"/>
        <v>0.18793367346938775</v>
      </c>
      <c r="H36" s="2">
        <f t="shared" si="8"/>
        <v>0.23254419191919193</v>
      </c>
      <c r="I36" s="28">
        <v>6.9549000000000003</v>
      </c>
      <c r="J36" s="34">
        <v>6.91</v>
      </c>
      <c r="K36" s="20">
        <f t="shared" ref="K36:K54" si="10">(IF(ISBLANK(J36),0,J36-I36))/I36</f>
        <v>-6.4558800270313249E-3</v>
      </c>
      <c r="L36" s="4">
        <f t="shared" ref="L36:L66" si="11">D36/($D$2*J36)</f>
        <v>0.65273634779526857</v>
      </c>
      <c r="M36" s="66">
        <v>1</v>
      </c>
      <c r="N36" s="66">
        <v>1</v>
      </c>
      <c r="O36" s="34">
        <v>4322</v>
      </c>
      <c r="P36" s="6"/>
      <c r="Q36" s="50" t="s">
        <v>615</v>
      </c>
    </row>
    <row r="37" spans="1:17">
      <c r="A37" s="13">
        <f t="shared" ref="A37:A65" si="12">A36+1</f>
        <v>46145</v>
      </c>
      <c r="B37" s="127">
        <v>26580.5</v>
      </c>
      <c r="C37" s="127">
        <v>25276.71</v>
      </c>
      <c r="D37" s="34">
        <v>20605</v>
      </c>
      <c r="E37" s="34">
        <v>20000</v>
      </c>
      <c r="F37" s="20">
        <f t="shared" si="9"/>
        <v>-0.20875778532886596</v>
      </c>
      <c r="G37" s="2">
        <f t="shared" si="7"/>
        <v>0.1752125850340136</v>
      </c>
      <c r="H37" s="2">
        <f t="shared" si="8"/>
        <v>0.21680345117845118</v>
      </c>
      <c r="I37" s="28">
        <v>6.9549000000000003</v>
      </c>
      <c r="J37" s="34">
        <v>7.08</v>
      </c>
      <c r="K37" s="20">
        <f t="shared" si="10"/>
        <v>1.7987318293577154E-2</v>
      </c>
      <c r="L37" s="4">
        <f t="shared" si="11"/>
        <v>0.59394096621699533</v>
      </c>
      <c r="M37" s="66">
        <v>1</v>
      </c>
      <c r="N37" s="66">
        <v>1</v>
      </c>
      <c r="O37" s="34">
        <v>6723</v>
      </c>
      <c r="P37" s="6"/>
      <c r="Q37" s="50" t="s">
        <v>615</v>
      </c>
    </row>
    <row r="38" spans="1:17">
      <c r="A38" s="13">
        <f t="shared" si="12"/>
        <v>46146</v>
      </c>
      <c r="B38" s="127">
        <v>26580.5</v>
      </c>
      <c r="C38" s="127">
        <v>25276.71</v>
      </c>
      <c r="D38" s="34">
        <v>23823</v>
      </c>
      <c r="E38" s="34">
        <v>23300</v>
      </c>
      <c r="F38" s="20">
        <f t="shared" si="9"/>
        <v>-7.8202819908128829E-2</v>
      </c>
      <c r="G38" s="2">
        <f t="shared" si="7"/>
        <v>0.2025765306122449</v>
      </c>
      <c r="H38" s="2">
        <f t="shared" si="8"/>
        <v>0.2506628787878788</v>
      </c>
      <c r="I38" s="28">
        <v>6.9549000000000003</v>
      </c>
      <c r="J38" s="34">
        <v>6.36</v>
      </c>
      <c r="K38" s="20">
        <f t="shared" si="10"/>
        <v>-8.5536815770176411E-2</v>
      </c>
      <c r="L38" s="4">
        <f t="shared" si="11"/>
        <v>0.76443973815941468</v>
      </c>
      <c r="M38" s="66">
        <v>1</v>
      </c>
      <c r="N38" s="66">
        <v>1</v>
      </c>
      <c r="O38" s="34"/>
      <c r="P38" s="6"/>
      <c r="Q38" s="14"/>
    </row>
    <row r="39" spans="1:17">
      <c r="A39" s="13">
        <f t="shared" si="12"/>
        <v>46147</v>
      </c>
      <c r="B39" s="127">
        <v>26580.5</v>
      </c>
      <c r="C39" s="127">
        <v>25276.71</v>
      </c>
      <c r="D39" s="34">
        <v>21546</v>
      </c>
      <c r="E39" s="34">
        <v>21050</v>
      </c>
      <c r="F39" s="20">
        <f t="shared" si="9"/>
        <v>-0.16721756905863142</v>
      </c>
      <c r="G39" s="2">
        <f t="shared" si="7"/>
        <v>0.18321428571428572</v>
      </c>
      <c r="H39" s="2">
        <f t="shared" si="8"/>
        <v>0.22670454545454546</v>
      </c>
      <c r="I39" s="28">
        <v>6.9549000000000003</v>
      </c>
      <c r="J39" s="34">
        <v>5.79</v>
      </c>
      <c r="K39" s="20">
        <f t="shared" si="10"/>
        <v>-0.16749342190398139</v>
      </c>
      <c r="L39" s="4">
        <f t="shared" si="11"/>
        <v>0.75943745373797189</v>
      </c>
      <c r="M39" s="66">
        <v>1</v>
      </c>
      <c r="N39" s="66">
        <v>1</v>
      </c>
      <c r="O39" s="34"/>
      <c r="P39" s="6"/>
      <c r="Q39" s="14"/>
    </row>
    <row r="40" spans="1:17">
      <c r="A40" s="13">
        <f t="shared" si="12"/>
        <v>46148</v>
      </c>
      <c r="B40" s="127">
        <v>26580.5</v>
      </c>
      <c r="C40" s="127">
        <v>25276.71</v>
      </c>
      <c r="D40" s="34"/>
      <c r="E40" s="34"/>
      <c r="F40" s="20">
        <f t="shared" si="9"/>
        <v>0</v>
      </c>
      <c r="G40" s="2">
        <f t="shared" si="7"/>
        <v>0</v>
      </c>
      <c r="H40" s="2">
        <f t="shared" si="8"/>
        <v>0</v>
      </c>
      <c r="I40" s="28">
        <v>6.9549000000000003</v>
      </c>
      <c r="J40" s="34"/>
      <c r="K40" s="20">
        <f t="shared" si="10"/>
        <v>0</v>
      </c>
      <c r="L40" s="4" t="e">
        <f t="shared" si="11"/>
        <v>#DIV/0!</v>
      </c>
      <c r="M40" s="103"/>
      <c r="N40" s="103"/>
      <c r="O40" s="34"/>
      <c r="P40" s="6"/>
      <c r="Q40" s="14"/>
    </row>
    <row r="41" spans="1:17">
      <c r="A41" s="13">
        <f t="shared" si="12"/>
        <v>46149</v>
      </c>
      <c r="B41" s="127">
        <v>26580.5</v>
      </c>
      <c r="C41" s="127">
        <v>25276.71</v>
      </c>
      <c r="D41" s="34"/>
      <c r="E41" s="34"/>
      <c r="F41" s="20">
        <f t="shared" si="9"/>
        <v>0</v>
      </c>
      <c r="G41" s="2">
        <f t="shared" si="7"/>
        <v>0</v>
      </c>
      <c r="H41" s="2">
        <f t="shared" si="8"/>
        <v>0</v>
      </c>
      <c r="I41" s="28">
        <v>6.9549000000000003</v>
      </c>
      <c r="J41" s="34"/>
      <c r="K41" s="20">
        <f t="shared" si="10"/>
        <v>0</v>
      </c>
      <c r="L41" s="4" t="e">
        <f t="shared" si="11"/>
        <v>#DIV/0!</v>
      </c>
      <c r="M41" s="103"/>
      <c r="N41" s="103"/>
      <c r="O41" s="34"/>
      <c r="P41" s="6"/>
      <c r="Q41" s="202"/>
    </row>
    <row r="42" spans="1:17">
      <c r="A42" s="13">
        <f t="shared" si="12"/>
        <v>46150</v>
      </c>
      <c r="B42" s="127">
        <v>26580.5</v>
      </c>
      <c r="C42" s="127">
        <v>25276.71</v>
      </c>
      <c r="D42" s="34"/>
      <c r="E42" s="34"/>
      <c r="F42" s="20">
        <f t="shared" si="9"/>
        <v>0</v>
      </c>
      <c r="G42" s="2">
        <f t="shared" si="7"/>
        <v>0</v>
      </c>
      <c r="H42" s="2">
        <f t="shared" si="8"/>
        <v>0</v>
      </c>
      <c r="I42" s="28">
        <v>6.9549000000000003</v>
      </c>
      <c r="J42" s="34"/>
      <c r="K42" s="20">
        <f t="shared" si="10"/>
        <v>0</v>
      </c>
      <c r="L42" s="4" t="e">
        <f t="shared" si="11"/>
        <v>#DIV/0!</v>
      </c>
      <c r="M42" s="103"/>
      <c r="N42" s="103"/>
      <c r="O42" s="34"/>
      <c r="P42" s="6"/>
      <c r="Q42" s="14"/>
    </row>
    <row r="43" spans="1:17">
      <c r="A43" s="13">
        <f t="shared" si="12"/>
        <v>46151</v>
      </c>
      <c r="B43" s="127">
        <v>26580.5</v>
      </c>
      <c r="C43" s="127">
        <v>25276.71</v>
      </c>
      <c r="D43" s="34"/>
      <c r="E43" s="34"/>
      <c r="F43" s="20">
        <f t="shared" si="9"/>
        <v>0</v>
      </c>
      <c r="G43" s="2">
        <f t="shared" si="7"/>
        <v>0</v>
      </c>
      <c r="H43" s="2">
        <f t="shared" si="8"/>
        <v>0</v>
      </c>
      <c r="I43" s="28">
        <v>6.9549000000000003</v>
      </c>
      <c r="J43" s="34"/>
      <c r="K43" s="20">
        <f t="shared" si="10"/>
        <v>0</v>
      </c>
      <c r="L43" s="4" t="e">
        <f t="shared" si="11"/>
        <v>#DIV/0!</v>
      </c>
      <c r="M43" s="103"/>
      <c r="N43" s="103"/>
      <c r="O43" s="34"/>
      <c r="P43" s="6"/>
      <c r="Q43" s="6"/>
    </row>
    <row r="44" spans="1:17">
      <c r="A44" s="13">
        <f t="shared" si="12"/>
        <v>46152</v>
      </c>
      <c r="B44" s="127">
        <v>26580.5</v>
      </c>
      <c r="C44" s="127">
        <v>25276.71</v>
      </c>
      <c r="D44" s="34"/>
      <c r="E44" s="34"/>
      <c r="F44" s="20">
        <f t="shared" si="9"/>
        <v>0</v>
      </c>
      <c r="G44" s="2">
        <f t="shared" si="7"/>
        <v>0</v>
      </c>
      <c r="H44" s="2">
        <f t="shared" si="8"/>
        <v>0</v>
      </c>
      <c r="I44" s="28">
        <v>6.9549000000000003</v>
      </c>
      <c r="J44" s="34"/>
      <c r="K44" s="20">
        <f t="shared" si="10"/>
        <v>0</v>
      </c>
      <c r="L44" s="4" t="e">
        <f t="shared" si="11"/>
        <v>#DIV/0!</v>
      </c>
      <c r="M44" s="103"/>
      <c r="N44" s="103"/>
      <c r="O44" s="34"/>
      <c r="P44" s="6"/>
      <c r="Q44" s="16"/>
    </row>
    <row r="45" spans="1:17">
      <c r="A45" s="13">
        <f t="shared" si="12"/>
        <v>46153</v>
      </c>
      <c r="B45" s="127">
        <v>26580.5</v>
      </c>
      <c r="C45" s="127">
        <v>25276.71</v>
      </c>
      <c r="D45" s="34"/>
      <c r="E45" s="34"/>
      <c r="F45" s="20">
        <f t="shared" si="9"/>
        <v>0</v>
      </c>
      <c r="G45" s="2">
        <f t="shared" si="7"/>
        <v>0</v>
      </c>
      <c r="H45" s="2">
        <f t="shared" si="8"/>
        <v>0</v>
      </c>
      <c r="I45" s="28">
        <v>6.9549000000000003</v>
      </c>
      <c r="J45" s="34"/>
      <c r="K45" s="20">
        <f t="shared" si="10"/>
        <v>0</v>
      </c>
      <c r="L45" s="4" t="e">
        <f t="shared" si="11"/>
        <v>#DIV/0!</v>
      </c>
      <c r="M45" s="103"/>
      <c r="N45" s="103"/>
      <c r="O45" s="34"/>
      <c r="P45" s="6"/>
      <c r="Q45" s="6"/>
    </row>
    <row r="46" spans="1:17">
      <c r="A46" s="13">
        <f t="shared" si="12"/>
        <v>46154</v>
      </c>
      <c r="B46" s="127">
        <v>26580.5</v>
      </c>
      <c r="C46" s="127">
        <v>25276.71</v>
      </c>
      <c r="D46" s="34"/>
      <c r="E46" s="34"/>
      <c r="F46" s="20">
        <f t="shared" si="9"/>
        <v>0</v>
      </c>
      <c r="G46" s="2">
        <f t="shared" si="7"/>
        <v>0</v>
      </c>
      <c r="H46" s="2">
        <f t="shared" si="8"/>
        <v>0</v>
      </c>
      <c r="I46" s="28">
        <v>6.9549000000000003</v>
      </c>
      <c r="J46" s="34"/>
      <c r="K46" s="20">
        <f t="shared" si="10"/>
        <v>0</v>
      </c>
      <c r="L46" s="4" t="e">
        <f t="shared" si="11"/>
        <v>#DIV/0!</v>
      </c>
      <c r="M46" s="104"/>
      <c r="N46" s="103"/>
      <c r="O46" s="34"/>
      <c r="P46" s="6"/>
      <c r="Q46" s="6"/>
    </row>
    <row r="47" spans="1:17">
      <c r="A47" s="13">
        <f t="shared" si="12"/>
        <v>46155</v>
      </c>
      <c r="B47" s="127">
        <v>26580.5</v>
      </c>
      <c r="C47" s="127">
        <v>25276.71</v>
      </c>
      <c r="D47" s="34"/>
      <c r="E47" s="34"/>
      <c r="F47" s="20">
        <f t="shared" si="9"/>
        <v>0</v>
      </c>
      <c r="G47" s="2">
        <f t="shared" si="7"/>
        <v>0</v>
      </c>
      <c r="H47" s="2">
        <f t="shared" si="8"/>
        <v>0</v>
      </c>
      <c r="I47" s="28">
        <v>6.9549000000000003</v>
      </c>
      <c r="J47" s="34"/>
      <c r="K47" s="20">
        <f t="shared" si="10"/>
        <v>0</v>
      </c>
      <c r="L47" s="4" t="e">
        <f t="shared" si="11"/>
        <v>#DIV/0!</v>
      </c>
      <c r="M47" s="104"/>
      <c r="N47" s="103"/>
      <c r="O47" s="34"/>
      <c r="P47" s="6"/>
      <c r="Q47" s="31"/>
    </row>
    <row r="48" spans="1:17">
      <c r="A48" s="13">
        <f t="shared" si="12"/>
        <v>46156</v>
      </c>
      <c r="B48" s="127">
        <v>26580.5</v>
      </c>
      <c r="C48" s="127">
        <v>25276.71</v>
      </c>
      <c r="D48" s="34"/>
      <c r="E48" s="34"/>
      <c r="F48" s="20">
        <f t="shared" si="9"/>
        <v>0</v>
      </c>
      <c r="G48" s="2">
        <f t="shared" si="7"/>
        <v>0</v>
      </c>
      <c r="H48" s="2">
        <f t="shared" si="8"/>
        <v>0</v>
      </c>
      <c r="I48" s="28">
        <v>6.9549000000000003</v>
      </c>
      <c r="J48" s="34"/>
      <c r="K48" s="20">
        <f t="shared" si="10"/>
        <v>0</v>
      </c>
      <c r="L48" s="4" t="e">
        <f t="shared" si="11"/>
        <v>#DIV/0!</v>
      </c>
      <c r="M48" s="104"/>
      <c r="N48" s="103"/>
      <c r="O48" s="34"/>
      <c r="P48" s="6"/>
      <c r="Q48" s="32"/>
    </row>
    <row r="49" spans="1:17">
      <c r="A49" s="13">
        <f t="shared" si="12"/>
        <v>46157</v>
      </c>
      <c r="B49" s="127">
        <v>26580.5</v>
      </c>
      <c r="C49" s="127">
        <v>25276.71</v>
      </c>
      <c r="D49" s="34"/>
      <c r="E49" s="34"/>
      <c r="F49" s="20">
        <f t="shared" si="9"/>
        <v>0</v>
      </c>
      <c r="G49" s="2">
        <f t="shared" si="7"/>
        <v>0</v>
      </c>
      <c r="H49" s="2">
        <f t="shared" si="8"/>
        <v>0</v>
      </c>
      <c r="I49" s="28">
        <v>6.9549000000000003</v>
      </c>
      <c r="J49" s="34"/>
      <c r="K49" s="20">
        <f t="shared" si="10"/>
        <v>0</v>
      </c>
      <c r="L49" s="4" t="e">
        <f t="shared" si="11"/>
        <v>#DIV/0!</v>
      </c>
      <c r="M49" s="104"/>
      <c r="N49" s="103"/>
      <c r="O49" s="34"/>
      <c r="P49" s="6"/>
      <c r="Q49" s="32"/>
    </row>
    <row r="50" spans="1:17">
      <c r="A50" s="13">
        <f t="shared" si="12"/>
        <v>46158</v>
      </c>
      <c r="B50" s="127">
        <v>26580.5</v>
      </c>
      <c r="C50" s="127">
        <v>25276.71</v>
      </c>
      <c r="D50" s="34"/>
      <c r="E50" s="34"/>
      <c r="F50" s="20">
        <f t="shared" si="9"/>
        <v>0</v>
      </c>
      <c r="G50" s="2">
        <f t="shared" si="7"/>
        <v>0</v>
      </c>
      <c r="H50" s="2">
        <f t="shared" si="8"/>
        <v>0</v>
      </c>
      <c r="I50" s="28">
        <v>6.9549000000000003</v>
      </c>
      <c r="J50" s="34"/>
      <c r="K50" s="20">
        <f t="shared" si="10"/>
        <v>0</v>
      </c>
      <c r="L50" s="4" t="e">
        <f t="shared" si="11"/>
        <v>#DIV/0!</v>
      </c>
      <c r="M50" s="104"/>
      <c r="N50" s="103"/>
      <c r="O50" s="34"/>
      <c r="P50" s="6"/>
      <c r="Q50" s="32"/>
    </row>
    <row r="51" spans="1:17">
      <c r="A51" s="13">
        <f t="shared" si="12"/>
        <v>46159</v>
      </c>
      <c r="B51" s="127">
        <v>26580.5</v>
      </c>
      <c r="C51" s="127">
        <v>25276.71</v>
      </c>
      <c r="D51" s="34"/>
      <c r="E51" s="34"/>
      <c r="F51" s="20">
        <f t="shared" si="9"/>
        <v>0</v>
      </c>
      <c r="G51" s="2">
        <f t="shared" si="7"/>
        <v>0</v>
      </c>
      <c r="H51" s="2">
        <f t="shared" si="8"/>
        <v>0</v>
      </c>
      <c r="I51" s="28">
        <v>6.9549000000000003</v>
      </c>
      <c r="J51" s="34"/>
      <c r="K51" s="20">
        <f t="shared" si="10"/>
        <v>0</v>
      </c>
      <c r="L51" s="4" t="e">
        <f t="shared" si="11"/>
        <v>#DIV/0!</v>
      </c>
      <c r="M51" s="103"/>
      <c r="N51" s="103"/>
      <c r="O51" s="34"/>
      <c r="P51" s="6"/>
      <c r="Q51" s="6"/>
    </row>
    <row r="52" spans="1:17">
      <c r="A52" s="13">
        <f t="shared" si="12"/>
        <v>46160</v>
      </c>
      <c r="B52" s="127">
        <v>26580.5</v>
      </c>
      <c r="C52" s="127">
        <v>25276.71</v>
      </c>
      <c r="D52" s="34"/>
      <c r="E52" s="34"/>
      <c r="F52" s="20">
        <f t="shared" si="9"/>
        <v>0</v>
      </c>
      <c r="G52" s="2">
        <f t="shared" si="7"/>
        <v>0</v>
      </c>
      <c r="H52" s="2">
        <f t="shared" si="8"/>
        <v>0</v>
      </c>
      <c r="I52" s="28">
        <v>6.9549000000000003</v>
      </c>
      <c r="J52" s="34"/>
      <c r="K52" s="20">
        <f t="shared" si="10"/>
        <v>0</v>
      </c>
      <c r="L52" s="4" t="e">
        <f t="shared" si="11"/>
        <v>#DIV/0!</v>
      </c>
      <c r="M52" s="103"/>
      <c r="N52" s="103"/>
      <c r="O52" s="34"/>
      <c r="P52" s="6"/>
      <c r="Q52" s="14"/>
    </row>
    <row r="53" spans="1:17">
      <c r="A53" s="13">
        <f t="shared" si="12"/>
        <v>46161</v>
      </c>
      <c r="B53" s="127">
        <v>26580.5</v>
      </c>
      <c r="C53" s="127">
        <v>25276.71</v>
      </c>
      <c r="D53" s="34"/>
      <c r="E53" s="34"/>
      <c r="F53" s="20">
        <f t="shared" si="9"/>
        <v>0</v>
      </c>
      <c r="G53" s="2">
        <f t="shared" si="7"/>
        <v>0</v>
      </c>
      <c r="H53" s="2">
        <f t="shared" si="8"/>
        <v>0</v>
      </c>
      <c r="I53" s="28">
        <v>6.9549000000000003</v>
      </c>
      <c r="J53" s="34"/>
      <c r="K53" s="20">
        <f t="shared" si="10"/>
        <v>0</v>
      </c>
      <c r="L53" s="4" t="e">
        <f t="shared" si="11"/>
        <v>#DIV/0!</v>
      </c>
      <c r="M53" s="103"/>
      <c r="N53" s="103"/>
      <c r="O53" s="34"/>
      <c r="P53" s="6"/>
      <c r="Q53" s="14"/>
    </row>
    <row r="54" spans="1:17">
      <c r="A54" s="13">
        <f t="shared" si="12"/>
        <v>46162</v>
      </c>
      <c r="B54" s="127">
        <v>26580.5</v>
      </c>
      <c r="C54" s="127">
        <v>25276.71</v>
      </c>
      <c r="D54" s="34"/>
      <c r="E54" s="34"/>
      <c r="F54" s="20">
        <f t="shared" si="9"/>
        <v>0</v>
      </c>
      <c r="G54" s="2">
        <f t="shared" si="7"/>
        <v>0</v>
      </c>
      <c r="H54" s="2">
        <f t="shared" si="8"/>
        <v>0</v>
      </c>
      <c r="I54" s="28">
        <v>6.9549000000000003</v>
      </c>
      <c r="J54" s="34"/>
      <c r="K54" s="20">
        <f t="shared" si="10"/>
        <v>0</v>
      </c>
      <c r="L54" s="4" t="e">
        <f t="shared" si="11"/>
        <v>#DIV/0!</v>
      </c>
      <c r="M54" s="103"/>
      <c r="N54" s="103"/>
      <c r="O54" s="34"/>
      <c r="P54" s="6"/>
      <c r="Q54" s="14"/>
    </row>
    <row r="55" spans="1:17">
      <c r="A55" s="13">
        <f t="shared" si="12"/>
        <v>46163</v>
      </c>
      <c r="B55" s="127">
        <v>26580.5</v>
      </c>
      <c r="C55" s="127">
        <v>25276.71</v>
      </c>
      <c r="D55" s="34"/>
      <c r="E55" s="34"/>
      <c r="F55" s="20">
        <f>(IF(ISBLANK(E55),0,E55-C55))/C55</f>
        <v>0</v>
      </c>
      <c r="G55" s="2">
        <f t="shared" si="7"/>
        <v>0</v>
      </c>
      <c r="H55" s="2">
        <f t="shared" si="8"/>
        <v>0</v>
      </c>
      <c r="I55" s="28">
        <v>6.9549000000000003</v>
      </c>
      <c r="J55" s="34"/>
      <c r="K55" s="20">
        <f>(IF(ISBLANK(J55),0,J55-I55))/I55</f>
        <v>0</v>
      </c>
      <c r="L55" s="4" t="e">
        <f t="shared" si="11"/>
        <v>#DIV/0!</v>
      </c>
      <c r="M55" s="103"/>
      <c r="N55" s="103"/>
      <c r="O55" s="34"/>
      <c r="P55" s="6"/>
      <c r="Q55" s="6"/>
    </row>
    <row r="56" spans="1:17">
      <c r="A56" s="13">
        <f t="shared" si="12"/>
        <v>46164</v>
      </c>
      <c r="B56" s="127">
        <v>26580.5</v>
      </c>
      <c r="C56" s="127">
        <v>25276.71</v>
      </c>
      <c r="D56" s="34"/>
      <c r="E56" s="34"/>
      <c r="F56" s="20">
        <f t="shared" ref="F56:F65" si="13">(IF(ISBLANK(E56),0,E56-C56))/C56</f>
        <v>0</v>
      </c>
      <c r="G56" s="2">
        <f t="shared" si="7"/>
        <v>0</v>
      </c>
      <c r="H56" s="2">
        <f t="shared" si="8"/>
        <v>0</v>
      </c>
      <c r="I56" s="28">
        <v>6.9549000000000003</v>
      </c>
      <c r="J56" s="34"/>
      <c r="K56" s="20">
        <f t="shared" ref="K56:K65" si="14">(IF(ISBLANK(J56),0,J56-I56))/I56</f>
        <v>0</v>
      </c>
      <c r="L56" s="4" t="e">
        <f t="shared" si="11"/>
        <v>#DIV/0!</v>
      </c>
      <c r="M56" s="103"/>
      <c r="N56" s="103"/>
      <c r="O56" s="34"/>
      <c r="P56" s="6"/>
      <c r="Q56" s="6"/>
    </row>
    <row r="57" spans="1:17">
      <c r="A57" s="13">
        <f t="shared" si="12"/>
        <v>46165</v>
      </c>
      <c r="B57" s="127">
        <v>26580.5</v>
      </c>
      <c r="C57" s="127">
        <v>25276.71</v>
      </c>
      <c r="D57" s="14"/>
      <c r="E57" s="14"/>
      <c r="F57" s="20">
        <f t="shared" si="13"/>
        <v>0</v>
      </c>
      <c r="G57" s="2">
        <f t="shared" si="7"/>
        <v>0</v>
      </c>
      <c r="H57" s="2">
        <f t="shared" si="8"/>
        <v>0</v>
      </c>
      <c r="I57" s="28">
        <v>6.9549000000000003</v>
      </c>
      <c r="J57" s="14"/>
      <c r="K57" s="20">
        <f t="shared" si="14"/>
        <v>0</v>
      </c>
      <c r="L57" s="4" t="e">
        <f t="shared" si="11"/>
        <v>#DIV/0!</v>
      </c>
      <c r="M57" s="103"/>
      <c r="N57" s="103"/>
      <c r="O57" s="34"/>
      <c r="P57" s="6"/>
      <c r="Q57" s="6"/>
    </row>
    <row r="58" spans="1:17">
      <c r="A58" s="13">
        <f t="shared" si="12"/>
        <v>46166</v>
      </c>
      <c r="B58" s="127">
        <v>26580.5</v>
      </c>
      <c r="C58" s="127">
        <v>25276.71</v>
      </c>
      <c r="D58" s="14"/>
      <c r="E58" s="14"/>
      <c r="F58" s="20">
        <f t="shared" si="13"/>
        <v>0</v>
      </c>
      <c r="G58" s="2">
        <f t="shared" ref="G58:G65" si="15">D58/($D$2*24)</f>
        <v>0</v>
      </c>
      <c r="H58" s="2">
        <f t="shared" si="8"/>
        <v>0</v>
      </c>
      <c r="I58" s="28">
        <v>6.9549000000000003</v>
      </c>
      <c r="J58" s="14"/>
      <c r="K58" s="20">
        <f t="shared" si="14"/>
        <v>0</v>
      </c>
      <c r="L58" s="4" t="e">
        <f t="shared" si="11"/>
        <v>#DIV/0!</v>
      </c>
      <c r="M58" s="103"/>
      <c r="N58" s="103"/>
      <c r="O58" s="34"/>
      <c r="P58" s="6"/>
      <c r="Q58" s="288"/>
    </row>
    <row r="59" spans="1:17">
      <c r="A59" s="13">
        <f t="shared" si="12"/>
        <v>46167</v>
      </c>
      <c r="B59" s="127">
        <v>26580.5</v>
      </c>
      <c r="C59" s="127">
        <v>25276.71</v>
      </c>
      <c r="D59" s="14"/>
      <c r="E59" s="14"/>
      <c r="F59" s="20">
        <f t="shared" si="13"/>
        <v>0</v>
      </c>
      <c r="G59" s="2">
        <f t="shared" si="15"/>
        <v>0</v>
      </c>
      <c r="H59" s="2">
        <f t="shared" si="8"/>
        <v>0</v>
      </c>
      <c r="I59" s="28">
        <v>6.9549000000000003</v>
      </c>
      <c r="J59" s="14"/>
      <c r="K59" s="20">
        <f t="shared" si="14"/>
        <v>0</v>
      </c>
      <c r="L59" s="4" t="e">
        <f t="shared" si="11"/>
        <v>#DIV/0!</v>
      </c>
      <c r="M59" s="103"/>
      <c r="N59" s="103"/>
      <c r="O59" s="34"/>
      <c r="P59" s="155"/>
      <c r="Q59" s="6"/>
    </row>
    <row r="60" spans="1:17">
      <c r="A60" s="13">
        <f t="shared" si="12"/>
        <v>46168</v>
      </c>
      <c r="B60" s="127">
        <v>26580.5</v>
      </c>
      <c r="C60" s="127">
        <v>25276.71</v>
      </c>
      <c r="D60" s="14"/>
      <c r="E60" s="14"/>
      <c r="F60" s="20">
        <f t="shared" si="13"/>
        <v>0</v>
      </c>
      <c r="G60" s="2">
        <f t="shared" si="15"/>
        <v>0</v>
      </c>
      <c r="H60" s="2">
        <f t="shared" si="8"/>
        <v>0</v>
      </c>
      <c r="I60" s="28">
        <v>6.9549000000000003</v>
      </c>
      <c r="J60" s="14"/>
      <c r="K60" s="20">
        <f t="shared" si="14"/>
        <v>0</v>
      </c>
      <c r="L60" s="4" t="e">
        <f t="shared" si="11"/>
        <v>#DIV/0!</v>
      </c>
      <c r="M60" s="103"/>
      <c r="N60" s="103"/>
      <c r="O60" s="34"/>
      <c r="P60" s="6"/>
      <c r="Q60" s="123"/>
    </row>
    <row r="61" spans="1:17">
      <c r="A61" s="13">
        <f t="shared" si="12"/>
        <v>46169</v>
      </c>
      <c r="B61" s="127">
        <v>26580.5</v>
      </c>
      <c r="C61" s="127">
        <v>25276.71</v>
      </c>
      <c r="D61" s="14"/>
      <c r="E61" s="14"/>
      <c r="F61" s="20">
        <f t="shared" si="13"/>
        <v>0</v>
      </c>
      <c r="G61" s="2">
        <f t="shared" si="15"/>
        <v>0</v>
      </c>
      <c r="H61" s="2">
        <f t="shared" si="8"/>
        <v>0</v>
      </c>
      <c r="I61" s="28">
        <v>6.9549000000000003</v>
      </c>
      <c r="J61" s="14"/>
      <c r="K61" s="20">
        <f t="shared" si="14"/>
        <v>0</v>
      </c>
      <c r="L61" s="4" t="e">
        <f t="shared" si="11"/>
        <v>#DIV/0!</v>
      </c>
      <c r="M61" s="103"/>
      <c r="N61" s="103"/>
      <c r="O61" s="34"/>
      <c r="P61" s="6"/>
      <c r="Q61" s="6"/>
    </row>
    <row r="62" spans="1:17">
      <c r="A62" s="13">
        <f t="shared" si="12"/>
        <v>46170</v>
      </c>
      <c r="B62" s="127">
        <v>26580.5</v>
      </c>
      <c r="C62" s="127">
        <v>25276.71</v>
      </c>
      <c r="D62" s="14"/>
      <c r="E62" s="14"/>
      <c r="F62" s="20">
        <f t="shared" si="13"/>
        <v>0</v>
      </c>
      <c r="G62" s="2">
        <f t="shared" si="15"/>
        <v>0</v>
      </c>
      <c r="H62" s="2">
        <f t="shared" ref="H62:H65" si="16">D62/($H$2*24)</f>
        <v>0</v>
      </c>
      <c r="I62" s="28">
        <v>6.9549000000000003</v>
      </c>
      <c r="J62" s="14"/>
      <c r="K62" s="20">
        <f t="shared" si="14"/>
        <v>0</v>
      </c>
      <c r="L62" s="4" t="e">
        <f t="shared" si="11"/>
        <v>#DIV/0!</v>
      </c>
      <c r="M62" s="103"/>
      <c r="N62" s="103"/>
      <c r="O62" s="34"/>
      <c r="P62" s="6"/>
      <c r="Q62" s="6"/>
    </row>
    <row r="63" spans="1:17">
      <c r="A63" s="13">
        <f t="shared" si="12"/>
        <v>46171</v>
      </c>
      <c r="B63" s="127">
        <v>26580.5</v>
      </c>
      <c r="C63" s="127">
        <v>25276.71</v>
      </c>
      <c r="D63" s="14"/>
      <c r="E63" s="14"/>
      <c r="F63" s="20">
        <f t="shared" si="13"/>
        <v>0</v>
      </c>
      <c r="G63" s="2">
        <f t="shared" si="15"/>
        <v>0</v>
      </c>
      <c r="H63" s="2">
        <f t="shared" si="16"/>
        <v>0</v>
      </c>
      <c r="I63" s="28">
        <v>6.9549000000000003</v>
      </c>
      <c r="J63" s="14"/>
      <c r="K63" s="20">
        <f t="shared" si="14"/>
        <v>0</v>
      </c>
      <c r="L63" s="4" t="e">
        <f t="shared" si="11"/>
        <v>#DIV/0!</v>
      </c>
      <c r="M63" s="103"/>
      <c r="N63" s="103"/>
      <c r="O63" s="34"/>
      <c r="P63" s="6"/>
      <c r="Q63" s="6"/>
    </row>
    <row r="64" spans="1:17">
      <c r="A64" s="13">
        <f t="shared" si="12"/>
        <v>46172</v>
      </c>
      <c r="B64" s="127">
        <v>26580.5</v>
      </c>
      <c r="C64" s="127">
        <v>25276.71</v>
      </c>
      <c r="D64" s="14"/>
      <c r="E64" s="14"/>
      <c r="F64" s="20">
        <f t="shared" si="13"/>
        <v>0</v>
      </c>
      <c r="G64" s="2">
        <f t="shared" si="15"/>
        <v>0</v>
      </c>
      <c r="H64" s="2">
        <f t="shared" si="16"/>
        <v>0</v>
      </c>
      <c r="I64" s="28">
        <v>6.9549000000000003</v>
      </c>
      <c r="J64" s="14"/>
      <c r="K64" s="20">
        <f t="shared" si="14"/>
        <v>0</v>
      </c>
      <c r="L64" s="4" t="e">
        <f t="shared" si="11"/>
        <v>#DIV/0!</v>
      </c>
      <c r="M64" s="103"/>
      <c r="N64" s="103"/>
      <c r="O64" s="34"/>
      <c r="P64" s="6"/>
      <c r="Q64" s="6"/>
    </row>
    <row r="65" spans="1:17">
      <c r="A65" s="13">
        <f t="shared" si="12"/>
        <v>46173</v>
      </c>
      <c r="B65" s="127">
        <v>26580.5</v>
      </c>
      <c r="C65" s="127">
        <v>25276.71</v>
      </c>
      <c r="D65" s="14"/>
      <c r="E65" s="14"/>
      <c r="F65" s="20">
        <f t="shared" si="13"/>
        <v>0</v>
      </c>
      <c r="G65" s="2">
        <f t="shared" si="15"/>
        <v>0</v>
      </c>
      <c r="H65" s="2">
        <f t="shared" si="16"/>
        <v>0</v>
      </c>
      <c r="I65" s="28">
        <v>6.9549000000000003</v>
      </c>
      <c r="J65" s="14"/>
      <c r="K65" s="20">
        <f t="shared" si="14"/>
        <v>0</v>
      </c>
      <c r="L65" s="4" t="e">
        <f t="shared" si="11"/>
        <v>#DIV/0!</v>
      </c>
      <c r="M65" s="103"/>
      <c r="N65" s="103"/>
      <c r="O65" s="34"/>
      <c r="P65" s="6"/>
      <c r="Q65" s="6"/>
    </row>
    <row r="66" spans="1:17">
      <c r="A66" s="349">
        <v>46143</v>
      </c>
      <c r="B66" s="89">
        <f>SUM(B35:B65)</f>
        <v>823995.5</v>
      </c>
      <c r="C66" s="89">
        <f>SUM(C35:C65)</f>
        <v>783578.00999999978</v>
      </c>
      <c r="D66" s="89">
        <f>SUM(D35:D65)</f>
        <v>110521</v>
      </c>
      <c r="E66" s="89">
        <f>SUM(E35:E65)</f>
        <v>107900</v>
      </c>
      <c r="F66" s="160">
        <f>(IF(ISBLANK(E66),0,E66-C66))/C66</f>
        <v>-0.86229833070481388</v>
      </c>
      <c r="G66" s="90">
        <f>AVERAGE(G35:G65)</f>
        <v>3.031627166995831E-2</v>
      </c>
      <c r="H66" s="90">
        <f>AVERAGE(H35:H65)</f>
        <v>3.7512558379493868E-2</v>
      </c>
      <c r="I66" s="89">
        <f>SUM(I35:I65)</f>
        <v>215.60190000000009</v>
      </c>
      <c r="J66" s="89">
        <f>SUM(J35:J65)</f>
        <v>32.94</v>
      </c>
      <c r="K66" s="160">
        <f>(IF(ISBLANK(J66),0,J66-I66))/I66</f>
        <v>-0.84721841505107331</v>
      </c>
      <c r="L66" s="161">
        <f t="shared" si="11"/>
        <v>0.68473910511381242</v>
      </c>
      <c r="M66" s="90">
        <f>AVERAGE(M35:M65)</f>
        <v>1</v>
      </c>
      <c r="N66" s="90">
        <f>AVERAGE(N35:N65)</f>
        <v>1</v>
      </c>
      <c r="O66" s="89">
        <f>SUM(O35:O65)</f>
        <v>14611</v>
      </c>
      <c r="P66" s="89">
        <f>SUM(P35:P65)</f>
        <v>0</v>
      </c>
      <c r="Q66" s="19"/>
    </row>
  </sheetData>
  <mergeCells count="4">
    <mergeCell ref="A1:Q1"/>
    <mergeCell ref="B2:C2"/>
    <mergeCell ref="E2:G2"/>
    <mergeCell ref="I2:J2"/>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C29E1-391F-44E3-8F40-A3B017C320F7}">
  <dimension ref="A1:Q66"/>
  <sheetViews>
    <sheetView topLeftCell="A19"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8.5">
      <c r="A1" s="405" t="s">
        <v>618</v>
      </c>
      <c r="B1" s="406"/>
      <c r="C1" s="406"/>
      <c r="D1" s="406"/>
      <c r="E1" s="406"/>
      <c r="F1" s="406"/>
      <c r="G1" s="406"/>
      <c r="H1" s="406"/>
      <c r="I1" s="406"/>
      <c r="J1" s="406"/>
      <c r="K1" s="406"/>
      <c r="L1" s="406"/>
      <c r="M1" s="406"/>
      <c r="N1" s="406"/>
      <c r="O1" s="406"/>
      <c r="P1" s="406"/>
      <c r="Q1" s="406"/>
    </row>
    <row r="2" spans="1:17" ht="18.5">
      <c r="A2" s="7">
        <v>46113</v>
      </c>
      <c r="B2" s="407" t="s">
        <v>172</v>
      </c>
      <c r="C2" s="408"/>
      <c r="D2" s="8">
        <v>5900</v>
      </c>
      <c r="E2" s="407" t="s">
        <v>173</v>
      </c>
      <c r="F2" s="407"/>
      <c r="G2" s="408"/>
      <c r="H2" s="8">
        <v>3960</v>
      </c>
      <c r="I2" s="409" t="s">
        <v>174</v>
      </c>
      <c r="J2" s="410"/>
      <c r="K2" s="9">
        <v>45658</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30998</v>
      </c>
      <c r="C4" s="1">
        <v>30998</v>
      </c>
      <c r="D4" s="6">
        <v>28739</v>
      </c>
      <c r="E4" s="6">
        <v>28170</v>
      </c>
      <c r="F4" s="21">
        <f t="shared" ref="F4:F35" si="0">(IF(ISBLANK(E4),0,E4-C4))/C4</f>
        <v>-9.1231692367249498E-2</v>
      </c>
      <c r="G4" s="2">
        <f t="shared" ref="G4:G33" si="1">D4/($D$2*24)</f>
        <v>0.20295903954802261</v>
      </c>
      <c r="H4" s="2">
        <f t="shared" ref="H4:H21" si="2">D4/($H$2*24)</f>
        <v>0.30238846801346803</v>
      </c>
      <c r="I4" s="86">
        <v>7.07</v>
      </c>
      <c r="J4" s="6">
        <v>5.85</v>
      </c>
      <c r="K4" s="21">
        <f t="shared" ref="K4:K35" si="3">(IF(ISBLANK(J4),0,J4-I4))/I4</f>
        <v>-0.17256011315417263</v>
      </c>
      <c r="L4" s="22">
        <f t="shared" ref="L4:L35" si="4">D4/($D$2*J4)</f>
        <v>0.83265246994060549</v>
      </c>
      <c r="M4" s="189">
        <v>1</v>
      </c>
      <c r="N4" s="189">
        <v>1</v>
      </c>
      <c r="O4" s="49"/>
      <c r="P4" s="49"/>
      <c r="Q4" s="49"/>
    </row>
    <row r="5" spans="1:17">
      <c r="A5" s="13">
        <f t="shared" ref="A5:A33" si="5">A4+1</f>
        <v>46114</v>
      </c>
      <c r="B5" s="1">
        <v>30998</v>
      </c>
      <c r="C5" s="1">
        <v>30998</v>
      </c>
      <c r="D5" s="6">
        <v>31241</v>
      </c>
      <c r="E5" s="6">
        <v>30600</v>
      </c>
      <c r="F5" s="21">
        <f t="shared" si="0"/>
        <v>-1.2839538034711917E-2</v>
      </c>
      <c r="G5" s="2">
        <f t="shared" si="1"/>
        <v>0.22062853107344632</v>
      </c>
      <c r="H5" s="2">
        <f t="shared" si="2"/>
        <v>0.32871422558922558</v>
      </c>
      <c r="I5" s="86">
        <v>7.07</v>
      </c>
      <c r="J5" s="6">
        <v>6.35</v>
      </c>
      <c r="K5" s="21">
        <f t="shared" si="3"/>
        <v>-0.10183875530410193</v>
      </c>
      <c r="L5" s="22">
        <f t="shared" si="4"/>
        <v>0.83387161350593886</v>
      </c>
      <c r="M5" s="189">
        <v>1</v>
      </c>
      <c r="N5" s="189">
        <v>1</v>
      </c>
      <c r="O5" s="50"/>
      <c r="P5" s="49"/>
      <c r="Q5" s="50"/>
    </row>
    <row r="6" spans="1:17">
      <c r="A6" s="13">
        <f t="shared" si="5"/>
        <v>46115</v>
      </c>
      <c r="B6" s="1">
        <v>30998</v>
      </c>
      <c r="C6" s="1">
        <v>30998</v>
      </c>
      <c r="D6" s="6">
        <v>32442</v>
      </c>
      <c r="E6" s="6">
        <v>31860</v>
      </c>
      <c r="F6" s="21">
        <f t="shared" si="0"/>
        <v>2.7808245693270534E-2</v>
      </c>
      <c r="G6" s="2">
        <f t="shared" si="1"/>
        <v>0.22911016949152543</v>
      </c>
      <c r="H6" s="2">
        <f t="shared" si="2"/>
        <v>0.3413510101010101</v>
      </c>
      <c r="I6" s="86">
        <v>7.07</v>
      </c>
      <c r="J6" s="6">
        <v>6.6</v>
      </c>
      <c r="K6" s="21">
        <f t="shared" si="3"/>
        <v>-6.6478076379066567E-2</v>
      </c>
      <c r="L6" s="22">
        <f t="shared" si="4"/>
        <v>0.8331278890600925</v>
      </c>
      <c r="M6" s="189">
        <v>1</v>
      </c>
      <c r="N6" s="189">
        <v>1</v>
      </c>
      <c r="O6" s="50"/>
      <c r="P6" s="49"/>
      <c r="Q6" s="50"/>
    </row>
    <row r="7" spans="1:17">
      <c r="A7" s="13">
        <f t="shared" si="5"/>
        <v>46116</v>
      </c>
      <c r="B7" s="1">
        <v>30998</v>
      </c>
      <c r="C7" s="1">
        <v>30998</v>
      </c>
      <c r="D7" s="6">
        <v>25292</v>
      </c>
      <c r="E7" s="6">
        <v>24705</v>
      </c>
      <c r="F7" s="21">
        <f t="shared" si="0"/>
        <v>-0.20301309761920125</v>
      </c>
      <c r="G7" s="2">
        <f t="shared" si="1"/>
        <v>0.17861581920903954</v>
      </c>
      <c r="H7" s="2">
        <f t="shared" si="2"/>
        <v>0.26611952861952864</v>
      </c>
      <c r="I7" s="86">
        <v>7.07</v>
      </c>
      <c r="J7" s="6">
        <v>5.19</v>
      </c>
      <c r="K7" s="21">
        <f t="shared" si="3"/>
        <v>-0.26591230551626588</v>
      </c>
      <c r="L7" s="22">
        <f t="shared" si="4"/>
        <v>0.8259691061689689</v>
      </c>
      <c r="M7" s="189">
        <v>1</v>
      </c>
      <c r="N7" s="189">
        <v>1</v>
      </c>
      <c r="O7" s="186"/>
      <c r="P7" s="49"/>
      <c r="Q7" s="191"/>
    </row>
    <row r="8" spans="1:17">
      <c r="A8" s="13">
        <f t="shared" si="5"/>
        <v>46117</v>
      </c>
      <c r="B8" s="1">
        <v>30998</v>
      </c>
      <c r="C8" s="1">
        <v>30998</v>
      </c>
      <c r="D8" s="6">
        <v>31744</v>
      </c>
      <c r="E8" s="6">
        <v>31140</v>
      </c>
      <c r="F8" s="21">
        <f t="shared" si="0"/>
        <v>4.5809407058519901E-3</v>
      </c>
      <c r="G8" s="2">
        <f t="shared" si="1"/>
        <v>0.22418079096045199</v>
      </c>
      <c r="H8" s="2">
        <f t="shared" si="2"/>
        <v>0.33400673400673403</v>
      </c>
      <c r="I8" s="86">
        <v>7.07</v>
      </c>
      <c r="J8" s="6">
        <v>6.45</v>
      </c>
      <c r="K8" s="21">
        <f t="shared" si="3"/>
        <v>-8.7694483734087711E-2</v>
      </c>
      <c r="L8" s="22">
        <f t="shared" si="4"/>
        <v>0.83416108264354227</v>
      </c>
      <c r="M8" s="189">
        <v>1</v>
      </c>
      <c r="N8" s="189">
        <v>1</v>
      </c>
      <c r="O8" s="49"/>
      <c r="P8" s="49"/>
      <c r="Q8" s="50"/>
    </row>
    <row r="9" spans="1:17">
      <c r="A9" s="13">
        <f t="shared" si="5"/>
        <v>46118</v>
      </c>
      <c r="B9" s="1">
        <v>30998</v>
      </c>
      <c r="C9" s="1">
        <v>30998</v>
      </c>
      <c r="D9" s="6">
        <v>33127</v>
      </c>
      <c r="E9" s="6">
        <v>32445</v>
      </c>
      <c r="F9" s="21">
        <f t="shared" si="0"/>
        <v>4.6680430995548097E-2</v>
      </c>
      <c r="G9" s="2">
        <f t="shared" si="1"/>
        <v>0.23394774011299435</v>
      </c>
      <c r="H9" s="2">
        <f t="shared" si="2"/>
        <v>0.34855850168350166</v>
      </c>
      <c r="I9" s="86">
        <v>7.07</v>
      </c>
      <c r="J9" s="6">
        <v>6.65</v>
      </c>
      <c r="K9" s="21">
        <f t="shared" si="3"/>
        <v>-5.9405940594059396E-2</v>
      </c>
      <c r="L9" s="22">
        <f t="shared" si="4"/>
        <v>0.84432267108449088</v>
      </c>
      <c r="M9" s="189">
        <v>1</v>
      </c>
      <c r="N9" s="189">
        <v>1</v>
      </c>
      <c r="O9" s="49"/>
      <c r="P9" s="49"/>
      <c r="Q9" s="50"/>
    </row>
    <row r="10" spans="1:17">
      <c r="A10" s="13">
        <f t="shared" si="5"/>
        <v>46119</v>
      </c>
      <c r="B10" s="1">
        <v>30998</v>
      </c>
      <c r="C10" s="1">
        <v>30998</v>
      </c>
      <c r="D10" s="6">
        <v>32142</v>
      </c>
      <c r="E10" s="6">
        <v>31545</v>
      </c>
      <c r="F10" s="21">
        <f t="shared" si="0"/>
        <v>1.7646299761274922E-2</v>
      </c>
      <c r="G10" s="2">
        <f t="shared" si="1"/>
        <v>0.2269915254237288</v>
      </c>
      <c r="H10" s="2">
        <f t="shared" si="2"/>
        <v>0.33819444444444446</v>
      </c>
      <c r="I10" s="86">
        <v>7.07</v>
      </c>
      <c r="J10" s="6">
        <v>6.56</v>
      </c>
      <c r="K10" s="21">
        <f t="shared" si="3"/>
        <v>-7.2135785007072226E-2</v>
      </c>
      <c r="L10" s="22">
        <f t="shared" si="4"/>
        <v>0.83045680033071512</v>
      </c>
      <c r="M10" s="189">
        <v>1</v>
      </c>
      <c r="N10" s="189">
        <v>1</v>
      </c>
      <c r="O10" s="49"/>
      <c r="P10" s="219"/>
      <c r="Q10" s="50"/>
    </row>
    <row r="11" spans="1:17">
      <c r="A11" s="13">
        <f t="shared" si="5"/>
        <v>46120</v>
      </c>
      <c r="B11" s="1">
        <v>30998</v>
      </c>
      <c r="C11" s="1">
        <v>30998</v>
      </c>
      <c r="D11" s="6">
        <v>30785</v>
      </c>
      <c r="E11" s="6">
        <v>30150</v>
      </c>
      <c r="F11" s="21">
        <f t="shared" si="0"/>
        <v>-2.7356603651848506E-2</v>
      </c>
      <c r="G11" s="2">
        <f t="shared" si="1"/>
        <v>0.21740819209039547</v>
      </c>
      <c r="H11" s="2">
        <f t="shared" si="2"/>
        <v>0.32391624579124578</v>
      </c>
      <c r="I11" s="86">
        <v>7.07</v>
      </c>
      <c r="J11" s="6">
        <v>6.37</v>
      </c>
      <c r="K11" s="21">
        <f t="shared" si="3"/>
        <v>-9.9009900990099028E-2</v>
      </c>
      <c r="L11" s="22">
        <f t="shared" si="4"/>
        <v>0.81912034696538327</v>
      </c>
      <c r="M11" s="189">
        <v>1</v>
      </c>
      <c r="N11" s="189">
        <v>1</v>
      </c>
      <c r="O11" s="219"/>
      <c r="P11" s="49"/>
      <c r="Q11" s="50"/>
    </row>
    <row r="12" spans="1:17">
      <c r="A12" s="13">
        <f t="shared" si="5"/>
        <v>46121</v>
      </c>
      <c r="B12" s="1">
        <v>30998</v>
      </c>
      <c r="C12" s="1">
        <v>30998</v>
      </c>
      <c r="D12" s="6">
        <v>31080</v>
      </c>
      <c r="E12" s="6">
        <v>30375</v>
      </c>
      <c r="F12" s="21">
        <f t="shared" si="0"/>
        <v>-2.0098070843280212E-2</v>
      </c>
      <c r="G12" s="2">
        <f t="shared" si="1"/>
        <v>0.21949152542372882</v>
      </c>
      <c r="H12" s="2">
        <f t="shared" si="2"/>
        <v>0.32702020202020204</v>
      </c>
      <c r="I12" s="86">
        <v>7.07</v>
      </c>
      <c r="J12" s="6">
        <v>6.4</v>
      </c>
      <c r="K12" s="21">
        <f t="shared" si="3"/>
        <v>-9.476661951909475E-2</v>
      </c>
      <c r="L12" s="22">
        <f t="shared" si="4"/>
        <v>0.82309322033898302</v>
      </c>
      <c r="M12" s="189">
        <v>1</v>
      </c>
      <c r="N12" s="189">
        <v>1</v>
      </c>
      <c r="O12" s="186"/>
      <c r="P12" s="49"/>
      <c r="Q12" s="217"/>
    </row>
    <row r="13" spans="1:17">
      <c r="A13" s="13">
        <f t="shared" si="5"/>
        <v>46122</v>
      </c>
      <c r="B13" s="1">
        <v>30998</v>
      </c>
      <c r="C13" s="1">
        <v>30998</v>
      </c>
      <c r="D13" s="6">
        <v>32298</v>
      </c>
      <c r="E13" s="6">
        <v>31680</v>
      </c>
      <c r="F13" s="21">
        <f t="shared" si="0"/>
        <v>2.2001419446415899E-2</v>
      </c>
      <c r="G13" s="2">
        <f t="shared" si="1"/>
        <v>0.22809322033898305</v>
      </c>
      <c r="H13" s="2">
        <f t="shared" si="2"/>
        <v>0.33983585858585857</v>
      </c>
      <c r="I13" s="86">
        <v>7.07</v>
      </c>
      <c r="J13" s="6">
        <v>6.57</v>
      </c>
      <c r="K13" s="21">
        <f t="shared" si="3"/>
        <v>-7.0721357850070721E-2</v>
      </c>
      <c r="L13" s="22">
        <f t="shared" si="4"/>
        <v>0.83321724324742663</v>
      </c>
      <c r="M13" s="189">
        <v>1</v>
      </c>
      <c r="N13" s="189">
        <v>1</v>
      </c>
      <c r="O13" s="186"/>
      <c r="P13" s="49"/>
      <c r="Q13" s="191"/>
    </row>
    <row r="14" spans="1:17">
      <c r="A14" s="13">
        <f t="shared" si="5"/>
        <v>46123</v>
      </c>
      <c r="B14" s="1">
        <v>30998</v>
      </c>
      <c r="C14" s="1">
        <v>30998</v>
      </c>
      <c r="D14" s="6">
        <v>32187</v>
      </c>
      <c r="E14" s="6">
        <v>31500</v>
      </c>
      <c r="F14" s="21">
        <f t="shared" si="0"/>
        <v>1.6194593199561264E-2</v>
      </c>
      <c r="G14" s="2">
        <f t="shared" si="1"/>
        <v>0.22730932203389831</v>
      </c>
      <c r="H14" s="2">
        <f t="shared" si="2"/>
        <v>0.33866792929292927</v>
      </c>
      <c r="I14" s="86">
        <v>7.07</v>
      </c>
      <c r="J14" s="6">
        <v>6.55</v>
      </c>
      <c r="K14" s="21">
        <f t="shared" si="3"/>
        <v>-7.355021216407362E-2</v>
      </c>
      <c r="L14" s="22">
        <f t="shared" si="4"/>
        <v>0.83288911890283346</v>
      </c>
      <c r="M14" s="189">
        <v>1</v>
      </c>
      <c r="N14" s="189">
        <v>1</v>
      </c>
      <c r="O14" s="50"/>
      <c r="P14" s="49"/>
      <c r="Q14" s="50"/>
    </row>
    <row r="15" spans="1:17">
      <c r="A15" s="13">
        <f t="shared" si="5"/>
        <v>46124</v>
      </c>
      <c r="B15" s="1">
        <v>30998</v>
      </c>
      <c r="C15" s="1">
        <v>30998</v>
      </c>
      <c r="D15" s="6">
        <v>31459</v>
      </c>
      <c r="E15" s="6">
        <v>30825</v>
      </c>
      <c r="F15" s="21">
        <f t="shared" si="0"/>
        <v>-5.5810052261436221E-3</v>
      </c>
      <c r="G15" s="2">
        <f t="shared" si="1"/>
        <v>0.22216807909604519</v>
      </c>
      <c r="H15" s="2">
        <f t="shared" si="2"/>
        <v>0.33100799663299663</v>
      </c>
      <c r="I15" s="86">
        <v>7.07</v>
      </c>
      <c r="J15" s="6">
        <v>6.47</v>
      </c>
      <c r="K15" s="21">
        <f t="shared" si="3"/>
        <v>-8.4865629420084937E-2</v>
      </c>
      <c r="L15" s="22">
        <f t="shared" si="4"/>
        <v>0.82411652214916298</v>
      </c>
      <c r="M15" s="189">
        <v>1</v>
      </c>
      <c r="N15" s="189">
        <v>1</v>
      </c>
      <c r="O15" s="50"/>
      <c r="P15" s="49"/>
      <c r="Q15" s="50"/>
    </row>
    <row r="16" spans="1:17">
      <c r="A16" s="13">
        <f t="shared" si="5"/>
        <v>46125</v>
      </c>
      <c r="B16" s="1">
        <v>30998</v>
      </c>
      <c r="C16" s="1">
        <v>30998</v>
      </c>
      <c r="D16" s="6">
        <v>30858</v>
      </c>
      <c r="E16" s="6">
        <v>30285</v>
      </c>
      <c r="F16" s="21">
        <f t="shared" si="0"/>
        <v>-2.300148396670753E-2</v>
      </c>
      <c r="G16" s="2">
        <f t="shared" si="1"/>
        <v>0.21792372881355931</v>
      </c>
      <c r="H16" s="2">
        <f t="shared" si="2"/>
        <v>0.32468434343434344</v>
      </c>
      <c r="I16" s="86">
        <v>7.07</v>
      </c>
      <c r="J16" s="6">
        <v>6.42</v>
      </c>
      <c r="K16" s="21">
        <f t="shared" si="3"/>
        <v>-9.193776520509199E-2</v>
      </c>
      <c r="L16" s="22">
        <f t="shared" si="4"/>
        <v>0.81466814509741803</v>
      </c>
      <c r="M16" s="189">
        <v>1</v>
      </c>
      <c r="N16" s="189">
        <v>1</v>
      </c>
      <c r="O16" s="50"/>
      <c r="P16" s="49"/>
      <c r="Q16" s="50"/>
    </row>
    <row r="17" spans="1:17">
      <c r="A17" s="13">
        <f t="shared" si="5"/>
        <v>46126</v>
      </c>
      <c r="B17" s="1">
        <v>30998</v>
      </c>
      <c r="C17" s="1">
        <v>30998</v>
      </c>
      <c r="D17" s="6">
        <v>31768</v>
      </c>
      <c r="E17" s="6">
        <v>31230</v>
      </c>
      <c r="F17" s="21">
        <f t="shared" si="0"/>
        <v>7.4843538292793084E-3</v>
      </c>
      <c r="G17" s="2">
        <f t="shared" si="1"/>
        <v>0.22435028248587571</v>
      </c>
      <c r="H17" s="2">
        <f t="shared" si="2"/>
        <v>0.33425925925925926</v>
      </c>
      <c r="I17" s="86">
        <v>7.07</v>
      </c>
      <c r="J17" s="6">
        <v>6.26</v>
      </c>
      <c r="K17" s="21">
        <f t="shared" si="3"/>
        <v>-0.11456859971711464</v>
      </c>
      <c r="L17" s="22">
        <f t="shared" si="4"/>
        <v>0.86012887854009856</v>
      </c>
      <c r="M17" s="189">
        <v>1</v>
      </c>
      <c r="N17" s="189">
        <v>1</v>
      </c>
      <c r="O17" s="50"/>
      <c r="P17" s="49"/>
      <c r="Q17" s="50"/>
    </row>
    <row r="18" spans="1:17">
      <c r="A18" s="13">
        <f t="shared" si="5"/>
        <v>46127</v>
      </c>
      <c r="B18" s="1">
        <v>30998</v>
      </c>
      <c r="C18" s="1">
        <v>30998</v>
      </c>
      <c r="D18" s="6">
        <v>32429</v>
      </c>
      <c r="E18" s="6">
        <v>31815</v>
      </c>
      <c r="F18" s="21">
        <f t="shared" si="0"/>
        <v>2.6356539131556875E-2</v>
      </c>
      <c r="G18" s="2">
        <f t="shared" si="1"/>
        <v>0.2290183615819209</v>
      </c>
      <c r="H18" s="2">
        <f t="shared" si="2"/>
        <v>0.34121422558922559</v>
      </c>
      <c r="I18" s="86">
        <v>7.07</v>
      </c>
      <c r="J18" s="6">
        <v>7.12</v>
      </c>
      <c r="K18" s="21">
        <f t="shared" si="3"/>
        <v>7.0721357850070466E-3</v>
      </c>
      <c r="L18" s="22">
        <f t="shared" si="4"/>
        <v>0.77197200533231769</v>
      </c>
      <c r="M18" s="189">
        <v>1</v>
      </c>
      <c r="N18" s="189">
        <v>1</v>
      </c>
      <c r="O18" s="50"/>
      <c r="P18" s="49"/>
      <c r="Q18" s="50"/>
    </row>
    <row r="19" spans="1:17">
      <c r="A19" s="13">
        <f t="shared" si="5"/>
        <v>46128</v>
      </c>
      <c r="B19" s="1">
        <v>30998</v>
      </c>
      <c r="C19" s="1">
        <v>30998</v>
      </c>
      <c r="D19" s="6">
        <v>32689</v>
      </c>
      <c r="E19" s="6">
        <v>32400</v>
      </c>
      <c r="F19" s="21">
        <f t="shared" si="0"/>
        <v>4.5228724433834439E-2</v>
      </c>
      <c r="G19" s="2">
        <f t="shared" si="1"/>
        <v>0.23085451977401131</v>
      </c>
      <c r="H19" s="2">
        <f t="shared" si="2"/>
        <v>0.3439499158249158</v>
      </c>
      <c r="I19" s="86">
        <v>7.07</v>
      </c>
      <c r="J19" s="6">
        <v>6.92</v>
      </c>
      <c r="K19" s="21">
        <f t="shared" si="3"/>
        <v>-2.1216407355021265E-2</v>
      </c>
      <c r="L19" s="22">
        <f t="shared" si="4"/>
        <v>0.8006515136670912</v>
      </c>
      <c r="M19" s="189">
        <v>1</v>
      </c>
      <c r="N19" s="189">
        <v>1</v>
      </c>
      <c r="O19" s="50"/>
      <c r="P19" s="49"/>
      <c r="Q19" s="50"/>
    </row>
    <row r="20" spans="1:17">
      <c r="A20" s="13">
        <f t="shared" si="5"/>
        <v>46129</v>
      </c>
      <c r="B20" s="1">
        <v>30998</v>
      </c>
      <c r="C20" s="1">
        <v>30998</v>
      </c>
      <c r="D20" s="6">
        <v>29864</v>
      </c>
      <c r="E20" s="6">
        <v>29340</v>
      </c>
      <c r="F20" s="21">
        <f t="shared" si="0"/>
        <v>-5.348732176269437E-2</v>
      </c>
      <c r="G20" s="2">
        <f t="shared" si="1"/>
        <v>0.21090395480225987</v>
      </c>
      <c r="H20" s="2">
        <f t="shared" si="2"/>
        <v>0.31422558922558924</v>
      </c>
      <c r="I20" s="86">
        <v>7.07</v>
      </c>
      <c r="J20" s="6">
        <v>6.71</v>
      </c>
      <c r="K20" s="21">
        <f t="shared" si="3"/>
        <v>-5.0919377652050964E-2</v>
      </c>
      <c r="L20" s="22">
        <f t="shared" si="4"/>
        <v>0.75435095607365688</v>
      </c>
      <c r="M20" s="189">
        <v>1</v>
      </c>
      <c r="N20" s="189">
        <v>1</v>
      </c>
      <c r="O20" s="50"/>
      <c r="P20" s="49"/>
      <c r="Q20" s="50"/>
    </row>
    <row r="21" spans="1:17">
      <c r="A21" s="13">
        <f t="shared" si="5"/>
        <v>46130</v>
      </c>
      <c r="B21" s="1">
        <v>30998</v>
      </c>
      <c r="C21" s="1">
        <v>30998</v>
      </c>
      <c r="D21" s="6">
        <v>28337</v>
      </c>
      <c r="E21" s="6">
        <v>27810</v>
      </c>
      <c r="F21" s="21">
        <f t="shared" si="0"/>
        <v>-0.10284534486095877</v>
      </c>
      <c r="G21" s="2">
        <f t="shared" si="1"/>
        <v>0.20012005649717515</v>
      </c>
      <c r="H21" s="2">
        <f t="shared" si="2"/>
        <v>0.29815867003367003</v>
      </c>
      <c r="I21" s="86">
        <v>7.07</v>
      </c>
      <c r="J21" s="6">
        <v>6.4</v>
      </c>
      <c r="K21" s="21">
        <f t="shared" si="3"/>
        <v>-9.476661951909475E-2</v>
      </c>
      <c r="L21" s="22">
        <f t="shared" si="4"/>
        <v>0.75045021186440675</v>
      </c>
      <c r="M21" s="189">
        <v>1</v>
      </c>
      <c r="N21" s="189">
        <v>1</v>
      </c>
      <c r="O21" s="50"/>
      <c r="P21" s="186"/>
      <c r="Q21" s="83"/>
    </row>
    <row r="22" spans="1:17">
      <c r="A22" s="13">
        <f t="shared" si="5"/>
        <v>46131</v>
      </c>
      <c r="B22" s="1">
        <v>30998</v>
      </c>
      <c r="C22" s="1">
        <v>30998</v>
      </c>
      <c r="D22" s="6">
        <v>29916</v>
      </c>
      <c r="E22" s="6">
        <v>29475</v>
      </c>
      <c r="F22" s="21">
        <f t="shared" si="0"/>
        <v>-4.9132202077553387E-2</v>
      </c>
      <c r="G22" s="2">
        <f t="shared" si="1"/>
        <v>0.21127118644067797</v>
      </c>
      <c r="H22" s="2">
        <f t="shared" ref="H22:H33" si="6">E22/($D$2*24)</f>
        <v>0.20815677966101695</v>
      </c>
      <c r="I22" s="86">
        <v>7.07</v>
      </c>
      <c r="J22" s="6">
        <v>6.81</v>
      </c>
      <c r="K22" s="21">
        <f t="shared" si="3"/>
        <v>-3.6775106082036872E-2</v>
      </c>
      <c r="L22" s="22">
        <f t="shared" si="4"/>
        <v>0.74456805794071534</v>
      </c>
      <c r="M22" s="189">
        <v>1</v>
      </c>
      <c r="N22" s="189">
        <v>1</v>
      </c>
      <c r="O22" s="50"/>
      <c r="P22" s="186"/>
      <c r="Q22" s="83"/>
    </row>
    <row r="23" spans="1:17">
      <c r="A23" s="13">
        <f t="shared" si="5"/>
        <v>46132</v>
      </c>
      <c r="B23" s="1">
        <v>30998</v>
      </c>
      <c r="C23" s="1">
        <v>30998</v>
      </c>
      <c r="D23" s="6">
        <v>29663</v>
      </c>
      <c r="E23" s="6">
        <v>29070</v>
      </c>
      <c r="F23" s="21">
        <f t="shared" si="0"/>
        <v>-6.2197561132976323E-2</v>
      </c>
      <c r="G23" s="2">
        <f t="shared" si="1"/>
        <v>0.20948446327683615</v>
      </c>
      <c r="H23" s="2">
        <f t="shared" si="6"/>
        <v>0.20529661016949152</v>
      </c>
      <c r="I23" s="86">
        <v>7.07</v>
      </c>
      <c r="J23" s="6">
        <v>6.32</v>
      </c>
      <c r="K23" s="21">
        <f t="shared" si="3"/>
        <v>-0.10608203677510608</v>
      </c>
      <c r="L23" s="22">
        <f t="shared" si="4"/>
        <v>0.79551062003861828</v>
      </c>
      <c r="M23" s="189">
        <v>1</v>
      </c>
      <c r="N23" s="189">
        <v>1</v>
      </c>
      <c r="O23" s="50"/>
      <c r="P23" s="186"/>
      <c r="Q23" s="83"/>
    </row>
    <row r="24" spans="1:17">
      <c r="A24" s="13">
        <f t="shared" si="5"/>
        <v>46133</v>
      </c>
      <c r="B24" s="1">
        <v>30998</v>
      </c>
      <c r="C24" s="1">
        <v>30998</v>
      </c>
      <c r="D24" s="6">
        <v>30827</v>
      </c>
      <c r="E24" s="6">
        <v>30285</v>
      </c>
      <c r="F24" s="21">
        <f t="shared" si="0"/>
        <v>-2.300148396670753E-2</v>
      </c>
      <c r="G24" s="2">
        <f t="shared" si="1"/>
        <v>0.217704802259887</v>
      </c>
      <c r="H24" s="2">
        <f t="shared" si="6"/>
        <v>0.2138771186440678</v>
      </c>
      <c r="I24" s="86">
        <v>7.07</v>
      </c>
      <c r="J24" s="6">
        <v>6.52</v>
      </c>
      <c r="K24" s="21">
        <f t="shared" si="3"/>
        <v>-7.7793493635077884E-2</v>
      </c>
      <c r="L24" s="22">
        <f t="shared" si="4"/>
        <v>0.80136737028179261</v>
      </c>
      <c r="M24" s="189">
        <v>1</v>
      </c>
      <c r="N24" s="189">
        <v>1</v>
      </c>
      <c r="O24" s="50"/>
      <c r="P24" s="186"/>
      <c r="Q24" s="83"/>
    </row>
    <row r="25" spans="1:17">
      <c r="A25" s="13">
        <f t="shared" si="5"/>
        <v>46134</v>
      </c>
      <c r="B25" s="1">
        <v>30998</v>
      </c>
      <c r="C25" s="1">
        <v>30998</v>
      </c>
      <c r="D25" s="6">
        <v>28940</v>
      </c>
      <c r="E25" s="6">
        <v>28800</v>
      </c>
      <c r="F25" s="21">
        <f t="shared" si="0"/>
        <v>-7.0907800503258275E-2</v>
      </c>
      <c r="G25" s="2">
        <f t="shared" si="1"/>
        <v>0.20437853107344633</v>
      </c>
      <c r="H25" s="2">
        <f t="shared" si="6"/>
        <v>0.20338983050847459</v>
      </c>
      <c r="I25" s="86">
        <v>7.07</v>
      </c>
      <c r="J25" s="6">
        <v>6.92</v>
      </c>
      <c r="K25" s="21">
        <f t="shared" si="3"/>
        <v>-2.1216407355021265E-2</v>
      </c>
      <c r="L25" s="22">
        <f t="shared" si="4"/>
        <v>0.70882727539923585</v>
      </c>
      <c r="M25" s="189">
        <v>1</v>
      </c>
      <c r="N25" s="189">
        <v>1</v>
      </c>
      <c r="O25" s="50"/>
      <c r="P25" s="186"/>
      <c r="Q25" s="83"/>
    </row>
    <row r="26" spans="1:17">
      <c r="A26" s="13">
        <f t="shared" si="5"/>
        <v>46135</v>
      </c>
      <c r="B26" s="1">
        <v>30998</v>
      </c>
      <c r="C26" s="1">
        <v>30998</v>
      </c>
      <c r="D26" s="6">
        <v>29407</v>
      </c>
      <c r="E26" s="6">
        <v>29250</v>
      </c>
      <c r="F26" s="21">
        <f t="shared" si="0"/>
        <v>-5.6390734886121688E-2</v>
      </c>
      <c r="G26" s="2">
        <f t="shared" si="1"/>
        <v>0.20767655367231638</v>
      </c>
      <c r="H26" s="2">
        <f t="shared" si="6"/>
        <v>0.2065677966101695</v>
      </c>
      <c r="I26" s="86">
        <v>7.07</v>
      </c>
      <c r="J26" s="6">
        <v>6.37</v>
      </c>
      <c r="K26" s="21">
        <f t="shared" si="3"/>
        <v>-9.9009900990099028E-2</v>
      </c>
      <c r="L26" s="22">
        <f t="shared" si="4"/>
        <v>0.78245483330229093</v>
      </c>
      <c r="M26" s="189">
        <v>1</v>
      </c>
      <c r="N26" s="189">
        <v>1</v>
      </c>
      <c r="O26" s="50"/>
      <c r="P26" s="49"/>
      <c r="Q26" s="50"/>
    </row>
    <row r="27" spans="1:17">
      <c r="A27" s="13">
        <f t="shared" si="5"/>
        <v>46136</v>
      </c>
      <c r="B27" s="1">
        <v>30998</v>
      </c>
      <c r="C27" s="1">
        <v>30998</v>
      </c>
      <c r="D27" s="6">
        <v>29470</v>
      </c>
      <c r="E27" s="6">
        <v>29925</v>
      </c>
      <c r="F27" s="21">
        <f t="shared" si="0"/>
        <v>-3.46151364604168E-2</v>
      </c>
      <c r="G27" s="2">
        <f t="shared" si="1"/>
        <v>0.20812146892655367</v>
      </c>
      <c r="H27" s="2">
        <f t="shared" si="6"/>
        <v>0.21133474576271186</v>
      </c>
      <c r="I27" s="86">
        <v>7.07</v>
      </c>
      <c r="J27" s="6">
        <v>6.19</v>
      </c>
      <c r="K27" s="21">
        <f t="shared" si="3"/>
        <v>-0.12446958981612445</v>
      </c>
      <c r="L27" s="22">
        <f t="shared" si="4"/>
        <v>0.80693299745351987</v>
      </c>
      <c r="M27" s="189">
        <v>1</v>
      </c>
      <c r="N27" s="189">
        <v>1</v>
      </c>
      <c r="O27" s="50"/>
      <c r="P27" s="49"/>
      <c r="Q27" s="50"/>
    </row>
    <row r="28" spans="1:17">
      <c r="A28" s="13">
        <f t="shared" si="5"/>
        <v>46137</v>
      </c>
      <c r="B28" s="1">
        <v>30998</v>
      </c>
      <c r="C28" s="1">
        <v>30998</v>
      </c>
      <c r="D28" s="6">
        <v>29712</v>
      </c>
      <c r="E28" s="6">
        <v>29160</v>
      </c>
      <c r="F28" s="21">
        <f t="shared" si="0"/>
        <v>-5.9294148009549005E-2</v>
      </c>
      <c r="G28" s="2">
        <f t="shared" si="1"/>
        <v>0.20983050847457627</v>
      </c>
      <c r="H28" s="2">
        <f t="shared" si="6"/>
        <v>0.20593220338983051</v>
      </c>
      <c r="I28" s="86">
        <v>7.07</v>
      </c>
      <c r="J28" s="6">
        <v>6.49</v>
      </c>
      <c r="K28" s="21">
        <f t="shared" si="3"/>
        <v>-8.2036775106082038E-2</v>
      </c>
      <c r="L28" s="22">
        <f t="shared" si="4"/>
        <v>0.77595257371183834</v>
      </c>
      <c r="M28" s="189">
        <v>1</v>
      </c>
      <c r="N28" s="189">
        <v>1</v>
      </c>
      <c r="O28" s="6"/>
      <c r="P28" s="186"/>
      <c r="Q28" s="191"/>
    </row>
    <row r="29" spans="1:17">
      <c r="A29" s="13">
        <f t="shared" si="5"/>
        <v>46138</v>
      </c>
      <c r="B29" s="1">
        <v>30998</v>
      </c>
      <c r="C29" s="1">
        <v>30998</v>
      </c>
      <c r="D29" s="6">
        <v>28320</v>
      </c>
      <c r="E29" s="6">
        <v>27855</v>
      </c>
      <c r="F29" s="21">
        <f t="shared" si="0"/>
        <v>-0.10139363829924511</v>
      </c>
      <c r="G29" s="2">
        <f t="shared" si="1"/>
        <v>0.2</v>
      </c>
      <c r="H29" s="2">
        <f t="shared" si="6"/>
        <v>0.19671610169491524</v>
      </c>
      <c r="I29" s="86">
        <v>7.07</v>
      </c>
      <c r="J29" s="6">
        <v>6.38</v>
      </c>
      <c r="K29" s="21">
        <f t="shared" si="3"/>
        <v>-9.7595473833097648E-2</v>
      </c>
      <c r="L29" s="22">
        <f t="shared" si="4"/>
        <v>0.75235109717868343</v>
      </c>
      <c r="M29" s="189">
        <v>1</v>
      </c>
      <c r="N29" s="189">
        <v>1</v>
      </c>
      <c r="O29" s="186"/>
      <c r="P29" s="49"/>
      <c r="Q29" s="218"/>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6"/>
      <c r="P30" s="6"/>
      <c r="Q30" s="6"/>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6"/>
      <c r="P31" s="6"/>
      <c r="Q31" s="6"/>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6"/>
      <c r="P32" s="6"/>
      <c r="Q32" s="6"/>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6"/>
      <c r="P33" s="6"/>
      <c r="Q33" s="6"/>
    </row>
    <row r="34" spans="1:17">
      <c r="A34" s="349">
        <v>46113</v>
      </c>
      <c r="B34" s="89">
        <f>SUM(B4:B33)</f>
        <v>805948</v>
      </c>
      <c r="C34" s="89">
        <f>SUM(C4:C33)</f>
        <v>805948</v>
      </c>
      <c r="D34" s="89">
        <f>SUM(D4:D33)</f>
        <v>794736</v>
      </c>
      <c r="E34" s="89">
        <f>SUM(E4:E33)</f>
        <v>781695</v>
      </c>
      <c r="F34" s="160">
        <f t="shared" si="0"/>
        <v>-3.0092512172001172E-2</v>
      </c>
      <c r="G34" s="90">
        <f>AVERAGE(G4:G33)</f>
        <v>0.18708474576271189</v>
      </c>
      <c r="H34" s="90">
        <f>AVERAGE(H4:H33)</f>
        <v>0.25091814448629424</v>
      </c>
      <c r="I34" s="89">
        <f>SUM(I4:I33)</f>
        <v>183.81999999999991</v>
      </c>
      <c r="J34" s="89">
        <f>SUM(J4:J33)</f>
        <v>167.84</v>
      </c>
      <c r="K34" s="160">
        <f t="shared" si="3"/>
        <v>-8.6932869111086455E-2</v>
      </c>
      <c r="L34" s="161">
        <f t="shared" si="4"/>
        <v>0.80255610670372102</v>
      </c>
      <c r="M34" s="90">
        <f>AVERAGE(M4:M33)</f>
        <v>1</v>
      </c>
      <c r="N34" s="90">
        <f>AVERAGE(N4:N33)</f>
        <v>1</v>
      </c>
      <c r="O34" s="89">
        <f>SUM(O4:O33)</f>
        <v>0</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192F-D516-4D2C-B0C9-15C12389A9D2}">
  <dimension ref="A1:Q66"/>
  <sheetViews>
    <sheetView topLeftCell="A23"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8.5">
      <c r="A1" s="405" t="s">
        <v>619</v>
      </c>
      <c r="B1" s="406"/>
      <c r="C1" s="406"/>
      <c r="D1" s="406"/>
      <c r="E1" s="406"/>
      <c r="F1" s="406"/>
      <c r="G1" s="406"/>
      <c r="H1" s="406"/>
      <c r="I1" s="406"/>
      <c r="J1" s="406"/>
      <c r="K1" s="406"/>
      <c r="L1" s="406"/>
      <c r="M1" s="406"/>
      <c r="N1" s="406"/>
      <c r="O1" s="406"/>
      <c r="P1" s="406"/>
      <c r="Q1" s="406"/>
    </row>
    <row r="2" spans="1:17" ht="18.5">
      <c r="A2" s="7">
        <v>46113</v>
      </c>
      <c r="B2" s="407" t="s">
        <v>172</v>
      </c>
      <c r="C2" s="408"/>
      <c r="D2" s="8">
        <v>3700</v>
      </c>
      <c r="E2" s="407" t="s">
        <v>173</v>
      </c>
      <c r="F2" s="407"/>
      <c r="G2" s="408"/>
      <c r="H2" s="8">
        <v>2940</v>
      </c>
      <c r="I2" s="409" t="s">
        <v>174</v>
      </c>
      <c r="J2" s="410"/>
      <c r="K2" s="9">
        <v>45380</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20068</v>
      </c>
      <c r="C4" s="1">
        <v>19091</v>
      </c>
      <c r="D4" s="221">
        <v>18295.2</v>
      </c>
      <c r="E4" s="6">
        <v>18600</v>
      </c>
      <c r="F4" s="21">
        <f t="shared" ref="F4:F35" si="0">(IF(ISBLANK(E4),0,E4-C4))/C4</f>
        <v>-2.5718925147975486E-2</v>
      </c>
      <c r="G4" s="2">
        <f t="shared" ref="G4:G33" si="1">D4/($D$2*24)</f>
        <v>0.20602702702702705</v>
      </c>
      <c r="H4" s="2">
        <f t="shared" ref="H4:H21" si="2">D4/($H$2*24)</f>
        <v>0.25928571428571429</v>
      </c>
      <c r="I4" s="86">
        <v>6.7</v>
      </c>
      <c r="J4" s="185">
        <v>6.35</v>
      </c>
      <c r="K4" s="21">
        <f t="shared" ref="K4:K35" si="3">(IF(ISBLANK(J4),0,J4-I4))/I4</f>
        <v>-5.2238805970149335E-2</v>
      </c>
      <c r="L4" s="22">
        <f t="shared" ref="L4:L35" si="4">D4/($D$2*J4)</f>
        <v>0.7786848265588423</v>
      </c>
      <c r="M4" s="189">
        <v>1</v>
      </c>
      <c r="N4" s="189">
        <v>1</v>
      </c>
      <c r="O4" s="49"/>
      <c r="P4" s="49"/>
      <c r="Q4" s="49"/>
    </row>
    <row r="5" spans="1:17">
      <c r="A5" s="13">
        <f t="shared" ref="A5:A33" si="5">A4+1</f>
        <v>46114</v>
      </c>
      <c r="B5" s="1">
        <v>20068</v>
      </c>
      <c r="C5" s="1">
        <v>19091</v>
      </c>
      <c r="D5" s="221">
        <v>21041.599999999999</v>
      </c>
      <c r="E5" s="6">
        <v>20460</v>
      </c>
      <c r="F5" s="21">
        <f t="shared" si="0"/>
        <v>7.1709182337226965E-2</v>
      </c>
      <c r="G5" s="2">
        <f t="shared" si="1"/>
        <v>0.23695495495495494</v>
      </c>
      <c r="H5" s="2">
        <f t="shared" si="2"/>
        <v>0.29820861678004534</v>
      </c>
      <c r="I5" s="86">
        <v>6.7</v>
      </c>
      <c r="J5" s="185">
        <v>6.95</v>
      </c>
      <c r="K5" s="21">
        <f t="shared" si="3"/>
        <v>3.7313432835820892E-2</v>
      </c>
      <c r="L5" s="22">
        <f t="shared" si="4"/>
        <v>0.81826171495236233</v>
      </c>
      <c r="M5" s="189">
        <v>1</v>
      </c>
      <c r="N5" s="189">
        <v>1</v>
      </c>
      <c r="O5" s="50"/>
      <c r="P5" s="49"/>
      <c r="Q5" s="50"/>
    </row>
    <row r="6" spans="1:17">
      <c r="A6" s="13">
        <f t="shared" si="5"/>
        <v>46115</v>
      </c>
      <c r="B6" s="1">
        <v>20068</v>
      </c>
      <c r="C6" s="1">
        <v>19091</v>
      </c>
      <c r="D6" s="221">
        <v>21064.1</v>
      </c>
      <c r="E6" s="6">
        <v>20430</v>
      </c>
      <c r="F6" s="21">
        <f t="shared" si="0"/>
        <v>7.0137761248755953E-2</v>
      </c>
      <c r="G6" s="2">
        <f t="shared" si="1"/>
        <v>0.23720833333333333</v>
      </c>
      <c r="H6" s="2">
        <f t="shared" si="2"/>
        <v>0.29852749433106573</v>
      </c>
      <c r="I6" s="86">
        <v>6.7</v>
      </c>
      <c r="J6" s="185">
        <v>6.98</v>
      </c>
      <c r="K6" s="21">
        <f t="shared" si="3"/>
        <v>4.1791044776119439E-2</v>
      </c>
      <c r="L6" s="22">
        <f t="shared" si="4"/>
        <v>0.81561604584527214</v>
      </c>
      <c r="M6" s="189">
        <v>1</v>
      </c>
      <c r="N6" s="189">
        <v>1</v>
      </c>
      <c r="O6" s="50"/>
      <c r="P6" s="49"/>
      <c r="Q6" s="50"/>
    </row>
    <row r="7" spans="1:17">
      <c r="A7" s="13">
        <f t="shared" si="5"/>
        <v>46116</v>
      </c>
      <c r="B7" s="1">
        <v>20068</v>
      </c>
      <c r="C7" s="1">
        <v>19091</v>
      </c>
      <c r="D7" s="221">
        <v>17014</v>
      </c>
      <c r="E7" s="6">
        <v>16620</v>
      </c>
      <c r="F7" s="21">
        <f t="shared" si="0"/>
        <v>-0.12943271698706196</v>
      </c>
      <c r="G7" s="2">
        <f t="shared" si="1"/>
        <v>0.19159909909909911</v>
      </c>
      <c r="H7" s="2">
        <f t="shared" si="2"/>
        <v>0.24112811791383221</v>
      </c>
      <c r="I7" s="86">
        <v>6.7</v>
      </c>
      <c r="J7" s="185">
        <v>5.3</v>
      </c>
      <c r="K7" s="21">
        <f t="shared" si="3"/>
        <v>-0.20895522388059706</v>
      </c>
      <c r="L7" s="22">
        <f t="shared" si="4"/>
        <v>0.86761856195818465</v>
      </c>
      <c r="M7" s="189">
        <v>1</v>
      </c>
      <c r="N7" s="189">
        <v>1</v>
      </c>
      <c r="O7" s="186"/>
      <c r="P7" s="49"/>
      <c r="Q7" s="191"/>
    </row>
    <row r="8" spans="1:17">
      <c r="A8" s="13">
        <f t="shared" si="5"/>
        <v>46117</v>
      </c>
      <c r="B8" s="1">
        <v>20068</v>
      </c>
      <c r="C8" s="1">
        <v>19091</v>
      </c>
      <c r="D8" s="221">
        <v>21101</v>
      </c>
      <c r="E8" s="6">
        <v>20520</v>
      </c>
      <c r="F8" s="21">
        <f t="shared" si="0"/>
        <v>7.4852024514168974E-2</v>
      </c>
      <c r="G8" s="2">
        <f t="shared" si="1"/>
        <v>0.23762387387387388</v>
      </c>
      <c r="H8" s="2">
        <f t="shared" si="2"/>
        <v>0.29905045351473925</v>
      </c>
      <c r="I8" s="86">
        <v>6.7</v>
      </c>
      <c r="J8" s="185">
        <v>7.01</v>
      </c>
      <c r="K8" s="21">
        <f t="shared" si="3"/>
        <v>4.6268656716417854E-2</v>
      </c>
      <c r="L8" s="22">
        <f t="shared" si="4"/>
        <v>0.81354821297759961</v>
      </c>
      <c r="M8" s="189">
        <v>1</v>
      </c>
      <c r="N8" s="189">
        <v>1</v>
      </c>
      <c r="O8" s="49"/>
      <c r="P8" s="49"/>
      <c r="Q8" s="50"/>
    </row>
    <row r="9" spans="1:17">
      <c r="A9" s="13">
        <f t="shared" si="5"/>
        <v>46118</v>
      </c>
      <c r="B9" s="1">
        <v>20068</v>
      </c>
      <c r="C9" s="1">
        <v>19091</v>
      </c>
      <c r="D9" s="221">
        <v>21891.3</v>
      </c>
      <c r="E9" s="6">
        <v>21300</v>
      </c>
      <c r="F9" s="21">
        <f t="shared" si="0"/>
        <v>0.11570897281441517</v>
      </c>
      <c r="G9" s="2">
        <f t="shared" si="1"/>
        <v>0.24652364864864865</v>
      </c>
      <c r="H9" s="2">
        <f t="shared" si="2"/>
        <v>0.31025085034013605</v>
      </c>
      <c r="I9" s="86">
        <v>6.7</v>
      </c>
      <c r="J9" s="185">
        <v>7.3</v>
      </c>
      <c r="K9" s="21">
        <f t="shared" si="3"/>
        <v>8.9552238805970089E-2</v>
      </c>
      <c r="L9" s="22">
        <f t="shared" si="4"/>
        <v>0.81048870788596816</v>
      </c>
      <c r="M9" s="189">
        <v>1</v>
      </c>
      <c r="N9" s="189">
        <v>1</v>
      </c>
      <c r="O9" s="49"/>
      <c r="P9" s="49"/>
      <c r="Q9" s="50"/>
    </row>
    <row r="10" spans="1:17">
      <c r="A10" s="13">
        <f t="shared" si="5"/>
        <v>46119</v>
      </c>
      <c r="B10" s="1">
        <v>20068</v>
      </c>
      <c r="C10" s="1">
        <v>19091</v>
      </c>
      <c r="D10" s="221">
        <v>21827.5</v>
      </c>
      <c r="E10" s="6">
        <v>21240</v>
      </c>
      <c r="F10" s="21">
        <f t="shared" si="0"/>
        <v>0.11256613063747316</v>
      </c>
      <c r="G10" s="2">
        <f t="shared" si="1"/>
        <v>0.24580518018018019</v>
      </c>
      <c r="H10" s="2">
        <f t="shared" si="2"/>
        <v>0.30934665532879818</v>
      </c>
      <c r="I10" s="86">
        <v>6.7</v>
      </c>
      <c r="J10" s="185">
        <v>7.34</v>
      </c>
      <c r="K10" s="21">
        <f t="shared" si="3"/>
        <v>9.5522388059701438E-2</v>
      </c>
      <c r="L10" s="22">
        <f t="shared" si="4"/>
        <v>0.80372265998968995</v>
      </c>
      <c r="M10" s="189">
        <v>1</v>
      </c>
      <c r="N10" s="189">
        <v>1</v>
      </c>
      <c r="O10" s="49"/>
      <c r="P10" s="219"/>
      <c r="Q10" s="50"/>
    </row>
    <row r="11" spans="1:17">
      <c r="A11" s="13">
        <f t="shared" si="5"/>
        <v>46120</v>
      </c>
      <c r="B11" s="1">
        <v>20068</v>
      </c>
      <c r="C11" s="1">
        <v>19091</v>
      </c>
      <c r="D11" s="221">
        <v>19771.2</v>
      </c>
      <c r="E11" s="6">
        <v>19200</v>
      </c>
      <c r="F11" s="21">
        <f t="shared" si="0"/>
        <v>5.7094966214446602E-3</v>
      </c>
      <c r="G11" s="2">
        <f t="shared" si="1"/>
        <v>0.22264864864864867</v>
      </c>
      <c r="H11" s="2">
        <f t="shared" si="2"/>
        <v>0.28020408163265309</v>
      </c>
      <c r="I11" s="86">
        <v>6.7</v>
      </c>
      <c r="J11" s="185">
        <v>6.56</v>
      </c>
      <c r="K11" s="21">
        <f t="shared" si="3"/>
        <v>-2.0895522388059785E-2</v>
      </c>
      <c r="L11" s="22">
        <f t="shared" si="4"/>
        <v>0.81456822676334872</v>
      </c>
      <c r="M11" s="189">
        <v>1</v>
      </c>
      <c r="N11" s="189">
        <v>1</v>
      </c>
      <c r="O11" s="219"/>
      <c r="P11" s="49"/>
      <c r="Q11" s="50"/>
    </row>
    <row r="12" spans="1:17">
      <c r="A12" s="13">
        <f t="shared" si="5"/>
        <v>46121</v>
      </c>
      <c r="B12" s="1">
        <v>20068</v>
      </c>
      <c r="C12" s="1">
        <v>19091</v>
      </c>
      <c r="D12" s="221">
        <v>20647</v>
      </c>
      <c r="E12" s="6">
        <v>20130</v>
      </c>
      <c r="F12" s="21">
        <f t="shared" si="0"/>
        <v>5.4423550364045885E-2</v>
      </c>
      <c r="G12" s="2">
        <f t="shared" si="1"/>
        <v>0.23251126126126126</v>
      </c>
      <c r="H12" s="2">
        <f t="shared" si="2"/>
        <v>0.29261621315192743</v>
      </c>
      <c r="I12" s="86">
        <v>6.7</v>
      </c>
      <c r="J12" s="185">
        <v>6.8</v>
      </c>
      <c r="K12" s="21">
        <f t="shared" si="3"/>
        <v>1.4925373134328304E-2</v>
      </c>
      <c r="L12" s="22">
        <f t="shared" si="4"/>
        <v>0.82062798092209854</v>
      </c>
      <c r="M12" s="189">
        <v>1</v>
      </c>
      <c r="N12" s="189">
        <v>1</v>
      </c>
      <c r="O12" s="186"/>
      <c r="P12" s="49"/>
      <c r="Q12" s="217"/>
    </row>
    <row r="13" spans="1:17">
      <c r="A13" s="13">
        <f t="shared" si="5"/>
        <v>46122</v>
      </c>
      <c r="B13" s="1">
        <v>20068</v>
      </c>
      <c r="C13" s="1">
        <v>19091</v>
      </c>
      <c r="D13" s="221">
        <v>21122.3</v>
      </c>
      <c r="E13" s="6">
        <v>20550</v>
      </c>
      <c r="F13" s="21">
        <f t="shared" si="0"/>
        <v>7.6423445602639986E-2</v>
      </c>
      <c r="G13" s="2">
        <f t="shared" si="1"/>
        <v>0.23786373873873873</v>
      </c>
      <c r="H13" s="2">
        <f t="shared" si="2"/>
        <v>0.29935232426303854</v>
      </c>
      <c r="I13" s="86">
        <v>6.7</v>
      </c>
      <c r="J13" s="185">
        <v>7.02</v>
      </c>
      <c r="K13" s="21">
        <f t="shared" si="3"/>
        <v>4.7761194029850657E-2</v>
      </c>
      <c r="L13" s="22">
        <f t="shared" si="4"/>
        <v>0.81320936320936321</v>
      </c>
      <c r="M13" s="189">
        <v>1</v>
      </c>
      <c r="N13" s="189">
        <v>1</v>
      </c>
      <c r="O13" s="186"/>
      <c r="P13" s="49"/>
      <c r="Q13" s="191"/>
    </row>
    <row r="14" spans="1:17">
      <c r="A14" s="13">
        <f t="shared" si="5"/>
        <v>46123</v>
      </c>
      <c r="B14" s="1">
        <v>20068</v>
      </c>
      <c r="C14" s="1">
        <v>19091</v>
      </c>
      <c r="D14" s="221">
        <v>21203.599999999999</v>
      </c>
      <c r="E14" s="6">
        <v>20610</v>
      </c>
      <c r="F14" s="21">
        <f t="shared" si="0"/>
        <v>7.9566287779581996E-2</v>
      </c>
      <c r="G14" s="2">
        <f t="shared" si="1"/>
        <v>0.23877927927927925</v>
      </c>
      <c r="H14" s="2">
        <f t="shared" si="2"/>
        <v>0.30050453514739228</v>
      </c>
      <c r="I14" s="86">
        <v>6.7</v>
      </c>
      <c r="J14" s="185">
        <v>7.12</v>
      </c>
      <c r="K14" s="21">
        <f t="shared" si="3"/>
        <v>6.2686567164179086E-2</v>
      </c>
      <c r="L14" s="22">
        <f t="shared" si="4"/>
        <v>0.80487397509869418</v>
      </c>
      <c r="M14" s="189">
        <v>1</v>
      </c>
      <c r="N14" s="189">
        <v>1</v>
      </c>
      <c r="O14" s="50"/>
      <c r="P14" s="49"/>
      <c r="Q14" s="50"/>
    </row>
    <row r="15" spans="1:17">
      <c r="A15" s="13">
        <f t="shared" si="5"/>
        <v>46124</v>
      </c>
      <c r="B15" s="1">
        <v>20068</v>
      </c>
      <c r="C15" s="1">
        <v>19091</v>
      </c>
      <c r="D15" s="221">
        <v>20719.8</v>
      </c>
      <c r="E15" s="6">
        <v>20190</v>
      </c>
      <c r="F15" s="21">
        <f t="shared" si="0"/>
        <v>5.7566392540987901E-2</v>
      </c>
      <c r="G15" s="2">
        <f t="shared" si="1"/>
        <v>0.23333108108108108</v>
      </c>
      <c r="H15" s="2">
        <f t="shared" si="2"/>
        <v>0.29364795918367348</v>
      </c>
      <c r="I15" s="86">
        <v>6.7</v>
      </c>
      <c r="J15" s="185">
        <v>6.97</v>
      </c>
      <c r="K15" s="21">
        <f t="shared" si="3"/>
        <v>4.0298507462686504E-2</v>
      </c>
      <c r="L15" s="22">
        <f t="shared" si="4"/>
        <v>0.80343557330644844</v>
      </c>
      <c r="M15" s="189">
        <v>1</v>
      </c>
      <c r="N15" s="189">
        <v>1</v>
      </c>
      <c r="O15" s="50"/>
      <c r="P15" s="49"/>
      <c r="Q15" s="50"/>
    </row>
    <row r="16" spans="1:17">
      <c r="A16" s="13">
        <f t="shared" si="5"/>
        <v>46125</v>
      </c>
      <c r="B16" s="1">
        <v>20068</v>
      </c>
      <c r="C16" s="1">
        <v>19091</v>
      </c>
      <c r="D16" s="221">
        <v>20353.8</v>
      </c>
      <c r="E16" s="6">
        <v>19800</v>
      </c>
      <c r="F16" s="21">
        <f t="shared" si="0"/>
        <v>3.7137918390864805E-2</v>
      </c>
      <c r="G16" s="2">
        <f t="shared" si="1"/>
        <v>0.22920945945945945</v>
      </c>
      <c r="H16" s="2">
        <f t="shared" si="2"/>
        <v>0.28846088435374151</v>
      </c>
      <c r="I16" s="86">
        <v>6.7</v>
      </c>
      <c r="J16" s="185">
        <v>6.76</v>
      </c>
      <c r="K16" s="21">
        <f t="shared" si="3"/>
        <v>8.9552238805969565E-3</v>
      </c>
      <c r="L16" s="22">
        <f t="shared" si="4"/>
        <v>0.81376139453062524</v>
      </c>
      <c r="M16" s="189">
        <v>1</v>
      </c>
      <c r="N16" s="189">
        <v>1</v>
      </c>
      <c r="O16" s="50"/>
      <c r="P16" s="49"/>
      <c r="Q16" s="50"/>
    </row>
    <row r="17" spans="1:17">
      <c r="A17" s="13">
        <f t="shared" si="5"/>
        <v>46126</v>
      </c>
      <c r="B17" s="1">
        <v>20068</v>
      </c>
      <c r="C17" s="1">
        <v>19091</v>
      </c>
      <c r="D17" s="221">
        <v>21215.7</v>
      </c>
      <c r="E17" s="6">
        <v>20670</v>
      </c>
      <c r="F17" s="21">
        <f t="shared" si="0"/>
        <v>8.2709129956524019E-2</v>
      </c>
      <c r="G17" s="2">
        <f t="shared" si="1"/>
        <v>0.23891554054054054</v>
      </c>
      <c r="H17" s="2">
        <f t="shared" si="2"/>
        <v>0.30067602040816327</v>
      </c>
      <c r="I17" s="86">
        <v>6.7</v>
      </c>
      <c r="J17" s="185">
        <v>7.07</v>
      </c>
      <c r="K17" s="21">
        <f t="shared" si="3"/>
        <v>5.522388059701494E-2</v>
      </c>
      <c r="L17" s="22">
        <f t="shared" si="4"/>
        <v>0.8110287090485111</v>
      </c>
      <c r="M17" s="189">
        <v>1</v>
      </c>
      <c r="N17" s="189">
        <v>1</v>
      </c>
      <c r="O17" s="50"/>
      <c r="P17" s="49"/>
      <c r="Q17" s="50"/>
    </row>
    <row r="18" spans="1:17">
      <c r="A18" s="13">
        <f t="shared" si="5"/>
        <v>46127</v>
      </c>
      <c r="B18" s="1">
        <v>20068</v>
      </c>
      <c r="C18" s="1">
        <v>19091</v>
      </c>
      <c r="D18" s="221">
        <v>21972.400000000001</v>
      </c>
      <c r="E18" s="6">
        <v>21360</v>
      </c>
      <c r="F18" s="21">
        <f t="shared" si="0"/>
        <v>0.11885181499135719</v>
      </c>
      <c r="G18" s="2">
        <f t="shared" si="1"/>
        <v>0.24743693693693694</v>
      </c>
      <c r="H18" s="2">
        <f t="shared" si="2"/>
        <v>0.31140022675736961</v>
      </c>
      <c r="I18" s="86">
        <v>6.7</v>
      </c>
      <c r="J18" s="185">
        <v>7.35</v>
      </c>
      <c r="K18" s="21">
        <f t="shared" si="3"/>
        <v>9.7014925373134248E-2</v>
      </c>
      <c r="L18" s="22">
        <f t="shared" si="4"/>
        <v>0.80795734510020234</v>
      </c>
      <c r="M18" s="189">
        <v>1</v>
      </c>
      <c r="N18" s="189">
        <v>1</v>
      </c>
      <c r="O18" s="50"/>
      <c r="P18" s="49"/>
      <c r="Q18" s="50"/>
    </row>
    <row r="19" spans="1:17">
      <c r="A19" s="13">
        <f t="shared" si="5"/>
        <v>46128</v>
      </c>
      <c r="B19" s="1">
        <v>20068</v>
      </c>
      <c r="C19" s="1">
        <v>19091</v>
      </c>
      <c r="D19" s="221">
        <v>22214.9</v>
      </c>
      <c r="E19" s="6">
        <v>21600</v>
      </c>
      <c r="F19" s="21">
        <f t="shared" si="0"/>
        <v>0.13142318369912523</v>
      </c>
      <c r="G19" s="2">
        <f t="shared" si="1"/>
        <v>0.25016779279279283</v>
      </c>
      <c r="H19" s="2">
        <f t="shared" si="2"/>
        <v>0.31483701814058956</v>
      </c>
      <c r="I19" s="86">
        <v>6.7</v>
      </c>
      <c r="J19" s="185">
        <v>7.48</v>
      </c>
      <c r="K19" s="21">
        <f t="shared" si="3"/>
        <v>0.11641791044776123</v>
      </c>
      <c r="L19" s="22">
        <f t="shared" si="4"/>
        <v>0.80267741003035131</v>
      </c>
      <c r="M19" s="189">
        <v>1</v>
      </c>
      <c r="N19" s="189">
        <v>1</v>
      </c>
      <c r="O19" s="50"/>
      <c r="P19" s="49"/>
      <c r="Q19" s="50"/>
    </row>
    <row r="20" spans="1:17">
      <c r="A20" s="13">
        <f t="shared" si="5"/>
        <v>46129</v>
      </c>
      <c r="B20" s="1">
        <v>20068</v>
      </c>
      <c r="C20" s="1">
        <v>19091</v>
      </c>
      <c r="D20" s="221">
        <v>19694</v>
      </c>
      <c r="E20" s="6">
        <v>19170</v>
      </c>
      <c r="F20" s="21">
        <f t="shared" si="0"/>
        <v>4.1380755329736528E-3</v>
      </c>
      <c r="G20" s="2">
        <f t="shared" si="1"/>
        <v>0.22177927927927929</v>
      </c>
      <c r="H20" s="2">
        <f t="shared" si="2"/>
        <v>0.27910997732426301</v>
      </c>
      <c r="I20" s="86">
        <v>6.7</v>
      </c>
      <c r="J20" s="185">
        <v>6.55</v>
      </c>
      <c r="K20" s="21">
        <f t="shared" si="3"/>
        <v>-2.2388059701492588E-2</v>
      </c>
      <c r="L20" s="22">
        <f t="shared" si="4"/>
        <v>0.81262636682484013</v>
      </c>
      <c r="M20" s="189">
        <v>1</v>
      </c>
      <c r="N20" s="189">
        <v>1</v>
      </c>
      <c r="O20" s="50"/>
      <c r="P20" s="49"/>
      <c r="Q20" s="50"/>
    </row>
    <row r="21" spans="1:17">
      <c r="A21" s="13">
        <f t="shared" si="5"/>
        <v>46130</v>
      </c>
      <c r="B21" s="1">
        <v>20068</v>
      </c>
      <c r="C21" s="1">
        <v>19091</v>
      </c>
      <c r="D21" s="221">
        <v>18420.8</v>
      </c>
      <c r="E21" s="6">
        <v>17940</v>
      </c>
      <c r="F21" s="21">
        <f t="shared" si="0"/>
        <v>-6.0290189094337643E-2</v>
      </c>
      <c r="G21" s="2">
        <f t="shared" si="1"/>
        <v>0.20744144144144144</v>
      </c>
      <c r="H21" s="2">
        <f t="shared" si="2"/>
        <v>0.2610657596371882</v>
      </c>
      <c r="I21" s="86">
        <v>6.7</v>
      </c>
      <c r="J21" s="185">
        <v>6.13</v>
      </c>
      <c r="K21" s="21">
        <f t="shared" si="3"/>
        <v>-8.5074626865671688E-2</v>
      </c>
      <c r="L21" s="22">
        <f t="shared" si="4"/>
        <v>0.81216877562717693</v>
      </c>
      <c r="M21" s="189">
        <v>1</v>
      </c>
      <c r="N21" s="189">
        <v>1</v>
      </c>
      <c r="O21" s="50"/>
      <c r="P21" s="186"/>
      <c r="Q21" s="83"/>
    </row>
    <row r="22" spans="1:17">
      <c r="A22" s="13">
        <f t="shared" si="5"/>
        <v>46131</v>
      </c>
      <c r="B22" s="1">
        <v>20068</v>
      </c>
      <c r="C22" s="1">
        <v>19091</v>
      </c>
      <c r="D22" s="221">
        <v>19647.3</v>
      </c>
      <c r="E22" s="6">
        <v>19140</v>
      </c>
      <c r="F22" s="21">
        <f t="shared" si="0"/>
        <v>2.5666544445026454E-3</v>
      </c>
      <c r="G22" s="2">
        <f t="shared" si="1"/>
        <v>0.22125337837837836</v>
      </c>
      <c r="H22" s="2">
        <f t="shared" ref="H22:H33" si="6">E22/($D$2*24)</f>
        <v>0.21554054054054053</v>
      </c>
      <c r="I22" s="86">
        <v>6.7</v>
      </c>
      <c r="J22" s="185">
        <v>6.51</v>
      </c>
      <c r="K22" s="21">
        <f t="shared" si="3"/>
        <v>-2.8358208955223937E-2</v>
      </c>
      <c r="L22" s="22">
        <f t="shared" si="4"/>
        <v>0.8156806576161415</v>
      </c>
      <c r="M22" s="189">
        <v>1</v>
      </c>
      <c r="N22" s="189">
        <v>1</v>
      </c>
      <c r="O22" s="50"/>
      <c r="P22" s="186"/>
      <c r="Q22" s="83"/>
    </row>
    <row r="23" spans="1:17">
      <c r="A23" s="13">
        <f t="shared" si="5"/>
        <v>46132</v>
      </c>
      <c r="B23" s="1">
        <v>20068</v>
      </c>
      <c r="C23" s="1">
        <v>19091</v>
      </c>
      <c r="D23" s="221">
        <v>19023.5</v>
      </c>
      <c r="E23" s="6">
        <v>18510</v>
      </c>
      <c r="F23" s="21">
        <f t="shared" si="0"/>
        <v>-3.0433188413388507E-2</v>
      </c>
      <c r="G23" s="2">
        <f t="shared" si="1"/>
        <v>0.2142286036036036</v>
      </c>
      <c r="H23" s="2">
        <f t="shared" si="6"/>
        <v>0.20844594594594595</v>
      </c>
      <c r="I23" s="86">
        <v>6.7</v>
      </c>
      <c r="J23" s="185">
        <v>6.25</v>
      </c>
      <c r="K23" s="21">
        <f t="shared" si="3"/>
        <v>-6.7164179104477639E-2</v>
      </c>
      <c r="L23" s="22">
        <f t="shared" si="4"/>
        <v>0.82263783783783784</v>
      </c>
      <c r="M23" s="189">
        <v>1</v>
      </c>
      <c r="N23" s="189">
        <v>1</v>
      </c>
      <c r="O23" s="50"/>
      <c r="P23" s="186"/>
      <c r="Q23" s="83"/>
    </row>
    <row r="24" spans="1:17">
      <c r="A24" s="13">
        <f t="shared" si="5"/>
        <v>46133</v>
      </c>
      <c r="B24" s="1">
        <v>20068</v>
      </c>
      <c r="C24" s="1">
        <v>19091</v>
      </c>
      <c r="D24" s="221">
        <v>20394.3</v>
      </c>
      <c r="E24" s="6">
        <v>19860</v>
      </c>
      <c r="F24" s="21">
        <f t="shared" si="0"/>
        <v>4.0280760567806821E-2</v>
      </c>
      <c r="G24" s="2">
        <f t="shared" si="1"/>
        <v>0.22966554054054053</v>
      </c>
      <c r="H24" s="2">
        <f t="shared" si="6"/>
        <v>0.22364864864864864</v>
      </c>
      <c r="I24" s="86">
        <v>6.7</v>
      </c>
      <c r="J24" s="185">
        <v>6.82</v>
      </c>
      <c r="K24" s="21">
        <f t="shared" si="3"/>
        <v>1.7910447761194045E-2</v>
      </c>
      <c r="L24" s="22">
        <f t="shared" si="4"/>
        <v>0.80820718078782594</v>
      </c>
      <c r="M24" s="189">
        <v>1</v>
      </c>
      <c r="N24" s="189">
        <v>1</v>
      </c>
      <c r="O24" s="50"/>
      <c r="P24" s="186"/>
      <c r="Q24" s="83"/>
    </row>
    <row r="25" spans="1:17">
      <c r="A25" s="13">
        <f t="shared" si="5"/>
        <v>46134</v>
      </c>
      <c r="B25" s="1">
        <v>20068</v>
      </c>
      <c r="C25" s="1">
        <v>19091</v>
      </c>
      <c r="D25" s="221">
        <v>19848.599999999999</v>
      </c>
      <c r="E25" s="6">
        <v>19320</v>
      </c>
      <c r="F25" s="21">
        <f t="shared" si="0"/>
        <v>1.1995180975328689E-2</v>
      </c>
      <c r="G25" s="2">
        <f t="shared" si="1"/>
        <v>0.22352027027027024</v>
      </c>
      <c r="H25" s="2">
        <f t="shared" si="6"/>
        <v>0.21756756756756757</v>
      </c>
      <c r="I25" s="86">
        <v>6.7</v>
      </c>
      <c r="J25" s="185">
        <v>6.65</v>
      </c>
      <c r="K25" s="21">
        <f t="shared" si="3"/>
        <v>-7.4626865671641521E-3</v>
      </c>
      <c r="L25" s="22">
        <f t="shared" si="4"/>
        <v>0.80668969721601291</v>
      </c>
      <c r="M25" s="189">
        <v>1</v>
      </c>
      <c r="N25" s="189">
        <v>1</v>
      </c>
      <c r="O25" s="50"/>
      <c r="P25" s="186"/>
      <c r="Q25" s="83"/>
    </row>
    <row r="26" spans="1:17">
      <c r="A26" s="13">
        <f t="shared" si="5"/>
        <v>46135</v>
      </c>
      <c r="B26" s="1">
        <v>20068</v>
      </c>
      <c r="C26" s="1">
        <v>19091</v>
      </c>
      <c r="D26" s="221">
        <v>19501.7</v>
      </c>
      <c r="E26" s="6">
        <v>18990</v>
      </c>
      <c r="F26" s="21">
        <f t="shared" si="0"/>
        <v>-5.2904509978523914E-3</v>
      </c>
      <c r="G26" s="2">
        <f t="shared" si="1"/>
        <v>0.21961373873873874</v>
      </c>
      <c r="H26" s="2">
        <f t="shared" si="6"/>
        <v>0.21385135135135136</v>
      </c>
      <c r="I26" s="86">
        <v>6.7</v>
      </c>
      <c r="J26" s="185">
        <v>6.56</v>
      </c>
      <c r="K26" s="21">
        <f t="shared" si="3"/>
        <v>-2.0895522388059785E-2</v>
      </c>
      <c r="L26" s="22">
        <f t="shared" si="4"/>
        <v>0.80346489782465391</v>
      </c>
      <c r="M26" s="189">
        <v>1</v>
      </c>
      <c r="N26" s="189">
        <v>1</v>
      </c>
      <c r="O26" s="50"/>
      <c r="P26" s="49"/>
      <c r="Q26" s="50"/>
    </row>
    <row r="27" spans="1:17">
      <c r="A27" s="13">
        <f t="shared" si="5"/>
        <v>46136</v>
      </c>
      <c r="B27" s="1">
        <v>20068</v>
      </c>
      <c r="C27" s="1">
        <v>19091</v>
      </c>
      <c r="D27" s="221">
        <v>17757.099999999999</v>
      </c>
      <c r="E27" s="6">
        <v>17280</v>
      </c>
      <c r="F27" s="21">
        <f t="shared" si="0"/>
        <v>-9.4861453040699803E-2</v>
      </c>
      <c r="G27" s="2">
        <f t="shared" si="1"/>
        <v>0.19996734234234231</v>
      </c>
      <c r="H27" s="2">
        <f t="shared" si="6"/>
        <v>0.19459459459459461</v>
      </c>
      <c r="I27" s="86">
        <v>6.7</v>
      </c>
      <c r="J27" s="185">
        <v>5.94</v>
      </c>
      <c r="K27" s="21">
        <f t="shared" si="3"/>
        <v>-0.11343283582089549</v>
      </c>
      <c r="L27" s="22">
        <f t="shared" si="4"/>
        <v>0.80794885794885785</v>
      </c>
      <c r="M27" s="189">
        <v>1</v>
      </c>
      <c r="N27" s="189">
        <v>1</v>
      </c>
      <c r="O27" s="50"/>
      <c r="P27" s="49"/>
      <c r="Q27" s="50"/>
    </row>
    <row r="28" spans="1:17">
      <c r="A28" s="13">
        <f t="shared" si="5"/>
        <v>46137</v>
      </c>
      <c r="B28" s="1">
        <v>20068</v>
      </c>
      <c r="C28" s="1">
        <v>19091</v>
      </c>
      <c r="D28" s="221">
        <v>19701.7</v>
      </c>
      <c r="E28" s="6">
        <v>19200</v>
      </c>
      <c r="F28" s="21">
        <f t="shared" si="0"/>
        <v>5.7094966214446602E-3</v>
      </c>
      <c r="G28" s="2">
        <f t="shared" si="1"/>
        <v>0.221865990990991</v>
      </c>
      <c r="H28" s="2">
        <f t="shared" si="6"/>
        <v>0.21621621621621623</v>
      </c>
      <c r="I28" s="86">
        <v>6.7</v>
      </c>
      <c r="J28" s="185">
        <v>6.64</v>
      </c>
      <c r="K28" s="21">
        <f t="shared" si="3"/>
        <v>-8.9552238805970883E-3</v>
      </c>
      <c r="L28" s="22">
        <f t="shared" si="4"/>
        <v>0.80192526864213609</v>
      </c>
      <c r="M28" s="189">
        <v>1</v>
      </c>
      <c r="N28" s="189">
        <v>1</v>
      </c>
      <c r="O28" s="6"/>
      <c r="P28" s="186"/>
      <c r="Q28" s="191"/>
    </row>
    <row r="29" spans="1:17">
      <c r="A29" s="13">
        <f t="shared" si="5"/>
        <v>46138</v>
      </c>
      <c r="B29" s="1">
        <v>20068</v>
      </c>
      <c r="C29" s="1">
        <v>19091</v>
      </c>
      <c r="D29" s="221">
        <v>18563.599999999999</v>
      </c>
      <c r="E29" s="6">
        <v>18090</v>
      </c>
      <c r="F29" s="21">
        <f t="shared" si="0"/>
        <v>-5.2433083651982612E-2</v>
      </c>
      <c r="G29" s="2">
        <f t="shared" si="1"/>
        <v>0.20904954954954955</v>
      </c>
      <c r="H29" s="2">
        <f t="shared" si="6"/>
        <v>0.20371621621621622</v>
      </c>
      <c r="I29" s="86">
        <v>6.7</v>
      </c>
      <c r="J29" s="185">
        <v>6.32</v>
      </c>
      <c r="K29" s="21">
        <f t="shared" si="3"/>
        <v>-5.6716417910447743E-2</v>
      </c>
      <c r="L29" s="22">
        <f t="shared" si="4"/>
        <v>0.79385904892234005</v>
      </c>
      <c r="M29" s="189">
        <v>1</v>
      </c>
      <c r="N29" s="189">
        <v>1</v>
      </c>
      <c r="O29" s="186"/>
      <c r="P29" s="49"/>
      <c r="Q29" s="218"/>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6"/>
      <c r="P30" s="6"/>
      <c r="Q30" s="6"/>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6"/>
      <c r="P31" s="6"/>
      <c r="Q31" s="6"/>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6"/>
      <c r="P32" s="6"/>
      <c r="Q32" s="6"/>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6"/>
      <c r="P33" s="6"/>
      <c r="Q33" s="6"/>
    </row>
    <row r="34" spans="1:17">
      <c r="A34" s="349">
        <v>46113</v>
      </c>
      <c r="B34" s="89">
        <f>SUM(B4:B33)</f>
        <v>521768</v>
      </c>
      <c r="C34" s="89">
        <f>SUM(C4:C33)</f>
        <v>496366</v>
      </c>
      <c r="D34" s="89">
        <f>SUM(D4:D33)</f>
        <v>524008</v>
      </c>
      <c r="E34" s="89">
        <f>SUM(E4:E33)</f>
        <v>510780</v>
      </c>
      <c r="F34" s="160">
        <f t="shared" si="0"/>
        <v>2.9039055857975768E-2</v>
      </c>
      <c r="G34" s="90">
        <f>AVERAGE(G4:G33)</f>
        <v>0.19669969969969966</v>
      </c>
      <c r="H34" s="90">
        <f>AVERAGE(H4:H33)</f>
        <v>0.23104179945251371</v>
      </c>
      <c r="I34" s="89">
        <f>SUM(I4:I33)</f>
        <v>174.19999999999996</v>
      </c>
      <c r="J34" s="89">
        <f>SUM(J4:J33)</f>
        <v>174.72999999999996</v>
      </c>
      <c r="K34" s="160">
        <f t="shared" si="3"/>
        <v>3.0424799081515573E-3</v>
      </c>
      <c r="L34" s="161">
        <f t="shared" si="4"/>
        <v>0.81052929539165464</v>
      </c>
      <c r="M34" s="90">
        <f>AVERAGE(M4:M33)</f>
        <v>1</v>
      </c>
      <c r="N34" s="90">
        <f>AVERAGE(N4:N33)</f>
        <v>1</v>
      </c>
      <c r="O34" s="89">
        <f>SUM(O4:O33)</f>
        <v>0</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53CE-FFDC-4855-BBCF-7E9B1B347D5D}">
  <dimension ref="A1:Q66"/>
  <sheetViews>
    <sheetView topLeftCell="A32"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620</v>
      </c>
      <c r="B1" s="406"/>
      <c r="C1" s="406"/>
      <c r="D1" s="406"/>
      <c r="E1" s="406"/>
      <c r="F1" s="406"/>
      <c r="G1" s="406"/>
      <c r="H1" s="406"/>
      <c r="I1" s="406"/>
      <c r="J1" s="406"/>
      <c r="K1" s="406"/>
      <c r="L1" s="406"/>
      <c r="M1" s="406"/>
      <c r="N1" s="406"/>
      <c r="O1" s="406"/>
      <c r="P1" s="406"/>
      <c r="Q1" s="406"/>
    </row>
    <row r="2" spans="1:17" ht="18.5">
      <c r="A2" s="7">
        <v>46113</v>
      </c>
      <c r="B2" s="407" t="s">
        <v>172</v>
      </c>
      <c r="C2" s="408"/>
      <c r="D2" s="8">
        <v>7000</v>
      </c>
      <c r="E2" s="407" t="s">
        <v>173</v>
      </c>
      <c r="F2" s="407"/>
      <c r="G2" s="408"/>
      <c r="H2" s="8">
        <v>5500</v>
      </c>
      <c r="I2" s="409" t="s">
        <v>174</v>
      </c>
      <c r="J2" s="410"/>
      <c r="K2" s="9">
        <v>45289</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37450</v>
      </c>
      <c r="C4" s="1">
        <v>34032</v>
      </c>
      <c r="D4" s="221">
        <v>35439</v>
      </c>
      <c r="E4" s="6">
        <v>35100</v>
      </c>
      <c r="F4" s="21">
        <f t="shared" ref="F4:F35" si="0">(IF(ISBLANK(E4),0,E4-C4))/C4</f>
        <v>3.1382228490832158E-2</v>
      </c>
      <c r="G4" s="2">
        <f t="shared" ref="G4:G33" si="1">D4/($D$2*24)</f>
        <v>0.21094642857142856</v>
      </c>
      <c r="H4" s="2">
        <f t="shared" ref="H4:H21" si="2">D4/($H$2*24)</f>
        <v>0.26847727272727273</v>
      </c>
      <c r="I4" s="86">
        <v>6.7</v>
      </c>
      <c r="J4" s="185">
        <v>6.38</v>
      </c>
      <c r="K4" s="21">
        <f t="shared" ref="K4:K35" si="3">(IF(ISBLANK(J4),0,J4-I4))/I4</f>
        <v>-4.7761194029850788E-2</v>
      </c>
      <c r="L4" s="22">
        <f t="shared" ref="L4:L35" si="4">D4/($D$2*J4)</f>
        <v>0.79352888490819529</v>
      </c>
      <c r="M4" s="189">
        <v>1</v>
      </c>
      <c r="N4" s="189">
        <v>1</v>
      </c>
      <c r="O4" s="49"/>
      <c r="P4" s="49"/>
      <c r="Q4" s="49"/>
    </row>
    <row r="5" spans="1:17">
      <c r="A5" s="13">
        <f t="shared" ref="A5:A33" si="5">A4+1</f>
        <v>46114</v>
      </c>
      <c r="B5" s="1">
        <v>37450</v>
      </c>
      <c r="C5" s="1">
        <v>34032</v>
      </c>
      <c r="D5" s="221">
        <v>39121</v>
      </c>
      <c r="E5" s="6">
        <v>38460</v>
      </c>
      <c r="F5" s="21">
        <f t="shared" si="0"/>
        <v>0.13011283497884343</v>
      </c>
      <c r="G5" s="2">
        <f t="shared" si="1"/>
        <v>0.23286309523809523</v>
      </c>
      <c r="H5" s="2">
        <f t="shared" si="2"/>
        <v>0.29637121212121215</v>
      </c>
      <c r="I5" s="86">
        <v>6.7</v>
      </c>
      <c r="J5" s="185">
        <v>7.04</v>
      </c>
      <c r="K5" s="21">
        <f t="shared" si="3"/>
        <v>5.0746268656716394E-2</v>
      </c>
      <c r="L5" s="22">
        <f t="shared" si="4"/>
        <v>0.79385146103896109</v>
      </c>
      <c r="M5" s="189">
        <v>1</v>
      </c>
      <c r="N5" s="189">
        <v>1</v>
      </c>
      <c r="O5" s="50"/>
      <c r="P5" s="49"/>
      <c r="Q5" s="50"/>
    </row>
    <row r="6" spans="1:17">
      <c r="A6" s="13">
        <f t="shared" si="5"/>
        <v>46115</v>
      </c>
      <c r="B6" s="1">
        <v>37450</v>
      </c>
      <c r="C6" s="1">
        <v>34032</v>
      </c>
      <c r="D6" s="221">
        <v>41124</v>
      </c>
      <c r="E6" s="6">
        <v>40320</v>
      </c>
      <c r="F6" s="21">
        <f t="shared" si="0"/>
        <v>0.18476727785613539</v>
      </c>
      <c r="G6" s="2">
        <f t="shared" si="1"/>
        <v>0.24478571428571427</v>
      </c>
      <c r="H6" s="2">
        <f t="shared" si="2"/>
        <v>0.31154545454545457</v>
      </c>
      <c r="I6" s="86">
        <v>6.7</v>
      </c>
      <c r="J6" s="185">
        <v>7.15</v>
      </c>
      <c r="K6" s="21">
        <f t="shared" si="3"/>
        <v>6.7164179104477639E-2</v>
      </c>
      <c r="L6" s="22">
        <f t="shared" si="4"/>
        <v>0.82165834165834162</v>
      </c>
      <c r="M6" s="189">
        <v>1</v>
      </c>
      <c r="N6" s="189">
        <v>1</v>
      </c>
      <c r="O6" s="50"/>
      <c r="P6" s="49"/>
      <c r="Q6" s="50"/>
    </row>
    <row r="7" spans="1:17">
      <c r="A7" s="13">
        <f t="shared" si="5"/>
        <v>46116</v>
      </c>
      <c r="B7" s="1">
        <v>37450</v>
      </c>
      <c r="C7" s="1">
        <v>34032</v>
      </c>
      <c r="D7" s="221">
        <v>32764</v>
      </c>
      <c r="E7" s="6">
        <v>32220</v>
      </c>
      <c r="F7" s="21">
        <f t="shared" si="0"/>
        <v>-5.3244005641748943E-2</v>
      </c>
      <c r="G7" s="2">
        <f t="shared" si="1"/>
        <v>0.19502380952380952</v>
      </c>
      <c r="H7" s="2">
        <f t="shared" si="2"/>
        <v>0.24821212121212122</v>
      </c>
      <c r="I7" s="86">
        <v>6.7</v>
      </c>
      <c r="J7" s="185">
        <v>5.52</v>
      </c>
      <c r="K7" s="21">
        <f t="shared" si="3"/>
        <v>-0.17611940298507472</v>
      </c>
      <c r="L7" s="22">
        <f t="shared" si="4"/>
        <v>0.84792960662525885</v>
      </c>
      <c r="M7" s="189">
        <v>1</v>
      </c>
      <c r="N7" s="189">
        <v>1</v>
      </c>
      <c r="O7" s="186"/>
      <c r="P7" s="49"/>
      <c r="Q7" s="191"/>
    </row>
    <row r="8" spans="1:17">
      <c r="A8" s="13">
        <f t="shared" si="5"/>
        <v>46117</v>
      </c>
      <c r="B8" s="1">
        <v>37450</v>
      </c>
      <c r="C8" s="1">
        <v>34032</v>
      </c>
      <c r="D8" s="221">
        <v>41673</v>
      </c>
      <c r="E8" s="6">
        <v>40860</v>
      </c>
      <c r="F8" s="21">
        <f t="shared" si="0"/>
        <v>0.20063469675599435</v>
      </c>
      <c r="G8" s="2">
        <f t="shared" si="1"/>
        <v>0.24805357142857143</v>
      </c>
      <c r="H8" s="2">
        <f t="shared" si="2"/>
        <v>0.31570454545454546</v>
      </c>
      <c r="I8" s="86">
        <v>6.7</v>
      </c>
      <c r="J8" s="185">
        <v>7.16</v>
      </c>
      <c r="K8" s="21">
        <f t="shared" si="3"/>
        <v>6.8656716417910435E-2</v>
      </c>
      <c r="L8" s="22">
        <f t="shared" si="4"/>
        <v>0.83146448523543492</v>
      </c>
      <c r="M8" s="189">
        <v>1</v>
      </c>
      <c r="N8" s="189">
        <v>1</v>
      </c>
      <c r="O8" s="49"/>
      <c r="P8" s="49"/>
      <c r="Q8" s="50"/>
    </row>
    <row r="9" spans="1:17">
      <c r="A9" s="13">
        <f t="shared" si="5"/>
        <v>46118</v>
      </c>
      <c r="B9" s="1">
        <v>37450</v>
      </c>
      <c r="C9" s="1">
        <v>34032</v>
      </c>
      <c r="D9" s="221">
        <v>42911</v>
      </c>
      <c r="E9" s="6">
        <v>42120</v>
      </c>
      <c r="F9" s="21">
        <f t="shared" si="0"/>
        <v>0.23765867418899858</v>
      </c>
      <c r="G9" s="2">
        <f t="shared" si="1"/>
        <v>0.25542261904761904</v>
      </c>
      <c r="H9" s="2">
        <f t="shared" si="2"/>
        <v>0.32508333333333334</v>
      </c>
      <c r="I9" s="86">
        <v>6.7</v>
      </c>
      <c r="J9" s="185">
        <v>7.34</v>
      </c>
      <c r="K9" s="21">
        <f t="shared" si="3"/>
        <v>9.5522388059701438E-2</v>
      </c>
      <c r="L9" s="22">
        <f t="shared" si="4"/>
        <v>0.83516932658622034</v>
      </c>
      <c r="M9" s="189">
        <v>1</v>
      </c>
      <c r="N9" s="189">
        <v>1</v>
      </c>
      <c r="O9" s="49"/>
      <c r="P9" s="49"/>
      <c r="Q9" s="50"/>
    </row>
    <row r="10" spans="1:17">
      <c r="A10" s="13">
        <f t="shared" si="5"/>
        <v>46119</v>
      </c>
      <c r="B10" s="1">
        <v>37450</v>
      </c>
      <c r="C10" s="1">
        <v>34032</v>
      </c>
      <c r="D10" s="221">
        <v>42904</v>
      </c>
      <c r="E10" s="6">
        <v>42120</v>
      </c>
      <c r="F10" s="21">
        <f t="shared" si="0"/>
        <v>0.23765867418899858</v>
      </c>
      <c r="G10" s="2">
        <f t="shared" si="1"/>
        <v>0.25538095238095238</v>
      </c>
      <c r="H10" s="2">
        <f t="shared" si="2"/>
        <v>0.325030303030303</v>
      </c>
      <c r="I10" s="86">
        <v>6.7</v>
      </c>
      <c r="J10" s="185">
        <v>7.44</v>
      </c>
      <c r="K10" s="21">
        <f t="shared" si="3"/>
        <v>0.11044776119402988</v>
      </c>
      <c r="L10" s="22">
        <f t="shared" si="4"/>
        <v>0.82380952380952377</v>
      </c>
      <c r="M10" s="189">
        <v>1</v>
      </c>
      <c r="N10" s="189">
        <v>1</v>
      </c>
      <c r="O10" s="49"/>
      <c r="P10" s="219"/>
      <c r="Q10" s="50"/>
    </row>
    <row r="11" spans="1:17">
      <c r="A11" s="13">
        <f t="shared" si="5"/>
        <v>46120</v>
      </c>
      <c r="B11" s="1">
        <v>37450</v>
      </c>
      <c r="C11" s="1">
        <v>34032</v>
      </c>
      <c r="D11" s="221">
        <v>39230</v>
      </c>
      <c r="E11" s="6">
        <v>38520</v>
      </c>
      <c r="F11" s="21">
        <f t="shared" si="0"/>
        <v>0.1318758815232722</v>
      </c>
      <c r="G11" s="2">
        <f t="shared" si="1"/>
        <v>0.23351190476190475</v>
      </c>
      <c r="H11" s="2">
        <f t="shared" si="2"/>
        <v>0.29719696969696968</v>
      </c>
      <c r="I11" s="86">
        <v>6.7</v>
      </c>
      <c r="J11" s="185">
        <v>6.86</v>
      </c>
      <c r="K11" s="21">
        <f t="shared" si="3"/>
        <v>2.3880597014925394E-2</v>
      </c>
      <c r="L11" s="22">
        <f t="shared" si="4"/>
        <v>0.81695127030404002</v>
      </c>
      <c r="M11" s="189">
        <v>1</v>
      </c>
      <c r="N11" s="189">
        <v>1</v>
      </c>
      <c r="O11" s="219"/>
      <c r="P11" s="49"/>
      <c r="Q11" s="50"/>
    </row>
    <row r="12" spans="1:17">
      <c r="A12" s="13">
        <f t="shared" si="5"/>
        <v>46121</v>
      </c>
      <c r="B12" s="1">
        <v>37450</v>
      </c>
      <c r="C12" s="1">
        <v>34032</v>
      </c>
      <c r="D12" s="221">
        <v>39473</v>
      </c>
      <c r="E12" s="6">
        <v>38760</v>
      </c>
      <c r="F12" s="21">
        <f t="shared" si="0"/>
        <v>0.13892806770098731</v>
      </c>
      <c r="G12" s="2">
        <f t="shared" si="1"/>
        <v>0.23495833333333332</v>
      </c>
      <c r="H12" s="2">
        <f t="shared" si="2"/>
        <v>0.2990378787878788</v>
      </c>
      <c r="I12" s="86">
        <v>6.7</v>
      </c>
      <c r="J12" s="185">
        <v>6.84</v>
      </c>
      <c r="K12" s="21">
        <f t="shared" si="3"/>
        <v>2.0895522388059654E-2</v>
      </c>
      <c r="L12" s="22">
        <f t="shared" si="4"/>
        <v>0.8244152046783626</v>
      </c>
      <c r="M12" s="189">
        <v>1</v>
      </c>
      <c r="N12" s="189">
        <v>1</v>
      </c>
      <c r="O12" s="186"/>
      <c r="P12" s="49"/>
      <c r="Q12" s="217"/>
    </row>
    <row r="13" spans="1:17">
      <c r="A13" s="13">
        <f t="shared" si="5"/>
        <v>46122</v>
      </c>
      <c r="B13" s="1">
        <v>37450</v>
      </c>
      <c r="C13" s="1">
        <v>34032</v>
      </c>
      <c r="D13" s="221">
        <v>41313</v>
      </c>
      <c r="E13" s="6">
        <v>40560</v>
      </c>
      <c r="F13" s="21">
        <f t="shared" si="0"/>
        <v>0.1918194640338505</v>
      </c>
      <c r="G13" s="2">
        <f t="shared" si="1"/>
        <v>0.24591071428571429</v>
      </c>
      <c r="H13" s="2">
        <f t="shared" si="2"/>
        <v>0.31297727272727272</v>
      </c>
      <c r="I13" s="86">
        <v>6.7</v>
      </c>
      <c r="J13" s="185">
        <v>7.17</v>
      </c>
      <c r="K13" s="21">
        <f t="shared" si="3"/>
        <v>7.0149253731343245E-2</v>
      </c>
      <c r="L13" s="22">
        <f t="shared" si="4"/>
        <v>0.82313209802749554</v>
      </c>
      <c r="M13" s="189">
        <v>1</v>
      </c>
      <c r="N13" s="189">
        <v>1</v>
      </c>
      <c r="O13" s="186"/>
      <c r="P13" s="49"/>
      <c r="Q13" s="191"/>
    </row>
    <row r="14" spans="1:17">
      <c r="A14" s="13">
        <f t="shared" si="5"/>
        <v>46123</v>
      </c>
      <c r="B14" s="1">
        <v>37450</v>
      </c>
      <c r="C14" s="1">
        <v>34032</v>
      </c>
      <c r="D14" s="221">
        <v>41368</v>
      </c>
      <c r="E14" s="6">
        <v>40620</v>
      </c>
      <c r="F14" s="21">
        <f t="shared" si="0"/>
        <v>0.19358251057827927</v>
      </c>
      <c r="G14" s="2">
        <f t="shared" si="1"/>
        <v>0.24623809523809523</v>
      </c>
      <c r="H14" s="2">
        <f t="shared" si="2"/>
        <v>0.31339393939393939</v>
      </c>
      <c r="I14" s="86">
        <v>6.7</v>
      </c>
      <c r="J14" s="185">
        <v>7.22</v>
      </c>
      <c r="K14" s="21">
        <f t="shared" si="3"/>
        <v>7.7611940298507404E-2</v>
      </c>
      <c r="L14" s="22">
        <f t="shared" si="4"/>
        <v>0.81851998417095373</v>
      </c>
      <c r="M14" s="189">
        <v>1</v>
      </c>
      <c r="N14" s="189">
        <v>1</v>
      </c>
      <c r="O14" s="50"/>
      <c r="P14" s="49"/>
      <c r="Q14" s="50"/>
    </row>
    <row r="15" spans="1:17">
      <c r="A15" s="13">
        <f t="shared" si="5"/>
        <v>46124</v>
      </c>
      <c r="B15" s="1">
        <v>37450</v>
      </c>
      <c r="C15" s="1">
        <v>34032</v>
      </c>
      <c r="D15" s="221">
        <v>40277</v>
      </c>
      <c r="E15" s="6">
        <v>39540</v>
      </c>
      <c r="F15" s="21">
        <f t="shared" si="0"/>
        <v>0.16184767277856135</v>
      </c>
      <c r="G15" s="2">
        <f t="shared" si="1"/>
        <v>0.23974404761904761</v>
      </c>
      <c r="H15" s="2">
        <f t="shared" si="2"/>
        <v>0.30512878787878789</v>
      </c>
      <c r="I15" s="86">
        <v>6.7</v>
      </c>
      <c r="J15" s="185">
        <v>7.05</v>
      </c>
      <c r="K15" s="21">
        <f t="shared" si="3"/>
        <v>5.2238805970149196E-2</v>
      </c>
      <c r="L15" s="22">
        <f t="shared" si="4"/>
        <v>0.8161499493414387</v>
      </c>
      <c r="M15" s="189">
        <v>1</v>
      </c>
      <c r="N15" s="189">
        <v>1</v>
      </c>
      <c r="O15" s="50"/>
      <c r="P15" s="49"/>
      <c r="Q15" s="50"/>
    </row>
    <row r="16" spans="1:17">
      <c r="A16" s="13">
        <f t="shared" si="5"/>
        <v>46125</v>
      </c>
      <c r="B16" s="1">
        <v>37450</v>
      </c>
      <c r="C16" s="1">
        <v>34032</v>
      </c>
      <c r="D16" s="221">
        <v>39499</v>
      </c>
      <c r="E16" s="6">
        <v>38940</v>
      </c>
      <c r="F16" s="21">
        <f t="shared" si="0"/>
        <v>0.14421720733427362</v>
      </c>
      <c r="G16" s="2">
        <f t="shared" si="1"/>
        <v>0.23511309523809523</v>
      </c>
      <c r="H16" s="2">
        <f t="shared" si="2"/>
        <v>0.29923484848484849</v>
      </c>
      <c r="I16" s="86">
        <v>6.7</v>
      </c>
      <c r="J16" s="185">
        <v>6.9</v>
      </c>
      <c r="K16" s="21">
        <f t="shared" si="3"/>
        <v>2.9850746268656744E-2</v>
      </c>
      <c r="L16" s="22">
        <f t="shared" si="4"/>
        <v>0.81778467908902697</v>
      </c>
      <c r="M16" s="189">
        <v>1</v>
      </c>
      <c r="N16" s="189">
        <v>1</v>
      </c>
      <c r="O16" s="50"/>
      <c r="P16" s="49"/>
      <c r="Q16" s="50"/>
    </row>
    <row r="17" spans="1:17">
      <c r="A17" s="13">
        <f t="shared" si="5"/>
        <v>46126</v>
      </c>
      <c r="B17" s="1">
        <v>37450</v>
      </c>
      <c r="C17" s="1">
        <v>34032</v>
      </c>
      <c r="D17" s="221">
        <v>41112</v>
      </c>
      <c r="E17" s="6">
        <v>40380</v>
      </c>
      <c r="F17" s="21">
        <f t="shared" si="0"/>
        <v>0.18653032440056416</v>
      </c>
      <c r="G17" s="2">
        <f t="shared" si="1"/>
        <v>0.24471428571428572</v>
      </c>
      <c r="H17" s="2">
        <f t="shared" si="2"/>
        <v>0.31145454545454543</v>
      </c>
      <c r="I17" s="86">
        <v>6.7</v>
      </c>
      <c r="J17" s="185">
        <v>7.21</v>
      </c>
      <c r="K17" s="21">
        <f t="shared" si="3"/>
        <v>7.6119402985074594E-2</v>
      </c>
      <c r="L17" s="22">
        <f t="shared" si="4"/>
        <v>0.81458292054685955</v>
      </c>
      <c r="M17" s="189">
        <v>1</v>
      </c>
      <c r="N17" s="189">
        <v>1</v>
      </c>
      <c r="O17" s="50"/>
      <c r="P17" s="49"/>
      <c r="Q17" s="50"/>
    </row>
    <row r="18" spans="1:17">
      <c r="A18" s="13">
        <f t="shared" si="5"/>
        <v>46127</v>
      </c>
      <c r="B18" s="1">
        <v>37450</v>
      </c>
      <c r="C18" s="1">
        <v>34032</v>
      </c>
      <c r="D18" s="221">
        <v>42213</v>
      </c>
      <c r="E18" s="6">
        <v>41760</v>
      </c>
      <c r="F18" s="21">
        <f t="shared" si="0"/>
        <v>0.22708039492242596</v>
      </c>
      <c r="G18" s="2">
        <f t="shared" si="1"/>
        <v>0.25126785714285715</v>
      </c>
      <c r="H18" s="2">
        <f t="shared" si="2"/>
        <v>0.31979545454545455</v>
      </c>
      <c r="I18" s="86">
        <v>6.7</v>
      </c>
      <c r="J18" s="185">
        <v>7.45</v>
      </c>
      <c r="K18" s="21">
        <f t="shared" si="3"/>
        <v>0.11194029850746269</v>
      </c>
      <c r="L18" s="22">
        <f t="shared" si="4"/>
        <v>0.80945349952061363</v>
      </c>
      <c r="M18" s="189">
        <v>1</v>
      </c>
      <c r="N18" s="189">
        <v>1</v>
      </c>
      <c r="O18" s="50"/>
      <c r="P18" s="49"/>
      <c r="Q18" s="50"/>
    </row>
    <row r="19" spans="1:17">
      <c r="A19" s="13">
        <f t="shared" si="5"/>
        <v>46128</v>
      </c>
      <c r="B19" s="1">
        <v>37450</v>
      </c>
      <c r="C19" s="1">
        <v>34032</v>
      </c>
      <c r="D19" s="221">
        <v>43080</v>
      </c>
      <c r="E19" s="6">
        <v>42300</v>
      </c>
      <c r="F19" s="21">
        <f t="shared" si="0"/>
        <v>0.24294781382228492</v>
      </c>
      <c r="G19" s="2">
        <f t="shared" si="1"/>
        <v>0.25642857142857145</v>
      </c>
      <c r="H19" s="2">
        <f t="shared" si="2"/>
        <v>0.32636363636363636</v>
      </c>
      <c r="I19" s="86">
        <v>6.7</v>
      </c>
      <c r="J19" s="185">
        <v>7.6</v>
      </c>
      <c r="K19" s="21">
        <f t="shared" si="3"/>
        <v>0.13432835820895514</v>
      </c>
      <c r="L19" s="22">
        <f t="shared" si="4"/>
        <v>0.80977443609022559</v>
      </c>
      <c r="M19" s="189">
        <v>1</v>
      </c>
      <c r="N19" s="189">
        <v>1</v>
      </c>
      <c r="O19" s="50"/>
      <c r="P19" s="49"/>
      <c r="Q19" s="50"/>
    </row>
    <row r="20" spans="1:17">
      <c r="A20" s="13">
        <f t="shared" si="5"/>
        <v>46129</v>
      </c>
      <c r="B20" s="1">
        <v>37450</v>
      </c>
      <c r="C20" s="1">
        <v>34032</v>
      </c>
      <c r="D20" s="221">
        <v>38256</v>
      </c>
      <c r="E20" s="6">
        <v>37620</v>
      </c>
      <c r="F20" s="21">
        <f t="shared" si="0"/>
        <v>0.10543018335684062</v>
      </c>
      <c r="G20" s="2">
        <f t="shared" si="1"/>
        <v>0.2277142857142857</v>
      </c>
      <c r="H20" s="2">
        <f t="shared" si="2"/>
        <v>0.28981818181818181</v>
      </c>
      <c r="I20" s="86">
        <v>6.7</v>
      </c>
      <c r="J20" s="185">
        <v>6.71</v>
      </c>
      <c r="K20" s="21">
        <f t="shared" si="3"/>
        <v>1.492537313432804E-3</v>
      </c>
      <c r="L20" s="22">
        <f t="shared" si="4"/>
        <v>0.81447732595273581</v>
      </c>
      <c r="M20" s="189">
        <v>1</v>
      </c>
      <c r="N20" s="189">
        <v>1</v>
      </c>
      <c r="O20" s="50"/>
      <c r="P20" s="49"/>
      <c r="Q20" s="50"/>
    </row>
    <row r="21" spans="1:17">
      <c r="A21" s="13">
        <f t="shared" si="5"/>
        <v>46130</v>
      </c>
      <c r="B21" s="1">
        <v>37450</v>
      </c>
      <c r="C21" s="1">
        <v>34032</v>
      </c>
      <c r="D21" s="221">
        <v>35878</v>
      </c>
      <c r="E21" s="6">
        <v>35280</v>
      </c>
      <c r="F21" s="21">
        <f t="shared" si="0"/>
        <v>3.6671368124118475E-2</v>
      </c>
      <c r="G21" s="2">
        <f t="shared" si="1"/>
        <v>0.21355952380952381</v>
      </c>
      <c r="H21" s="2">
        <f t="shared" si="2"/>
        <v>0.27180303030303032</v>
      </c>
      <c r="I21" s="86">
        <v>6.7</v>
      </c>
      <c r="J21" s="185">
        <v>6.31</v>
      </c>
      <c r="K21" s="21">
        <f t="shared" si="3"/>
        <v>-5.8208955223880678E-2</v>
      </c>
      <c r="L21" s="22">
        <f t="shared" si="4"/>
        <v>0.81227077201720621</v>
      </c>
      <c r="M21" s="189">
        <v>1</v>
      </c>
      <c r="N21" s="189">
        <v>1</v>
      </c>
      <c r="O21" s="50"/>
      <c r="P21" s="186"/>
      <c r="Q21" s="83"/>
    </row>
    <row r="22" spans="1:17">
      <c r="A22" s="13">
        <f t="shared" si="5"/>
        <v>46131</v>
      </c>
      <c r="B22" s="1">
        <v>37450</v>
      </c>
      <c r="C22" s="1">
        <v>34032</v>
      </c>
      <c r="D22" s="221">
        <v>38514</v>
      </c>
      <c r="E22" s="6">
        <v>37860</v>
      </c>
      <c r="F22" s="21">
        <f t="shared" si="0"/>
        <v>0.11248236953455572</v>
      </c>
      <c r="G22" s="2">
        <f t="shared" si="1"/>
        <v>0.22925000000000001</v>
      </c>
      <c r="H22" s="2">
        <f t="shared" ref="H22:H33" si="6">E22/($D$2*24)</f>
        <v>0.22535714285714287</v>
      </c>
      <c r="I22" s="86">
        <v>6.7</v>
      </c>
      <c r="J22" s="185">
        <v>6.76</v>
      </c>
      <c r="K22" s="21">
        <f t="shared" si="3"/>
        <v>8.9552238805969565E-3</v>
      </c>
      <c r="L22" s="22">
        <f t="shared" si="4"/>
        <v>0.81390532544378702</v>
      </c>
      <c r="M22" s="189">
        <v>1</v>
      </c>
      <c r="N22" s="189">
        <v>1</v>
      </c>
      <c r="O22" s="50"/>
      <c r="P22" s="186"/>
      <c r="Q22" s="83"/>
    </row>
    <row r="23" spans="1:17">
      <c r="A23" s="13">
        <f t="shared" si="5"/>
        <v>46132</v>
      </c>
      <c r="B23" s="1">
        <v>37450</v>
      </c>
      <c r="C23" s="1">
        <v>34032</v>
      </c>
      <c r="D23" s="221">
        <v>37573</v>
      </c>
      <c r="E23" s="6">
        <v>36960</v>
      </c>
      <c r="F23" s="21">
        <f t="shared" si="0"/>
        <v>8.6036671368124124E-2</v>
      </c>
      <c r="G23" s="2">
        <f t="shared" si="1"/>
        <v>0.22364880952380953</v>
      </c>
      <c r="H23" s="2">
        <f t="shared" si="6"/>
        <v>0.22</v>
      </c>
      <c r="I23" s="86">
        <v>6.7</v>
      </c>
      <c r="J23" s="185">
        <v>6.55</v>
      </c>
      <c r="K23" s="21">
        <f t="shared" si="3"/>
        <v>-2.2388059701492588E-2</v>
      </c>
      <c r="L23" s="22">
        <f t="shared" si="4"/>
        <v>0.81947655398037078</v>
      </c>
      <c r="M23" s="189">
        <v>1</v>
      </c>
      <c r="N23" s="189">
        <v>1</v>
      </c>
      <c r="O23" s="50"/>
      <c r="P23" s="186"/>
      <c r="Q23" s="83"/>
    </row>
    <row r="24" spans="1:17">
      <c r="A24" s="13">
        <f t="shared" si="5"/>
        <v>46133</v>
      </c>
      <c r="B24" s="1">
        <v>37450</v>
      </c>
      <c r="C24" s="1">
        <v>34032</v>
      </c>
      <c r="D24" s="221">
        <v>39911</v>
      </c>
      <c r="E24" s="6">
        <v>39240</v>
      </c>
      <c r="F24" s="21">
        <f t="shared" si="0"/>
        <v>0.1530324400564175</v>
      </c>
      <c r="G24" s="2">
        <f t="shared" si="1"/>
        <v>0.23756547619047619</v>
      </c>
      <c r="H24" s="2">
        <f t="shared" si="6"/>
        <v>0.23357142857142857</v>
      </c>
      <c r="I24" s="86">
        <v>6.7</v>
      </c>
      <c r="J24" s="185">
        <v>7.15</v>
      </c>
      <c r="K24" s="21">
        <f t="shared" si="3"/>
        <v>6.7164179104477639E-2</v>
      </c>
      <c r="L24" s="22">
        <f t="shared" si="4"/>
        <v>0.79742257742257738</v>
      </c>
      <c r="M24" s="189">
        <v>1</v>
      </c>
      <c r="N24" s="189">
        <v>1</v>
      </c>
      <c r="O24" s="50"/>
      <c r="P24" s="186"/>
      <c r="Q24" s="83"/>
    </row>
    <row r="25" spans="1:17">
      <c r="A25" s="13">
        <f t="shared" si="5"/>
        <v>46134</v>
      </c>
      <c r="B25" s="1">
        <v>37450</v>
      </c>
      <c r="C25" s="1">
        <v>34032</v>
      </c>
      <c r="D25" s="221">
        <v>38980</v>
      </c>
      <c r="E25" s="6">
        <v>38340</v>
      </c>
      <c r="F25" s="21">
        <f t="shared" si="0"/>
        <v>0.12658674188998589</v>
      </c>
      <c r="G25" s="2">
        <f t="shared" si="1"/>
        <v>0.23202380952380952</v>
      </c>
      <c r="H25" s="2">
        <f t="shared" si="6"/>
        <v>0.2282142857142857</v>
      </c>
      <c r="I25" s="86">
        <v>6.7</v>
      </c>
      <c r="J25" s="185">
        <v>6.86</v>
      </c>
      <c r="K25" s="21">
        <f t="shared" si="3"/>
        <v>2.3880597014925394E-2</v>
      </c>
      <c r="L25" s="22">
        <f t="shared" si="4"/>
        <v>0.81174510620574758</v>
      </c>
      <c r="M25" s="189">
        <v>1</v>
      </c>
      <c r="N25" s="189">
        <v>1</v>
      </c>
      <c r="O25" s="50"/>
      <c r="P25" s="186"/>
      <c r="Q25" s="83"/>
    </row>
    <row r="26" spans="1:17">
      <c r="A26" s="13">
        <f t="shared" si="5"/>
        <v>46135</v>
      </c>
      <c r="B26" s="1">
        <v>37450</v>
      </c>
      <c r="C26" s="1">
        <v>34032</v>
      </c>
      <c r="D26" s="221">
        <v>37648</v>
      </c>
      <c r="E26" s="6">
        <v>37020</v>
      </c>
      <c r="F26" s="21">
        <f t="shared" si="0"/>
        <v>8.7799717912552894E-2</v>
      </c>
      <c r="G26" s="2">
        <f t="shared" si="1"/>
        <v>0.2240952380952381</v>
      </c>
      <c r="H26" s="2">
        <f t="shared" si="6"/>
        <v>0.22035714285714286</v>
      </c>
      <c r="I26" s="86">
        <v>6.7</v>
      </c>
      <c r="J26" s="185">
        <v>6.71</v>
      </c>
      <c r="K26" s="21">
        <f t="shared" si="3"/>
        <v>1.492537313432804E-3</v>
      </c>
      <c r="L26" s="22">
        <f t="shared" si="4"/>
        <v>0.80153289333617206</v>
      </c>
      <c r="M26" s="189">
        <v>1</v>
      </c>
      <c r="N26" s="189">
        <v>1</v>
      </c>
      <c r="O26" s="50"/>
      <c r="P26" s="49"/>
      <c r="Q26" s="50"/>
    </row>
    <row r="27" spans="1:17">
      <c r="A27" s="13">
        <f t="shared" si="5"/>
        <v>46136</v>
      </c>
      <c r="B27" s="1">
        <v>37450</v>
      </c>
      <c r="C27" s="1">
        <v>34032</v>
      </c>
      <c r="D27" s="221">
        <v>34984</v>
      </c>
      <c r="E27" s="6">
        <v>34440</v>
      </c>
      <c r="F27" s="21">
        <f t="shared" si="0"/>
        <v>1.1988716502115656E-2</v>
      </c>
      <c r="G27" s="2">
        <f t="shared" si="1"/>
        <v>0.20823809523809525</v>
      </c>
      <c r="H27" s="2">
        <f t="shared" si="6"/>
        <v>0.20499999999999999</v>
      </c>
      <c r="I27" s="86">
        <v>6.7</v>
      </c>
      <c r="J27" s="185">
        <v>6.21</v>
      </c>
      <c r="K27" s="21">
        <f t="shared" si="3"/>
        <v>-7.3134328358208989E-2</v>
      </c>
      <c r="L27" s="22">
        <f t="shared" si="4"/>
        <v>0.80478490913273526</v>
      </c>
      <c r="M27" s="189">
        <v>1</v>
      </c>
      <c r="N27" s="189">
        <v>1</v>
      </c>
      <c r="O27" s="50"/>
      <c r="P27" s="49"/>
      <c r="Q27" s="50"/>
    </row>
    <row r="28" spans="1:17">
      <c r="A28" s="13">
        <f t="shared" si="5"/>
        <v>46137</v>
      </c>
      <c r="B28" s="1">
        <v>37450</v>
      </c>
      <c r="C28" s="1">
        <v>34032</v>
      </c>
      <c r="D28" s="221">
        <v>37570</v>
      </c>
      <c r="E28" s="6">
        <v>37020</v>
      </c>
      <c r="F28" s="21">
        <f t="shared" si="0"/>
        <v>8.7799717912552894E-2</v>
      </c>
      <c r="G28" s="2">
        <f t="shared" si="1"/>
        <v>0.22363095238095237</v>
      </c>
      <c r="H28" s="2">
        <f t="shared" si="6"/>
        <v>0.22035714285714286</v>
      </c>
      <c r="I28" s="86">
        <v>6.7</v>
      </c>
      <c r="J28" s="185">
        <v>6.68</v>
      </c>
      <c r="K28" s="21">
        <f t="shared" si="3"/>
        <v>-2.9850746268657406E-3</v>
      </c>
      <c r="L28" s="22">
        <f t="shared" si="4"/>
        <v>0.80346449957228405</v>
      </c>
      <c r="M28" s="189">
        <v>1</v>
      </c>
      <c r="N28" s="189">
        <v>1</v>
      </c>
      <c r="O28" s="6"/>
      <c r="P28" s="186"/>
      <c r="Q28" s="191"/>
    </row>
    <row r="29" spans="1:17">
      <c r="A29" s="13">
        <f t="shared" si="5"/>
        <v>46138</v>
      </c>
      <c r="B29" s="1">
        <v>37450</v>
      </c>
      <c r="C29" s="1">
        <v>34032</v>
      </c>
      <c r="D29" s="221">
        <v>34456</v>
      </c>
      <c r="E29" s="6">
        <v>33840</v>
      </c>
      <c r="F29" s="21">
        <f t="shared" si="0"/>
        <v>-5.6417489421720732E-3</v>
      </c>
      <c r="G29" s="2">
        <f t="shared" si="1"/>
        <v>0.20509523809523811</v>
      </c>
      <c r="H29" s="2">
        <f t="shared" si="6"/>
        <v>0.20142857142857143</v>
      </c>
      <c r="I29" s="86">
        <v>6.7</v>
      </c>
      <c r="J29" s="185">
        <v>6.36</v>
      </c>
      <c r="K29" s="21">
        <f t="shared" si="3"/>
        <v>-5.0746268656716394E-2</v>
      </c>
      <c r="L29" s="22">
        <f t="shared" si="4"/>
        <v>0.77394429469901171</v>
      </c>
      <c r="M29" s="189">
        <v>1</v>
      </c>
      <c r="N29" s="189">
        <v>1</v>
      </c>
      <c r="O29" s="186"/>
      <c r="P29" s="49"/>
      <c r="Q29" s="218"/>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6"/>
      <c r="P30" s="6"/>
      <c r="Q30" s="6"/>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6"/>
      <c r="P31" s="6"/>
      <c r="Q31" s="6"/>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6"/>
      <c r="P32" s="6"/>
      <c r="Q32" s="6"/>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6"/>
      <c r="P33" s="6"/>
      <c r="Q33" s="6"/>
    </row>
    <row r="34" spans="1:17">
      <c r="A34" s="349">
        <v>46113</v>
      </c>
      <c r="B34" s="89">
        <f>SUM(B4:B33)</f>
        <v>973700</v>
      </c>
      <c r="C34" s="89">
        <f>SUM(C4:C33)</f>
        <v>884832</v>
      </c>
      <c r="D34" s="89">
        <f>SUM(D4:D33)</f>
        <v>1017271</v>
      </c>
      <c r="E34" s="89">
        <f>SUM(E4:E33)</f>
        <v>1000200</v>
      </c>
      <c r="F34" s="160">
        <f t="shared" si="0"/>
        <v>0.13038407290875556</v>
      </c>
      <c r="G34" s="90">
        <f>AVERAGE(G4:G33)</f>
        <v>0.20183948412698413</v>
      </c>
      <c r="H34" s="90">
        <f>AVERAGE(H4:H33)</f>
        <v>0.23969715007215006</v>
      </c>
      <c r="I34" s="89">
        <f>SUM(I4:I33)</f>
        <v>174.19999999999996</v>
      </c>
      <c r="J34" s="89">
        <f>SUM(J4:J33)</f>
        <v>178.63000000000005</v>
      </c>
      <c r="K34" s="160">
        <f t="shared" si="3"/>
        <v>2.5430539609644622E-2</v>
      </c>
      <c r="L34" s="161">
        <f t="shared" si="4"/>
        <v>0.81354995561455812</v>
      </c>
      <c r="M34" s="90">
        <f>AVERAGE(M4:M33)</f>
        <v>1</v>
      </c>
      <c r="N34" s="90">
        <f>AVERAGE(N4:N33)</f>
        <v>1</v>
      </c>
      <c r="O34" s="89">
        <f>SUM(O4:O33)</f>
        <v>0</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601B0-6AB9-49E6-8211-767E5EFDD95A}">
  <dimension ref="A1:Q66"/>
  <sheetViews>
    <sheetView topLeftCell="A24"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621</v>
      </c>
      <c r="B1" s="406"/>
      <c r="C1" s="406"/>
      <c r="D1" s="406"/>
      <c r="E1" s="406"/>
      <c r="F1" s="406"/>
      <c r="G1" s="406"/>
      <c r="H1" s="406"/>
      <c r="I1" s="406"/>
      <c r="J1" s="406"/>
      <c r="K1" s="406"/>
      <c r="L1" s="406"/>
      <c r="M1" s="406"/>
      <c r="N1" s="406"/>
      <c r="O1" s="406"/>
      <c r="P1" s="406"/>
      <c r="Q1" s="406"/>
    </row>
    <row r="2" spans="1:17" ht="18.5">
      <c r="A2" s="7">
        <v>46113</v>
      </c>
      <c r="B2" s="407" t="s">
        <v>172</v>
      </c>
      <c r="C2" s="408"/>
      <c r="D2" s="8">
        <v>3317</v>
      </c>
      <c r="E2" s="407" t="s">
        <v>173</v>
      </c>
      <c r="F2" s="407"/>
      <c r="G2" s="408"/>
      <c r="H2" s="8">
        <v>2860</v>
      </c>
      <c r="I2" s="409" t="s">
        <v>174</v>
      </c>
      <c r="J2" s="410"/>
      <c r="K2" s="9">
        <v>44716</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16259</v>
      </c>
      <c r="C4" s="1">
        <v>14702</v>
      </c>
      <c r="D4" s="221">
        <v>12992</v>
      </c>
      <c r="E4" s="6">
        <v>12660</v>
      </c>
      <c r="F4" s="21">
        <f t="shared" ref="F4:F35" si="0">(IF(ISBLANK(E4),0,E4-C4))/C4</f>
        <v>-0.13889266766426336</v>
      </c>
      <c r="G4" s="2">
        <f t="shared" ref="G4:G33" si="1">D4/($D$2*24)</f>
        <v>0.16319967842427896</v>
      </c>
      <c r="H4" s="2">
        <f t="shared" ref="H4:H21" si="2">D4/($H$2*24)</f>
        <v>0.18927738927738927</v>
      </c>
      <c r="I4" s="86">
        <v>6.4</v>
      </c>
      <c r="J4" s="185">
        <v>4.8639999999999999</v>
      </c>
      <c r="K4" s="21">
        <f t="shared" ref="K4:K35" si="3">(IF(ISBLANK(J4),0,J4-I4))/I4</f>
        <v>-0.24000000000000007</v>
      </c>
      <c r="L4" s="22">
        <f t="shared" ref="L4:L35" si="4">D4/($D$2*J4)</f>
        <v>0.80526157117242914</v>
      </c>
      <c r="M4" s="25">
        <v>1</v>
      </c>
      <c r="N4" s="25">
        <v>0.9627</v>
      </c>
      <c r="O4" s="49">
        <v>361</v>
      </c>
      <c r="P4" s="49"/>
      <c r="Q4" s="191" t="s">
        <v>622</v>
      </c>
    </row>
    <row r="5" spans="1:17">
      <c r="A5" s="13">
        <f t="shared" ref="A5:A33" si="5">A4+1</f>
        <v>46114</v>
      </c>
      <c r="B5" s="1">
        <v>16259</v>
      </c>
      <c r="C5" s="1">
        <v>14702</v>
      </c>
      <c r="D5" s="221">
        <v>10701</v>
      </c>
      <c r="E5" s="6">
        <v>10860</v>
      </c>
      <c r="F5" s="21">
        <f t="shared" si="0"/>
        <v>-0.26132498979730651</v>
      </c>
      <c r="G5" s="2">
        <f t="shared" si="1"/>
        <v>0.13442116370214049</v>
      </c>
      <c r="H5" s="2">
        <f t="shared" si="2"/>
        <v>0.15590034965034966</v>
      </c>
      <c r="I5" s="86">
        <v>6.4</v>
      </c>
      <c r="J5" s="185">
        <v>3.96</v>
      </c>
      <c r="K5" s="21">
        <f t="shared" si="3"/>
        <v>-0.38125000000000003</v>
      </c>
      <c r="L5" s="22">
        <f t="shared" si="4"/>
        <v>0.81467371940691202</v>
      </c>
      <c r="M5" s="25">
        <v>1</v>
      </c>
      <c r="N5" s="25">
        <v>0.99329999999999996</v>
      </c>
      <c r="O5" s="50">
        <v>54</v>
      </c>
      <c r="P5" s="49"/>
      <c r="Q5" s="191" t="s">
        <v>622</v>
      </c>
    </row>
    <row r="6" spans="1:17">
      <c r="A6" s="13">
        <f t="shared" si="5"/>
        <v>46115</v>
      </c>
      <c r="B6" s="1">
        <v>16259</v>
      </c>
      <c r="C6" s="1">
        <v>14702</v>
      </c>
      <c r="D6" s="221">
        <v>15616</v>
      </c>
      <c r="E6" s="6">
        <v>15180</v>
      </c>
      <c r="F6" s="21">
        <f t="shared" si="0"/>
        <v>3.251258332199701E-2</v>
      </c>
      <c r="G6" s="2">
        <f t="shared" si="1"/>
        <v>0.19616118983016781</v>
      </c>
      <c r="H6" s="2">
        <f t="shared" si="2"/>
        <v>0.22750582750582751</v>
      </c>
      <c r="I6" s="86">
        <v>6.4</v>
      </c>
      <c r="J6" s="185">
        <v>5.8470000000000004</v>
      </c>
      <c r="K6" s="21">
        <f t="shared" si="3"/>
        <v>-8.640624999999999E-2</v>
      </c>
      <c r="L6" s="22">
        <f t="shared" si="4"/>
        <v>0.80517676687600959</v>
      </c>
      <c r="M6" s="25">
        <v>1</v>
      </c>
      <c r="N6" s="25">
        <v>1</v>
      </c>
      <c r="O6" s="50"/>
      <c r="P6" s="49"/>
      <c r="Q6" s="50"/>
    </row>
    <row r="7" spans="1:17">
      <c r="A7" s="13">
        <f t="shared" si="5"/>
        <v>46116</v>
      </c>
      <c r="B7" s="1">
        <v>16259</v>
      </c>
      <c r="C7" s="1">
        <v>14702</v>
      </c>
      <c r="D7" s="221">
        <v>7074</v>
      </c>
      <c r="E7" s="6">
        <v>7050</v>
      </c>
      <c r="F7" s="21">
        <f t="shared" si="0"/>
        <v>-0.52047340497891448</v>
      </c>
      <c r="G7" s="2">
        <f t="shared" si="1"/>
        <v>8.8860416038589088E-2</v>
      </c>
      <c r="H7" s="2">
        <f t="shared" si="2"/>
        <v>0.10305944055944057</v>
      </c>
      <c r="I7" s="86">
        <v>6.4</v>
      </c>
      <c r="J7" s="185">
        <v>2.6139999999999999</v>
      </c>
      <c r="K7" s="21">
        <f t="shared" si="3"/>
        <v>-0.59156249999999999</v>
      </c>
      <c r="L7" s="22">
        <f t="shared" si="4"/>
        <v>0.81585691848742858</v>
      </c>
      <c r="M7" s="25">
        <v>1</v>
      </c>
      <c r="N7" s="25">
        <v>0.5827</v>
      </c>
      <c r="O7" s="186">
        <v>7259</v>
      </c>
      <c r="P7" s="49"/>
      <c r="Q7" s="83" t="s">
        <v>623</v>
      </c>
    </row>
    <row r="8" spans="1:17">
      <c r="A8" s="13">
        <f t="shared" si="5"/>
        <v>46117</v>
      </c>
      <c r="B8" s="1">
        <v>16259</v>
      </c>
      <c r="C8" s="1">
        <v>14702</v>
      </c>
      <c r="D8" s="221">
        <v>19352</v>
      </c>
      <c r="E8" s="6">
        <v>18960</v>
      </c>
      <c r="F8" s="21">
        <f t="shared" si="0"/>
        <v>0.28962045980138756</v>
      </c>
      <c r="G8" s="2">
        <f t="shared" si="1"/>
        <v>0.24309114661843031</v>
      </c>
      <c r="H8" s="2">
        <f t="shared" si="2"/>
        <v>0.28193473193473195</v>
      </c>
      <c r="I8" s="86">
        <v>6.4</v>
      </c>
      <c r="J8" s="185">
        <v>6.9740000000000002</v>
      </c>
      <c r="K8" s="21">
        <f t="shared" si="3"/>
        <v>8.9687499999999976E-2</v>
      </c>
      <c r="L8" s="22">
        <f t="shared" si="4"/>
        <v>0.83656259232037955</v>
      </c>
      <c r="M8" s="25">
        <v>1</v>
      </c>
      <c r="N8" s="25">
        <v>1</v>
      </c>
      <c r="O8" s="49"/>
      <c r="P8" s="49"/>
      <c r="Q8" s="83"/>
    </row>
    <row r="9" spans="1:17">
      <c r="A9" s="13">
        <f t="shared" si="5"/>
        <v>46118</v>
      </c>
      <c r="B9" s="1">
        <v>16259</v>
      </c>
      <c r="C9" s="1">
        <v>14702</v>
      </c>
      <c r="D9" s="221">
        <v>19006</v>
      </c>
      <c r="E9" s="6">
        <v>18630</v>
      </c>
      <c r="F9" s="21">
        <f t="shared" si="0"/>
        <v>0.26717453407699632</v>
      </c>
      <c r="G9" s="2">
        <f t="shared" si="1"/>
        <v>0.23874484976384283</v>
      </c>
      <c r="H9" s="2">
        <f t="shared" si="2"/>
        <v>0.27689393939393941</v>
      </c>
      <c r="I9" s="86">
        <v>6.4</v>
      </c>
      <c r="J9" s="185">
        <v>7.1</v>
      </c>
      <c r="K9" s="21">
        <f t="shared" si="3"/>
        <v>0.10937499999999989</v>
      </c>
      <c r="L9" s="22">
        <f t="shared" si="4"/>
        <v>0.80702484427214483</v>
      </c>
      <c r="M9" s="25">
        <v>1</v>
      </c>
      <c r="N9" s="25">
        <v>0.98</v>
      </c>
      <c r="O9" s="49">
        <v>228</v>
      </c>
      <c r="P9" s="49"/>
      <c r="Q9" s="83" t="s">
        <v>624</v>
      </c>
    </row>
    <row r="10" spans="1:17">
      <c r="A10" s="13">
        <f t="shared" si="5"/>
        <v>46119</v>
      </c>
      <c r="B10" s="1">
        <v>16259</v>
      </c>
      <c r="C10" s="1">
        <v>14702</v>
      </c>
      <c r="D10" s="221">
        <v>17577</v>
      </c>
      <c r="E10" s="6">
        <v>17310</v>
      </c>
      <c r="F10" s="21">
        <f t="shared" si="0"/>
        <v>0.17739083117943136</v>
      </c>
      <c r="G10" s="2">
        <f t="shared" si="1"/>
        <v>0.2207943925233645</v>
      </c>
      <c r="H10" s="2">
        <f t="shared" si="2"/>
        <v>0.25607517482517483</v>
      </c>
      <c r="I10" s="86">
        <v>6.4</v>
      </c>
      <c r="J10" s="185">
        <v>6.3470000000000004</v>
      </c>
      <c r="K10" s="21">
        <f t="shared" si="3"/>
        <v>-8.28124999999999E-3</v>
      </c>
      <c r="L10" s="22">
        <f t="shared" si="4"/>
        <v>0.83489292903115608</v>
      </c>
      <c r="M10" s="25">
        <v>1</v>
      </c>
      <c r="N10" s="25">
        <v>1</v>
      </c>
      <c r="O10" s="49"/>
      <c r="P10" s="219"/>
      <c r="Q10" s="83"/>
    </row>
    <row r="11" spans="1:17">
      <c r="A11" s="13">
        <f t="shared" si="5"/>
        <v>46120</v>
      </c>
      <c r="B11" s="1">
        <v>16259</v>
      </c>
      <c r="C11" s="1">
        <v>14702</v>
      </c>
      <c r="D11" s="221">
        <v>17366</v>
      </c>
      <c r="E11" s="6">
        <v>17010</v>
      </c>
      <c r="F11" s="21">
        <f t="shared" si="0"/>
        <v>0.15698544415725751</v>
      </c>
      <c r="G11" s="2">
        <f t="shared" si="1"/>
        <v>0.2181439051351623</v>
      </c>
      <c r="H11" s="2">
        <f t="shared" si="2"/>
        <v>0.25300116550116553</v>
      </c>
      <c r="I11" s="86">
        <v>6.4</v>
      </c>
      <c r="J11" s="185">
        <v>6.5739999999999998</v>
      </c>
      <c r="K11" s="21">
        <f t="shared" si="3"/>
        <v>2.718749999999992E-2</v>
      </c>
      <c r="L11" s="22">
        <f t="shared" si="4"/>
        <v>0.79638784959596831</v>
      </c>
      <c r="M11" s="25">
        <v>1</v>
      </c>
      <c r="N11" s="25">
        <v>0.98670000000000002</v>
      </c>
      <c r="O11" s="49">
        <v>137</v>
      </c>
      <c r="P11" s="49"/>
      <c r="Q11" s="83" t="s">
        <v>624</v>
      </c>
    </row>
    <row r="12" spans="1:17">
      <c r="A12" s="13">
        <f t="shared" si="5"/>
        <v>46121</v>
      </c>
      <c r="B12" s="1">
        <v>16259</v>
      </c>
      <c r="C12" s="1">
        <v>14702</v>
      </c>
      <c r="D12" s="221">
        <v>18548</v>
      </c>
      <c r="E12" s="6">
        <v>18060</v>
      </c>
      <c r="F12" s="21">
        <f t="shared" si="0"/>
        <v>0.22840429873486601</v>
      </c>
      <c r="G12" s="2">
        <f t="shared" si="1"/>
        <v>0.23299165912973571</v>
      </c>
      <c r="H12" s="2">
        <f t="shared" si="2"/>
        <v>0.2702214452214452</v>
      </c>
      <c r="I12" s="86">
        <v>6.4</v>
      </c>
      <c r="J12" s="185">
        <v>6.9569999999999999</v>
      </c>
      <c r="K12" s="21">
        <f t="shared" si="3"/>
        <v>8.7031249999999921E-2</v>
      </c>
      <c r="L12" s="22">
        <f t="shared" si="4"/>
        <v>0.80376596508748843</v>
      </c>
      <c r="M12" s="25">
        <v>1</v>
      </c>
      <c r="N12" s="25">
        <v>0.99070000000000003</v>
      </c>
      <c r="O12" s="49">
        <v>130</v>
      </c>
      <c r="P12" s="49"/>
      <c r="Q12" s="83" t="s">
        <v>622</v>
      </c>
    </row>
    <row r="13" spans="1:17">
      <c r="A13" s="13">
        <f t="shared" si="5"/>
        <v>46122</v>
      </c>
      <c r="B13" s="1">
        <v>16259</v>
      </c>
      <c r="C13" s="1">
        <v>14702</v>
      </c>
      <c r="D13" s="221">
        <v>15786</v>
      </c>
      <c r="E13" s="6">
        <v>15570</v>
      </c>
      <c r="F13" s="21">
        <f t="shared" si="0"/>
        <v>5.9039586450823016E-2</v>
      </c>
      <c r="G13" s="2">
        <f t="shared" si="1"/>
        <v>0.198296653602653</v>
      </c>
      <c r="H13" s="2">
        <f t="shared" si="2"/>
        <v>0.2299825174825175</v>
      </c>
      <c r="I13" s="86">
        <v>6.4</v>
      </c>
      <c r="J13" s="185">
        <v>5.9</v>
      </c>
      <c r="K13" s="21">
        <f t="shared" si="3"/>
        <v>-7.8125E-2</v>
      </c>
      <c r="L13" s="22">
        <f t="shared" si="4"/>
        <v>0.80663045533282562</v>
      </c>
      <c r="M13" s="25">
        <v>1</v>
      </c>
      <c r="N13" s="25">
        <v>0.97330000000000005</v>
      </c>
      <c r="O13" s="49">
        <v>191</v>
      </c>
      <c r="P13" s="49"/>
      <c r="Q13" s="83" t="s">
        <v>624</v>
      </c>
    </row>
    <row r="14" spans="1:17">
      <c r="A14" s="13">
        <f t="shared" si="5"/>
        <v>46123</v>
      </c>
      <c r="B14" s="1">
        <v>16259</v>
      </c>
      <c r="C14" s="1">
        <v>14702</v>
      </c>
      <c r="D14" s="221">
        <v>6426</v>
      </c>
      <c r="E14" s="6">
        <v>6120</v>
      </c>
      <c r="F14" s="21">
        <f t="shared" si="0"/>
        <v>-0.58373010474765341</v>
      </c>
      <c r="G14" s="2">
        <f t="shared" si="1"/>
        <v>8.0720530599939708E-2</v>
      </c>
      <c r="H14" s="2">
        <f t="shared" si="2"/>
        <v>9.3618881118881114E-2</v>
      </c>
      <c r="I14" s="86">
        <v>6.4</v>
      </c>
      <c r="J14" s="185">
        <v>2.4260000000000002</v>
      </c>
      <c r="K14" s="21">
        <f t="shared" si="3"/>
        <v>-0.62093750000000003</v>
      </c>
      <c r="L14" s="22">
        <f t="shared" si="4"/>
        <v>0.79855430107112646</v>
      </c>
      <c r="M14" s="25">
        <v>1</v>
      </c>
      <c r="N14" s="25">
        <v>0.5333</v>
      </c>
      <c r="O14" s="49">
        <v>7821</v>
      </c>
      <c r="P14" s="49"/>
      <c r="Q14" s="83" t="s">
        <v>623</v>
      </c>
    </row>
    <row r="15" spans="1:17">
      <c r="A15" s="13">
        <f t="shared" si="5"/>
        <v>46124</v>
      </c>
      <c r="B15" s="1">
        <v>16259</v>
      </c>
      <c r="C15" s="1">
        <v>14702</v>
      </c>
      <c r="D15" s="221">
        <v>17262</v>
      </c>
      <c r="E15" s="6">
        <v>16950</v>
      </c>
      <c r="F15" s="21">
        <f t="shared" si="0"/>
        <v>0.15290436675282273</v>
      </c>
      <c r="G15" s="2">
        <f t="shared" si="1"/>
        <v>0.21683750376846547</v>
      </c>
      <c r="H15" s="2">
        <f t="shared" si="2"/>
        <v>0.251486013986014</v>
      </c>
      <c r="I15" s="86">
        <v>6.4</v>
      </c>
      <c r="J15" s="185">
        <v>6.2450000000000001</v>
      </c>
      <c r="K15" s="21">
        <f t="shared" si="3"/>
        <v>-2.4218750000000039E-2</v>
      </c>
      <c r="L15" s="22">
        <f t="shared" si="4"/>
        <v>0.83332267260899462</v>
      </c>
      <c r="M15" s="25">
        <v>1</v>
      </c>
      <c r="N15" s="25">
        <v>1</v>
      </c>
      <c r="O15" s="50"/>
      <c r="P15" s="49"/>
      <c r="Q15" s="83"/>
    </row>
    <row r="16" spans="1:17">
      <c r="A16" s="13">
        <f t="shared" si="5"/>
        <v>46125</v>
      </c>
      <c r="B16" s="1">
        <v>16259</v>
      </c>
      <c r="C16" s="1">
        <v>14702</v>
      </c>
      <c r="D16" s="221">
        <v>17923</v>
      </c>
      <c r="E16" s="6">
        <v>17520</v>
      </c>
      <c r="F16" s="21">
        <f t="shared" si="0"/>
        <v>0.19167460209495307</v>
      </c>
      <c r="G16" s="2">
        <f t="shared" si="1"/>
        <v>0.22514068937795195</v>
      </c>
      <c r="H16" s="2">
        <f t="shared" si="2"/>
        <v>0.26111596736596737</v>
      </c>
      <c r="I16" s="86">
        <v>6.4</v>
      </c>
      <c r="J16" s="185">
        <v>6.6269999999999998</v>
      </c>
      <c r="K16" s="21">
        <f t="shared" si="3"/>
        <v>3.546874999999991E-2</v>
      </c>
      <c r="L16" s="22">
        <f t="shared" si="4"/>
        <v>0.81535786103377816</v>
      </c>
      <c r="M16" s="25">
        <v>1</v>
      </c>
      <c r="N16" s="25">
        <v>1</v>
      </c>
      <c r="O16" s="50"/>
      <c r="P16" s="49"/>
      <c r="Q16" s="83"/>
    </row>
    <row r="17" spans="1:17">
      <c r="A17" s="13">
        <f t="shared" si="5"/>
        <v>46126</v>
      </c>
      <c r="B17" s="1">
        <v>16259</v>
      </c>
      <c r="C17" s="1">
        <v>14702</v>
      </c>
      <c r="D17" s="221">
        <v>17819</v>
      </c>
      <c r="E17" s="6">
        <v>17520</v>
      </c>
      <c r="F17" s="21">
        <f t="shared" si="0"/>
        <v>0.19167460209495307</v>
      </c>
      <c r="G17" s="2">
        <f t="shared" si="1"/>
        <v>0.22383428801125516</v>
      </c>
      <c r="H17" s="2">
        <f t="shared" si="2"/>
        <v>0.25960081585081585</v>
      </c>
      <c r="I17" s="86">
        <v>6.4</v>
      </c>
      <c r="J17" s="185">
        <v>6.8</v>
      </c>
      <c r="K17" s="21">
        <f t="shared" si="3"/>
        <v>6.2499999999999917E-2</v>
      </c>
      <c r="L17" s="22">
        <f t="shared" si="4"/>
        <v>0.79000336945148886</v>
      </c>
      <c r="M17" s="25">
        <v>1</v>
      </c>
      <c r="N17" s="25">
        <v>0.98</v>
      </c>
      <c r="O17" s="50">
        <v>213</v>
      </c>
      <c r="P17" s="49"/>
      <c r="Q17" s="83" t="s">
        <v>624</v>
      </c>
    </row>
    <row r="18" spans="1:17">
      <c r="A18" s="13">
        <f t="shared" si="5"/>
        <v>46127</v>
      </c>
      <c r="B18" s="1">
        <v>16259</v>
      </c>
      <c r="C18" s="1">
        <v>14702</v>
      </c>
      <c r="D18" s="221">
        <v>16936</v>
      </c>
      <c r="E18" s="6">
        <v>16620</v>
      </c>
      <c r="F18" s="21">
        <f t="shared" si="0"/>
        <v>0.13045844102843152</v>
      </c>
      <c r="G18" s="2">
        <f t="shared" si="1"/>
        <v>0.21274243794593509</v>
      </c>
      <c r="H18" s="2">
        <f t="shared" si="2"/>
        <v>0.24673659673659673</v>
      </c>
      <c r="I18" s="86">
        <v>6.4</v>
      </c>
      <c r="J18" s="185">
        <v>6.42</v>
      </c>
      <c r="K18" s="21">
        <f t="shared" si="3"/>
        <v>3.1249999999999334E-3</v>
      </c>
      <c r="L18" s="22">
        <f t="shared" si="4"/>
        <v>0.79529883344274799</v>
      </c>
      <c r="M18" s="25">
        <v>1</v>
      </c>
      <c r="N18" s="25">
        <v>0.97070000000000001</v>
      </c>
      <c r="O18" s="50">
        <v>278</v>
      </c>
      <c r="P18" s="49"/>
      <c r="Q18" s="83" t="s">
        <v>622</v>
      </c>
    </row>
    <row r="19" spans="1:17">
      <c r="A19" s="13">
        <f t="shared" si="5"/>
        <v>46128</v>
      </c>
      <c r="B19" s="1">
        <v>16259</v>
      </c>
      <c r="C19" s="1">
        <v>14702</v>
      </c>
      <c r="D19" s="221">
        <v>17856</v>
      </c>
      <c r="E19" s="6">
        <v>17490</v>
      </c>
      <c r="F19" s="21">
        <f t="shared" si="0"/>
        <v>0.18963406339273567</v>
      </c>
      <c r="G19" s="2">
        <f t="shared" si="1"/>
        <v>0.22429906542056074</v>
      </c>
      <c r="H19" s="2">
        <f t="shared" si="2"/>
        <v>0.26013986013986012</v>
      </c>
      <c r="I19" s="86">
        <v>6.4</v>
      </c>
      <c r="J19" s="185">
        <v>6.5</v>
      </c>
      <c r="K19" s="21">
        <f t="shared" si="3"/>
        <v>1.5624999999999944E-2</v>
      </c>
      <c r="L19" s="22">
        <f t="shared" si="4"/>
        <v>0.82818116462976277</v>
      </c>
      <c r="M19" s="25">
        <v>1</v>
      </c>
      <c r="N19" s="25">
        <v>1</v>
      </c>
      <c r="O19" s="50"/>
      <c r="P19" s="49"/>
      <c r="Q19" s="50"/>
    </row>
    <row r="20" spans="1:17">
      <c r="A20" s="13">
        <f t="shared" si="5"/>
        <v>46129</v>
      </c>
      <c r="B20" s="1">
        <v>16259</v>
      </c>
      <c r="C20" s="1">
        <v>14702</v>
      </c>
      <c r="D20" s="221">
        <v>17005</v>
      </c>
      <c r="E20" s="6">
        <v>16680</v>
      </c>
      <c r="F20" s="21">
        <f t="shared" si="0"/>
        <v>0.13453951843286627</v>
      </c>
      <c r="G20" s="2">
        <f t="shared" si="1"/>
        <v>0.213609185006532</v>
      </c>
      <c r="H20" s="2">
        <f t="shared" si="2"/>
        <v>0.2477418414918415</v>
      </c>
      <c r="I20" s="86">
        <v>6.4</v>
      </c>
      <c r="J20" s="185">
        <v>6.1470000000000002</v>
      </c>
      <c r="K20" s="21">
        <f t="shared" si="3"/>
        <v>-3.9531250000000018E-2</v>
      </c>
      <c r="L20" s="22">
        <f t="shared" si="4"/>
        <v>0.83400365058675252</v>
      </c>
      <c r="M20" s="25">
        <v>1</v>
      </c>
      <c r="N20" s="25">
        <v>1</v>
      </c>
      <c r="O20" s="50"/>
      <c r="P20" s="49"/>
      <c r="Q20" s="50"/>
    </row>
    <row r="21" spans="1:17">
      <c r="A21" s="13">
        <f t="shared" si="5"/>
        <v>46130</v>
      </c>
      <c r="B21" s="1">
        <v>16259</v>
      </c>
      <c r="C21" s="1">
        <v>14702</v>
      </c>
      <c r="D21" s="221">
        <v>10636</v>
      </c>
      <c r="E21" s="6">
        <v>10500</v>
      </c>
      <c r="F21" s="21">
        <f t="shared" si="0"/>
        <v>-0.28581145422391513</v>
      </c>
      <c r="G21" s="2">
        <f t="shared" si="1"/>
        <v>0.13360466284795497</v>
      </c>
      <c r="H21" s="2">
        <f t="shared" si="2"/>
        <v>0.15495337995337996</v>
      </c>
      <c r="I21" s="86">
        <v>6.4</v>
      </c>
      <c r="J21" s="185">
        <v>4.0270000000000001</v>
      </c>
      <c r="K21" s="21">
        <f t="shared" si="3"/>
        <v>-0.37078125000000001</v>
      </c>
      <c r="L21" s="22">
        <f t="shared" si="4"/>
        <v>0.79625326753188952</v>
      </c>
      <c r="M21" s="25">
        <v>1</v>
      </c>
      <c r="N21" s="25">
        <v>0.83560000000000001</v>
      </c>
      <c r="O21" s="50">
        <v>2838</v>
      </c>
      <c r="P21" s="186"/>
      <c r="Q21" s="83" t="s">
        <v>623</v>
      </c>
    </row>
    <row r="22" spans="1:17">
      <c r="A22" s="13">
        <f t="shared" si="5"/>
        <v>46131</v>
      </c>
      <c r="B22" s="1">
        <v>16259</v>
      </c>
      <c r="C22" s="1">
        <v>14702</v>
      </c>
      <c r="D22" s="221">
        <v>14893</v>
      </c>
      <c r="E22" s="6">
        <v>14670</v>
      </c>
      <c r="F22" s="21">
        <f t="shared" si="0"/>
        <v>-2.1765746156985444E-3</v>
      </c>
      <c r="G22" s="2">
        <f t="shared" si="1"/>
        <v>0.18707918802130438</v>
      </c>
      <c r="H22" s="2">
        <f t="shared" ref="H22:H33" si="6">E22/($D$2*24)</f>
        <v>0.18427796201386795</v>
      </c>
      <c r="I22" s="86">
        <v>6.4</v>
      </c>
      <c r="J22" s="185">
        <v>5.4470000000000001</v>
      </c>
      <c r="K22" s="21">
        <f t="shared" si="3"/>
        <v>-0.14890625000000005</v>
      </c>
      <c r="L22" s="22">
        <f t="shared" si="4"/>
        <v>0.82428869331949794</v>
      </c>
      <c r="M22" s="25">
        <v>1</v>
      </c>
      <c r="N22" s="25">
        <v>1</v>
      </c>
      <c r="O22" s="50"/>
      <c r="P22" s="186"/>
      <c r="Q22" s="83"/>
    </row>
    <row r="23" spans="1:17">
      <c r="A23" s="13">
        <f t="shared" si="5"/>
        <v>46132</v>
      </c>
      <c r="B23" s="1">
        <v>16259</v>
      </c>
      <c r="C23" s="1">
        <v>14702</v>
      </c>
      <c r="D23" s="221">
        <v>12770</v>
      </c>
      <c r="E23" s="6">
        <v>12480</v>
      </c>
      <c r="F23" s="21">
        <f t="shared" si="0"/>
        <v>-0.15113589987756768</v>
      </c>
      <c r="G23" s="2">
        <f t="shared" si="1"/>
        <v>0.16041101396844537</v>
      </c>
      <c r="H23" s="2">
        <f t="shared" si="6"/>
        <v>0.15676816400361773</v>
      </c>
      <c r="I23" s="86">
        <v>6.4</v>
      </c>
      <c r="J23" s="185">
        <v>4.6470000000000002</v>
      </c>
      <c r="K23" s="21">
        <f t="shared" si="3"/>
        <v>-0.27390625000000002</v>
      </c>
      <c r="L23" s="22">
        <f t="shared" si="4"/>
        <v>0.82846230584090574</v>
      </c>
      <c r="M23" s="25">
        <v>1</v>
      </c>
      <c r="N23" s="25">
        <v>1</v>
      </c>
      <c r="O23" s="50"/>
      <c r="P23" s="186"/>
      <c r="Q23" s="83"/>
    </row>
    <row r="24" spans="1:17">
      <c r="A24" s="13">
        <f t="shared" si="5"/>
        <v>46133</v>
      </c>
      <c r="B24" s="1">
        <v>16259</v>
      </c>
      <c r="C24" s="1">
        <v>14702</v>
      </c>
      <c r="D24" s="221">
        <v>16138</v>
      </c>
      <c r="E24" s="6">
        <v>15780</v>
      </c>
      <c r="F24" s="21">
        <f t="shared" si="0"/>
        <v>7.332335736634471E-2</v>
      </c>
      <c r="G24" s="2">
        <f t="shared" si="1"/>
        <v>0.20271831976685761</v>
      </c>
      <c r="H24" s="2">
        <f t="shared" si="6"/>
        <v>0.19822128429303587</v>
      </c>
      <c r="I24" s="86">
        <v>6.4</v>
      </c>
      <c r="J24" s="185">
        <v>5.94</v>
      </c>
      <c r="K24" s="21">
        <f t="shared" si="3"/>
        <v>-7.1874999999999994E-2</v>
      </c>
      <c r="L24" s="22">
        <f t="shared" si="4"/>
        <v>0.81906391824992975</v>
      </c>
      <c r="M24" s="25">
        <v>1</v>
      </c>
      <c r="N24" s="25">
        <v>1</v>
      </c>
      <c r="O24" s="50"/>
      <c r="P24" s="186"/>
      <c r="Q24" s="83"/>
    </row>
    <row r="25" spans="1:17">
      <c r="A25" s="13">
        <f t="shared" si="5"/>
        <v>46134</v>
      </c>
      <c r="B25" s="1">
        <v>16259</v>
      </c>
      <c r="C25" s="1">
        <v>14702</v>
      </c>
      <c r="D25" s="221">
        <v>15812</v>
      </c>
      <c r="E25" s="6">
        <v>15600</v>
      </c>
      <c r="F25" s="21">
        <f t="shared" si="0"/>
        <v>6.1080125153040406E-2</v>
      </c>
      <c r="G25" s="2">
        <f t="shared" si="1"/>
        <v>0.1986232539443272</v>
      </c>
      <c r="H25" s="2">
        <f t="shared" si="6"/>
        <v>0.19596020500452216</v>
      </c>
      <c r="I25" s="86">
        <v>6.4</v>
      </c>
      <c r="J25" s="185">
        <v>5.7430000000000003</v>
      </c>
      <c r="K25" s="21">
        <f t="shared" si="3"/>
        <v>-0.10265625</v>
      </c>
      <c r="L25" s="22">
        <f t="shared" si="4"/>
        <v>0.83004668198917853</v>
      </c>
      <c r="M25" s="25">
        <v>1</v>
      </c>
      <c r="N25" s="25">
        <v>1</v>
      </c>
      <c r="O25" s="50"/>
      <c r="P25" s="186"/>
      <c r="Q25" s="83"/>
    </row>
    <row r="26" spans="1:17">
      <c r="A26" s="13">
        <f t="shared" si="5"/>
        <v>46135</v>
      </c>
      <c r="B26" s="1">
        <v>16259</v>
      </c>
      <c r="C26" s="1">
        <v>14702</v>
      </c>
      <c r="D26" s="221">
        <v>15978</v>
      </c>
      <c r="E26" s="6">
        <v>15660</v>
      </c>
      <c r="F26" s="21">
        <f t="shared" si="0"/>
        <v>6.5161202557475179E-2</v>
      </c>
      <c r="G26" s="2">
        <f t="shared" si="1"/>
        <v>0.20070847151040097</v>
      </c>
      <c r="H26" s="2">
        <f t="shared" si="6"/>
        <v>0.1967138981006934</v>
      </c>
      <c r="I26" s="86">
        <v>6.4</v>
      </c>
      <c r="J26" s="185">
        <v>5.8979999999999997</v>
      </c>
      <c r="K26" s="21">
        <f t="shared" si="3"/>
        <v>-7.8437500000000104E-2</v>
      </c>
      <c r="L26" s="22">
        <f t="shared" si="4"/>
        <v>0.81671809363337122</v>
      </c>
      <c r="M26" s="25">
        <v>1</v>
      </c>
      <c r="N26" s="25">
        <v>1</v>
      </c>
      <c r="O26" s="50"/>
      <c r="P26" s="49"/>
      <c r="Q26" s="50"/>
    </row>
    <row r="27" spans="1:17">
      <c r="A27" s="13">
        <f t="shared" si="5"/>
        <v>46136</v>
      </c>
      <c r="B27" s="1">
        <v>16259</v>
      </c>
      <c r="C27" s="1">
        <v>14702</v>
      </c>
      <c r="D27" s="221">
        <v>15472</v>
      </c>
      <c r="E27" s="6">
        <v>15270</v>
      </c>
      <c r="F27" s="21">
        <f t="shared" si="0"/>
        <v>3.8634199428649166E-2</v>
      </c>
      <c r="G27" s="2">
        <f t="shared" si="1"/>
        <v>0.19435232639935685</v>
      </c>
      <c r="H27" s="2">
        <f t="shared" si="6"/>
        <v>0.19181489297558035</v>
      </c>
      <c r="I27" s="86">
        <v>6.4</v>
      </c>
      <c r="J27" s="185">
        <v>5.9240000000000004</v>
      </c>
      <c r="K27" s="21">
        <f t="shared" si="3"/>
        <v>-7.4374999999999997E-2</v>
      </c>
      <c r="L27" s="22">
        <f t="shared" si="4"/>
        <v>0.78738282133432891</v>
      </c>
      <c r="M27" s="25">
        <v>1</v>
      </c>
      <c r="N27" s="25">
        <v>0.94789999999999996</v>
      </c>
      <c r="O27" s="50">
        <v>359</v>
      </c>
      <c r="P27" s="49"/>
      <c r="Q27" s="83" t="s">
        <v>624</v>
      </c>
    </row>
    <row r="28" spans="1:17">
      <c r="A28" s="13">
        <f t="shared" si="5"/>
        <v>46137</v>
      </c>
      <c r="B28" s="1">
        <v>16259</v>
      </c>
      <c r="C28" s="1">
        <v>14702</v>
      </c>
      <c r="D28" s="221">
        <v>12940</v>
      </c>
      <c r="E28" s="6">
        <v>12660</v>
      </c>
      <c r="F28" s="21">
        <f t="shared" si="0"/>
        <v>-0.13889266766426336</v>
      </c>
      <c r="G28" s="2">
        <f t="shared" si="1"/>
        <v>0.16254647774093056</v>
      </c>
      <c r="H28" s="2">
        <f t="shared" si="6"/>
        <v>0.15902924329213144</v>
      </c>
      <c r="I28" s="86">
        <v>6.4</v>
      </c>
      <c r="J28" s="185">
        <v>4.9000000000000004</v>
      </c>
      <c r="K28" s="21">
        <f t="shared" si="3"/>
        <v>-0.234375</v>
      </c>
      <c r="L28" s="22">
        <f t="shared" si="4"/>
        <v>0.79614601342496594</v>
      </c>
      <c r="M28" s="25">
        <v>1</v>
      </c>
      <c r="N28" s="25">
        <v>0.9375</v>
      </c>
      <c r="O28" s="50">
        <v>1236</v>
      </c>
      <c r="P28" s="186"/>
      <c r="Q28" s="83" t="s">
        <v>624</v>
      </c>
    </row>
    <row r="29" spans="1:17">
      <c r="A29" s="13">
        <f t="shared" si="5"/>
        <v>46138</v>
      </c>
      <c r="B29" s="1">
        <v>16259</v>
      </c>
      <c r="C29" s="1">
        <v>14702</v>
      </c>
      <c r="D29" s="221">
        <v>15155</v>
      </c>
      <c r="E29" s="6">
        <v>14910</v>
      </c>
      <c r="F29" s="21">
        <f t="shared" si="0"/>
        <v>1.4147735002040539E-2</v>
      </c>
      <c r="G29" s="2">
        <f t="shared" si="1"/>
        <v>0.19037031454125214</v>
      </c>
      <c r="H29" s="2">
        <f t="shared" si="6"/>
        <v>0.1872927343985529</v>
      </c>
      <c r="I29" s="86">
        <v>6.4</v>
      </c>
      <c r="J29" s="185">
        <v>5.742</v>
      </c>
      <c r="K29" s="21">
        <f t="shared" si="3"/>
        <v>-0.10281250000000006</v>
      </c>
      <c r="L29" s="22">
        <f t="shared" si="4"/>
        <v>0.79569619452978946</v>
      </c>
      <c r="M29" s="25">
        <v>1</v>
      </c>
      <c r="N29" s="25">
        <v>0.95140000000000002</v>
      </c>
      <c r="O29" s="50">
        <v>706</v>
      </c>
      <c r="P29" s="49"/>
      <c r="Q29" s="83" t="s">
        <v>624</v>
      </c>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6"/>
      <c r="P30" s="6"/>
      <c r="Q30" s="6"/>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6"/>
      <c r="P31" s="6"/>
      <c r="Q31" s="6"/>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6"/>
      <c r="P32" s="6"/>
      <c r="Q32" s="6"/>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6"/>
      <c r="P33" s="6"/>
      <c r="Q33" s="6"/>
    </row>
    <row r="34" spans="1:17">
      <c r="A34" s="349">
        <v>46113</v>
      </c>
      <c r="B34" s="89">
        <f>SUM(B4:B33)</f>
        <v>422734</v>
      </c>
      <c r="C34" s="89">
        <f>SUM(C4:C33)</f>
        <v>382252</v>
      </c>
      <c r="D34" s="89">
        <f>SUM(D4:D33)</f>
        <v>395039</v>
      </c>
      <c r="E34" s="89">
        <f>SUM(E4:E33)</f>
        <v>387720</v>
      </c>
      <c r="F34" s="160">
        <f t="shared" si="0"/>
        <v>1.4304699517595722E-2</v>
      </c>
      <c r="G34" s="90">
        <f>AVERAGE(G4:G33)</f>
        <v>0.16541009278799451</v>
      </c>
      <c r="H34" s="90">
        <f>AVERAGE(H4:H33)</f>
        <v>0.18297745740257801</v>
      </c>
      <c r="I34" s="89">
        <f>SUM(I4:I33)</f>
        <v>166.40000000000006</v>
      </c>
      <c r="J34" s="89">
        <f>SUM(J4:J33)</f>
        <v>146.57000000000002</v>
      </c>
      <c r="K34" s="160">
        <f t="shared" si="3"/>
        <v>-0.11917067307692328</v>
      </c>
      <c r="L34" s="161">
        <f t="shared" si="4"/>
        <v>0.81254872625609631</v>
      </c>
      <c r="M34" s="90">
        <f>AVERAGE(M4:M33)</f>
        <v>1</v>
      </c>
      <c r="N34" s="90">
        <f>AVERAGE(N4:N33)</f>
        <v>0.94714615384615386</v>
      </c>
      <c r="O34" s="89">
        <f>SUM(O4:O33)</f>
        <v>21811</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C0F6-5C82-491A-A016-6A5336FDBB97}">
  <dimension ref="A1:Q66"/>
  <sheetViews>
    <sheetView topLeftCell="A30" workbookViewId="0">
      <selection activeCell="O41" sqref="O41"/>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625</v>
      </c>
      <c r="B1" s="406"/>
      <c r="C1" s="406"/>
      <c r="D1" s="406"/>
      <c r="E1" s="406"/>
      <c r="F1" s="406"/>
      <c r="G1" s="406"/>
      <c r="H1" s="406"/>
      <c r="I1" s="406"/>
      <c r="J1" s="406"/>
      <c r="K1" s="406"/>
      <c r="L1" s="406"/>
      <c r="M1" s="406"/>
      <c r="N1" s="406"/>
      <c r="O1" s="406"/>
      <c r="P1" s="406"/>
      <c r="Q1" s="406"/>
    </row>
    <row r="2" spans="1:17" ht="18.5">
      <c r="A2" s="384">
        <v>46113</v>
      </c>
      <c r="B2" s="423" t="s">
        <v>172</v>
      </c>
      <c r="C2" s="424"/>
      <c r="D2" s="385">
        <v>2831</v>
      </c>
      <c r="E2" s="423" t="s">
        <v>173</v>
      </c>
      <c r="F2" s="423"/>
      <c r="G2" s="424"/>
      <c r="H2" s="385">
        <v>2420</v>
      </c>
      <c r="I2" s="409" t="s">
        <v>174</v>
      </c>
      <c r="J2" s="410"/>
      <c r="K2" s="386">
        <v>44245</v>
      </c>
      <c r="L2" s="387" t="s">
        <v>175</v>
      </c>
      <c r="M2" s="387" t="s">
        <v>175</v>
      </c>
      <c r="N2" s="387" t="s">
        <v>175</v>
      </c>
      <c r="O2" s="387" t="s">
        <v>175</v>
      </c>
      <c r="P2" s="387" t="s">
        <v>175</v>
      </c>
      <c r="Q2" s="388"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13749</v>
      </c>
      <c r="C4" s="1">
        <v>13668</v>
      </c>
      <c r="D4" s="389">
        <v>12064</v>
      </c>
      <c r="E4" s="14">
        <v>11800</v>
      </c>
      <c r="F4" s="21">
        <f t="shared" ref="F4:F35" si="0">(IF(ISBLANK(E4),0,E4-C4))/C4</f>
        <v>-0.13666959321041849</v>
      </c>
      <c r="G4" s="149">
        <f t="shared" ref="G4:G33" si="1">D4/($D$2*24)</f>
        <v>0.17755798893206171</v>
      </c>
      <c r="H4" s="149">
        <f t="shared" ref="H4:H21" si="2">D4/($H$2*24)</f>
        <v>0.20771349862258953</v>
      </c>
      <c r="I4" s="350">
        <v>6.53</v>
      </c>
      <c r="J4" s="390">
        <v>5.3239999999999998</v>
      </c>
      <c r="K4" s="21">
        <f t="shared" ref="K4:K35" si="3">(IF(ISBLANK(J4),0,J4-I4))/I4</f>
        <v>-0.18468606431852991</v>
      </c>
      <c r="L4" s="22">
        <f t="shared" ref="L4:L35" si="4">D4/($D$2*J4)</f>
        <v>0.80041167061785901</v>
      </c>
      <c r="M4" s="5">
        <v>1</v>
      </c>
      <c r="N4" s="5">
        <v>1</v>
      </c>
      <c r="O4" s="391"/>
      <c r="P4" s="391"/>
      <c r="Q4" s="392"/>
    </row>
    <row r="5" spans="1:17">
      <c r="A5" s="13">
        <f t="shared" ref="A5:A33" si="5">A4+1</f>
        <v>46114</v>
      </c>
      <c r="B5" s="1">
        <v>13749</v>
      </c>
      <c r="C5" s="1">
        <v>13668</v>
      </c>
      <c r="D5" s="389">
        <v>12144</v>
      </c>
      <c r="E5" s="14">
        <v>12000</v>
      </c>
      <c r="F5" s="21">
        <f t="shared" si="0"/>
        <v>-0.12203687445127305</v>
      </c>
      <c r="G5" s="149">
        <f t="shared" si="1"/>
        <v>0.17873542917696927</v>
      </c>
      <c r="H5" s="149">
        <f t="shared" si="2"/>
        <v>0.20909090909090908</v>
      </c>
      <c r="I5" s="350">
        <v>6.53</v>
      </c>
      <c r="J5" s="390">
        <v>5.4</v>
      </c>
      <c r="K5" s="21">
        <f t="shared" si="3"/>
        <v>-0.17304747320061253</v>
      </c>
      <c r="L5" s="22">
        <f t="shared" si="4"/>
        <v>0.79437968523097446</v>
      </c>
      <c r="M5" s="5">
        <v>1</v>
      </c>
      <c r="N5" s="5">
        <v>0.99350000000000005</v>
      </c>
      <c r="O5" s="391">
        <v>65</v>
      </c>
      <c r="P5" s="391"/>
      <c r="Q5" s="391" t="s">
        <v>622</v>
      </c>
    </row>
    <row r="6" spans="1:17">
      <c r="A6" s="13">
        <f t="shared" si="5"/>
        <v>46115</v>
      </c>
      <c r="B6" s="1">
        <v>13749</v>
      </c>
      <c r="C6" s="1">
        <v>13668</v>
      </c>
      <c r="D6" s="389">
        <v>13373</v>
      </c>
      <c r="E6" s="14">
        <v>13000</v>
      </c>
      <c r="F6" s="21">
        <f t="shared" si="0"/>
        <v>-4.8873280655545803E-2</v>
      </c>
      <c r="G6" s="149">
        <f t="shared" si="1"/>
        <v>0.19682385493936183</v>
      </c>
      <c r="H6" s="149">
        <f t="shared" si="2"/>
        <v>0.23025137741046833</v>
      </c>
      <c r="I6" s="350">
        <v>6.53</v>
      </c>
      <c r="J6" s="390">
        <v>5.8239999999999998</v>
      </c>
      <c r="K6" s="21">
        <f t="shared" si="3"/>
        <v>-0.10811638591117922</v>
      </c>
      <c r="L6" s="22">
        <f t="shared" si="4"/>
        <v>0.81108731431055703</v>
      </c>
      <c r="M6" s="5">
        <v>1</v>
      </c>
      <c r="N6" s="5">
        <v>1</v>
      </c>
      <c r="O6" s="391"/>
      <c r="P6" s="391"/>
      <c r="Q6" s="391"/>
    </row>
    <row r="7" spans="1:17">
      <c r="A7" s="13">
        <f t="shared" si="5"/>
        <v>46116</v>
      </c>
      <c r="B7" s="1">
        <v>13749</v>
      </c>
      <c r="C7" s="1">
        <v>13668</v>
      </c>
      <c r="D7" s="389">
        <v>13251</v>
      </c>
      <c r="E7" s="14">
        <v>13000</v>
      </c>
      <c r="F7" s="21">
        <f t="shared" si="0"/>
        <v>-4.8873280655545803E-2</v>
      </c>
      <c r="G7" s="149">
        <f t="shared" si="1"/>
        <v>0.19502825856587777</v>
      </c>
      <c r="H7" s="149">
        <f t="shared" si="2"/>
        <v>0.22815082644628099</v>
      </c>
      <c r="I7" s="350">
        <v>6.53</v>
      </c>
      <c r="J7" s="390">
        <v>5.5</v>
      </c>
      <c r="K7" s="21">
        <f t="shared" si="3"/>
        <v>-0.15773353751914246</v>
      </c>
      <c r="L7" s="22">
        <f t="shared" si="4"/>
        <v>0.85103240101473943</v>
      </c>
      <c r="M7" s="5">
        <v>1</v>
      </c>
      <c r="N7" s="5">
        <v>1</v>
      </c>
      <c r="O7" s="391"/>
      <c r="P7" s="391"/>
      <c r="Q7" s="391"/>
    </row>
    <row r="8" spans="1:17">
      <c r="A8" s="13">
        <f t="shared" si="5"/>
        <v>46117</v>
      </c>
      <c r="B8" s="1">
        <v>13749</v>
      </c>
      <c r="C8" s="1">
        <v>13668</v>
      </c>
      <c r="D8" s="389">
        <v>14649</v>
      </c>
      <c r="E8" s="14">
        <v>14200</v>
      </c>
      <c r="F8" s="21">
        <f t="shared" si="0"/>
        <v>3.8923031899326895E-2</v>
      </c>
      <c r="G8" s="149">
        <f t="shared" si="1"/>
        <v>0.21560402684563759</v>
      </c>
      <c r="H8" s="149">
        <f t="shared" si="2"/>
        <v>0.25222107438016528</v>
      </c>
      <c r="I8" s="350">
        <v>6.53</v>
      </c>
      <c r="J8" s="390">
        <v>6.2450000000000001</v>
      </c>
      <c r="K8" s="21">
        <f t="shared" si="3"/>
        <v>-4.364471669218991E-2</v>
      </c>
      <c r="L8" s="22">
        <f t="shared" si="4"/>
        <v>0.82858232895040862</v>
      </c>
      <c r="M8" s="5">
        <v>1</v>
      </c>
      <c r="N8" s="5">
        <v>1</v>
      </c>
      <c r="O8" s="391"/>
      <c r="P8" s="391"/>
      <c r="Q8" s="391"/>
    </row>
    <row r="9" spans="1:17">
      <c r="A9" s="13">
        <f t="shared" si="5"/>
        <v>46118</v>
      </c>
      <c r="B9" s="1">
        <v>13749</v>
      </c>
      <c r="C9" s="1">
        <v>13668</v>
      </c>
      <c r="D9" s="389">
        <v>15649</v>
      </c>
      <c r="E9" s="14">
        <v>15200</v>
      </c>
      <c r="F9" s="21">
        <f t="shared" si="0"/>
        <v>0.11208662569505413</v>
      </c>
      <c r="G9" s="149">
        <f t="shared" si="1"/>
        <v>0.23032202990698222</v>
      </c>
      <c r="H9" s="149">
        <f t="shared" si="2"/>
        <v>0.2694387052341598</v>
      </c>
      <c r="I9" s="350">
        <v>6.53</v>
      </c>
      <c r="J9" s="390">
        <v>6.9</v>
      </c>
      <c r="K9" s="21">
        <f t="shared" si="3"/>
        <v>5.6661562021439522E-2</v>
      </c>
      <c r="L9" s="22">
        <f t="shared" si="4"/>
        <v>0.80112010402428591</v>
      </c>
      <c r="M9" s="5">
        <v>1</v>
      </c>
      <c r="N9" s="5">
        <v>0.98719999999999997</v>
      </c>
      <c r="O9" s="391">
        <v>47</v>
      </c>
      <c r="P9" s="391"/>
      <c r="Q9" s="391" t="s">
        <v>622</v>
      </c>
    </row>
    <row r="10" spans="1:17">
      <c r="A10" s="13">
        <f t="shared" si="5"/>
        <v>46119</v>
      </c>
      <c r="B10" s="1">
        <v>13749</v>
      </c>
      <c r="C10" s="1">
        <v>13668</v>
      </c>
      <c r="D10" s="389">
        <v>11048</v>
      </c>
      <c r="E10" s="14">
        <v>11000</v>
      </c>
      <c r="F10" s="21">
        <f t="shared" si="0"/>
        <v>-0.1952004682470003</v>
      </c>
      <c r="G10" s="149">
        <f t="shared" si="1"/>
        <v>0.16260449782173556</v>
      </c>
      <c r="H10" s="149">
        <f t="shared" si="2"/>
        <v>0.19022038567493113</v>
      </c>
      <c r="I10" s="350">
        <v>6.53</v>
      </c>
      <c r="J10" s="390">
        <v>4.9400000000000004</v>
      </c>
      <c r="K10" s="21">
        <f t="shared" si="3"/>
        <v>-0.24349157733537516</v>
      </c>
      <c r="L10" s="22">
        <f t="shared" si="4"/>
        <v>0.78998136593555723</v>
      </c>
      <c r="M10" s="5">
        <v>1</v>
      </c>
      <c r="N10" s="5">
        <v>0.72440000000000004</v>
      </c>
      <c r="O10" s="391">
        <v>2694</v>
      </c>
      <c r="P10" s="393"/>
      <c r="Q10" s="391" t="s">
        <v>626</v>
      </c>
    </row>
    <row r="11" spans="1:17">
      <c r="A11" s="13">
        <f t="shared" si="5"/>
        <v>46120</v>
      </c>
      <c r="B11" s="1">
        <v>13749</v>
      </c>
      <c r="C11" s="1">
        <v>13668</v>
      </c>
      <c r="D11" s="389">
        <v>14702</v>
      </c>
      <c r="E11" s="14">
        <v>14000</v>
      </c>
      <c r="F11" s="21">
        <f t="shared" si="0"/>
        <v>2.4290313140181447E-2</v>
      </c>
      <c r="G11" s="149">
        <f t="shared" si="1"/>
        <v>0.21638408100788886</v>
      </c>
      <c r="H11" s="149">
        <f t="shared" si="2"/>
        <v>0.25313360881542701</v>
      </c>
      <c r="I11" s="350">
        <v>6.53</v>
      </c>
      <c r="J11" s="390">
        <v>6.4480000000000004</v>
      </c>
      <c r="K11" s="21">
        <f t="shared" si="3"/>
        <v>-1.255742725880549E-2</v>
      </c>
      <c r="L11" s="22">
        <f t="shared" si="4"/>
        <v>0.8053998052402811</v>
      </c>
      <c r="M11" s="5">
        <v>1</v>
      </c>
      <c r="N11" s="5">
        <v>1</v>
      </c>
      <c r="O11" s="391"/>
      <c r="P11" s="391"/>
      <c r="Q11" s="391"/>
    </row>
    <row r="12" spans="1:17">
      <c r="A12" s="13">
        <f t="shared" si="5"/>
        <v>46121</v>
      </c>
      <c r="B12" s="1">
        <v>13749</v>
      </c>
      <c r="C12" s="1">
        <v>13668</v>
      </c>
      <c r="D12" s="389">
        <v>14695</v>
      </c>
      <c r="E12" s="14">
        <v>14400</v>
      </c>
      <c r="F12" s="21">
        <f t="shared" si="0"/>
        <v>5.3555750658472345E-2</v>
      </c>
      <c r="G12" s="149">
        <f t="shared" si="1"/>
        <v>0.21628105498645944</v>
      </c>
      <c r="H12" s="149">
        <f t="shared" si="2"/>
        <v>0.25301308539944906</v>
      </c>
      <c r="I12" s="350">
        <v>6.53</v>
      </c>
      <c r="J12" s="390">
        <v>6.524</v>
      </c>
      <c r="K12" s="21">
        <f t="shared" si="3"/>
        <v>-9.1883614088824304E-4</v>
      </c>
      <c r="L12" s="22">
        <f t="shared" si="4"/>
        <v>0.79563846101701818</v>
      </c>
      <c r="M12" s="5">
        <v>1</v>
      </c>
      <c r="N12" s="5">
        <v>0.98719999999999997</v>
      </c>
      <c r="O12" s="391">
        <v>126</v>
      </c>
      <c r="P12" s="391"/>
      <c r="Q12" s="391" t="s">
        <v>622</v>
      </c>
    </row>
    <row r="13" spans="1:17">
      <c r="A13" s="13">
        <f t="shared" si="5"/>
        <v>46122</v>
      </c>
      <c r="B13" s="1">
        <v>13749</v>
      </c>
      <c r="C13" s="1">
        <v>13668</v>
      </c>
      <c r="D13" s="389">
        <v>14296</v>
      </c>
      <c r="E13" s="14">
        <v>14000</v>
      </c>
      <c r="F13" s="21">
        <f t="shared" si="0"/>
        <v>2.4290313140181447E-2</v>
      </c>
      <c r="G13" s="149">
        <f t="shared" si="1"/>
        <v>0.21040857176498293</v>
      </c>
      <c r="H13" s="149">
        <f t="shared" si="2"/>
        <v>0.24614325068870524</v>
      </c>
      <c r="I13" s="350">
        <v>6.53</v>
      </c>
      <c r="J13" s="390">
        <v>6.22</v>
      </c>
      <c r="K13" s="21">
        <f t="shared" si="3"/>
        <v>-4.7473200612557505E-2</v>
      </c>
      <c r="L13" s="22">
        <f t="shared" si="4"/>
        <v>0.81186587176199199</v>
      </c>
      <c r="M13" s="5">
        <v>1</v>
      </c>
      <c r="N13" s="5">
        <v>1</v>
      </c>
      <c r="O13" s="391"/>
      <c r="P13" s="391"/>
      <c r="Q13" s="391"/>
    </row>
    <row r="14" spans="1:17">
      <c r="A14" s="13">
        <f t="shared" si="5"/>
        <v>46123</v>
      </c>
      <c r="B14" s="1">
        <v>13749</v>
      </c>
      <c r="C14" s="1">
        <v>13668</v>
      </c>
      <c r="D14" s="389">
        <v>13814</v>
      </c>
      <c r="E14" s="14">
        <v>13600</v>
      </c>
      <c r="F14" s="21">
        <f t="shared" si="0"/>
        <v>-4.9751243781094526E-3</v>
      </c>
      <c r="G14" s="149">
        <f t="shared" si="1"/>
        <v>0.20331449428941481</v>
      </c>
      <c r="H14" s="149">
        <f t="shared" si="2"/>
        <v>0.2378443526170799</v>
      </c>
      <c r="I14" s="350">
        <v>6.53</v>
      </c>
      <c r="J14" s="390">
        <v>5.8470000000000004</v>
      </c>
      <c r="K14" s="21">
        <f t="shared" si="3"/>
        <v>-0.10459418070444101</v>
      </c>
      <c r="L14" s="22">
        <f t="shared" si="4"/>
        <v>0.83453871437420135</v>
      </c>
      <c r="M14" s="5">
        <v>1</v>
      </c>
      <c r="N14" s="5">
        <v>1</v>
      </c>
      <c r="O14" s="391"/>
      <c r="P14" s="391"/>
      <c r="Q14" s="391"/>
    </row>
    <row r="15" spans="1:17">
      <c r="A15" s="13">
        <f t="shared" si="5"/>
        <v>46124</v>
      </c>
      <c r="B15" s="1">
        <v>13749</v>
      </c>
      <c r="C15" s="1">
        <v>13668</v>
      </c>
      <c r="D15" s="389">
        <v>12115</v>
      </c>
      <c r="E15" s="14">
        <v>12000</v>
      </c>
      <c r="F15" s="21">
        <f t="shared" si="0"/>
        <v>-0.12203687445127305</v>
      </c>
      <c r="G15" s="149">
        <f t="shared" si="1"/>
        <v>0.17830860708819027</v>
      </c>
      <c r="H15" s="149">
        <f t="shared" si="2"/>
        <v>0.20859159779614325</v>
      </c>
      <c r="I15" s="350">
        <v>6.53</v>
      </c>
      <c r="J15" s="390">
        <v>5.4240000000000004</v>
      </c>
      <c r="K15" s="21">
        <f t="shared" si="3"/>
        <v>-0.16937212863705969</v>
      </c>
      <c r="L15" s="22">
        <f t="shared" si="4"/>
        <v>0.78897613755836404</v>
      </c>
      <c r="M15" s="5">
        <v>1</v>
      </c>
      <c r="N15" s="5">
        <v>0.84709999999999996</v>
      </c>
      <c r="O15" s="391">
        <v>957</v>
      </c>
      <c r="P15" s="391"/>
      <c r="Q15" s="391" t="s">
        <v>627</v>
      </c>
    </row>
    <row r="16" spans="1:17">
      <c r="A16" s="13">
        <f t="shared" si="5"/>
        <v>46125</v>
      </c>
      <c r="B16" s="1">
        <v>13749</v>
      </c>
      <c r="C16" s="1">
        <v>13668</v>
      </c>
      <c r="D16" s="389">
        <v>13160</v>
      </c>
      <c r="E16" s="14">
        <v>13000</v>
      </c>
      <c r="F16" s="21">
        <f t="shared" si="0"/>
        <v>-4.8873280655545803E-2</v>
      </c>
      <c r="G16" s="149">
        <f t="shared" si="1"/>
        <v>0.19368892028729542</v>
      </c>
      <c r="H16" s="149">
        <f t="shared" si="2"/>
        <v>0.22658402203856751</v>
      </c>
      <c r="I16" s="350">
        <v>6.53</v>
      </c>
      <c r="J16" s="390">
        <v>5.5739999999999998</v>
      </c>
      <c r="K16" s="21">
        <f t="shared" si="3"/>
        <v>-0.14640122511485457</v>
      </c>
      <c r="L16" s="22">
        <f t="shared" si="4"/>
        <v>0.83396736399266069</v>
      </c>
      <c r="M16" s="5">
        <v>1</v>
      </c>
      <c r="N16" s="5">
        <v>1</v>
      </c>
      <c r="O16" s="391"/>
      <c r="P16" s="391"/>
      <c r="Q16" s="391"/>
    </row>
    <row r="17" spans="1:17">
      <c r="A17" s="13">
        <f t="shared" si="5"/>
        <v>46126</v>
      </c>
      <c r="B17" s="1">
        <v>13749</v>
      </c>
      <c r="C17" s="1">
        <v>13668</v>
      </c>
      <c r="D17" s="389">
        <v>13616</v>
      </c>
      <c r="E17" s="14">
        <v>13200</v>
      </c>
      <c r="F17" s="21">
        <f t="shared" si="0"/>
        <v>-3.4240561896400352E-2</v>
      </c>
      <c r="G17" s="149">
        <f t="shared" si="1"/>
        <v>0.20040032968326857</v>
      </c>
      <c r="H17" s="149">
        <f t="shared" si="2"/>
        <v>0.23443526170798898</v>
      </c>
      <c r="I17" s="350">
        <v>6.53</v>
      </c>
      <c r="J17" s="390">
        <v>5.9489999999999998</v>
      </c>
      <c r="K17" s="21">
        <f t="shared" si="3"/>
        <v>-8.8973966309341554E-2</v>
      </c>
      <c r="L17" s="22">
        <f t="shared" si="4"/>
        <v>0.8084733421412752</v>
      </c>
      <c r="M17" s="5">
        <v>1</v>
      </c>
      <c r="N17" s="5">
        <v>1</v>
      </c>
      <c r="O17" s="391"/>
      <c r="P17" s="391"/>
      <c r="Q17" s="391"/>
    </row>
    <row r="18" spans="1:17">
      <c r="A18" s="13">
        <f t="shared" si="5"/>
        <v>46127</v>
      </c>
      <c r="B18" s="1">
        <v>13749</v>
      </c>
      <c r="C18" s="1">
        <v>13668</v>
      </c>
      <c r="D18" s="389">
        <v>14207</v>
      </c>
      <c r="E18" s="14">
        <v>14000</v>
      </c>
      <c r="F18" s="21">
        <f t="shared" si="0"/>
        <v>2.4290313140181447E-2</v>
      </c>
      <c r="G18" s="149">
        <f t="shared" si="1"/>
        <v>0.20909866949252326</v>
      </c>
      <c r="H18" s="149">
        <f t="shared" si="2"/>
        <v>0.24461088154269972</v>
      </c>
      <c r="I18" s="350">
        <v>6.53</v>
      </c>
      <c r="J18" s="390">
        <v>6.1239999999999997</v>
      </c>
      <c r="K18" s="21">
        <f t="shared" si="3"/>
        <v>-6.2174578866768845E-2</v>
      </c>
      <c r="L18" s="22">
        <f t="shared" si="4"/>
        <v>0.81945918808304352</v>
      </c>
      <c r="M18" s="5">
        <v>1</v>
      </c>
      <c r="N18" s="5">
        <v>1</v>
      </c>
      <c r="O18" s="391"/>
      <c r="P18" s="391"/>
      <c r="Q18" s="391"/>
    </row>
    <row r="19" spans="1:17">
      <c r="A19" s="13">
        <f t="shared" si="5"/>
        <v>46128</v>
      </c>
      <c r="B19" s="1">
        <v>13749</v>
      </c>
      <c r="C19" s="1">
        <v>13668</v>
      </c>
      <c r="D19" s="389">
        <v>14697</v>
      </c>
      <c r="E19" s="14">
        <v>14600</v>
      </c>
      <c r="F19" s="21">
        <f t="shared" si="0"/>
        <v>6.8188469417617789E-2</v>
      </c>
      <c r="G19" s="149">
        <f t="shared" si="1"/>
        <v>0.21631049099258212</v>
      </c>
      <c r="H19" s="149">
        <f t="shared" si="2"/>
        <v>0.25304752066115704</v>
      </c>
      <c r="I19" s="350">
        <v>6.53</v>
      </c>
      <c r="J19" s="390">
        <v>6.3239999999999998</v>
      </c>
      <c r="K19" s="21">
        <f t="shared" si="3"/>
        <v>-3.1546707503828542E-2</v>
      </c>
      <c r="L19" s="22">
        <f t="shared" si="4"/>
        <v>0.82091267928873679</v>
      </c>
      <c r="M19" s="5">
        <v>1</v>
      </c>
      <c r="N19" s="5">
        <v>1</v>
      </c>
      <c r="O19" s="391"/>
      <c r="P19" s="391"/>
      <c r="Q19" s="391"/>
    </row>
    <row r="20" spans="1:17">
      <c r="A20" s="13">
        <f t="shared" si="5"/>
        <v>46129</v>
      </c>
      <c r="B20" s="1">
        <v>13749</v>
      </c>
      <c r="C20" s="1">
        <v>13668</v>
      </c>
      <c r="D20" s="389">
        <v>10315</v>
      </c>
      <c r="E20" s="14">
        <v>10000</v>
      </c>
      <c r="F20" s="21">
        <f t="shared" si="0"/>
        <v>-0.26836406204272756</v>
      </c>
      <c r="G20" s="149">
        <f t="shared" si="1"/>
        <v>0.15181620157776993</v>
      </c>
      <c r="H20" s="149">
        <f t="shared" si="2"/>
        <v>0.17759986225895316</v>
      </c>
      <c r="I20" s="350">
        <v>6.53</v>
      </c>
      <c r="J20" s="390">
        <v>4.5410000000000004</v>
      </c>
      <c r="K20" s="21">
        <f t="shared" si="3"/>
        <v>-0.304594180704441</v>
      </c>
      <c r="L20" s="22">
        <f t="shared" si="4"/>
        <v>0.80237587268585731</v>
      </c>
      <c r="M20" s="5">
        <v>1</v>
      </c>
      <c r="N20" s="5">
        <v>0.98729999999999996</v>
      </c>
      <c r="O20" s="391">
        <v>134</v>
      </c>
      <c r="P20" s="391"/>
      <c r="Q20" s="391" t="s">
        <v>622</v>
      </c>
    </row>
    <row r="21" spans="1:17">
      <c r="A21" s="13">
        <f t="shared" si="5"/>
        <v>46130</v>
      </c>
      <c r="B21" s="1">
        <v>13749</v>
      </c>
      <c r="C21" s="1">
        <v>13668</v>
      </c>
      <c r="D21" s="389">
        <v>11865</v>
      </c>
      <c r="E21" s="14">
        <v>11800</v>
      </c>
      <c r="F21" s="21">
        <f t="shared" si="0"/>
        <v>-0.13666959321041849</v>
      </c>
      <c r="G21" s="149">
        <f t="shared" si="1"/>
        <v>0.17462910632285411</v>
      </c>
      <c r="H21" s="149">
        <f t="shared" si="2"/>
        <v>0.20428719008264462</v>
      </c>
      <c r="I21" s="350">
        <v>6.53</v>
      </c>
      <c r="J21" s="390">
        <v>5.0469999999999997</v>
      </c>
      <c r="K21" s="21">
        <f t="shared" si="3"/>
        <v>-0.22710566615620223</v>
      </c>
      <c r="L21" s="22">
        <f t="shared" si="4"/>
        <v>0.83041382043758649</v>
      </c>
      <c r="M21" s="5">
        <v>1</v>
      </c>
      <c r="N21" s="5">
        <v>1</v>
      </c>
      <c r="O21" s="391"/>
      <c r="P21" s="394"/>
      <c r="Q21" s="391"/>
    </row>
    <row r="22" spans="1:17">
      <c r="A22" s="13">
        <f t="shared" si="5"/>
        <v>46131</v>
      </c>
      <c r="B22" s="1">
        <v>13749</v>
      </c>
      <c r="C22" s="1">
        <v>13668</v>
      </c>
      <c r="D22" s="389">
        <v>9579</v>
      </c>
      <c r="E22" s="14">
        <v>9400</v>
      </c>
      <c r="F22" s="21">
        <f t="shared" si="0"/>
        <v>-0.31226221832016388</v>
      </c>
      <c r="G22" s="149">
        <f t="shared" si="1"/>
        <v>0.14098375132462027</v>
      </c>
      <c r="H22" s="149">
        <f t="shared" ref="H22:H33" si="6">E22/($D$2*24)</f>
        <v>0.13834922877663958</v>
      </c>
      <c r="I22" s="350">
        <v>6.53</v>
      </c>
      <c r="J22" s="390">
        <v>4.1790000000000003</v>
      </c>
      <c r="K22" s="21">
        <f t="shared" si="3"/>
        <v>-0.36003062787136292</v>
      </c>
      <c r="L22" s="22">
        <f t="shared" si="4"/>
        <v>0.80966978506601728</v>
      </c>
      <c r="M22" s="5">
        <v>1</v>
      </c>
      <c r="N22" s="5">
        <v>0.91669999999999996</v>
      </c>
      <c r="O22" s="391">
        <v>966</v>
      </c>
      <c r="P22" s="394"/>
      <c r="Q22" s="391" t="s">
        <v>622</v>
      </c>
    </row>
    <row r="23" spans="1:17">
      <c r="A23" s="13">
        <f t="shared" si="5"/>
        <v>46132</v>
      </c>
      <c r="B23" s="1">
        <v>13749</v>
      </c>
      <c r="C23" s="1">
        <v>13668</v>
      </c>
      <c r="D23" s="389">
        <v>13542</v>
      </c>
      <c r="E23" s="14">
        <v>13480</v>
      </c>
      <c r="F23" s="21">
        <f t="shared" si="0"/>
        <v>-1.3754755633596722E-2</v>
      </c>
      <c r="G23" s="149">
        <f t="shared" si="1"/>
        <v>0.19931119745672907</v>
      </c>
      <c r="H23" s="149">
        <f t="shared" si="6"/>
        <v>0.1983986812669257</v>
      </c>
      <c r="I23" s="350">
        <v>6.53</v>
      </c>
      <c r="J23" s="390">
        <v>5.8479999999999999</v>
      </c>
      <c r="K23" s="21">
        <f t="shared" si="3"/>
        <v>-0.1044410413476264</v>
      </c>
      <c r="L23" s="22">
        <f t="shared" si="4"/>
        <v>0.81796661062953113</v>
      </c>
      <c r="M23" s="5">
        <v>1</v>
      </c>
      <c r="N23" s="5">
        <v>1</v>
      </c>
      <c r="O23" s="391"/>
      <c r="P23" s="394"/>
      <c r="Q23" s="391"/>
    </row>
    <row r="24" spans="1:17">
      <c r="A24" s="13">
        <f t="shared" si="5"/>
        <v>46133</v>
      </c>
      <c r="B24" s="1">
        <v>13749</v>
      </c>
      <c r="C24" s="1">
        <v>13668</v>
      </c>
      <c r="D24" s="389">
        <v>11021</v>
      </c>
      <c r="E24" s="14">
        <v>10800</v>
      </c>
      <c r="F24" s="21">
        <f t="shared" si="0"/>
        <v>-0.20983318700614575</v>
      </c>
      <c r="G24" s="149">
        <f t="shared" si="1"/>
        <v>0.16220711173907923</v>
      </c>
      <c r="H24" s="149">
        <f t="shared" si="6"/>
        <v>0.15895443306252208</v>
      </c>
      <c r="I24" s="350">
        <v>6.53</v>
      </c>
      <c r="J24" s="390">
        <v>4.9000000000000004</v>
      </c>
      <c r="K24" s="21">
        <f t="shared" si="3"/>
        <v>-0.24961715160796322</v>
      </c>
      <c r="L24" s="22">
        <f t="shared" si="4"/>
        <v>0.79448381259957168</v>
      </c>
      <c r="M24" s="5">
        <v>1</v>
      </c>
      <c r="N24" s="5">
        <v>0.91720000000000002</v>
      </c>
      <c r="O24" s="391">
        <v>798</v>
      </c>
      <c r="P24" s="394"/>
      <c r="Q24" s="391" t="s">
        <v>622</v>
      </c>
    </row>
    <row r="25" spans="1:17">
      <c r="A25" s="13">
        <f t="shared" si="5"/>
        <v>46134</v>
      </c>
      <c r="B25" s="1">
        <v>13749</v>
      </c>
      <c r="C25" s="1">
        <v>13668</v>
      </c>
      <c r="D25" s="389">
        <v>11704</v>
      </c>
      <c r="E25" s="14">
        <v>11600</v>
      </c>
      <c r="F25" s="21">
        <f t="shared" si="0"/>
        <v>-0.15130231196956395</v>
      </c>
      <c r="G25" s="149">
        <f t="shared" si="1"/>
        <v>0.17225950782997762</v>
      </c>
      <c r="H25" s="149">
        <f t="shared" si="6"/>
        <v>0.17072883551159779</v>
      </c>
      <c r="I25" s="350">
        <v>6.53</v>
      </c>
      <c r="J25" s="390">
        <v>5.0410000000000004</v>
      </c>
      <c r="K25" s="21">
        <f t="shared" si="3"/>
        <v>-0.22802450229709031</v>
      </c>
      <c r="L25" s="22">
        <f t="shared" si="4"/>
        <v>0.82012064826809417</v>
      </c>
      <c r="M25" s="5">
        <v>1</v>
      </c>
      <c r="N25" s="5">
        <v>1</v>
      </c>
      <c r="O25" s="391"/>
      <c r="P25" s="394"/>
      <c r="Q25" s="391"/>
    </row>
    <row r="26" spans="1:17">
      <c r="A26" s="13">
        <f t="shared" si="5"/>
        <v>46135</v>
      </c>
      <c r="B26" s="1">
        <v>13749</v>
      </c>
      <c r="C26" s="1">
        <v>13668</v>
      </c>
      <c r="D26" s="389">
        <v>11806</v>
      </c>
      <c r="E26" s="14">
        <v>11760</v>
      </c>
      <c r="F26" s="21">
        <f t="shared" si="0"/>
        <v>-0.1395961369622476</v>
      </c>
      <c r="G26" s="149">
        <f t="shared" si="1"/>
        <v>0.17376074414223477</v>
      </c>
      <c r="H26" s="149">
        <f t="shared" si="6"/>
        <v>0.17308371600141292</v>
      </c>
      <c r="I26" s="350">
        <v>6.53</v>
      </c>
      <c r="J26" s="390">
        <v>5.2140000000000004</v>
      </c>
      <c r="K26" s="21">
        <f t="shared" si="3"/>
        <v>-0.20153139356814698</v>
      </c>
      <c r="L26" s="22">
        <f t="shared" si="4"/>
        <v>0.7998193056029218</v>
      </c>
      <c r="M26" s="5">
        <v>1</v>
      </c>
      <c r="N26" s="5">
        <v>1</v>
      </c>
      <c r="O26" s="391"/>
      <c r="P26" s="391"/>
      <c r="Q26" s="391"/>
    </row>
    <row r="27" spans="1:17">
      <c r="A27" s="13">
        <f t="shared" si="5"/>
        <v>46136</v>
      </c>
      <c r="B27" s="1">
        <v>13749</v>
      </c>
      <c r="C27" s="1">
        <v>13668</v>
      </c>
      <c r="D27" s="389">
        <v>11742</v>
      </c>
      <c r="E27" s="14">
        <v>11640</v>
      </c>
      <c r="F27" s="21">
        <f t="shared" si="0"/>
        <v>-0.14837576821773485</v>
      </c>
      <c r="G27" s="149">
        <f t="shared" si="1"/>
        <v>0.17281879194630873</v>
      </c>
      <c r="H27" s="149">
        <f t="shared" si="6"/>
        <v>0.17131755563405157</v>
      </c>
      <c r="I27" s="350">
        <v>6.53</v>
      </c>
      <c r="J27" s="390">
        <v>5.0999999999999996</v>
      </c>
      <c r="K27" s="21">
        <f t="shared" si="3"/>
        <v>-0.21898928024502307</v>
      </c>
      <c r="L27" s="22">
        <f t="shared" si="4"/>
        <v>0.81326490327674705</v>
      </c>
      <c r="M27" s="5">
        <v>1</v>
      </c>
      <c r="N27" s="5">
        <v>1</v>
      </c>
      <c r="O27" s="391"/>
      <c r="P27" s="391"/>
      <c r="Q27" s="391"/>
    </row>
    <row r="28" spans="1:17">
      <c r="A28" s="13">
        <f t="shared" si="5"/>
        <v>46137</v>
      </c>
      <c r="B28" s="1">
        <v>13749</v>
      </c>
      <c r="C28" s="1">
        <v>13668</v>
      </c>
      <c r="D28" s="389">
        <v>11075</v>
      </c>
      <c r="E28" s="14">
        <v>11000</v>
      </c>
      <c r="F28" s="21">
        <f t="shared" si="0"/>
        <v>-0.1952004682470003</v>
      </c>
      <c r="G28" s="149">
        <f t="shared" si="1"/>
        <v>0.16300188390439185</v>
      </c>
      <c r="H28" s="149">
        <f t="shared" si="6"/>
        <v>0.161898033674791</v>
      </c>
      <c r="I28" s="350">
        <v>6.53</v>
      </c>
      <c r="J28" s="390">
        <v>4.8250000000000002</v>
      </c>
      <c r="K28" s="21">
        <f t="shared" si="3"/>
        <v>-0.26110260336906588</v>
      </c>
      <c r="L28" s="22">
        <f t="shared" si="4"/>
        <v>0.81078657278868482</v>
      </c>
      <c r="M28" s="5">
        <v>1</v>
      </c>
      <c r="N28" s="5">
        <v>1</v>
      </c>
      <c r="O28" s="391"/>
      <c r="P28" s="394"/>
      <c r="Q28" s="391"/>
    </row>
    <row r="29" spans="1:17">
      <c r="A29" s="13">
        <f t="shared" si="5"/>
        <v>46138</v>
      </c>
      <c r="B29" s="1">
        <v>13749</v>
      </c>
      <c r="C29" s="1">
        <v>13668</v>
      </c>
      <c r="D29" s="389">
        <v>11639</v>
      </c>
      <c r="E29" s="14">
        <v>11200</v>
      </c>
      <c r="F29" s="21">
        <f t="shared" si="0"/>
        <v>-0.18056774948785484</v>
      </c>
      <c r="G29" s="149">
        <f t="shared" si="1"/>
        <v>0.17130283763099022</v>
      </c>
      <c r="H29" s="149">
        <f t="shared" si="6"/>
        <v>0.16484163428705992</v>
      </c>
      <c r="I29" s="350">
        <v>6.53</v>
      </c>
      <c r="J29" s="390">
        <v>5</v>
      </c>
      <c r="K29" s="21">
        <f t="shared" si="3"/>
        <v>-0.23430321592649314</v>
      </c>
      <c r="L29" s="22">
        <f t="shared" si="4"/>
        <v>0.82225362062875307</v>
      </c>
      <c r="M29" s="5">
        <v>1</v>
      </c>
      <c r="N29" s="5">
        <v>0.98740000000000006</v>
      </c>
      <c r="O29" s="391">
        <v>164</v>
      </c>
      <c r="P29" s="391"/>
      <c r="Q29" s="391" t="s">
        <v>622</v>
      </c>
    </row>
    <row r="30" spans="1:17">
      <c r="A30" s="13">
        <f t="shared" si="5"/>
        <v>46139</v>
      </c>
      <c r="B30" s="1">
        <v>13749</v>
      </c>
      <c r="C30" s="1">
        <v>13668</v>
      </c>
      <c r="D30" s="14">
        <v>12381</v>
      </c>
      <c r="E30" s="14">
        <v>12120</v>
      </c>
      <c r="F30" s="21">
        <f t="shared" si="0"/>
        <v>-0.11325724319578578</v>
      </c>
      <c r="G30" s="149">
        <f t="shared" si="1"/>
        <v>0.18222359590250795</v>
      </c>
      <c r="H30" s="149">
        <f t="shared" si="6"/>
        <v>0.17838219710349701</v>
      </c>
      <c r="I30" s="350">
        <v>6.53</v>
      </c>
      <c r="J30" s="14">
        <v>5.5419999999999998</v>
      </c>
      <c r="K30" s="21">
        <f t="shared" si="3"/>
        <v>-0.15130168453292503</v>
      </c>
      <c r="L30" s="22">
        <f t="shared" si="4"/>
        <v>0.78913141495131556</v>
      </c>
      <c r="M30" s="5">
        <v>1</v>
      </c>
      <c r="N30" s="5">
        <v>0.97</v>
      </c>
      <c r="O30" s="391">
        <v>459</v>
      </c>
      <c r="P30" s="14"/>
      <c r="Q30" s="391" t="s">
        <v>622</v>
      </c>
    </row>
    <row r="31" spans="1:17">
      <c r="A31" s="13">
        <f t="shared" si="5"/>
        <v>46140</v>
      </c>
      <c r="B31" s="1">
        <v>13749</v>
      </c>
      <c r="C31" s="1">
        <v>13668</v>
      </c>
      <c r="D31" s="14">
        <v>13035</v>
      </c>
      <c r="E31" s="14">
        <v>12760</v>
      </c>
      <c r="F31" s="21">
        <f t="shared" si="0"/>
        <v>-6.6432543166520336E-2</v>
      </c>
      <c r="G31" s="149">
        <f t="shared" si="1"/>
        <v>0.19184916990462733</v>
      </c>
      <c r="H31" s="149">
        <f t="shared" si="6"/>
        <v>0.18780171906275756</v>
      </c>
      <c r="I31" s="350">
        <v>6.53</v>
      </c>
      <c r="J31" s="14">
        <v>5.6</v>
      </c>
      <c r="K31" s="21">
        <f t="shared" si="3"/>
        <v>-0.14241960183767238</v>
      </c>
      <c r="L31" s="22">
        <f t="shared" si="4"/>
        <v>0.8222107281626887</v>
      </c>
      <c r="M31" s="5">
        <v>1</v>
      </c>
      <c r="N31" s="5">
        <v>1</v>
      </c>
      <c r="O31" s="391"/>
      <c r="P31" s="14"/>
      <c r="Q31" s="391"/>
    </row>
    <row r="32" spans="1:17">
      <c r="A32" s="13">
        <f t="shared" si="5"/>
        <v>46141</v>
      </c>
      <c r="B32" s="1">
        <v>13749</v>
      </c>
      <c r="C32" s="1">
        <v>13668</v>
      </c>
      <c r="D32" s="14">
        <v>13130</v>
      </c>
      <c r="E32" s="14">
        <v>13000</v>
      </c>
      <c r="F32" s="21">
        <f t="shared" si="0"/>
        <v>-4.8873280655545803E-2</v>
      </c>
      <c r="G32" s="149">
        <f t="shared" si="1"/>
        <v>0.19324738019545509</v>
      </c>
      <c r="H32" s="149">
        <f t="shared" si="6"/>
        <v>0.19133403979748029</v>
      </c>
      <c r="I32" s="350">
        <v>6.53</v>
      </c>
      <c r="J32" s="14">
        <v>5.8140000000000001</v>
      </c>
      <c r="K32" s="21">
        <f t="shared" si="3"/>
        <v>-0.10964777947932622</v>
      </c>
      <c r="L32" s="22">
        <f t="shared" si="4"/>
        <v>0.79771880369640891</v>
      </c>
      <c r="M32" s="5">
        <v>1</v>
      </c>
      <c r="N32" s="5">
        <v>0.97</v>
      </c>
      <c r="O32" s="391">
        <v>413</v>
      </c>
      <c r="P32" s="14"/>
      <c r="Q32" s="391" t="s">
        <v>622</v>
      </c>
    </row>
    <row r="33" spans="1:17">
      <c r="A33" s="13">
        <f t="shared" si="5"/>
        <v>46142</v>
      </c>
      <c r="B33" s="1">
        <v>13749</v>
      </c>
      <c r="C33" s="1">
        <v>13668</v>
      </c>
      <c r="D33" s="14">
        <v>13382</v>
      </c>
      <c r="E33" s="14">
        <v>12840</v>
      </c>
      <c r="F33" s="21">
        <f t="shared" si="0"/>
        <v>-6.0579455662862158E-2</v>
      </c>
      <c r="G33" s="149">
        <f t="shared" si="1"/>
        <v>0.19695631696691393</v>
      </c>
      <c r="H33" s="149">
        <f t="shared" si="6"/>
        <v>0.18897915930766512</v>
      </c>
      <c r="I33" s="350">
        <v>6.53</v>
      </c>
      <c r="J33" s="14">
        <v>5.8869999999999996</v>
      </c>
      <c r="K33" s="21">
        <f t="shared" si="3"/>
        <v>-9.8468606431853081E-2</v>
      </c>
      <c r="L33" s="22">
        <f t="shared" si="4"/>
        <v>0.80294744474366142</v>
      </c>
      <c r="M33" s="5">
        <v>1</v>
      </c>
      <c r="N33" s="5">
        <v>0.85</v>
      </c>
      <c r="O33" s="391">
        <v>646</v>
      </c>
      <c r="P33" s="14"/>
      <c r="Q33" s="391" t="s">
        <v>627</v>
      </c>
    </row>
    <row r="34" spans="1:17">
      <c r="A34" s="395">
        <v>46113</v>
      </c>
      <c r="B34" s="89">
        <f>SUM(B4:B33)</f>
        <v>412470</v>
      </c>
      <c r="C34" s="89">
        <f>SUM(C4:C33)</f>
        <v>410040</v>
      </c>
      <c r="D34" s="89">
        <f>SUM(D4:D33)</f>
        <v>383696</v>
      </c>
      <c r="E34" s="89">
        <f>SUM(E4:E33)</f>
        <v>376400</v>
      </c>
      <c r="F34" s="160">
        <f t="shared" si="0"/>
        <v>-8.2040776509608823E-2</v>
      </c>
      <c r="G34" s="90">
        <f>AVERAGE(G4:G33)</f>
        <v>0.18824129675418971</v>
      </c>
      <c r="H34" s="90">
        <f>AVERAGE(H4:H33)</f>
        <v>0.20701488813182406</v>
      </c>
      <c r="I34" s="89">
        <f>SUM(I4:I33)</f>
        <v>195.9</v>
      </c>
      <c r="J34" s="89">
        <f>SUM(J4:J33)</f>
        <v>167.10499999999996</v>
      </c>
      <c r="K34" s="160">
        <f t="shared" si="3"/>
        <v>-0.14698825931597775</v>
      </c>
      <c r="L34" s="161">
        <f t="shared" si="4"/>
        <v>0.81106928974606762</v>
      </c>
      <c r="M34" s="90">
        <f>AVERAGE(M4:M33)</f>
        <v>1</v>
      </c>
      <c r="N34" s="90">
        <f>AVERAGE(N4:N33)</f>
        <v>0.97126666666666661</v>
      </c>
      <c r="O34" s="89">
        <f>SUM(O4:O33)</f>
        <v>7469</v>
      </c>
      <c r="P34" s="89">
        <f>SUM(P4:P33)</f>
        <v>0</v>
      </c>
      <c r="Q34" s="19"/>
    </row>
    <row r="35" spans="1:17">
      <c r="A35" s="13">
        <v>46143</v>
      </c>
      <c r="B35" s="380">
        <v>13141</v>
      </c>
      <c r="C35" s="380">
        <v>13063</v>
      </c>
      <c r="D35" s="381">
        <v>13538</v>
      </c>
      <c r="E35" s="381">
        <v>13200</v>
      </c>
      <c r="F35" s="383">
        <f t="shared" si="0"/>
        <v>1.0487636836867488E-2</v>
      </c>
      <c r="G35" s="149">
        <f t="shared" ref="G35:G57" si="7">D35/($D$2*24)</f>
        <v>0.19925232544448368</v>
      </c>
      <c r="H35" s="149">
        <f t="shared" ref="H35:H61" si="8">D35/($H$2*24)</f>
        <v>0.23309228650137742</v>
      </c>
      <c r="I35" s="28">
        <v>6.22</v>
      </c>
      <c r="J35" s="381">
        <v>5.9240000000000004</v>
      </c>
      <c r="K35" s="20">
        <f t="shared" si="3"/>
        <v>-4.7588424437298937E-2</v>
      </c>
      <c r="L35" s="4">
        <f t="shared" si="4"/>
        <v>0.80723426918764485</v>
      </c>
      <c r="M35" s="5">
        <v>1</v>
      </c>
      <c r="N35" s="103">
        <v>0.95</v>
      </c>
      <c r="O35" s="33">
        <v>133</v>
      </c>
      <c r="P35" s="14"/>
      <c r="Q35" s="391" t="s">
        <v>622</v>
      </c>
    </row>
    <row r="36" spans="1:17">
      <c r="A36" s="13">
        <f>A35+1</f>
        <v>46144</v>
      </c>
      <c r="B36" s="380">
        <v>13141</v>
      </c>
      <c r="C36" s="380">
        <v>13063</v>
      </c>
      <c r="D36" s="382">
        <v>12678</v>
      </c>
      <c r="E36" s="382">
        <v>12200</v>
      </c>
      <c r="F36" s="383">
        <f t="shared" ref="F36:F54" si="9">(IF(ISBLANK(E36),0,E36-C36))/C36</f>
        <v>-6.6064456862895193E-2</v>
      </c>
      <c r="G36" s="149">
        <f t="shared" si="7"/>
        <v>0.18659484281172731</v>
      </c>
      <c r="H36" s="149">
        <f t="shared" si="8"/>
        <v>0.21828512396694214</v>
      </c>
      <c r="I36" s="29">
        <v>6.22</v>
      </c>
      <c r="J36" s="382">
        <v>5.6219999999999999</v>
      </c>
      <c r="K36" s="20">
        <f t="shared" ref="K36:K54" si="10">(IF(ISBLANK(J36),0,J36-I36))/I36</f>
        <v>-9.6141479099678434E-2</v>
      </c>
      <c r="L36" s="4">
        <f t="shared" ref="L36:L66" si="11">D36/($D$2*J36)</f>
        <v>0.79656282950577295</v>
      </c>
      <c r="M36" s="5">
        <v>1</v>
      </c>
      <c r="N36" s="103">
        <v>0.96</v>
      </c>
      <c r="O36" s="34">
        <v>336</v>
      </c>
      <c r="P36" s="14"/>
      <c r="Q36" s="391" t="s">
        <v>622</v>
      </c>
    </row>
    <row r="37" spans="1:17">
      <c r="A37" s="13">
        <f t="shared" ref="A37:A65" si="12">A36+1</f>
        <v>46145</v>
      </c>
      <c r="B37" s="380">
        <v>13141</v>
      </c>
      <c r="C37" s="380">
        <v>13063</v>
      </c>
      <c r="D37" s="382">
        <v>13996</v>
      </c>
      <c r="E37" s="382">
        <v>13800</v>
      </c>
      <c r="F37" s="383">
        <f t="shared" si="9"/>
        <v>5.6418893056725102E-2</v>
      </c>
      <c r="G37" s="149">
        <f t="shared" si="7"/>
        <v>0.20599317084657953</v>
      </c>
      <c r="H37" s="149">
        <f t="shared" si="8"/>
        <v>0.24097796143250688</v>
      </c>
      <c r="I37" s="29">
        <v>6.22</v>
      </c>
      <c r="J37" s="382">
        <v>6.1</v>
      </c>
      <c r="K37" s="20">
        <f t="shared" si="10"/>
        <v>-1.9292604501607736E-2</v>
      </c>
      <c r="L37" s="4">
        <f t="shared" si="11"/>
        <v>0.81046493447834578</v>
      </c>
      <c r="M37" s="5">
        <v>1</v>
      </c>
      <c r="N37" s="103">
        <v>1</v>
      </c>
      <c r="O37" s="34"/>
      <c r="P37" s="14"/>
      <c r="Q37" s="14"/>
    </row>
    <row r="38" spans="1:17">
      <c r="A38" s="13">
        <f t="shared" si="12"/>
        <v>46146</v>
      </c>
      <c r="B38" s="380">
        <v>13141</v>
      </c>
      <c r="C38" s="380">
        <v>13063</v>
      </c>
      <c r="D38" s="382">
        <v>13946</v>
      </c>
      <c r="E38" s="382">
        <v>13800</v>
      </c>
      <c r="F38" s="383">
        <f t="shared" si="9"/>
        <v>5.6418893056725102E-2</v>
      </c>
      <c r="G38" s="149">
        <f t="shared" si="7"/>
        <v>0.20525727069351229</v>
      </c>
      <c r="H38" s="149">
        <f t="shared" si="8"/>
        <v>0.24011707988980716</v>
      </c>
      <c r="I38" s="29">
        <v>6.22</v>
      </c>
      <c r="J38" s="382">
        <v>6.1109999999999998</v>
      </c>
      <c r="K38" s="20">
        <f t="shared" si="10"/>
        <v>-1.7524115755627009E-2</v>
      </c>
      <c r="L38" s="4">
        <f t="shared" si="11"/>
        <v>0.80611593792248337</v>
      </c>
      <c r="M38" s="5">
        <v>1</v>
      </c>
      <c r="N38" s="103">
        <v>1</v>
      </c>
      <c r="O38" s="34"/>
      <c r="P38" s="14"/>
      <c r="Q38" s="14"/>
    </row>
    <row r="39" spans="1:17">
      <c r="A39" s="13">
        <f t="shared" si="12"/>
        <v>46147</v>
      </c>
      <c r="B39" s="380">
        <v>13141</v>
      </c>
      <c r="C39" s="380">
        <v>13063</v>
      </c>
      <c r="D39" s="34">
        <v>13177</v>
      </c>
      <c r="E39" s="34">
        <v>12960</v>
      </c>
      <c r="F39" s="20">
        <f t="shared" si="9"/>
        <v>-7.8848656510755576E-3</v>
      </c>
      <c r="G39" s="149">
        <f t="shared" si="7"/>
        <v>0.19393912633933827</v>
      </c>
      <c r="H39" s="149">
        <f t="shared" si="8"/>
        <v>0.2268767217630854</v>
      </c>
      <c r="I39" s="29">
        <v>6.22</v>
      </c>
      <c r="J39" s="34">
        <v>5.7779999999999996</v>
      </c>
      <c r="K39" s="20">
        <f t="shared" si="10"/>
        <v>-7.1061093247588455E-2</v>
      </c>
      <c r="L39" s="4">
        <f t="shared" si="11"/>
        <v>0.80556231085914143</v>
      </c>
      <c r="M39" s="103">
        <v>1</v>
      </c>
      <c r="N39" s="103">
        <v>1</v>
      </c>
      <c r="O39" s="34"/>
      <c r="P39" s="14"/>
      <c r="Q39" s="14"/>
    </row>
    <row r="40" spans="1:17">
      <c r="A40" s="13">
        <f t="shared" si="12"/>
        <v>46148</v>
      </c>
      <c r="B40" s="380">
        <v>13141</v>
      </c>
      <c r="C40" s="380">
        <v>13063</v>
      </c>
      <c r="D40" s="34">
        <v>11390</v>
      </c>
      <c r="E40" s="34">
        <v>11200</v>
      </c>
      <c r="F40" s="20">
        <f t="shared" si="9"/>
        <v>-0.1426165505626579</v>
      </c>
      <c r="G40" s="149">
        <f t="shared" si="7"/>
        <v>0.16763805486871541</v>
      </c>
      <c r="H40" s="149">
        <f t="shared" si="8"/>
        <v>0.19610881542699724</v>
      </c>
      <c r="I40" s="29">
        <v>6.22</v>
      </c>
      <c r="J40" s="34">
        <v>5.0469999999999997</v>
      </c>
      <c r="K40" s="20">
        <f t="shared" si="10"/>
        <v>-0.18858520900321546</v>
      </c>
      <c r="L40" s="4">
        <f t="shared" si="11"/>
        <v>0.79716927221105016</v>
      </c>
      <c r="M40" s="103">
        <v>1</v>
      </c>
      <c r="N40" s="103">
        <v>0.99</v>
      </c>
      <c r="O40" s="34">
        <v>25</v>
      </c>
      <c r="P40" s="14"/>
      <c r="Q40" s="391" t="s">
        <v>622</v>
      </c>
    </row>
    <row r="41" spans="1:17">
      <c r="A41" s="13">
        <f t="shared" si="12"/>
        <v>46149</v>
      </c>
      <c r="B41" s="380">
        <v>13141</v>
      </c>
      <c r="C41" s="380">
        <v>13063</v>
      </c>
      <c r="D41" s="34"/>
      <c r="E41" s="34"/>
      <c r="F41" s="20">
        <f t="shared" si="9"/>
        <v>0</v>
      </c>
      <c r="G41" s="149">
        <f t="shared" si="7"/>
        <v>0</v>
      </c>
      <c r="H41" s="149">
        <f t="shared" si="8"/>
        <v>0</v>
      </c>
      <c r="I41" s="29">
        <v>6.22</v>
      </c>
      <c r="J41" s="34"/>
      <c r="K41" s="20">
        <f t="shared" si="10"/>
        <v>0</v>
      </c>
      <c r="L41" s="4" t="e">
        <f t="shared" si="11"/>
        <v>#DIV/0!</v>
      </c>
      <c r="M41" s="103"/>
      <c r="N41" s="103"/>
      <c r="O41" s="34"/>
      <c r="P41" s="14"/>
      <c r="Q41" s="202"/>
    </row>
    <row r="42" spans="1:17">
      <c r="A42" s="13">
        <f t="shared" si="12"/>
        <v>46150</v>
      </c>
      <c r="B42" s="380">
        <v>13141</v>
      </c>
      <c r="C42" s="380">
        <v>13063</v>
      </c>
      <c r="D42" s="34"/>
      <c r="E42" s="34"/>
      <c r="F42" s="20">
        <f t="shared" si="9"/>
        <v>0</v>
      </c>
      <c r="G42" s="149">
        <f t="shared" si="7"/>
        <v>0</v>
      </c>
      <c r="H42" s="149">
        <f t="shared" si="8"/>
        <v>0</v>
      </c>
      <c r="I42" s="29">
        <v>6.22</v>
      </c>
      <c r="J42" s="34"/>
      <c r="K42" s="20">
        <f t="shared" si="10"/>
        <v>0</v>
      </c>
      <c r="L42" s="4" t="e">
        <f t="shared" si="11"/>
        <v>#DIV/0!</v>
      </c>
      <c r="M42" s="103"/>
      <c r="N42" s="103"/>
      <c r="O42" s="34"/>
      <c r="P42" s="14"/>
      <c r="Q42" s="14"/>
    </row>
    <row r="43" spans="1:17">
      <c r="A43" s="13">
        <f t="shared" si="12"/>
        <v>46151</v>
      </c>
      <c r="B43" s="380">
        <v>13141</v>
      </c>
      <c r="C43" s="380">
        <v>13063</v>
      </c>
      <c r="D43" s="34"/>
      <c r="E43" s="34"/>
      <c r="F43" s="20">
        <f t="shared" si="9"/>
        <v>0</v>
      </c>
      <c r="G43" s="149">
        <f t="shared" si="7"/>
        <v>0</v>
      </c>
      <c r="H43" s="149">
        <f t="shared" si="8"/>
        <v>0</v>
      </c>
      <c r="I43" s="29">
        <v>6.22</v>
      </c>
      <c r="J43" s="34"/>
      <c r="K43" s="20">
        <f t="shared" si="10"/>
        <v>0</v>
      </c>
      <c r="L43" s="4" t="e">
        <f t="shared" si="11"/>
        <v>#DIV/0!</v>
      </c>
      <c r="M43" s="103"/>
      <c r="N43" s="103"/>
      <c r="O43" s="34"/>
      <c r="P43" s="14"/>
      <c r="Q43" s="14"/>
    </row>
    <row r="44" spans="1:17">
      <c r="A44" s="13">
        <f t="shared" si="12"/>
        <v>46152</v>
      </c>
      <c r="B44" s="380">
        <v>13141</v>
      </c>
      <c r="C44" s="380">
        <v>13063</v>
      </c>
      <c r="D44" s="34"/>
      <c r="E44" s="34"/>
      <c r="F44" s="20">
        <f t="shared" si="9"/>
        <v>0</v>
      </c>
      <c r="G44" s="149">
        <f t="shared" si="7"/>
        <v>0</v>
      </c>
      <c r="H44" s="149">
        <f t="shared" si="8"/>
        <v>0</v>
      </c>
      <c r="I44" s="29">
        <v>6.22</v>
      </c>
      <c r="J44" s="34"/>
      <c r="K44" s="20">
        <f t="shared" si="10"/>
        <v>0</v>
      </c>
      <c r="L44" s="4" t="e">
        <f t="shared" si="11"/>
        <v>#DIV/0!</v>
      </c>
      <c r="M44" s="103"/>
      <c r="N44" s="103"/>
      <c r="O44" s="34"/>
      <c r="P44" s="14"/>
      <c r="Q44" s="14"/>
    </row>
    <row r="45" spans="1:17">
      <c r="A45" s="13">
        <f t="shared" si="12"/>
        <v>46153</v>
      </c>
      <c r="B45" s="380">
        <v>13141</v>
      </c>
      <c r="C45" s="380">
        <v>13063</v>
      </c>
      <c r="D45" s="34"/>
      <c r="E45" s="34"/>
      <c r="F45" s="20">
        <f t="shared" si="9"/>
        <v>0</v>
      </c>
      <c r="G45" s="149">
        <f t="shared" si="7"/>
        <v>0</v>
      </c>
      <c r="H45" s="149">
        <f t="shared" si="8"/>
        <v>0</v>
      </c>
      <c r="I45" s="29">
        <v>6.22</v>
      </c>
      <c r="J45" s="34"/>
      <c r="K45" s="20">
        <f t="shared" si="10"/>
        <v>0</v>
      </c>
      <c r="L45" s="4" t="e">
        <f t="shared" si="11"/>
        <v>#DIV/0!</v>
      </c>
      <c r="M45" s="103"/>
      <c r="N45" s="103"/>
      <c r="O45" s="34"/>
      <c r="P45" s="14"/>
      <c r="Q45" s="14"/>
    </row>
    <row r="46" spans="1:17">
      <c r="A46" s="13">
        <f t="shared" si="12"/>
        <v>46154</v>
      </c>
      <c r="B46" s="380">
        <v>13141</v>
      </c>
      <c r="C46" s="380">
        <v>13063</v>
      </c>
      <c r="D46" s="34"/>
      <c r="E46" s="34"/>
      <c r="F46" s="20">
        <f t="shared" si="9"/>
        <v>0</v>
      </c>
      <c r="G46" s="149">
        <f t="shared" si="7"/>
        <v>0</v>
      </c>
      <c r="H46" s="149">
        <f t="shared" si="8"/>
        <v>0</v>
      </c>
      <c r="I46" s="29">
        <v>6.22</v>
      </c>
      <c r="J46" s="34"/>
      <c r="K46" s="20">
        <f t="shared" si="10"/>
        <v>0</v>
      </c>
      <c r="L46" s="4" t="e">
        <f t="shared" si="11"/>
        <v>#DIV/0!</v>
      </c>
      <c r="M46" s="104"/>
      <c r="N46" s="103"/>
      <c r="O46" s="34"/>
      <c r="P46" s="14"/>
      <c r="Q46" s="14"/>
    </row>
    <row r="47" spans="1:17">
      <c r="A47" s="13">
        <f t="shared" si="12"/>
        <v>46155</v>
      </c>
      <c r="B47" s="380">
        <v>13141</v>
      </c>
      <c r="C47" s="380">
        <v>13063</v>
      </c>
      <c r="D47" s="34"/>
      <c r="E47" s="34"/>
      <c r="F47" s="20">
        <f t="shared" si="9"/>
        <v>0</v>
      </c>
      <c r="G47" s="149">
        <f t="shared" si="7"/>
        <v>0</v>
      </c>
      <c r="H47" s="149">
        <f t="shared" si="8"/>
        <v>0</v>
      </c>
      <c r="I47" s="29">
        <v>6.22</v>
      </c>
      <c r="J47" s="34"/>
      <c r="K47" s="20">
        <f t="shared" si="10"/>
        <v>0</v>
      </c>
      <c r="L47" s="4" t="e">
        <f t="shared" si="11"/>
        <v>#DIV/0!</v>
      </c>
      <c r="M47" s="104"/>
      <c r="N47" s="103"/>
      <c r="O47" s="34"/>
      <c r="P47" s="14"/>
      <c r="Q47" s="33"/>
    </row>
    <row r="48" spans="1:17">
      <c r="A48" s="13">
        <f t="shared" si="12"/>
        <v>46156</v>
      </c>
      <c r="B48" s="380">
        <v>13141</v>
      </c>
      <c r="C48" s="380">
        <v>13063</v>
      </c>
      <c r="D48" s="34"/>
      <c r="E48" s="34"/>
      <c r="F48" s="20">
        <f t="shared" si="9"/>
        <v>0</v>
      </c>
      <c r="G48" s="149">
        <f t="shared" si="7"/>
        <v>0</v>
      </c>
      <c r="H48" s="149">
        <f t="shared" si="8"/>
        <v>0</v>
      </c>
      <c r="I48" s="29">
        <v>6.22</v>
      </c>
      <c r="J48" s="34"/>
      <c r="K48" s="20">
        <f t="shared" si="10"/>
        <v>0</v>
      </c>
      <c r="L48" s="4" t="e">
        <f t="shared" si="11"/>
        <v>#DIV/0!</v>
      </c>
      <c r="M48" s="104"/>
      <c r="N48" s="103"/>
      <c r="O48" s="34"/>
      <c r="P48" s="14"/>
      <c r="Q48" s="34"/>
    </row>
    <row r="49" spans="1:17">
      <c r="A49" s="13">
        <f t="shared" si="12"/>
        <v>46157</v>
      </c>
      <c r="B49" s="380">
        <v>13141</v>
      </c>
      <c r="C49" s="380">
        <v>13063</v>
      </c>
      <c r="D49" s="34"/>
      <c r="E49" s="34"/>
      <c r="F49" s="20">
        <f t="shared" si="9"/>
        <v>0</v>
      </c>
      <c r="G49" s="149">
        <f t="shared" si="7"/>
        <v>0</v>
      </c>
      <c r="H49" s="149">
        <f t="shared" si="8"/>
        <v>0</v>
      </c>
      <c r="I49" s="29">
        <v>6.22</v>
      </c>
      <c r="J49" s="34"/>
      <c r="K49" s="20">
        <f t="shared" si="10"/>
        <v>0</v>
      </c>
      <c r="L49" s="4" t="e">
        <f t="shared" si="11"/>
        <v>#DIV/0!</v>
      </c>
      <c r="M49" s="104"/>
      <c r="N49" s="103"/>
      <c r="O49" s="34"/>
      <c r="P49" s="14"/>
      <c r="Q49" s="34"/>
    </row>
    <row r="50" spans="1:17">
      <c r="A50" s="13">
        <f t="shared" si="12"/>
        <v>46158</v>
      </c>
      <c r="B50" s="380">
        <v>13141</v>
      </c>
      <c r="C50" s="380">
        <v>13063</v>
      </c>
      <c r="D50" s="34"/>
      <c r="E50" s="34"/>
      <c r="F50" s="20">
        <f t="shared" si="9"/>
        <v>0</v>
      </c>
      <c r="G50" s="149">
        <f t="shared" si="7"/>
        <v>0</v>
      </c>
      <c r="H50" s="149">
        <f t="shared" si="8"/>
        <v>0</v>
      </c>
      <c r="I50" s="29">
        <v>6.22</v>
      </c>
      <c r="J50" s="34"/>
      <c r="K50" s="20">
        <f t="shared" si="10"/>
        <v>0</v>
      </c>
      <c r="L50" s="4" t="e">
        <f t="shared" si="11"/>
        <v>#DIV/0!</v>
      </c>
      <c r="M50" s="104"/>
      <c r="N50" s="103"/>
      <c r="O50" s="34"/>
      <c r="P50" s="14"/>
      <c r="Q50" s="34"/>
    </row>
    <row r="51" spans="1:17">
      <c r="A51" s="13">
        <f t="shared" si="12"/>
        <v>46159</v>
      </c>
      <c r="B51" s="380">
        <v>13141</v>
      </c>
      <c r="C51" s="380">
        <v>13063</v>
      </c>
      <c r="D51" s="34"/>
      <c r="E51" s="34"/>
      <c r="F51" s="20">
        <f t="shared" si="9"/>
        <v>0</v>
      </c>
      <c r="G51" s="149">
        <f t="shared" si="7"/>
        <v>0</v>
      </c>
      <c r="H51" s="149">
        <f t="shared" si="8"/>
        <v>0</v>
      </c>
      <c r="I51" s="29">
        <v>6.22</v>
      </c>
      <c r="J51" s="34"/>
      <c r="K51" s="20">
        <f t="shared" si="10"/>
        <v>0</v>
      </c>
      <c r="L51" s="4" t="e">
        <f t="shared" si="11"/>
        <v>#DIV/0!</v>
      </c>
      <c r="M51" s="103"/>
      <c r="N51" s="103"/>
      <c r="O51" s="34"/>
      <c r="P51" s="14"/>
      <c r="Q51" s="14"/>
    </row>
    <row r="52" spans="1:17">
      <c r="A52" s="13">
        <f t="shared" si="12"/>
        <v>46160</v>
      </c>
      <c r="B52" s="380">
        <v>13141</v>
      </c>
      <c r="C52" s="380">
        <v>13063</v>
      </c>
      <c r="D52" s="34"/>
      <c r="E52" s="34"/>
      <c r="F52" s="20">
        <f t="shared" si="9"/>
        <v>0</v>
      </c>
      <c r="G52" s="149">
        <f t="shared" si="7"/>
        <v>0</v>
      </c>
      <c r="H52" s="149">
        <f t="shared" si="8"/>
        <v>0</v>
      </c>
      <c r="I52" s="29">
        <v>6.22</v>
      </c>
      <c r="J52" s="34"/>
      <c r="K52" s="20">
        <f t="shared" si="10"/>
        <v>0</v>
      </c>
      <c r="L52" s="4" t="e">
        <f t="shared" si="11"/>
        <v>#DIV/0!</v>
      </c>
      <c r="M52" s="103"/>
      <c r="N52" s="103"/>
      <c r="O52" s="34"/>
      <c r="P52" s="14"/>
      <c r="Q52" s="14"/>
    </row>
    <row r="53" spans="1:17">
      <c r="A53" s="13">
        <f t="shared" si="12"/>
        <v>46161</v>
      </c>
      <c r="B53" s="380">
        <v>13141</v>
      </c>
      <c r="C53" s="380">
        <v>13063</v>
      </c>
      <c r="D53" s="34"/>
      <c r="E53" s="34"/>
      <c r="F53" s="20">
        <f t="shared" si="9"/>
        <v>0</v>
      </c>
      <c r="G53" s="149">
        <f t="shared" si="7"/>
        <v>0</v>
      </c>
      <c r="H53" s="149">
        <f t="shared" si="8"/>
        <v>0</v>
      </c>
      <c r="I53" s="29">
        <v>6.22</v>
      </c>
      <c r="J53" s="34"/>
      <c r="K53" s="20">
        <f t="shared" si="10"/>
        <v>0</v>
      </c>
      <c r="L53" s="4" t="e">
        <f t="shared" si="11"/>
        <v>#DIV/0!</v>
      </c>
      <c r="M53" s="103"/>
      <c r="N53" s="103"/>
      <c r="O53" s="34"/>
      <c r="P53" s="14"/>
      <c r="Q53" s="14"/>
    </row>
    <row r="54" spans="1:17">
      <c r="A54" s="13">
        <f t="shared" si="12"/>
        <v>46162</v>
      </c>
      <c r="B54" s="380">
        <v>13141</v>
      </c>
      <c r="C54" s="380">
        <v>13063</v>
      </c>
      <c r="D54" s="34"/>
      <c r="E54" s="34"/>
      <c r="F54" s="20">
        <f t="shared" si="9"/>
        <v>0</v>
      </c>
      <c r="G54" s="149">
        <f t="shared" si="7"/>
        <v>0</v>
      </c>
      <c r="H54" s="149">
        <f t="shared" si="8"/>
        <v>0</v>
      </c>
      <c r="I54" s="29">
        <v>6.22</v>
      </c>
      <c r="J54" s="34"/>
      <c r="K54" s="20">
        <f t="shared" si="10"/>
        <v>0</v>
      </c>
      <c r="L54" s="4" t="e">
        <f t="shared" si="11"/>
        <v>#DIV/0!</v>
      </c>
      <c r="M54" s="103"/>
      <c r="N54" s="103"/>
      <c r="O54" s="34"/>
      <c r="P54" s="14"/>
      <c r="Q54" s="14"/>
    </row>
    <row r="55" spans="1:17">
      <c r="A55" s="13">
        <f t="shared" si="12"/>
        <v>46163</v>
      </c>
      <c r="B55" s="380">
        <v>13141</v>
      </c>
      <c r="C55" s="380">
        <v>13063</v>
      </c>
      <c r="D55" s="34"/>
      <c r="E55" s="34"/>
      <c r="F55" s="20">
        <f>(IF(ISBLANK(E55),0,E55-C55))/C55</f>
        <v>0</v>
      </c>
      <c r="G55" s="149">
        <f t="shared" si="7"/>
        <v>0</v>
      </c>
      <c r="H55" s="149">
        <f t="shared" si="8"/>
        <v>0</v>
      </c>
      <c r="I55" s="29">
        <v>6.22</v>
      </c>
      <c r="J55" s="34"/>
      <c r="K55" s="20">
        <f>(IF(ISBLANK(J55),0,J55-I55))/I55</f>
        <v>0</v>
      </c>
      <c r="L55" s="4" t="e">
        <f t="shared" si="11"/>
        <v>#DIV/0!</v>
      </c>
      <c r="M55" s="103"/>
      <c r="N55" s="103"/>
      <c r="O55" s="34"/>
      <c r="P55" s="14"/>
      <c r="Q55" s="14"/>
    </row>
    <row r="56" spans="1:17">
      <c r="A56" s="13">
        <f t="shared" si="12"/>
        <v>46164</v>
      </c>
      <c r="B56" s="380">
        <v>13141</v>
      </c>
      <c r="C56" s="380">
        <v>13063</v>
      </c>
      <c r="D56" s="34"/>
      <c r="E56" s="34"/>
      <c r="F56" s="20">
        <f t="shared" ref="F56:F65" si="13">(IF(ISBLANK(E56),0,E56-C56))/C56</f>
        <v>0</v>
      </c>
      <c r="G56" s="149">
        <f t="shared" si="7"/>
        <v>0</v>
      </c>
      <c r="H56" s="149">
        <f t="shared" si="8"/>
        <v>0</v>
      </c>
      <c r="I56" s="29">
        <v>6.22</v>
      </c>
      <c r="J56" s="34"/>
      <c r="K56" s="20">
        <f t="shared" ref="K56:K65" si="14">(IF(ISBLANK(J56),0,J56-I56))/I56</f>
        <v>0</v>
      </c>
      <c r="L56" s="4" t="e">
        <f t="shared" si="11"/>
        <v>#DIV/0!</v>
      </c>
      <c r="M56" s="103"/>
      <c r="N56" s="103"/>
      <c r="O56" s="34"/>
      <c r="P56" s="14"/>
      <c r="Q56" s="14"/>
    </row>
    <row r="57" spans="1:17">
      <c r="A57" s="13">
        <f t="shared" si="12"/>
        <v>46165</v>
      </c>
      <c r="B57" s="380">
        <v>13141</v>
      </c>
      <c r="C57" s="380">
        <v>13063</v>
      </c>
      <c r="D57" s="14"/>
      <c r="E57" s="14"/>
      <c r="F57" s="20">
        <f t="shared" si="13"/>
        <v>0</v>
      </c>
      <c r="G57" s="149">
        <f t="shared" si="7"/>
        <v>0</v>
      </c>
      <c r="H57" s="149">
        <f t="shared" si="8"/>
        <v>0</v>
      </c>
      <c r="I57" s="29">
        <v>6.22</v>
      </c>
      <c r="J57" s="14"/>
      <c r="K57" s="20">
        <f t="shared" si="14"/>
        <v>0</v>
      </c>
      <c r="L57" s="4" t="e">
        <f t="shared" si="11"/>
        <v>#DIV/0!</v>
      </c>
      <c r="M57" s="103"/>
      <c r="N57" s="103"/>
      <c r="O57" s="34"/>
      <c r="P57" s="14"/>
      <c r="Q57" s="14"/>
    </row>
    <row r="58" spans="1:17">
      <c r="A58" s="13">
        <f t="shared" si="12"/>
        <v>46166</v>
      </c>
      <c r="B58" s="380">
        <v>13141</v>
      </c>
      <c r="C58" s="380">
        <v>13063</v>
      </c>
      <c r="D58" s="14"/>
      <c r="E58" s="14"/>
      <c r="F58" s="20">
        <f t="shared" si="13"/>
        <v>0</v>
      </c>
      <c r="G58" s="149">
        <f t="shared" ref="G58:G65" si="15">D58/($D$2*24)</f>
        <v>0</v>
      </c>
      <c r="H58" s="149">
        <f t="shared" si="8"/>
        <v>0</v>
      </c>
      <c r="I58" s="29">
        <v>6.22</v>
      </c>
      <c r="J58" s="14"/>
      <c r="K58" s="20">
        <f t="shared" si="14"/>
        <v>0</v>
      </c>
      <c r="L58" s="4" t="e">
        <f t="shared" si="11"/>
        <v>#DIV/0!</v>
      </c>
      <c r="M58" s="103"/>
      <c r="N58" s="103"/>
      <c r="O58" s="34"/>
      <c r="P58" s="14"/>
      <c r="Q58" s="396"/>
    </row>
    <row r="59" spans="1:17">
      <c r="A59" s="13">
        <f t="shared" si="12"/>
        <v>46167</v>
      </c>
      <c r="B59" s="380">
        <v>13141</v>
      </c>
      <c r="C59" s="380">
        <v>13063</v>
      </c>
      <c r="D59" s="14"/>
      <c r="E59" s="14"/>
      <c r="F59" s="20">
        <f t="shared" si="13"/>
        <v>0</v>
      </c>
      <c r="G59" s="149">
        <f t="shared" si="15"/>
        <v>0</v>
      </c>
      <c r="H59" s="149">
        <f t="shared" si="8"/>
        <v>0</v>
      </c>
      <c r="I59" s="29">
        <v>6.22</v>
      </c>
      <c r="J59" s="14"/>
      <c r="K59" s="20">
        <f t="shared" si="14"/>
        <v>0</v>
      </c>
      <c r="L59" s="4" t="e">
        <f t="shared" si="11"/>
        <v>#DIV/0!</v>
      </c>
      <c r="M59" s="103"/>
      <c r="N59" s="103"/>
      <c r="O59" s="34"/>
      <c r="P59" s="154"/>
      <c r="Q59" s="14"/>
    </row>
    <row r="60" spans="1:17">
      <c r="A60" s="13">
        <f t="shared" si="12"/>
        <v>46168</v>
      </c>
      <c r="B60" s="380">
        <v>13141</v>
      </c>
      <c r="C60" s="380">
        <v>13063</v>
      </c>
      <c r="D60" s="14"/>
      <c r="E60" s="14"/>
      <c r="F60" s="20">
        <f t="shared" si="13"/>
        <v>0</v>
      </c>
      <c r="G60" s="149">
        <f t="shared" si="15"/>
        <v>0</v>
      </c>
      <c r="H60" s="149">
        <f t="shared" si="8"/>
        <v>0</v>
      </c>
      <c r="I60" s="29">
        <v>6.22</v>
      </c>
      <c r="J60" s="14"/>
      <c r="K60" s="20">
        <f t="shared" si="14"/>
        <v>0</v>
      </c>
      <c r="L60" s="4" t="e">
        <f t="shared" si="11"/>
        <v>#DIV/0!</v>
      </c>
      <c r="M60" s="103"/>
      <c r="N60" s="103"/>
      <c r="O60" s="34"/>
      <c r="P60" s="14"/>
      <c r="Q60" s="397"/>
    </row>
    <row r="61" spans="1:17">
      <c r="A61" s="13">
        <f t="shared" si="12"/>
        <v>46169</v>
      </c>
      <c r="B61" s="380">
        <v>13141</v>
      </c>
      <c r="C61" s="380">
        <v>13063</v>
      </c>
      <c r="D61" s="14"/>
      <c r="E61" s="14"/>
      <c r="F61" s="20">
        <f t="shared" si="13"/>
        <v>0</v>
      </c>
      <c r="G61" s="149">
        <f t="shared" si="15"/>
        <v>0</v>
      </c>
      <c r="H61" s="149">
        <f t="shared" si="8"/>
        <v>0</v>
      </c>
      <c r="I61" s="29">
        <v>6.22</v>
      </c>
      <c r="J61" s="14"/>
      <c r="K61" s="20">
        <f t="shared" si="14"/>
        <v>0</v>
      </c>
      <c r="L61" s="4" t="e">
        <f t="shared" si="11"/>
        <v>#DIV/0!</v>
      </c>
      <c r="M61" s="103"/>
      <c r="N61" s="103"/>
      <c r="O61" s="34"/>
      <c r="P61" s="14"/>
      <c r="Q61" s="14"/>
    </row>
    <row r="62" spans="1:17">
      <c r="A62" s="13">
        <f t="shared" si="12"/>
        <v>46170</v>
      </c>
      <c r="B62" s="380">
        <v>13141</v>
      </c>
      <c r="C62" s="380">
        <v>13063</v>
      </c>
      <c r="D62" s="14"/>
      <c r="E62" s="14"/>
      <c r="F62" s="20">
        <f t="shared" si="13"/>
        <v>0</v>
      </c>
      <c r="G62" s="149">
        <f t="shared" si="15"/>
        <v>0</v>
      </c>
      <c r="H62" s="149">
        <f t="shared" ref="H62:H65" si="16">D62/($H$2*24)</f>
        <v>0</v>
      </c>
      <c r="I62" s="29">
        <v>6.22</v>
      </c>
      <c r="J62" s="14"/>
      <c r="K62" s="20">
        <f t="shared" si="14"/>
        <v>0</v>
      </c>
      <c r="L62" s="4" t="e">
        <f t="shared" si="11"/>
        <v>#DIV/0!</v>
      </c>
      <c r="M62" s="103"/>
      <c r="N62" s="103"/>
      <c r="O62" s="34"/>
      <c r="P62" s="14"/>
      <c r="Q62" s="14"/>
    </row>
    <row r="63" spans="1:17">
      <c r="A63" s="13">
        <f t="shared" si="12"/>
        <v>46171</v>
      </c>
      <c r="B63" s="380">
        <v>13141</v>
      </c>
      <c r="C63" s="380">
        <v>13063</v>
      </c>
      <c r="D63" s="14"/>
      <c r="E63" s="14"/>
      <c r="F63" s="20">
        <f t="shared" si="13"/>
        <v>0</v>
      </c>
      <c r="G63" s="149">
        <f t="shared" si="15"/>
        <v>0</v>
      </c>
      <c r="H63" s="149">
        <f t="shared" si="16"/>
        <v>0</v>
      </c>
      <c r="I63" s="29">
        <v>6.22</v>
      </c>
      <c r="J63" s="14"/>
      <c r="K63" s="20">
        <f t="shared" si="14"/>
        <v>0</v>
      </c>
      <c r="L63" s="4" t="e">
        <f t="shared" si="11"/>
        <v>#DIV/0!</v>
      </c>
      <c r="M63" s="103"/>
      <c r="N63" s="103"/>
      <c r="O63" s="34"/>
      <c r="P63" s="14"/>
      <c r="Q63" s="14"/>
    </row>
    <row r="64" spans="1:17">
      <c r="A64" s="13">
        <f t="shared" si="12"/>
        <v>46172</v>
      </c>
      <c r="B64" s="380">
        <v>13141</v>
      </c>
      <c r="C64" s="380">
        <v>13063</v>
      </c>
      <c r="D64" s="14"/>
      <c r="E64" s="14"/>
      <c r="F64" s="20">
        <f t="shared" si="13"/>
        <v>0</v>
      </c>
      <c r="G64" s="149">
        <f t="shared" si="15"/>
        <v>0</v>
      </c>
      <c r="H64" s="149">
        <f t="shared" si="16"/>
        <v>0</v>
      </c>
      <c r="I64" s="29">
        <v>6.22</v>
      </c>
      <c r="J64" s="14"/>
      <c r="K64" s="20">
        <f t="shared" si="14"/>
        <v>0</v>
      </c>
      <c r="L64" s="4" t="e">
        <f t="shared" si="11"/>
        <v>#DIV/0!</v>
      </c>
      <c r="M64" s="103"/>
      <c r="N64" s="103"/>
      <c r="O64" s="34"/>
      <c r="P64" s="14"/>
      <c r="Q64" s="14"/>
    </row>
    <row r="65" spans="1:17">
      <c r="A65" s="13">
        <f t="shared" si="12"/>
        <v>46173</v>
      </c>
      <c r="B65" s="380">
        <v>13141</v>
      </c>
      <c r="C65" s="380">
        <v>13063</v>
      </c>
      <c r="D65" s="14"/>
      <c r="E65" s="14"/>
      <c r="F65" s="20">
        <f t="shared" si="13"/>
        <v>0</v>
      </c>
      <c r="G65" s="149">
        <f t="shared" si="15"/>
        <v>0</v>
      </c>
      <c r="H65" s="149">
        <f t="shared" si="16"/>
        <v>0</v>
      </c>
      <c r="I65" s="29">
        <v>6.22</v>
      </c>
      <c r="J65" s="14"/>
      <c r="K65" s="20">
        <f t="shared" si="14"/>
        <v>0</v>
      </c>
      <c r="L65" s="4" t="e">
        <f t="shared" si="11"/>
        <v>#DIV/0!</v>
      </c>
      <c r="M65" s="103"/>
      <c r="N65" s="103"/>
      <c r="O65" s="34"/>
      <c r="P65" s="14"/>
      <c r="Q65" s="14"/>
    </row>
    <row r="66" spans="1:17">
      <c r="A66" s="395">
        <v>46143</v>
      </c>
      <c r="B66" s="89">
        <f>SUM(B35:B65)</f>
        <v>407371</v>
      </c>
      <c r="C66" s="89">
        <f>SUM(C35:C65)</f>
        <v>404953</v>
      </c>
      <c r="D66" s="89">
        <f>SUM(D35:D65)</f>
        <v>78725</v>
      </c>
      <c r="E66" s="89">
        <f>SUM(E35:E65)</f>
        <v>77160</v>
      </c>
      <c r="F66" s="160">
        <f>(IF(ISBLANK(E66),0,E66-C66))/C66</f>
        <v>-0.80945936935891327</v>
      </c>
      <c r="G66" s="90">
        <f>AVERAGE(G35:G65)</f>
        <v>3.7376606161430861E-2</v>
      </c>
      <c r="H66" s="90">
        <f>AVERAGE(H35:H65)</f>
        <v>4.3724451257442454E-2</v>
      </c>
      <c r="I66" s="89">
        <f>SUM(I36:I65)</f>
        <v>186.6</v>
      </c>
      <c r="J66" s="89">
        <f>SUM(J35:J65)</f>
        <v>34.582000000000001</v>
      </c>
      <c r="K66" s="160">
        <f>(IF(ISBLANK(J66),0,J66-I66))/I66</f>
        <v>-0.81467309753483386</v>
      </c>
      <c r="L66" s="161">
        <f t="shared" si="11"/>
        <v>0.80412338743000855</v>
      </c>
      <c r="M66" s="90">
        <f>AVERAGE(M35:M65)</f>
        <v>1</v>
      </c>
      <c r="N66" s="90">
        <f>AVERAGE(N35:N65)</f>
        <v>0.98333333333333339</v>
      </c>
      <c r="O66" s="89">
        <f>SUM(O35:O65)</f>
        <v>494</v>
      </c>
      <c r="P66" s="89">
        <f>SUM(P35:P65)</f>
        <v>0</v>
      </c>
      <c r="Q66" s="19"/>
    </row>
  </sheetData>
  <mergeCells count="4">
    <mergeCell ref="A1:Q1"/>
    <mergeCell ref="B2:C2"/>
    <mergeCell ref="E2:G2"/>
    <mergeCell ref="I2:J2"/>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BEAA-090C-414C-A260-B362979EA04E}">
  <dimension ref="A1:Q66"/>
  <sheetViews>
    <sheetView topLeftCell="A26"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628</v>
      </c>
      <c r="B1" s="406"/>
      <c r="C1" s="406"/>
      <c r="D1" s="406"/>
      <c r="E1" s="406"/>
      <c r="F1" s="406"/>
      <c r="G1" s="406"/>
      <c r="H1" s="406"/>
      <c r="I1" s="406"/>
      <c r="J1" s="406"/>
      <c r="K1" s="406"/>
      <c r="L1" s="406"/>
      <c r="M1" s="406"/>
      <c r="N1" s="406"/>
      <c r="O1" s="406"/>
      <c r="P1" s="406"/>
      <c r="Q1" s="406"/>
    </row>
    <row r="2" spans="1:17" ht="18.5">
      <c r="A2" s="7">
        <v>46113</v>
      </c>
      <c r="B2" s="407" t="s">
        <v>172</v>
      </c>
      <c r="C2" s="408"/>
      <c r="D2" s="8">
        <v>3125</v>
      </c>
      <c r="E2" s="407" t="s">
        <v>173</v>
      </c>
      <c r="F2" s="407"/>
      <c r="G2" s="408"/>
      <c r="H2" s="8">
        <v>2600</v>
      </c>
      <c r="I2" s="409" t="s">
        <v>174</v>
      </c>
      <c r="J2" s="410"/>
      <c r="K2" s="9">
        <v>44075</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15399</v>
      </c>
      <c r="C4" s="1">
        <v>15154</v>
      </c>
      <c r="D4" s="221">
        <v>15966</v>
      </c>
      <c r="E4" s="6">
        <v>15840</v>
      </c>
      <c r="F4" s="21">
        <f t="shared" ref="F4:F35" si="0">(IF(ISBLANK(E4),0,E4-C4))/C4</f>
        <v>4.5268575953543617E-2</v>
      </c>
      <c r="G4" s="2">
        <f t="shared" ref="G4:G33" si="1">D4/($D$2*24)</f>
        <v>0.21288000000000001</v>
      </c>
      <c r="H4" s="2">
        <f t="shared" ref="H4:H21" si="2">D4/($H$2*24)</f>
        <v>0.25586538461538461</v>
      </c>
      <c r="I4" s="86">
        <v>6.48</v>
      </c>
      <c r="J4" s="185">
        <v>6.3840000000000003</v>
      </c>
      <c r="K4" s="21">
        <f t="shared" ref="K4:K35" si="3">(IF(ISBLANK(J4),0,J4-I4))/I4</f>
        <v>-1.4814814814814828E-2</v>
      </c>
      <c r="L4" s="22">
        <f t="shared" ref="L4:L35" si="4">D4/($D$2*J4)</f>
        <v>0.80030075187969929</v>
      </c>
      <c r="M4" s="189">
        <v>1</v>
      </c>
      <c r="N4" s="189">
        <v>1</v>
      </c>
      <c r="O4" s="49"/>
      <c r="P4" s="49"/>
      <c r="Q4" s="191"/>
    </row>
    <row r="5" spans="1:17">
      <c r="A5" s="13">
        <f t="shared" ref="A5:A33" si="5">A4+1</f>
        <v>46114</v>
      </c>
      <c r="B5" s="1">
        <v>15399</v>
      </c>
      <c r="C5" s="1">
        <v>15154</v>
      </c>
      <c r="D5" s="221">
        <v>15048</v>
      </c>
      <c r="E5" s="6">
        <v>15000</v>
      </c>
      <c r="F5" s="21">
        <f t="shared" si="0"/>
        <v>-1.0162333377326119E-2</v>
      </c>
      <c r="G5" s="2">
        <f t="shared" si="1"/>
        <v>0.20064000000000001</v>
      </c>
      <c r="H5" s="2">
        <f t="shared" si="2"/>
        <v>0.24115384615384616</v>
      </c>
      <c r="I5" s="86">
        <v>6.48</v>
      </c>
      <c r="J5" s="185">
        <v>6.0190000000000001</v>
      </c>
      <c r="K5" s="21">
        <f t="shared" si="3"/>
        <v>-7.1141975308642011E-2</v>
      </c>
      <c r="L5" s="22">
        <f t="shared" si="4"/>
        <v>0.80002658248878555</v>
      </c>
      <c r="M5" s="189">
        <v>1</v>
      </c>
      <c r="N5" s="189">
        <v>0.9667</v>
      </c>
      <c r="O5" s="49">
        <v>439</v>
      </c>
      <c r="P5" s="49"/>
      <c r="Q5" s="49" t="s">
        <v>622</v>
      </c>
    </row>
    <row r="6" spans="1:17">
      <c r="A6" s="13">
        <f t="shared" si="5"/>
        <v>46115</v>
      </c>
      <c r="B6" s="1">
        <v>15399</v>
      </c>
      <c r="C6" s="1">
        <v>15154</v>
      </c>
      <c r="D6" s="221">
        <v>15999</v>
      </c>
      <c r="E6" s="6">
        <v>15880</v>
      </c>
      <c r="F6" s="21">
        <f t="shared" si="0"/>
        <v>4.7908143064537417E-2</v>
      </c>
      <c r="G6" s="2">
        <f t="shared" si="1"/>
        <v>0.21332000000000001</v>
      </c>
      <c r="H6" s="2">
        <f t="shared" si="2"/>
        <v>0.25639423076923079</v>
      </c>
      <c r="I6" s="86">
        <v>6.48</v>
      </c>
      <c r="J6" s="185">
        <v>6.4009999999999998</v>
      </c>
      <c r="K6" s="21">
        <f t="shared" si="3"/>
        <v>-1.2191358024691453E-2</v>
      </c>
      <c r="L6" s="22">
        <f t="shared" si="4"/>
        <v>0.79982502733947825</v>
      </c>
      <c r="M6" s="189">
        <v>1</v>
      </c>
      <c r="N6" s="189">
        <v>1</v>
      </c>
      <c r="O6" s="49"/>
      <c r="P6" s="49"/>
      <c r="Q6" s="49"/>
    </row>
    <row r="7" spans="1:17">
      <c r="A7" s="13">
        <f t="shared" si="5"/>
        <v>46116</v>
      </c>
      <c r="B7" s="1">
        <v>15399</v>
      </c>
      <c r="C7" s="1">
        <v>15154</v>
      </c>
      <c r="D7" s="221">
        <v>12056</v>
      </c>
      <c r="E7" s="6">
        <v>12000</v>
      </c>
      <c r="F7" s="21">
        <f t="shared" si="0"/>
        <v>-0.2081298667018609</v>
      </c>
      <c r="G7" s="2">
        <f t="shared" si="1"/>
        <v>0.16074666666666668</v>
      </c>
      <c r="H7" s="2">
        <f t="shared" si="2"/>
        <v>0.1932051282051282</v>
      </c>
      <c r="I7" s="86">
        <v>6.48</v>
      </c>
      <c r="J7" s="185">
        <v>4.8460000000000001</v>
      </c>
      <c r="K7" s="21">
        <f t="shared" si="3"/>
        <v>-0.25216049382716055</v>
      </c>
      <c r="L7" s="22">
        <f t="shared" si="4"/>
        <v>0.79610400330169206</v>
      </c>
      <c r="M7" s="189">
        <v>1</v>
      </c>
      <c r="N7" s="189">
        <v>0.755</v>
      </c>
      <c r="O7" s="49">
        <v>1850</v>
      </c>
      <c r="P7" s="49"/>
      <c r="Q7" s="49" t="s">
        <v>622</v>
      </c>
    </row>
    <row r="8" spans="1:17">
      <c r="A8" s="13">
        <f t="shared" si="5"/>
        <v>46117</v>
      </c>
      <c r="B8" s="1">
        <v>15399</v>
      </c>
      <c r="C8" s="1">
        <v>15154</v>
      </c>
      <c r="D8" s="221">
        <v>16142</v>
      </c>
      <c r="E8" s="6">
        <v>16040</v>
      </c>
      <c r="F8" s="21">
        <f t="shared" si="0"/>
        <v>5.8466411508512603E-2</v>
      </c>
      <c r="G8" s="2">
        <f t="shared" si="1"/>
        <v>0.21522666666666668</v>
      </c>
      <c r="H8" s="2">
        <f t="shared" si="2"/>
        <v>0.25868589743589743</v>
      </c>
      <c r="I8" s="86">
        <v>6.48</v>
      </c>
      <c r="J8" s="185">
        <v>6.4480000000000004</v>
      </c>
      <c r="K8" s="21">
        <f t="shared" si="3"/>
        <v>-4.9382716049382758E-3</v>
      </c>
      <c r="L8" s="22">
        <f t="shared" si="4"/>
        <v>0.80109181141439201</v>
      </c>
      <c r="M8" s="189">
        <v>1</v>
      </c>
      <c r="N8" s="189">
        <v>1</v>
      </c>
      <c r="O8" s="49"/>
      <c r="P8" s="49"/>
      <c r="Q8" s="49"/>
    </row>
    <row r="9" spans="1:17">
      <c r="A9" s="13">
        <f t="shared" si="5"/>
        <v>46118</v>
      </c>
      <c r="B9" s="1">
        <v>15399</v>
      </c>
      <c r="C9" s="1">
        <v>15154</v>
      </c>
      <c r="D9" s="221">
        <v>17059</v>
      </c>
      <c r="E9" s="6">
        <v>16920</v>
      </c>
      <c r="F9" s="21">
        <f t="shared" si="0"/>
        <v>0.11653688795037614</v>
      </c>
      <c r="G9" s="2">
        <f t="shared" si="1"/>
        <v>0.22745333333333334</v>
      </c>
      <c r="H9" s="2">
        <f t="shared" si="2"/>
        <v>0.27338141025641027</v>
      </c>
      <c r="I9" s="86">
        <v>6.48</v>
      </c>
      <c r="J9" s="185">
        <v>6.8289999999999997</v>
      </c>
      <c r="K9" s="21">
        <f t="shared" si="3"/>
        <v>5.3858024691357913E-2</v>
      </c>
      <c r="L9" s="22">
        <f t="shared" si="4"/>
        <v>0.79936740371943182</v>
      </c>
      <c r="M9" s="189">
        <v>1</v>
      </c>
      <c r="N9" s="189">
        <v>0.98680000000000001</v>
      </c>
      <c r="O9" s="49">
        <v>151</v>
      </c>
      <c r="P9" s="49"/>
      <c r="Q9" s="49" t="s">
        <v>622</v>
      </c>
    </row>
    <row r="10" spans="1:17">
      <c r="A10" s="13">
        <f t="shared" si="5"/>
        <v>46119</v>
      </c>
      <c r="B10" s="1">
        <v>15399</v>
      </c>
      <c r="C10" s="1">
        <v>15154</v>
      </c>
      <c r="D10" s="221">
        <v>17405</v>
      </c>
      <c r="E10" s="6">
        <v>17280</v>
      </c>
      <c r="F10" s="21">
        <f t="shared" si="0"/>
        <v>0.14029299194932032</v>
      </c>
      <c r="G10" s="2">
        <f t="shared" si="1"/>
        <v>0.23206666666666667</v>
      </c>
      <c r="H10" s="2">
        <f t="shared" si="2"/>
        <v>0.27892628205128206</v>
      </c>
      <c r="I10" s="86">
        <v>6.48</v>
      </c>
      <c r="J10" s="185">
        <v>6.9450000000000003</v>
      </c>
      <c r="K10" s="21">
        <f t="shared" si="3"/>
        <v>7.1759259259259231E-2</v>
      </c>
      <c r="L10" s="22">
        <f t="shared" si="4"/>
        <v>0.80195824334053278</v>
      </c>
      <c r="M10" s="189">
        <v>1</v>
      </c>
      <c r="N10" s="189">
        <v>1</v>
      </c>
      <c r="O10" s="49"/>
      <c r="P10" s="219"/>
      <c r="Q10" s="49"/>
    </row>
    <row r="11" spans="1:17">
      <c r="A11" s="13">
        <f t="shared" si="5"/>
        <v>46120</v>
      </c>
      <c r="B11" s="1">
        <v>15399</v>
      </c>
      <c r="C11" s="1">
        <v>15154</v>
      </c>
      <c r="D11" s="221">
        <v>16551</v>
      </c>
      <c r="E11" s="6">
        <v>16440</v>
      </c>
      <c r="F11" s="21">
        <f t="shared" si="0"/>
        <v>8.4862082618450574E-2</v>
      </c>
      <c r="G11" s="2">
        <f t="shared" si="1"/>
        <v>0.22067999999999999</v>
      </c>
      <c r="H11" s="2">
        <f t="shared" si="2"/>
        <v>0.26524038461538463</v>
      </c>
      <c r="I11" s="86">
        <v>6.48</v>
      </c>
      <c r="J11" s="185">
        <v>6.6289999999999996</v>
      </c>
      <c r="K11" s="21">
        <f t="shared" si="3"/>
        <v>2.2993827160493693E-2</v>
      </c>
      <c r="L11" s="22">
        <f t="shared" si="4"/>
        <v>0.79896213606878863</v>
      </c>
      <c r="M11" s="189">
        <v>1</v>
      </c>
      <c r="N11" s="189">
        <v>0.97389999999999999</v>
      </c>
      <c r="O11" s="49">
        <v>415</v>
      </c>
      <c r="P11" s="49"/>
      <c r="Q11" s="49" t="s">
        <v>622</v>
      </c>
    </row>
    <row r="12" spans="1:17">
      <c r="A12" s="13">
        <f t="shared" si="5"/>
        <v>46121</v>
      </c>
      <c r="B12" s="1">
        <v>15399</v>
      </c>
      <c r="C12" s="1">
        <v>15154</v>
      </c>
      <c r="D12" s="221">
        <v>14621</v>
      </c>
      <c r="E12" s="6">
        <v>14520</v>
      </c>
      <c r="F12" s="21">
        <f t="shared" si="0"/>
        <v>-4.1837138709251681E-2</v>
      </c>
      <c r="G12" s="2">
        <f t="shared" si="1"/>
        <v>0.19494666666666666</v>
      </c>
      <c r="H12" s="2">
        <f t="shared" si="2"/>
        <v>0.23431089743589745</v>
      </c>
      <c r="I12" s="86">
        <v>6.48</v>
      </c>
      <c r="J12" s="185">
        <v>5.8620000000000001</v>
      </c>
      <c r="K12" s="21">
        <f t="shared" si="3"/>
        <v>-9.5370370370370411E-2</v>
      </c>
      <c r="L12" s="22">
        <f t="shared" si="4"/>
        <v>0.79814397816444904</v>
      </c>
      <c r="M12" s="189">
        <v>1</v>
      </c>
      <c r="N12" s="189">
        <v>0.69740000000000002</v>
      </c>
      <c r="O12" s="49">
        <v>1990</v>
      </c>
      <c r="P12" s="49"/>
      <c r="Q12" s="49" t="s">
        <v>622</v>
      </c>
    </row>
    <row r="13" spans="1:17">
      <c r="A13" s="13">
        <f t="shared" si="5"/>
        <v>46122</v>
      </c>
      <c r="B13" s="1">
        <v>15399</v>
      </c>
      <c r="C13" s="1">
        <v>15154</v>
      </c>
      <c r="D13" s="221">
        <v>16964</v>
      </c>
      <c r="E13" s="6">
        <v>16840</v>
      </c>
      <c r="F13" s="21">
        <f t="shared" si="0"/>
        <v>0.11125775372838854</v>
      </c>
      <c r="G13" s="2">
        <f t="shared" si="1"/>
        <v>0.22618666666666667</v>
      </c>
      <c r="H13" s="2">
        <f t="shared" si="2"/>
        <v>0.27185897435897438</v>
      </c>
      <c r="I13" s="86">
        <v>6.48</v>
      </c>
      <c r="J13" s="185">
        <v>6.7690000000000001</v>
      </c>
      <c r="K13" s="21">
        <f t="shared" si="3"/>
        <v>4.4598765432098716E-2</v>
      </c>
      <c r="L13" s="22">
        <f t="shared" si="4"/>
        <v>0.80196188506426358</v>
      </c>
      <c r="M13" s="189">
        <v>1</v>
      </c>
      <c r="N13" s="189">
        <v>1</v>
      </c>
      <c r="O13" s="49"/>
      <c r="P13" s="49"/>
      <c r="Q13" s="49"/>
    </row>
    <row r="14" spans="1:17">
      <c r="A14" s="13">
        <f t="shared" si="5"/>
        <v>46123</v>
      </c>
      <c r="B14" s="1">
        <v>15399</v>
      </c>
      <c r="C14" s="1">
        <v>15154</v>
      </c>
      <c r="D14" s="221">
        <v>16357</v>
      </c>
      <c r="E14" s="6">
        <v>16240</v>
      </c>
      <c r="F14" s="21">
        <f t="shared" si="0"/>
        <v>7.1664247063481595E-2</v>
      </c>
      <c r="G14" s="2">
        <f t="shared" si="1"/>
        <v>0.21809333333333333</v>
      </c>
      <c r="H14" s="2">
        <f t="shared" si="2"/>
        <v>0.26213141025641024</v>
      </c>
      <c r="I14" s="86">
        <v>6.48</v>
      </c>
      <c r="J14" s="185">
        <v>6.5309999999999997</v>
      </c>
      <c r="K14" s="21">
        <f t="shared" si="3"/>
        <v>7.8703703703702568E-3</v>
      </c>
      <c r="L14" s="22">
        <f t="shared" si="4"/>
        <v>0.8014454141785331</v>
      </c>
      <c r="M14" s="189">
        <v>1</v>
      </c>
      <c r="N14" s="189">
        <v>1</v>
      </c>
      <c r="O14" s="49"/>
      <c r="P14" s="49"/>
      <c r="Q14" s="49"/>
    </row>
    <row r="15" spans="1:17">
      <c r="A15" s="13">
        <f t="shared" si="5"/>
        <v>46124</v>
      </c>
      <c r="B15" s="1">
        <v>15399</v>
      </c>
      <c r="C15" s="1">
        <v>15154</v>
      </c>
      <c r="D15" s="221">
        <v>15287</v>
      </c>
      <c r="E15" s="6">
        <v>15200</v>
      </c>
      <c r="F15" s="21">
        <f t="shared" si="0"/>
        <v>3.0355021776428664E-3</v>
      </c>
      <c r="G15" s="2">
        <f t="shared" si="1"/>
        <v>0.20382666666666666</v>
      </c>
      <c r="H15" s="2">
        <f t="shared" si="2"/>
        <v>0.24498397435897437</v>
      </c>
      <c r="I15" s="86">
        <v>6.48</v>
      </c>
      <c r="J15" s="185">
        <v>6.1239999999999997</v>
      </c>
      <c r="K15" s="21">
        <f t="shared" si="3"/>
        <v>-5.4938271604938388E-2</v>
      </c>
      <c r="L15" s="22">
        <f t="shared" si="4"/>
        <v>0.79879817112998042</v>
      </c>
      <c r="M15" s="189">
        <v>1</v>
      </c>
      <c r="N15" s="189">
        <v>0.9869</v>
      </c>
      <c r="O15" s="49">
        <v>180</v>
      </c>
      <c r="P15" s="49"/>
      <c r="Q15" s="49" t="s">
        <v>622</v>
      </c>
    </row>
    <row r="16" spans="1:17">
      <c r="A16" s="13">
        <f t="shared" si="5"/>
        <v>46125</v>
      </c>
      <c r="B16" s="1">
        <v>15399</v>
      </c>
      <c r="C16" s="1">
        <v>15154</v>
      </c>
      <c r="D16" s="221">
        <v>14997</v>
      </c>
      <c r="E16" s="6">
        <v>14960</v>
      </c>
      <c r="F16" s="21">
        <f t="shared" si="0"/>
        <v>-1.2801900488319915E-2</v>
      </c>
      <c r="G16" s="2">
        <f t="shared" si="1"/>
        <v>0.19996</v>
      </c>
      <c r="H16" s="2">
        <f t="shared" si="2"/>
        <v>0.24033653846153846</v>
      </c>
      <c r="I16" s="86">
        <v>6.48</v>
      </c>
      <c r="J16" s="185">
        <v>6.0039999999999996</v>
      </c>
      <c r="K16" s="21">
        <f t="shared" si="3"/>
        <v>-7.3456790123456919E-2</v>
      </c>
      <c r="L16" s="22">
        <f t="shared" si="4"/>
        <v>0.79930712858094599</v>
      </c>
      <c r="M16" s="189">
        <v>1</v>
      </c>
      <c r="N16" s="189">
        <v>0.99350000000000005</v>
      </c>
      <c r="O16" s="49">
        <v>71</v>
      </c>
      <c r="P16" s="49"/>
      <c r="Q16" s="49" t="s">
        <v>622</v>
      </c>
    </row>
    <row r="17" spans="1:17">
      <c r="A17" s="13">
        <f t="shared" si="5"/>
        <v>46126</v>
      </c>
      <c r="B17" s="1">
        <v>15399</v>
      </c>
      <c r="C17" s="1">
        <v>15154</v>
      </c>
      <c r="D17" s="221">
        <v>15998</v>
      </c>
      <c r="E17" s="6">
        <v>15880</v>
      </c>
      <c r="F17" s="21">
        <f t="shared" si="0"/>
        <v>4.7908143064537417E-2</v>
      </c>
      <c r="G17" s="2">
        <f t="shared" si="1"/>
        <v>0.21330666666666667</v>
      </c>
      <c r="H17" s="2">
        <f t="shared" si="2"/>
        <v>0.25637820512820514</v>
      </c>
      <c r="I17" s="86">
        <v>6.48</v>
      </c>
      <c r="J17" s="185">
        <v>6.3890000000000002</v>
      </c>
      <c r="K17" s="21">
        <f t="shared" si="3"/>
        <v>-1.4043209876543238E-2</v>
      </c>
      <c r="L17" s="22">
        <f t="shared" si="4"/>
        <v>0.80127719517921425</v>
      </c>
      <c r="M17" s="189">
        <v>1</v>
      </c>
      <c r="N17" s="189">
        <v>1</v>
      </c>
      <c r="O17" s="49"/>
      <c r="P17" s="49"/>
      <c r="Q17" s="49"/>
    </row>
    <row r="18" spans="1:17">
      <c r="A18" s="13">
        <f t="shared" si="5"/>
        <v>46127</v>
      </c>
      <c r="B18" s="1">
        <v>15399</v>
      </c>
      <c r="C18" s="1">
        <v>15154</v>
      </c>
      <c r="D18" s="221">
        <v>16390</v>
      </c>
      <c r="E18" s="6">
        <v>16320</v>
      </c>
      <c r="F18" s="21">
        <f t="shared" si="0"/>
        <v>7.6943381285469181E-2</v>
      </c>
      <c r="G18" s="2">
        <f t="shared" si="1"/>
        <v>0.21853333333333333</v>
      </c>
      <c r="H18" s="2">
        <f t="shared" si="2"/>
        <v>0.26266025641025642</v>
      </c>
      <c r="I18" s="86">
        <v>6.48</v>
      </c>
      <c r="J18" s="185">
        <v>6.5460000000000003</v>
      </c>
      <c r="K18" s="21">
        <f t="shared" si="3"/>
        <v>1.018518518518516E-2</v>
      </c>
      <c r="L18" s="22">
        <f t="shared" si="4"/>
        <v>0.80122212037885732</v>
      </c>
      <c r="M18" s="189">
        <v>1</v>
      </c>
      <c r="N18" s="189">
        <v>1</v>
      </c>
      <c r="O18" s="49"/>
      <c r="P18" s="49"/>
      <c r="Q18" s="49"/>
    </row>
    <row r="19" spans="1:17">
      <c r="A19" s="13">
        <f t="shared" si="5"/>
        <v>46128</v>
      </c>
      <c r="B19" s="1">
        <v>15399</v>
      </c>
      <c r="C19" s="1">
        <v>15154</v>
      </c>
      <c r="D19" s="221">
        <v>7555</v>
      </c>
      <c r="E19" s="6">
        <v>7520</v>
      </c>
      <c r="F19" s="21">
        <f t="shared" si="0"/>
        <v>-0.50376138313316621</v>
      </c>
      <c r="G19" s="2">
        <f t="shared" si="1"/>
        <v>0.10073333333333333</v>
      </c>
      <c r="H19" s="2">
        <f t="shared" si="2"/>
        <v>0.12107371794871795</v>
      </c>
      <c r="I19" s="86">
        <v>6.48</v>
      </c>
      <c r="J19" s="185">
        <v>3.0830000000000002</v>
      </c>
      <c r="K19" s="21">
        <f t="shared" si="3"/>
        <v>-0.52422839506172836</v>
      </c>
      <c r="L19" s="22">
        <f t="shared" si="4"/>
        <v>0.78417126175802787</v>
      </c>
      <c r="M19" s="189">
        <v>1</v>
      </c>
      <c r="N19" s="189">
        <v>0.62749999999999995</v>
      </c>
      <c r="O19" s="49">
        <v>6320</v>
      </c>
      <c r="P19" s="49"/>
      <c r="Q19" s="49" t="s">
        <v>622</v>
      </c>
    </row>
    <row r="20" spans="1:17">
      <c r="A20" s="13">
        <f t="shared" si="5"/>
        <v>46129</v>
      </c>
      <c r="B20" s="1">
        <v>15399</v>
      </c>
      <c r="C20" s="1">
        <v>15154</v>
      </c>
      <c r="D20" s="221">
        <v>14603</v>
      </c>
      <c r="E20" s="6">
        <v>14560</v>
      </c>
      <c r="F20" s="21">
        <f t="shared" si="0"/>
        <v>-3.9197571598257888E-2</v>
      </c>
      <c r="G20" s="2">
        <f t="shared" si="1"/>
        <v>0.19470666666666667</v>
      </c>
      <c r="H20" s="2">
        <f t="shared" si="2"/>
        <v>0.2340224358974359</v>
      </c>
      <c r="I20" s="86">
        <v>6.48</v>
      </c>
      <c r="J20" s="185">
        <v>5.8390000000000004</v>
      </c>
      <c r="K20" s="21">
        <f t="shared" si="3"/>
        <v>-9.8919753086419746E-2</v>
      </c>
      <c r="L20" s="22">
        <f t="shared" si="4"/>
        <v>0.80030142147628014</v>
      </c>
      <c r="M20" s="189">
        <v>1</v>
      </c>
      <c r="N20" s="189">
        <v>0.99350000000000005</v>
      </c>
      <c r="O20" s="49">
        <v>71</v>
      </c>
      <c r="P20" s="49"/>
      <c r="Q20" s="49" t="s">
        <v>622</v>
      </c>
    </row>
    <row r="21" spans="1:17">
      <c r="A21" s="13">
        <f t="shared" si="5"/>
        <v>46130</v>
      </c>
      <c r="B21" s="1">
        <v>15399</v>
      </c>
      <c r="C21" s="1">
        <v>15154</v>
      </c>
      <c r="D21" s="221">
        <v>14614</v>
      </c>
      <c r="E21" s="6">
        <v>14520</v>
      </c>
      <c r="F21" s="21">
        <f t="shared" si="0"/>
        <v>-4.1837138709251681E-2</v>
      </c>
      <c r="G21" s="2">
        <f t="shared" si="1"/>
        <v>0.19485333333333332</v>
      </c>
      <c r="H21" s="2">
        <f t="shared" si="2"/>
        <v>0.23419871794871794</v>
      </c>
      <c r="I21" s="86">
        <v>6.48</v>
      </c>
      <c r="J21" s="185">
        <v>5.8419999999999996</v>
      </c>
      <c r="K21" s="21">
        <f t="shared" si="3"/>
        <v>-9.84567901234569E-2</v>
      </c>
      <c r="L21" s="22">
        <f t="shared" si="4"/>
        <v>0.80049298185552897</v>
      </c>
      <c r="M21" s="189">
        <v>1</v>
      </c>
      <c r="N21" s="189">
        <v>0.99350000000000005</v>
      </c>
      <c r="O21" s="49">
        <v>109</v>
      </c>
      <c r="P21" s="186"/>
      <c r="Q21" s="49" t="s">
        <v>622</v>
      </c>
    </row>
    <row r="22" spans="1:17">
      <c r="A22" s="13">
        <f t="shared" si="5"/>
        <v>46131</v>
      </c>
      <c r="B22" s="1">
        <v>15399</v>
      </c>
      <c r="C22" s="1">
        <v>15154</v>
      </c>
      <c r="D22" s="221">
        <v>14026</v>
      </c>
      <c r="E22" s="6">
        <v>14000</v>
      </c>
      <c r="F22" s="21">
        <f t="shared" si="0"/>
        <v>-7.6151511152171045E-2</v>
      </c>
      <c r="G22" s="2">
        <f t="shared" si="1"/>
        <v>0.18701333333333334</v>
      </c>
      <c r="H22" s="2">
        <f t="shared" ref="H22:H33" si="6">E22/($D$2*24)</f>
        <v>0.18666666666666668</v>
      </c>
      <c r="I22" s="86">
        <v>6.48</v>
      </c>
      <c r="J22" s="185">
        <v>5.6070000000000002</v>
      </c>
      <c r="K22" s="21">
        <f t="shared" si="3"/>
        <v>-0.13472222222222224</v>
      </c>
      <c r="L22" s="22">
        <f t="shared" si="4"/>
        <v>0.80048510790083827</v>
      </c>
      <c r="M22" s="189">
        <v>1</v>
      </c>
      <c r="N22" s="189">
        <v>1</v>
      </c>
      <c r="O22" s="49"/>
      <c r="P22" s="186"/>
      <c r="Q22" s="49"/>
    </row>
    <row r="23" spans="1:17">
      <c r="A23" s="13">
        <f t="shared" si="5"/>
        <v>46132</v>
      </c>
      <c r="B23" s="1">
        <v>15399</v>
      </c>
      <c r="C23" s="1">
        <v>15154</v>
      </c>
      <c r="D23" s="221">
        <v>12987</v>
      </c>
      <c r="E23" s="6">
        <v>12920</v>
      </c>
      <c r="F23" s="21">
        <f t="shared" si="0"/>
        <v>-0.14741982314900356</v>
      </c>
      <c r="G23" s="2">
        <f t="shared" si="1"/>
        <v>0.17316000000000001</v>
      </c>
      <c r="H23" s="2">
        <f t="shared" si="6"/>
        <v>0.17226666666666668</v>
      </c>
      <c r="I23" s="86">
        <v>6.48</v>
      </c>
      <c r="J23" s="185">
        <v>5.2039999999999997</v>
      </c>
      <c r="K23" s="21">
        <f t="shared" si="3"/>
        <v>-0.19691358024691366</v>
      </c>
      <c r="L23" s="22">
        <f t="shared" si="4"/>
        <v>0.79858570330514989</v>
      </c>
      <c r="M23" s="189">
        <v>1</v>
      </c>
      <c r="N23" s="189">
        <v>0.9869</v>
      </c>
      <c r="O23" s="49">
        <v>205</v>
      </c>
      <c r="P23" s="186"/>
      <c r="Q23" s="49" t="s">
        <v>622</v>
      </c>
    </row>
    <row r="24" spans="1:17">
      <c r="A24" s="13">
        <f t="shared" si="5"/>
        <v>46133</v>
      </c>
      <c r="B24" s="1">
        <v>15399</v>
      </c>
      <c r="C24" s="1">
        <v>15154</v>
      </c>
      <c r="D24" s="221">
        <v>15455</v>
      </c>
      <c r="E24" s="6">
        <v>15400</v>
      </c>
      <c r="F24" s="21">
        <f t="shared" si="0"/>
        <v>1.623333773261185E-2</v>
      </c>
      <c r="G24" s="2">
        <f t="shared" si="1"/>
        <v>0.20606666666666668</v>
      </c>
      <c r="H24" s="2">
        <f t="shared" si="6"/>
        <v>0.20533333333333334</v>
      </c>
      <c r="I24" s="86">
        <v>6.48</v>
      </c>
      <c r="J24" s="185">
        <v>6.1859999999999999</v>
      </c>
      <c r="K24" s="21">
        <f t="shared" si="3"/>
        <v>-4.5370370370370443E-2</v>
      </c>
      <c r="L24" s="22">
        <f t="shared" si="4"/>
        <v>0.79948270287746526</v>
      </c>
      <c r="M24" s="189">
        <v>1</v>
      </c>
      <c r="N24" s="189">
        <v>0.9869</v>
      </c>
      <c r="O24" s="49">
        <v>120</v>
      </c>
      <c r="P24" s="186"/>
      <c r="Q24" s="49" t="s">
        <v>622</v>
      </c>
    </row>
    <row r="25" spans="1:17">
      <c r="A25" s="13">
        <f t="shared" si="5"/>
        <v>46134</v>
      </c>
      <c r="B25" s="1">
        <v>15399</v>
      </c>
      <c r="C25" s="1">
        <v>15154</v>
      </c>
      <c r="D25" s="221">
        <v>15169</v>
      </c>
      <c r="E25" s="6">
        <v>15080</v>
      </c>
      <c r="F25" s="21">
        <f t="shared" si="0"/>
        <v>-4.8831991553385246E-3</v>
      </c>
      <c r="G25" s="2">
        <f t="shared" si="1"/>
        <v>0.20225333333333334</v>
      </c>
      <c r="H25" s="2">
        <f t="shared" si="6"/>
        <v>0.20106666666666667</v>
      </c>
      <c r="I25" s="86">
        <v>6.48</v>
      </c>
      <c r="J25" s="185">
        <v>6.0730000000000004</v>
      </c>
      <c r="K25" s="21">
        <f t="shared" si="3"/>
        <v>-6.2808641975308638E-2</v>
      </c>
      <c r="L25" s="22">
        <f t="shared" si="4"/>
        <v>0.79928865470113619</v>
      </c>
      <c r="M25" s="189">
        <v>1</v>
      </c>
      <c r="N25" s="189">
        <v>0.98699999999999999</v>
      </c>
      <c r="O25" s="49">
        <v>216</v>
      </c>
      <c r="P25" s="186"/>
      <c r="Q25" s="49" t="s">
        <v>622</v>
      </c>
    </row>
    <row r="26" spans="1:17">
      <c r="A26" s="13">
        <f t="shared" si="5"/>
        <v>46135</v>
      </c>
      <c r="B26" s="1">
        <v>15399</v>
      </c>
      <c r="C26" s="1">
        <v>15154</v>
      </c>
      <c r="D26" s="221">
        <v>14717</v>
      </c>
      <c r="E26" s="6">
        <v>14640</v>
      </c>
      <c r="F26" s="21">
        <f t="shared" si="0"/>
        <v>-3.3918437376270288E-2</v>
      </c>
      <c r="G26" s="2">
        <f t="shared" si="1"/>
        <v>0.19622666666666666</v>
      </c>
      <c r="H26" s="2">
        <f t="shared" si="6"/>
        <v>0.19520000000000001</v>
      </c>
      <c r="I26" s="86">
        <v>6.48</v>
      </c>
      <c r="J26" s="185">
        <v>5.8849999999999998</v>
      </c>
      <c r="K26" s="21">
        <f t="shared" si="3"/>
        <v>-9.1820987654321076E-2</v>
      </c>
      <c r="L26" s="22">
        <f t="shared" si="4"/>
        <v>0.80024468988954967</v>
      </c>
      <c r="M26" s="189">
        <v>1</v>
      </c>
      <c r="N26" s="189">
        <v>1</v>
      </c>
      <c r="O26" s="49"/>
      <c r="P26" s="49"/>
      <c r="Q26" s="49"/>
    </row>
    <row r="27" spans="1:17">
      <c r="A27" s="13">
        <f t="shared" si="5"/>
        <v>46136</v>
      </c>
      <c r="B27" s="1">
        <v>15399</v>
      </c>
      <c r="C27" s="1">
        <v>15154</v>
      </c>
      <c r="D27" s="221">
        <v>11748</v>
      </c>
      <c r="E27" s="6">
        <v>11720</v>
      </c>
      <c r="F27" s="21">
        <f t="shared" si="0"/>
        <v>-0.22660683647881746</v>
      </c>
      <c r="G27" s="2">
        <f t="shared" si="1"/>
        <v>0.15664</v>
      </c>
      <c r="H27" s="2">
        <f t="shared" si="6"/>
        <v>0.15626666666666666</v>
      </c>
      <c r="I27" s="86">
        <v>6.48</v>
      </c>
      <c r="J27" s="185">
        <v>4.7039999999999997</v>
      </c>
      <c r="K27" s="21">
        <f t="shared" si="3"/>
        <v>-0.27407407407407414</v>
      </c>
      <c r="L27" s="22">
        <f t="shared" si="4"/>
        <v>0.79918367346938779</v>
      </c>
      <c r="M27" s="189">
        <v>1</v>
      </c>
      <c r="N27" s="189">
        <v>0.99350000000000005</v>
      </c>
      <c r="O27" s="49">
        <v>5</v>
      </c>
      <c r="P27" s="49"/>
      <c r="Q27" s="49" t="s">
        <v>622</v>
      </c>
    </row>
    <row r="28" spans="1:17">
      <c r="A28" s="13">
        <f t="shared" si="5"/>
        <v>46137</v>
      </c>
      <c r="B28" s="1">
        <v>15399</v>
      </c>
      <c r="C28" s="1">
        <v>15154</v>
      </c>
      <c r="D28" s="221">
        <v>14730</v>
      </c>
      <c r="E28" s="6">
        <v>14680</v>
      </c>
      <c r="F28" s="21">
        <f t="shared" si="0"/>
        <v>-3.1278870265276495E-2</v>
      </c>
      <c r="G28" s="2">
        <f t="shared" si="1"/>
        <v>0.19639999999999999</v>
      </c>
      <c r="H28" s="2">
        <f t="shared" si="6"/>
        <v>0.19573333333333334</v>
      </c>
      <c r="I28" s="86">
        <v>6.48</v>
      </c>
      <c r="J28" s="185">
        <v>5.8890000000000002</v>
      </c>
      <c r="K28" s="21">
        <f t="shared" si="3"/>
        <v>-9.1203703703703731E-2</v>
      </c>
      <c r="L28" s="22">
        <f t="shared" si="4"/>
        <v>0.80040753948038712</v>
      </c>
      <c r="M28" s="189">
        <v>1</v>
      </c>
      <c r="N28" s="189">
        <v>1</v>
      </c>
      <c r="O28" s="49"/>
      <c r="P28" s="186"/>
      <c r="Q28" s="49"/>
    </row>
    <row r="29" spans="1:17">
      <c r="A29" s="13">
        <f t="shared" si="5"/>
        <v>46138</v>
      </c>
      <c r="B29" s="1">
        <v>15399</v>
      </c>
      <c r="C29" s="1">
        <v>15154</v>
      </c>
      <c r="D29" s="221">
        <v>13540</v>
      </c>
      <c r="E29" s="6">
        <v>13480</v>
      </c>
      <c r="F29" s="21">
        <f t="shared" si="0"/>
        <v>-0.11046588359509041</v>
      </c>
      <c r="G29" s="2">
        <f t="shared" si="1"/>
        <v>0.18053333333333332</v>
      </c>
      <c r="H29" s="2">
        <f t="shared" si="6"/>
        <v>0.17973333333333333</v>
      </c>
      <c r="I29" s="86">
        <v>6.48</v>
      </c>
      <c r="J29" s="185">
        <v>5.44</v>
      </c>
      <c r="K29" s="21">
        <f t="shared" si="3"/>
        <v>-0.16049382716049382</v>
      </c>
      <c r="L29" s="22">
        <f t="shared" si="4"/>
        <v>0.79647058823529415</v>
      </c>
      <c r="M29" s="189">
        <v>1</v>
      </c>
      <c r="N29" s="25">
        <v>0.995</v>
      </c>
      <c r="O29" s="49">
        <v>320</v>
      </c>
      <c r="P29" s="49"/>
      <c r="Q29" s="49" t="s">
        <v>622</v>
      </c>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49"/>
      <c r="P30" s="6"/>
      <c r="Q30" s="49"/>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49"/>
      <c r="P31" s="6"/>
      <c r="Q31" s="49"/>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49"/>
      <c r="P32" s="6"/>
      <c r="Q32" s="49"/>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49"/>
      <c r="P33" s="6"/>
      <c r="Q33" s="49"/>
    </row>
    <row r="34" spans="1:17">
      <c r="A34" s="349">
        <v>46113</v>
      </c>
      <c r="B34" s="89">
        <f>SUM(B4:B33)</f>
        <v>400374</v>
      </c>
      <c r="C34" s="89">
        <f>SUM(C4:C33)</f>
        <v>394004</v>
      </c>
      <c r="D34" s="89">
        <f>SUM(D4:D33)</f>
        <v>385984</v>
      </c>
      <c r="E34" s="89">
        <f>SUM(E4:E33)</f>
        <v>383880</v>
      </c>
      <c r="F34" s="160">
        <f t="shared" si="0"/>
        <v>-2.5695170607405001E-2</v>
      </c>
      <c r="G34" s="90">
        <f>AVERAGE(G4:G33)</f>
        <v>0.17154844444444442</v>
      </c>
      <c r="H34" s="90">
        <f>AVERAGE(H4:H33)</f>
        <v>0.19590247863247859</v>
      </c>
      <c r="I34" s="89">
        <f>SUM(I4:I33)</f>
        <v>168.48</v>
      </c>
      <c r="J34" s="89">
        <f>SUM(J4:J33)</f>
        <v>154.47800000000001</v>
      </c>
      <c r="K34" s="160">
        <f t="shared" si="3"/>
        <v>-8.3107787274453837E-2</v>
      </c>
      <c r="L34" s="161">
        <f t="shared" si="4"/>
        <v>0.79956291510765287</v>
      </c>
      <c r="M34" s="90">
        <f>AVERAGE(M4:M33)</f>
        <v>1</v>
      </c>
      <c r="N34" s="90">
        <f>AVERAGE(N4:N33)</f>
        <v>0.95861538461538442</v>
      </c>
      <c r="O34" s="89">
        <f>SUM(O4:O33)</f>
        <v>12462</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8746-C4FC-4440-A127-5AB75DECBDE0}">
  <dimension ref="A1:Q66"/>
  <sheetViews>
    <sheetView topLeftCell="A33"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629</v>
      </c>
      <c r="B1" s="406"/>
      <c r="C1" s="406"/>
      <c r="D1" s="406"/>
      <c r="E1" s="406"/>
      <c r="F1" s="406"/>
      <c r="G1" s="406"/>
      <c r="H1" s="406"/>
      <c r="I1" s="406"/>
      <c r="J1" s="406"/>
      <c r="K1" s="406"/>
      <c r="L1" s="406"/>
      <c r="M1" s="406"/>
      <c r="N1" s="406"/>
      <c r="O1" s="406"/>
      <c r="P1" s="406"/>
      <c r="Q1" s="406"/>
    </row>
    <row r="2" spans="1:17" ht="18.5">
      <c r="A2" s="7">
        <v>46113</v>
      </c>
      <c r="B2" s="407" t="s">
        <v>172</v>
      </c>
      <c r="C2" s="408"/>
      <c r="D2" s="8">
        <v>1715.42</v>
      </c>
      <c r="E2" s="407" t="s">
        <v>173</v>
      </c>
      <c r="F2" s="407"/>
      <c r="G2" s="408"/>
      <c r="H2" s="8">
        <v>1400</v>
      </c>
      <c r="I2" s="409" t="s">
        <v>174</v>
      </c>
      <c r="J2" s="410"/>
      <c r="K2" s="9">
        <v>44785</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9751</v>
      </c>
      <c r="C4" s="1">
        <v>8691</v>
      </c>
      <c r="D4" s="221">
        <v>9564</v>
      </c>
      <c r="E4" s="6">
        <v>9435</v>
      </c>
      <c r="F4" s="21">
        <f t="shared" ref="F4:F35" si="0">(IF(ISBLANK(E4),0,E4-C4))/C4</f>
        <v>8.560579910251985E-2</v>
      </c>
      <c r="G4" s="2">
        <f t="shared" ref="G4:G33" si="1">D4/($D$2*24)</f>
        <v>0.23230462510638794</v>
      </c>
      <c r="H4" s="2">
        <f t="shared" ref="H4:H21" si="2">D4/($H$2*24)</f>
        <v>0.28464285714285714</v>
      </c>
      <c r="I4" s="86">
        <v>6.84</v>
      </c>
      <c r="J4" s="185">
        <v>6.66</v>
      </c>
      <c r="K4" s="21">
        <f t="shared" ref="K4:K35" si="3">(IF(ISBLANK(J4),0,J4-I4))/I4</f>
        <v>-2.6315789473684171E-2</v>
      </c>
      <c r="L4" s="22">
        <f t="shared" ref="L4:L35" si="4">D4/($D$2*J4)</f>
        <v>0.83713378416716366</v>
      </c>
      <c r="M4" s="25">
        <v>1</v>
      </c>
      <c r="N4" s="25">
        <v>1</v>
      </c>
      <c r="O4" s="49"/>
      <c r="P4" s="49"/>
      <c r="Q4" s="191"/>
    </row>
    <row r="5" spans="1:17">
      <c r="A5" s="13">
        <f t="shared" ref="A5:A33" si="5">A4+1</f>
        <v>46114</v>
      </c>
      <c r="B5" s="1">
        <v>9751</v>
      </c>
      <c r="C5" s="1">
        <v>8691</v>
      </c>
      <c r="D5" s="221">
        <v>9780</v>
      </c>
      <c r="E5" s="6">
        <v>9690</v>
      </c>
      <c r="F5" s="21">
        <f t="shared" si="0"/>
        <v>0.11494649637556092</v>
      </c>
      <c r="G5" s="2">
        <f t="shared" si="1"/>
        <v>0.23755115365333271</v>
      </c>
      <c r="H5" s="2">
        <f t="shared" si="2"/>
        <v>0.29107142857142859</v>
      </c>
      <c r="I5" s="86">
        <v>6.84</v>
      </c>
      <c r="J5" s="185">
        <v>6.96</v>
      </c>
      <c r="K5" s="21">
        <f t="shared" si="3"/>
        <v>1.7543859649122823E-2</v>
      </c>
      <c r="L5" s="22">
        <f t="shared" si="4"/>
        <v>0.81914190914942309</v>
      </c>
      <c r="M5" s="25">
        <v>1</v>
      </c>
      <c r="N5" s="25">
        <v>1</v>
      </c>
      <c r="O5" s="49"/>
      <c r="P5" s="49"/>
      <c r="Q5" s="49"/>
    </row>
    <row r="6" spans="1:17">
      <c r="A6" s="13">
        <f t="shared" si="5"/>
        <v>46115</v>
      </c>
      <c r="B6" s="1">
        <v>9751</v>
      </c>
      <c r="C6" s="1">
        <v>8691</v>
      </c>
      <c r="D6" s="221">
        <v>7126</v>
      </c>
      <c r="E6" s="6">
        <v>7050</v>
      </c>
      <c r="F6" s="21">
        <f t="shared" si="0"/>
        <v>-0.18881601656886435</v>
      </c>
      <c r="G6" s="2">
        <f t="shared" si="1"/>
        <v>0.17308686308115018</v>
      </c>
      <c r="H6" s="2">
        <f t="shared" si="2"/>
        <v>0.21208333333333335</v>
      </c>
      <c r="I6" s="86">
        <v>6.84</v>
      </c>
      <c r="J6" s="185">
        <v>4.8600000000000003</v>
      </c>
      <c r="K6" s="21">
        <f t="shared" si="3"/>
        <v>-0.28947368421052627</v>
      </c>
      <c r="L6" s="22">
        <f t="shared" si="4"/>
        <v>0.85474994114148228</v>
      </c>
      <c r="M6" s="25">
        <v>1</v>
      </c>
      <c r="N6" s="25">
        <v>1</v>
      </c>
      <c r="O6" s="49"/>
      <c r="P6" s="49"/>
      <c r="Q6" s="49"/>
    </row>
    <row r="7" spans="1:17">
      <c r="A7" s="13">
        <f t="shared" si="5"/>
        <v>46116</v>
      </c>
      <c r="B7" s="1">
        <v>9751</v>
      </c>
      <c r="C7" s="1">
        <v>8691</v>
      </c>
      <c r="D7" s="221">
        <v>9551</v>
      </c>
      <c r="E7" s="6">
        <v>9390</v>
      </c>
      <c r="F7" s="21">
        <f t="shared" si="0"/>
        <v>8.0428028995512602E-2</v>
      </c>
      <c r="G7" s="2">
        <f t="shared" si="1"/>
        <v>0.23198886181421069</v>
      </c>
      <c r="H7" s="2">
        <f t="shared" si="2"/>
        <v>0.28425595238095236</v>
      </c>
      <c r="I7" s="86">
        <v>6.84</v>
      </c>
      <c r="J7" s="185">
        <v>6.9</v>
      </c>
      <c r="K7" s="21">
        <f t="shared" si="3"/>
        <v>8.7719298245614759E-3</v>
      </c>
      <c r="L7" s="22">
        <f t="shared" si="4"/>
        <v>0.80691778022334149</v>
      </c>
      <c r="M7" s="25">
        <v>1</v>
      </c>
      <c r="N7" s="25">
        <v>1</v>
      </c>
      <c r="O7" s="49"/>
      <c r="P7" s="49"/>
      <c r="Q7" s="49"/>
    </row>
    <row r="8" spans="1:17">
      <c r="A8" s="13">
        <f t="shared" si="5"/>
        <v>46117</v>
      </c>
      <c r="B8" s="1">
        <v>9751</v>
      </c>
      <c r="C8" s="1">
        <v>8691</v>
      </c>
      <c r="D8" s="221">
        <v>9506</v>
      </c>
      <c r="E8" s="6">
        <v>9375</v>
      </c>
      <c r="F8" s="21">
        <f t="shared" si="0"/>
        <v>7.8702105626510185E-2</v>
      </c>
      <c r="G8" s="2">
        <f t="shared" si="1"/>
        <v>0.2308958350335972</v>
      </c>
      <c r="H8" s="2">
        <f t="shared" si="2"/>
        <v>0.28291666666666665</v>
      </c>
      <c r="I8" s="86">
        <v>6.84</v>
      </c>
      <c r="J8" s="185">
        <v>6.84</v>
      </c>
      <c r="K8" s="21">
        <f t="shared" si="3"/>
        <v>0</v>
      </c>
      <c r="L8" s="22">
        <f t="shared" si="4"/>
        <v>0.81016082467928852</v>
      </c>
      <c r="M8" s="25">
        <v>1</v>
      </c>
      <c r="N8" s="25">
        <v>1</v>
      </c>
      <c r="O8" s="49"/>
      <c r="P8" s="49"/>
      <c r="Q8" s="49"/>
    </row>
    <row r="9" spans="1:17">
      <c r="A9" s="13">
        <f t="shared" si="5"/>
        <v>46118</v>
      </c>
      <c r="B9" s="1">
        <v>9751</v>
      </c>
      <c r="C9" s="1">
        <v>8691</v>
      </c>
      <c r="D9" s="221">
        <v>9498</v>
      </c>
      <c r="E9" s="6">
        <v>9405</v>
      </c>
      <c r="F9" s="21">
        <f t="shared" si="0"/>
        <v>8.2153952364515018E-2</v>
      </c>
      <c r="G9" s="2">
        <f t="shared" si="1"/>
        <v>0.23070151916148815</v>
      </c>
      <c r="H9" s="2">
        <f t="shared" si="2"/>
        <v>0.28267857142857145</v>
      </c>
      <c r="I9" s="86">
        <v>6.84</v>
      </c>
      <c r="J9" s="185">
        <v>6.83</v>
      </c>
      <c r="K9" s="21">
        <f t="shared" si="3"/>
        <v>-1.4619883040935362E-3</v>
      </c>
      <c r="L9" s="22">
        <f t="shared" si="4"/>
        <v>0.81066419617506813</v>
      </c>
      <c r="M9" s="25">
        <v>1</v>
      </c>
      <c r="N9" s="25">
        <v>1</v>
      </c>
      <c r="O9" s="49"/>
      <c r="P9" s="49"/>
      <c r="Q9" s="49"/>
    </row>
    <row r="10" spans="1:17">
      <c r="A10" s="13">
        <f t="shared" si="5"/>
        <v>46119</v>
      </c>
      <c r="B10" s="1">
        <v>9751</v>
      </c>
      <c r="C10" s="1">
        <v>8691</v>
      </c>
      <c r="D10" s="221">
        <v>7896</v>
      </c>
      <c r="E10" s="6">
        <v>7800</v>
      </c>
      <c r="F10" s="21">
        <f t="shared" si="0"/>
        <v>-0.10251984811874353</v>
      </c>
      <c r="G10" s="2">
        <f t="shared" si="1"/>
        <v>0.19178976577164775</v>
      </c>
      <c r="H10" s="2">
        <f t="shared" si="2"/>
        <v>0.23499999999999999</v>
      </c>
      <c r="I10" s="86">
        <v>6.84</v>
      </c>
      <c r="J10" s="185">
        <v>6.51</v>
      </c>
      <c r="K10" s="21">
        <f t="shared" si="3"/>
        <v>-4.824561403508773E-2</v>
      </c>
      <c r="L10" s="22">
        <f t="shared" si="4"/>
        <v>0.70705904431943867</v>
      </c>
      <c r="M10" s="25">
        <v>1</v>
      </c>
      <c r="N10" s="25">
        <v>0.62239999999999995</v>
      </c>
      <c r="O10" s="49">
        <v>1951</v>
      </c>
      <c r="P10" s="219"/>
      <c r="Q10" s="49" t="s">
        <v>630</v>
      </c>
    </row>
    <row r="11" spans="1:17">
      <c r="A11" s="13">
        <f t="shared" si="5"/>
        <v>46120</v>
      </c>
      <c r="B11" s="1">
        <v>9751</v>
      </c>
      <c r="C11" s="1">
        <v>8691</v>
      </c>
      <c r="D11" s="221">
        <v>8187</v>
      </c>
      <c r="E11" s="6">
        <v>7995</v>
      </c>
      <c r="F11" s="21">
        <f t="shared" si="0"/>
        <v>-8.0082844321712116E-2</v>
      </c>
      <c r="G11" s="2">
        <f t="shared" si="1"/>
        <v>0.198858005619615</v>
      </c>
      <c r="H11" s="2">
        <f t="shared" si="2"/>
        <v>0.24366071428571429</v>
      </c>
      <c r="I11" s="86">
        <v>6.84</v>
      </c>
      <c r="J11" s="185">
        <v>6.74</v>
      </c>
      <c r="K11" s="21">
        <f t="shared" si="3"/>
        <v>-1.4619883040935621E-2</v>
      </c>
      <c r="L11" s="22">
        <f t="shared" si="4"/>
        <v>0.70809972327459358</v>
      </c>
      <c r="M11" s="25">
        <v>1</v>
      </c>
      <c r="N11" s="25">
        <v>0.6643</v>
      </c>
      <c r="O11" s="49">
        <v>1564</v>
      </c>
      <c r="P11" s="49"/>
      <c r="Q11" s="49" t="s">
        <v>631</v>
      </c>
    </row>
    <row r="12" spans="1:17">
      <c r="A12" s="13">
        <f t="shared" si="5"/>
        <v>46121</v>
      </c>
      <c r="B12" s="1">
        <v>9751</v>
      </c>
      <c r="C12" s="1">
        <v>8691</v>
      </c>
      <c r="D12" s="221">
        <v>10098</v>
      </c>
      <c r="E12" s="6">
        <v>10020</v>
      </c>
      <c r="F12" s="21">
        <f t="shared" si="0"/>
        <v>0.15291681049361408</v>
      </c>
      <c r="G12" s="2">
        <f t="shared" si="1"/>
        <v>0.24527520956966806</v>
      </c>
      <c r="H12" s="2">
        <f t="shared" si="2"/>
        <v>0.30053571428571429</v>
      </c>
      <c r="I12" s="86">
        <v>6.84</v>
      </c>
      <c r="J12" s="185">
        <v>7.06</v>
      </c>
      <c r="K12" s="21">
        <f t="shared" si="3"/>
        <v>3.2163742690058443E-2</v>
      </c>
      <c r="L12" s="22">
        <f t="shared" si="4"/>
        <v>0.83379674641246937</v>
      </c>
      <c r="M12" s="25">
        <v>1</v>
      </c>
      <c r="N12" s="25">
        <v>1</v>
      </c>
      <c r="O12" s="49"/>
      <c r="P12" s="49"/>
      <c r="Q12" s="49"/>
    </row>
    <row r="13" spans="1:17">
      <c r="A13" s="13">
        <f t="shared" si="5"/>
        <v>46122</v>
      </c>
      <c r="B13" s="1">
        <v>9751</v>
      </c>
      <c r="C13" s="1">
        <v>8691</v>
      </c>
      <c r="D13" s="221">
        <v>9990</v>
      </c>
      <c r="E13" s="6">
        <v>9780</v>
      </c>
      <c r="F13" s="21">
        <f t="shared" si="0"/>
        <v>0.12530203658957542</v>
      </c>
      <c r="G13" s="2">
        <f t="shared" si="1"/>
        <v>0.24265194529619569</v>
      </c>
      <c r="H13" s="2">
        <f t="shared" si="2"/>
        <v>0.29732142857142857</v>
      </c>
      <c r="I13" s="86">
        <v>6.84</v>
      </c>
      <c r="J13" s="185">
        <v>7.02</v>
      </c>
      <c r="K13" s="21">
        <f t="shared" si="3"/>
        <v>2.6315789473684171E-2</v>
      </c>
      <c r="L13" s="22">
        <f t="shared" si="4"/>
        <v>0.82957930015793391</v>
      </c>
      <c r="M13" s="25">
        <v>1</v>
      </c>
      <c r="N13" s="25">
        <v>1</v>
      </c>
      <c r="O13" s="49"/>
      <c r="P13" s="49"/>
      <c r="Q13" s="49"/>
    </row>
    <row r="14" spans="1:17">
      <c r="A14" s="13">
        <f t="shared" si="5"/>
        <v>46123</v>
      </c>
      <c r="B14" s="1">
        <v>9751</v>
      </c>
      <c r="C14" s="1">
        <v>8691</v>
      </c>
      <c r="D14" s="221">
        <v>9770</v>
      </c>
      <c r="E14" s="6">
        <v>9690</v>
      </c>
      <c r="F14" s="21">
        <f t="shared" si="0"/>
        <v>0.11494649637556092</v>
      </c>
      <c r="G14" s="2">
        <f t="shared" si="1"/>
        <v>0.23730825881319637</v>
      </c>
      <c r="H14" s="2">
        <f t="shared" si="2"/>
        <v>0.29077380952380955</v>
      </c>
      <c r="I14" s="86">
        <v>6.84</v>
      </c>
      <c r="J14" s="185">
        <v>6.95</v>
      </c>
      <c r="K14" s="21">
        <f t="shared" si="3"/>
        <v>1.6081871345029287E-2</v>
      </c>
      <c r="L14" s="22">
        <f t="shared" si="4"/>
        <v>0.81948175705276438</v>
      </c>
      <c r="M14" s="25">
        <v>1</v>
      </c>
      <c r="N14" s="25">
        <v>1</v>
      </c>
      <c r="O14" s="49"/>
      <c r="P14" s="49"/>
      <c r="Q14" s="49"/>
    </row>
    <row r="15" spans="1:17">
      <c r="A15" s="13">
        <f t="shared" si="5"/>
        <v>46124</v>
      </c>
      <c r="B15" s="1">
        <v>9751</v>
      </c>
      <c r="C15" s="1">
        <v>8691</v>
      </c>
      <c r="D15" s="221">
        <v>9848</v>
      </c>
      <c r="E15" s="6">
        <v>9765</v>
      </c>
      <c r="F15" s="21">
        <f t="shared" si="0"/>
        <v>0.12357611322057301</v>
      </c>
      <c r="G15" s="2">
        <f t="shared" si="1"/>
        <v>0.23920283856625976</v>
      </c>
      <c r="H15" s="2">
        <f t="shared" si="2"/>
        <v>0.29309523809523808</v>
      </c>
      <c r="I15" s="86">
        <v>6.84</v>
      </c>
      <c r="J15" s="185">
        <v>7.13</v>
      </c>
      <c r="K15" s="21">
        <f t="shared" si="3"/>
        <v>4.2397660818713455E-2</v>
      </c>
      <c r="L15" s="22">
        <f t="shared" si="4"/>
        <v>0.80517084510381964</v>
      </c>
      <c r="M15" s="25">
        <v>1</v>
      </c>
      <c r="N15" s="25">
        <v>1</v>
      </c>
      <c r="O15" s="49"/>
      <c r="P15" s="49"/>
      <c r="Q15" s="49"/>
    </row>
    <row r="16" spans="1:17">
      <c r="A16" s="13">
        <f t="shared" si="5"/>
        <v>46125</v>
      </c>
      <c r="B16" s="1">
        <v>9751</v>
      </c>
      <c r="C16" s="1">
        <v>8691</v>
      </c>
      <c r="D16" s="221">
        <v>9788</v>
      </c>
      <c r="E16" s="6">
        <v>9735</v>
      </c>
      <c r="F16" s="21">
        <f t="shared" si="0"/>
        <v>0.12012426648256817</v>
      </c>
      <c r="G16" s="2">
        <f t="shared" si="1"/>
        <v>0.23774546952544176</v>
      </c>
      <c r="H16" s="2">
        <f t="shared" si="2"/>
        <v>0.2913095238095238</v>
      </c>
      <c r="I16" s="86">
        <v>6.84</v>
      </c>
      <c r="J16" s="185">
        <v>7.07</v>
      </c>
      <c r="K16" s="21">
        <f t="shared" si="3"/>
        <v>3.3625730994152107E-2</v>
      </c>
      <c r="L16" s="22">
        <f t="shared" si="4"/>
        <v>0.80705675652200881</v>
      </c>
      <c r="M16" s="25">
        <v>1</v>
      </c>
      <c r="N16" s="25">
        <v>1</v>
      </c>
      <c r="O16" s="49"/>
      <c r="P16" s="49"/>
      <c r="Q16" s="49"/>
    </row>
    <row r="17" spans="1:17">
      <c r="A17" s="13">
        <f t="shared" si="5"/>
        <v>46126</v>
      </c>
      <c r="B17" s="1">
        <v>9751</v>
      </c>
      <c r="C17" s="1">
        <v>8691</v>
      </c>
      <c r="D17" s="221">
        <v>10314</v>
      </c>
      <c r="E17" s="6">
        <v>10155</v>
      </c>
      <c r="F17" s="21">
        <f t="shared" si="0"/>
        <v>0.16845012081463584</v>
      </c>
      <c r="G17" s="2">
        <f t="shared" si="1"/>
        <v>0.25052173811661282</v>
      </c>
      <c r="H17" s="2">
        <f t="shared" si="2"/>
        <v>0.30696428571428569</v>
      </c>
      <c r="I17" s="86">
        <v>6.84</v>
      </c>
      <c r="J17" s="185">
        <v>7.45</v>
      </c>
      <c r="K17" s="21">
        <f t="shared" si="3"/>
        <v>8.9181286549707653E-2</v>
      </c>
      <c r="L17" s="22">
        <f t="shared" si="4"/>
        <v>0.80704989460385335</v>
      </c>
      <c r="M17" s="25">
        <v>1</v>
      </c>
      <c r="N17" s="25">
        <v>1</v>
      </c>
      <c r="O17" s="49"/>
      <c r="P17" s="49"/>
      <c r="Q17" s="49"/>
    </row>
    <row r="18" spans="1:17">
      <c r="A18" s="13">
        <f t="shared" si="5"/>
        <v>46127</v>
      </c>
      <c r="B18" s="1">
        <v>9751</v>
      </c>
      <c r="C18" s="1">
        <v>8691</v>
      </c>
      <c r="D18" s="221">
        <v>10514</v>
      </c>
      <c r="E18" s="6">
        <v>10320</v>
      </c>
      <c r="F18" s="21">
        <f t="shared" si="0"/>
        <v>0.1874352778736624</v>
      </c>
      <c r="G18" s="2">
        <f t="shared" si="1"/>
        <v>0.25537963491933946</v>
      </c>
      <c r="H18" s="2">
        <f t="shared" si="2"/>
        <v>0.31291666666666668</v>
      </c>
      <c r="I18" s="86">
        <v>6.84</v>
      </c>
      <c r="J18" s="185">
        <v>7.53</v>
      </c>
      <c r="K18" s="21">
        <f t="shared" si="3"/>
        <v>0.1008771929824562</v>
      </c>
      <c r="L18" s="22">
        <f t="shared" si="4"/>
        <v>0.81395899575885089</v>
      </c>
      <c r="M18" s="25">
        <v>1</v>
      </c>
      <c r="N18" s="25">
        <v>1</v>
      </c>
      <c r="O18" s="49"/>
      <c r="P18" s="49"/>
      <c r="Q18" s="49"/>
    </row>
    <row r="19" spans="1:17">
      <c r="A19" s="13">
        <f t="shared" si="5"/>
        <v>46128</v>
      </c>
      <c r="B19" s="1">
        <v>9751</v>
      </c>
      <c r="C19" s="1">
        <v>8691</v>
      </c>
      <c r="D19" s="221">
        <v>10372</v>
      </c>
      <c r="E19" s="6">
        <v>10260</v>
      </c>
      <c r="F19" s="21">
        <f t="shared" si="0"/>
        <v>0.18053158439765274</v>
      </c>
      <c r="G19" s="2">
        <f t="shared" si="1"/>
        <v>0.25193052818940354</v>
      </c>
      <c r="H19" s="2">
        <f t="shared" si="2"/>
        <v>0.30869047619047618</v>
      </c>
      <c r="I19" s="86">
        <v>6.84</v>
      </c>
      <c r="J19" s="185">
        <v>7.42</v>
      </c>
      <c r="K19" s="21">
        <f t="shared" si="3"/>
        <v>8.479532163742691E-2</v>
      </c>
      <c r="L19" s="22">
        <f t="shared" si="4"/>
        <v>0.81486963295763959</v>
      </c>
      <c r="M19" s="25">
        <v>1</v>
      </c>
      <c r="N19" s="25">
        <v>1</v>
      </c>
      <c r="O19" s="49"/>
      <c r="P19" s="49"/>
      <c r="Q19" s="49"/>
    </row>
    <row r="20" spans="1:17">
      <c r="A20" s="13">
        <f t="shared" si="5"/>
        <v>46129</v>
      </c>
      <c r="B20" s="1">
        <v>9751</v>
      </c>
      <c r="C20" s="1">
        <v>8691</v>
      </c>
      <c r="D20" s="221">
        <v>8944</v>
      </c>
      <c r="E20" s="6">
        <v>8775</v>
      </c>
      <c r="F20" s="21">
        <f t="shared" si="0"/>
        <v>9.6651708664135319E-3</v>
      </c>
      <c r="G20" s="2">
        <f t="shared" si="1"/>
        <v>0.21724514501793535</v>
      </c>
      <c r="H20" s="2">
        <f t="shared" si="2"/>
        <v>0.2661904761904762</v>
      </c>
      <c r="I20" s="86">
        <v>6.84</v>
      </c>
      <c r="J20" s="185">
        <v>6.16</v>
      </c>
      <c r="K20" s="21">
        <f t="shared" si="3"/>
        <v>-9.941520467836254E-2</v>
      </c>
      <c r="L20" s="22">
        <f t="shared" si="4"/>
        <v>0.84640965591403372</v>
      </c>
      <c r="M20" s="25">
        <v>1</v>
      </c>
      <c r="N20" s="25">
        <v>1</v>
      </c>
      <c r="O20" s="49"/>
      <c r="P20" s="49"/>
      <c r="Q20" s="49"/>
    </row>
    <row r="21" spans="1:17">
      <c r="A21" s="13">
        <f t="shared" si="5"/>
        <v>46130</v>
      </c>
      <c r="B21" s="1">
        <v>9751</v>
      </c>
      <c r="C21" s="1">
        <v>8691</v>
      </c>
      <c r="D21" s="221">
        <v>9760</v>
      </c>
      <c r="E21" s="6">
        <v>9750</v>
      </c>
      <c r="F21" s="21">
        <f t="shared" si="0"/>
        <v>0.12185018985157059</v>
      </c>
      <c r="G21" s="2">
        <f t="shared" si="1"/>
        <v>0.23706536397306005</v>
      </c>
      <c r="H21" s="2">
        <f t="shared" si="2"/>
        <v>0.2904761904761905</v>
      </c>
      <c r="I21" s="86">
        <v>6.84</v>
      </c>
      <c r="J21" s="185">
        <v>6.91</v>
      </c>
      <c r="K21" s="21">
        <f t="shared" si="3"/>
        <v>1.0233918128655012E-2</v>
      </c>
      <c r="L21" s="22">
        <f t="shared" si="4"/>
        <v>0.82338187197589596</v>
      </c>
      <c r="M21" s="25">
        <v>1</v>
      </c>
      <c r="N21" s="25">
        <v>1</v>
      </c>
      <c r="O21" s="49"/>
      <c r="P21" s="186"/>
      <c r="Q21" s="49"/>
    </row>
    <row r="22" spans="1:17">
      <c r="A22" s="13">
        <f t="shared" si="5"/>
        <v>46131</v>
      </c>
      <c r="B22" s="1">
        <v>9751</v>
      </c>
      <c r="C22" s="1">
        <v>8691</v>
      </c>
      <c r="D22" s="221">
        <v>10036</v>
      </c>
      <c r="E22" s="6">
        <v>9870</v>
      </c>
      <c r="F22" s="21">
        <f t="shared" si="0"/>
        <v>0.13565757680358992</v>
      </c>
      <c r="G22" s="2">
        <f t="shared" si="1"/>
        <v>0.24376926156082279</v>
      </c>
      <c r="H22" s="2">
        <f t="shared" ref="H22:H33" si="6">E22/($D$2*24)</f>
        <v>0.23973720721455968</v>
      </c>
      <c r="I22" s="86">
        <v>6.84</v>
      </c>
      <c r="J22" s="185">
        <v>6.88</v>
      </c>
      <c r="K22" s="21">
        <f t="shared" si="3"/>
        <v>5.8479532163742748E-3</v>
      </c>
      <c r="L22" s="22">
        <f t="shared" si="4"/>
        <v>0.85035788916566091</v>
      </c>
      <c r="M22" s="25">
        <v>1</v>
      </c>
      <c r="N22" s="25">
        <v>1</v>
      </c>
      <c r="O22" s="49"/>
      <c r="P22" s="186"/>
      <c r="Q22" s="49"/>
    </row>
    <row r="23" spans="1:17">
      <c r="A23" s="13">
        <f t="shared" si="5"/>
        <v>46132</v>
      </c>
      <c r="B23" s="1">
        <v>9751</v>
      </c>
      <c r="C23" s="1">
        <v>8691</v>
      </c>
      <c r="D23" s="221">
        <v>10061</v>
      </c>
      <c r="E23" s="6">
        <v>9870</v>
      </c>
      <c r="F23" s="21">
        <f t="shared" si="0"/>
        <v>0.13565757680358992</v>
      </c>
      <c r="G23" s="2">
        <f t="shared" si="1"/>
        <v>0.24437649866116362</v>
      </c>
      <c r="H23" s="2">
        <f t="shared" si="6"/>
        <v>0.23973720721455968</v>
      </c>
      <c r="I23" s="86">
        <v>6.84</v>
      </c>
      <c r="J23" s="185">
        <v>7.25</v>
      </c>
      <c r="K23" s="21">
        <f t="shared" si="3"/>
        <v>5.9941520467836282E-2</v>
      </c>
      <c r="L23" s="22">
        <f t="shared" si="4"/>
        <v>0.80897047832661062</v>
      </c>
      <c r="M23" s="25">
        <v>1</v>
      </c>
      <c r="N23" s="25">
        <v>1</v>
      </c>
      <c r="O23" s="49"/>
      <c r="P23" s="186"/>
      <c r="Q23" s="49"/>
    </row>
    <row r="24" spans="1:17">
      <c r="A24" s="13">
        <f t="shared" si="5"/>
        <v>46133</v>
      </c>
      <c r="B24" s="1">
        <v>9751</v>
      </c>
      <c r="C24" s="1">
        <v>8691</v>
      </c>
      <c r="D24" s="221">
        <v>4220</v>
      </c>
      <c r="E24" s="6">
        <v>4215</v>
      </c>
      <c r="F24" s="21">
        <f t="shared" si="0"/>
        <v>-0.51501553331032102</v>
      </c>
      <c r="G24" s="2">
        <f t="shared" si="1"/>
        <v>0.1025016225375321</v>
      </c>
      <c r="H24" s="2">
        <f t="shared" si="6"/>
        <v>0.10238017511746395</v>
      </c>
      <c r="I24" s="86">
        <v>6.84</v>
      </c>
      <c r="J24" s="185">
        <v>8.92</v>
      </c>
      <c r="K24" s="21">
        <f t="shared" si="3"/>
        <v>0.30409356725146203</v>
      </c>
      <c r="L24" s="22">
        <f t="shared" si="4"/>
        <v>0.27578911893506397</v>
      </c>
      <c r="M24" s="25">
        <v>1</v>
      </c>
      <c r="N24" s="25">
        <v>0.52449999999999997</v>
      </c>
      <c r="O24" s="49">
        <v>5531</v>
      </c>
      <c r="P24" s="186"/>
      <c r="Q24" s="49" t="s">
        <v>632</v>
      </c>
    </row>
    <row r="25" spans="1:17">
      <c r="A25" s="13">
        <f t="shared" si="5"/>
        <v>46134</v>
      </c>
      <c r="B25" s="1">
        <v>9751</v>
      </c>
      <c r="C25" s="1">
        <v>8691</v>
      </c>
      <c r="D25" s="221">
        <v>10208</v>
      </c>
      <c r="E25" s="6">
        <v>10035</v>
      </c>
      <c r="F25" s="21">
        <f t="shared" si="0"/>
        <v>0.15464273386261651</v>
      </c>
      <c r="G25" s="2">
        <f t="shared" si="1"/>
        <v>0.24794705281116772</v>
      </c>
      <c r="H25" s="2">
        <f t="shared" si="6"/>
        <v>0.24374497207680917</v>
      </c>
      <c r="I25" s="86">
        <v>6.84</v>
      </c>
      <c r="J25" s="185">
        <v>7.3</v>
      </c>
      <c r="K25" s="21">
        <f t="shared" si="3"/>
        <v>6.725146198830409E-2</v>
      </c>
      <c r="L25" s="22">
        <f t="shared" si="4"/>
        <v>0.81516839280383901</v>
      </c>
      <c r="M25" s="25">
        <v>1</v>
      </c>
      <c r="N25" s="25">
        <v>1</v>
      </c>
      <c r="O25" s="49"/>
      <c r="P25" s="186"/>
      <c r="Q25" s="49"/>
    </row>
    <row r="26" spans="1:17">
      <c r="A26" s="13">
        <f t="shared" si="5"/>
        <v>46135</v>
      </c>
      <c r="B26" s="1">
        <v>9751</v>
      </c>
      <c r="C26" s="1">
        <v>8691</v>
      </c>
      <c r="D26" s="221">
        <v>10042</v>
      </c>
      <c r="E26" s="6">
        <v>9990</v>
      </c>
      <c r="F26" s="21">
        <f t="shared" si="0"/>
        <v>0.14946496375560925</v>
      </c>
      <c r="G26" s="2">
        <f t="shared" si="1"/>
        <v>0.24391499846490461</v>
      </c>
      <c r="H26" s="2">
        <f t="shared" si="6"/>
        <v>0.24265194529619569</v>
      </c>
      <c r="I26" s="86">
        <v>6.84</v>
      </c>
      <c r="J26" s="185">
        <v>7.22</v>
      </c>
      <c r="K26" s="21">
        <f t="shared" si="3"/>
        <v>5.5555555555555539E-2</v>
      </c>
      <c r="L26" s="22">
        <f t="shared" si="4"/>
        <v>0.81079777883070792</v>
      </c>
      <c r="M26" s="25">
        <v>1</v>
      </c>
      <c r="N26" s="25">
        <v>1</v>
      </c>
      <c r="O26" s="49"/>
      <c r="P26" s="49"/>
      <c r="Q26" s="49"/>
    </row>
    <row r="27" spans="1:17">
      <c r="A27" s="13">
        <f t="shared" si="5"/>
        <v>46136</v>
      </c>
      <c r="B27" s="1">
        <v>9751</v>
      </c>
      <c r="C27" s="1">
        <v>8691</v>
      </c>
      <c r="D27" s="221">
        <v>10259</v>
      </c>
      <c r="E27" s="6">
        <v>10155</v>
      </c>
      <c r="F27" s="21">
        <f t="shared" si="0"/>
        <v>0.16845012081463584</v>
      </c>
      <c r="G27" s="2">
        <f t="shared" si="1"/>
        <v>0.24918581649586299</v>
      </c>
      <c r="H27" s="2">
        <f t="shared" si="6"/>
        <v>0.24665971015844515</v>
      </c>
      <c r="I27" s="86">
        <v>6.84</v>
      </c>
      <c r="J27" s="185">
        <v>7.47</v>
      </c>
      <c r="K27" s="21">
        <f t="shared" si="3"/>
        <v>9.2105263157894718E-2</v>
      </c>
      <c r="L27" s="22">
        <f t="shared" si="4"/>
        <v>0.80059700078992124</v>
      </c>
      <c r="M27" s="25">
        <v>1</v>
      </c>
      <c r="N27" s="25">
        <v>1</v>
      </c>
      <c r="O27" s="49"/>
      <c r="P27" s="49"/>
      <c r="Q27" s="49"/>
    </row>
    <row r="28" spans="1:17">
      <c r="A28" s="13">
        <f t="shared" si="5"/>
        <v>46137</v>
      </c>
      <c r="B28" s="1">
        <v>9751</v>
      </c>
      <c r="C28" s="1">
        <v>8691</v>
      </c>
      <c r="D28" s="221">
        <v>9983</v>
      </c>
      <c r="E28" s="6">
        <v>9840</v>
      </c>
      <c r="F28" s="21">
        <f t="shared" si="0"/>
        <v>0.13220573006558509</v>
      </c>
      <c r="G28" s="2">
        <f t="shared" si="1"/>
        <v>0.24248191890810025</v>
      </c>
      <c r="H28" s="2">
        <f t="shared" si="6"/>
        <v>0.23900852269415068</v>
      </c>
      <c r="I28" s="86">
        <v>6.84</v>
      </c>
      <c r="J28" s="185">
        <v>7.3</v>
      </c>
      <c r="K28" s="21">
        <f t="shared" si="3"/>
        <v>6.725146198830409E-2</v>
      </c>
      <c r="L28" s="22">
        <f t="shared" si="4"/>
        <v>0.79720082928690494</v>
      </c>
      <c r="M28" s="25">
        <v>1</v>
      </c>
      <c r="N28" s="25">
        <v>1</v>
      </c>
      <c r="O28" s="49"/>
      <c r="P28" s="186"/>
      <c r="Q28" s="49"/>
    </row>
    <row r="29" spans="1:17">
      <c r="A29" s="13">
        <f t="shared" si="5"/>
        <v>46138</v>
      </c>
      <c r="B29" s="1">
        <v>9751</v>
      </c>
      <c r="C29" s="1">
        <v>8691</v>
      </c>
      <c r="D29" s="221">
        <v>9547</v>
      </c>
      <c r="E29" s="6">
        <v>9450</v>
      </c>
      <c r="F29" s="21">
        <f t="shared" si="0"/>
        <v>8.7331722471522266E-2</v>
      </c>
      <c r="G29" s="2">
        <f t="shared" si="1"/>
        <v>0.23189170387815616</v>
      </c>
      <c r="H29" s="2">
        <f t="shared" si="6"/>
        <v>0.22953562392883375</v>
      </c>
      <c r="I29" s="86">
        <v>6.84</v>
      </c>
      <c r="J29" s="185">
        <v>7.01</v>
      </c>
      <c r="K29" s="21">
        <f t="shared" si="3"/>
        <v>2.4853801169590635E-2</v>
      </c>
      <c r="L29" s="22">
        <f t="shared" si="4"/>
        <v>0.79392309458997834</v>
      </c>
      <c r="M29" s="25">
        <v>1</v>
      </c>
      <c r="N29" s="25">
        <v>1</v>
      </c>
      <c r="O29" s="49"/>
      <c r="P29" s="49"/>
      <c r="Q29" s="49"/>
    </row>
    <row r="30" spans="1:17">
      <c r="A30" s="13">
        <f t="shared" si="5"/>
        <v>46139</v>
      </c>
      <c r="B30" s="1"/>
      <c r="C30" s="1"/>
      <c r="D30" s="6"/>
      <c r="E30" s="6"/>
      <c r="F30" s="21" t="e">
        <f t="shared" si="0"/>
        <v>#DIV/0!</v>
      </c>
      <c r="G30" s="2">
        <f t="shared" si="1"/>
        <v>0</v>
      </c>
      <c r="H30" s="2">
        <f t="shared" si="6"/>
        <v>0</v>
      </c>
      <c r="I30" s="86">
        <v>6.84</v>
      </c>
      <c r="J30" s="6"/>
      <c r="K30" s="21">
        <f t="shared" si="3"/>
        <v>0</v>
      </c>
      <c r="L30" s="22" t="e">
        <f t="shared" si="4"/>
        <v>#DIV/0!</v>
      </c>
      <c r="M30" s="6"/>
      <c r="N30" s="6"/>
      <c r="O30" s="49"/>
      <c r="P30" s="6"/>
      <c r="Q30" s="49"/>
    </row>
    <row r="31" spans="1:17">
      <c r="A31" s="13">
        <f t="shared" si="5"/>
        <v>46140</v>
      </c>
      <c r="B31" s="1"/>
      <c r="C31" s="1"/>
      <c r="D31" s="6"/>
      <c r="E31" s="6"/>
      <c r="F31" s="21" t="e">
        <f t="shared" si="0"/>
        <v>#DIV/0!</v>
      </c>
      <c r="G31" s="2">
        <f t="shared" si="1"/>
        <v>0</v>
      </c>
      <c r="H31" s="2">
        <f t="shared" si="6"/>
        <v>0</v>
      </c>
      <c r="I31" s="86">
        <v>6.84</v>
      </c>
      <c r="J31" s="6"/>
      <c r="K31" s="21">
        <f t="shared" si="3"/>
        <v>0</v>
      </c>
      <c r="L31" s="22" t="e">
        <f t="shared" si="4"/>
        <v>#DIV/0!</v>
      </c>
      <c r="M31" s="6"/>
      <c r="N31" s="6"/>
      <c r="O31" s="49"/>
      <c r="P31" s="6"/>
      <c r="Q31" s="49"/>
    </row>
    <row r="32" spans="1:17">
      <c r="A32" s="13">
        <f t="shared" si="5"/>
        <v>46141</v>
      </c>
      <c r="B32" s="1"/>
      <c r="C32" s="1"/>
      <c r="D32" s="6"/>
      <c r="E32" s="6"/>
      <c r="F32" s="21" t="e">
        <f t="shared" si="0"/>
        <v>#DIV/0!</v>
      </c>
      <c r="G32" s="2">
        <f t="shared" si="1"/>
        <v>0</v>
      </c>
      <c r="H32" s="2">
        <f t="shared" si="6"/>
        <v>0</v>
      </c>
      <c r="I32" s="86">
        <v>6.84</v>
      </c>
      <c r="J32" s="6"/>
      <c r="K32" s="21">
        <f t="shared" si="3"/>
        <v>0</v>
      </c>
      <c r="L32" s="22" t="e">
        <f t="shared" si="4"/>
        <v>#DIV/0!</v>
      </c>
      <c r="M32" s="6"/>
      <c r="N32" s="6"/>
      <c r="O32" s="49"/>
      <c r="P32" s="6"/>
      <c r="Q32" s="49"/>
    </row>
    <row r="33" spans="1:17">
      <c r="A33" s="13">
        <f t="shared" si="5"/>
        <v>46142</v>
      </c>
      <c r="B33" s="1"/>
      <c r="C33" s="1"/>
      <c r="D33" s="6"/>
      <c r="E33" s="6"/>
      <c r="F33" s="21" t="e">
        <f t="shared" si="0"/>
        <v>#DIV/0!</v>
      </c>
      <c r="G33" s="2">
        <f t="shared" si="1"/>
        <v>0</v>
      </c>
      <c r="H33" s="2">
        <f t="shared" si="6"/>
        <v>0</v>
      </c>
      <c r="I33" s="86">
        <v>6.84</v>
      </c>
      <c r="J33" s="6"/>
      <c r="K33" s="21">
        <f t="shared" si="3"/>
        <v>0</v>
      </c>
      <c r="L33" s="22" t="e">
        <f t="shared" si="4"/>
        <v>#DIV/0!</v>
      </c>
      <c r="M33" s="6"/>
      <c r="N33" s="6"/>
      <c r="O33" s="49"/>
      <c r="P33" s="6"/>
      <c r="Q33" s="49"/>
    </row>
    <row r="34" spans="1:17">
      <c r="A34" s="349">
        <v>46113</v>
      </c>
      <c r="B34" s="89">
        <f>SUM(B4:B33)</f>
        <v>253526</v>
      </c>
      <c r="C34" s="89">
        <f>SUM(C4:C33)</f>
        <v>225966</v>
      </c>
      <c r="D34" s="89">
        <f>SUM(D4:D33)</f>
        <v>244862</v>
      </c>
      <c r="E34" s="89">
        <f>SUM(E4:E33)</f>
        <v>241815</v>
      </c>
      <c r="F34" s="160">
        <f t="shared" si="0"/>
        <v>7.013887044953665E-2</v>
      </c>
      <c r="G34" s="90">
        <f>AVERAGE(G4:G33)</f>
        <v>0.19825238781820842</v>
      </c>
      <c r="H34" s="90">
        <f>AVERAGE(H4:H33)</f>
        <v>0.22860128990114503</v>
      </c>
      <c r="I34" s="89">
        <f>SUM(I4:I33)</f>
        <v>205.20000000000007</v>
      </c>
      <c r="J34" s="89">
        <f>SUM(J4:J33)</f>
        <v>182.35</v>
      </c>
      <c r="K34" s="160">
        <f t="shared" si="3"/>
        <v>-0.11135477582846039</v>
      </c>
      <c r="L34" s="161">
        <f t="shared" si="4"/>
        <v>0.78278979560795214</v>
      </c>
      <c r="M34" s="90">
        <f>AVERAGE(M4:M33)</f>
        <v>1</v>
      </c>
      <c r="N34" s="90">
        <f>AVERAGE(N4:N33)</f>
        <v>0.95427692307692302</v>
      </c>
      <c r="O34" s="89">
        <f>SUM(O4:O33)</f>
        <v>9046</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5320-AA37-4ED9-9EB6-0669BF427D61}">
  <dimension ref="A1:Q66"/>
  <sheetViews>
    <sheetView topLeftCell="A32"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633</v>
      </c>
      <c r="B1" s="406"/>
      <c r="C1" s="406"/>
      <c r="D1" s="406"/>
      <c r="E1" s="406"/>
      <c r="F1" s="406"/>
      <c r="G1" s="406"/>
      <c r="H1" s="406"/>
      <c r="I1" s="406"/>
      <c r="J1" s="406"/>
      <c r="K1" s="406"/>
      <c r="L1" s="406"/>
      <c r="M1" s="406"/>
      <c r="N1" s="406"/>
      <c r="O1" s="406"/>
      <c r="P1" s="406"/>
      <c r="Q1" s="406"/>
    </row>
    <row r="2" spans="1:17" ht="18.5">
      <c r="A2" s="7">
        <v>46113</v>
      </c>
      <c r="B2" s="407" t="s">
        <v>172</v>
      </c>
      <c r="C2" s="408"/>
      <c r="D2" s="8">
        <v>2485</v>
      </c>
      <c r="E2" s="407" t="s">
        <v>173</v>
      </c>
      <c r="F2" s="407"/>
      <c r="G2" s="408"/>
      <c r="H2" s="8">
        <v>2000</v>
      </c>
      <c r="I2" s="409" t="s">
        <v>174</v>
      </c>
      <c r="J2" s="410"/>
      <c r="K2" s="9">
        <v>44785</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14040</v>
      </c>
      <c r="C4" s="1">
        <v>12583</v>
      </c>
      <c r="D4" s="221">
        <v>11607</v>
      </c>
      <c r="E4" s="6">
        <v>11400</v>
      </c>
      <c r="F4" s="21">
        <f t="shared" ref="F4:F35" si="0">(IF(ISBLANK(E4),0,E4-C4))/C4</f>
        <v>-9.4015735516172608E-2</v>
      </c>
      <c r="G4" s="2">
        <f t="shared" ref="G4:G33" si="1">D4/($D$2*24)</f>
        <v>0.19461770623742455</v>
      </c>
      <c r="H4" s="2">
        <f t="shared" ref="H4:H21" si="2">D4/($H$2*24)</f>
        <v>0.24181250000000001</v>
      </c>
      <c r="I4" s="86">
        <v>6.84</v>
      </c>
      <c r="J4" s="185">
        <v>6.66</v>
      </c>
      <c r="K4" s="21">
        <f t="shared" ref="K4:K35" si="3">(IF(ISBLANK(J4),0,J4-I4))/I4</f>
        <v>-2.6315789473684171E-2</v>
      </c>
      <c r="L4" s="22">
        <f t="shared" ref="L4:L35" si="4">D4/($D$2*J4)</f>
        <v>0.70132506752225066</v>
      </c>
      <c r="M4" s="25">
        <v>1</v>
      </c>
      <c r="N4" s="254">
        <v>0.69230000000000003</v>
      </c>
      <c r="O4" s="31">
        <v>976</v>
      </c>
      <c r="P4" s="49"/>
      <c r="Q4" s="49" t="s">
        <v>634</v>
      </c>
    </row>
    <row r="5" spans="1:17">
      <c r="A5" s="13">
        <f t="shared" ref="A5:A33" si="5">A4+1</f>
        <v>46114</v>
      </c>
      <c r="B5" s="1">
        <v>14040</v>
      </c>
      <c r="C5" s="1">
        <v>12583</v>
      </c>
      <c r="D5" s="221">
        <v>12745</v>
      </c>
      <c r="E5" s="6">
        <v>12630</v>
      </c>
      <c r="F5" s="21">
        <f t="shared" si="0"/>
        <v>3.7351982833982358E-3</v>
      </c>
      <c r="G5" s="2">
        <f t="shared" si="1"/>
        <v>0.2136988598256204</v>
      </c>
      <c r="H5" s="2">
        <f t="shared" si="2"/>
        <v>0.26552083333333332</v>
      </c>
      <c r="I5" s="86">
        <v>6.84</v>
      </c>
      <c r="J5" s="185">
        <v>6.96</v>
      </c>
      <c r="K5" s="21">
        <f t="shared" si="3"/>
        <v>1.7543859649122823E-2</v>
      </c>
      <c r="L5" s="22">
        <f t="shared" si="4"/>
        <v>0.73689262008834622</v>
      </c>
      <c r="M5" s="25">
        <v>1</v>
      </c>
      <c r="N5" s="254">
        <v>0.63360000000000005</v>
      </c>
      <c r="O5" s="31">
        <v>162</v>
      </c>
      <c r="P5" s="49"/>
      <c r="Q5" s="49" t="s">
        <v>634</v>
      </c>
    </row>
    <row r="6" spans="1:17">
      <c r="A6" s="13">
        <f t="shared" si="5"/>
        <v>46115</v>
      </c>
      <c r="B6" s="1">
        <v>14040</v>
      </c>
      <c r="C6" s="1">
        <v>12583</v>
      </c>
      <c r="D6" s="221">
        <v>10158</v>
      </c>
      <c r="E6" s="6">
        <v>10020</v>
      </c>
      <c r="F6" s="21">
        <f t="shared" si="0"/>
        <v>-0.20368751490105699</v>
      </c>
      <c r="G6" s="2">
        <f t="shared" si="1"/>
        <v>0.17032193158953723</v>
      </c>
      <c r="H6" s="2">
        <f t="shared" si="2"/>
        <v>0.21162500000000001</v>
      </c>
      <c r="I6" s="86">
        <v>6.84</v>
      </c>
      <c r="J6" s="185">
        <v>4.8600000000000003</v>
      </c>
      <c r="K6" s="21">
        <f t="shared" si="3"/>
        <v>-0.28947368421052627</v>
      </c>
      <c r="L6" s="22">
        <f t="shared" si="4"/>
        <v>0.84109595846685048</v>
      </c>
      <c r="M6" s="25">
        <v>1</v>
      </c>
      <c r="N6" s="254">
        <v>1</v>
      </c>
      <c r="O6" s="31"/>
      <c r="P6" s="49"/>
      <c r="Q6" s="49"/>
    </row>
    <row r="7" spans="1:17">
      <c r="A7" s="13">
        <f t="shared" si="5"/>
        <v>46116</v>
      </c>
      <c r="B7" s="1">
        <v>14040</v>
      </c>
      <c r="C7" s="1">
        <v>12583</v>
      </c>
      <c r="D7" s="221">
        <v>13981</v>
      </c>
      <c r="E7" s="6">
        <v>13740</v>
      </c>
      <c r="F7" s="21">
        <f t="shared" si="0"/>
        <v>9.1949455614718276E-2</v>
      </c>
      <c r="G7" s="2">
        <f t="shared" si="1"/>
        <v>0.23442320590207913</v>
      </c>
      <c r="H7" s="2">
        <f t="shared" si="2"/>
        <v>0.29127083333333331</v>
      </c>
      <c r="I7" s="86">
        <v>6.84</v>
      </c>
      <c r="J7" s="185">
        <v>6.9</v>
      </c>
      <c r="K7" s="21">
        <f t="shared" si="3"/>
        <v>8.7719298245614759E-3</v>
      </c>
      <c r="L7" s="22">
        <f t="shared" si="4"/>
        <v>0.81538506400723176</v>
      </c>
      <c r="M7" s="25">
        <v>1</v>
      </c>
      <c r="N7" s="254">
        <v>1</v>
      </c>
      <c r="O7" s="31"/>
      <c r="P7" s="49"/>
      <c r="Q7" s="49"/>
    </row>
    <row r="8" spans="1:17">
      <c r="A8" s="13">
        <f t="shared" si="5"/>
        <v>46117</v>
      </c>
      <c r="B8" s="1">
        <v>14040</v>
      </c>
      <c r="C8" s="1">
        <v>12583</v>
      </c>
      <c r="D8" s="221">
        <v>10432</v>
      </c>
      <c r="E8" s="6">
        <v>10380</v>
      </c>
      <c r="F8" s="21">
        <f t="shared" si="0"/>
        <v>-0.17507748549630453</v>
      </c>
      <c r="G8" s="2">
        <f t="shared" si="1"/>
        <v>0.17491616364855803</v>
      </c>
      <c r="H8" s="2">
        <f t="shared" si="2"/>
        <v>0.21733333333333332</v>
      </c>
      <c r="I8" s="86">
        <v>6.84</v>
      </c>
      <c r="J8" s="185">
        <v>6.84</v>
      </c>
      <c r="K8" s="21">
        <f t="shared" si="3"/>
        <v>0</v>
      </c>
      <c r="L8" s="22">
        <f t="shared" si="4"/>
        <v>0.61374092508265965</v>
      </c>
      <c r="M8" s="25">
        <v>1</v>
      </c>
      <c r="N8" s="254">
        <v>0.55940000000000001</v>
      </c>
      <c r="O8" s="31">
        <v>2151</v>
      </c>
      <c r="P8" s="49"/>
      <c r="Q8" s="49" t="s">
        <v>635</v>
      </c>
    </row>
    <row r="9" spans="1:17">
      <c r="A9" s="13">
        <f t="shared" si="5"/>
        <v>46118</v>
      </c>
      <c r="B9" s="1">
        <v>14040</v>
      </c>
      <c r="C9" s="1">
        <v>12583</v>
      </c>
      <c r="D9" s="221">
        <v>10242</v>
      </c>
      <c r="E9" s="6">
        <v>9990</v>
      </c>
      <c r="F9" s="21">
        <f t="shared" si="0"/>
        <v>-0.20607168401811968</v>
      </c>
      <c r="G9" s="2">
        <f t="shared" si="1"/>
        <v>0.17173038229376258</v>
      </c>
      <c r="H9" s="2">
        <f t="shared" si="2"/>
        <v>0.21337500000000001</v>
      </c>
      <c r="I9" s="86">
        <v>6.84</v>
      </c>
      <c r="J9" s="185">
        <v>6.83</v>
      </c>
      <c r="K9" s="21">
        <f t="shared" si="3"/>
        <v>-1.4619883040935362E-3</v>
      </c>
      <c r="L9" s="22">
        <f t="shared" si="4"/>
        <v>0.60344497438511013</v>
      </c>
      <c r="M9" s="25">
        <v>1</v>
      </c>
      <c r="N9" s="254">
        <v>0.5524</v>
      </c>
      <c r="O9" s="31">
        <v>2341</v>
      </c>
      <c r="P9" s="49"/>
      <c r="Q9" s="49" t="s">
        <v>636</v>
      </c>
    </row>
    <row r="10" spans="1:17">
      <c r="A10" s="13">
        <f t="shared" si="5"/>
        <v>46119</v>
      </c>
      <c r="B10" s="1">
        <v>14040</v>
      </c>
      <c r="C10" s="1">
        <v>12583</v>
      </c>
      <c r="D10" s="221">
        <v>6368</v>
      </c>
      <c r="E10" s="6">
        <v>6300</v>
      </c>
      <c r="F10" s="21">
        <f t="shared" si="0"/>
        <v>-0.49932448541683222</v>
      </c>
      <c r="G10" s="2">
        <f t="shared" si="1"/>
        <v>0.10677397719651241</v>
      </c>
      <c r="H10" s="2">
        <f t="shared" si="2"/>
        <v>0.13266666666666665</v>
      </c>
      <c r="I10" s="86">
        <v>6.84</v>
      </c>
      <c r="J10" s="185">
        <v>6.51</v>
      </c>
      <c r="K10" s="21">
        <f t="shared" si="3"/>
        <v>-4.824561403508773E-2</v>
      </c>
      <c r="L10" s="22">
        <f t="shared" si="4"/>
        <v>0.39363678229128996</v>
      </c>
      <c r="M10" s="25">
        <v>1</v>
      </c>
      <c r="N10" s="254">
        <v>0.3427</v>
      </c>
      <c r="O10" s="31">
        <v>6215</v>
      </c>
      <c r="P10" s="219"/>
      <c r="Q10" s="49" t="s">
        <v>637</v>
      </c>
    </row>
    <row r="11" spans="1:17">
      <c r="A11" s="13">
        <f t="shared" si="5"/>
        <v>46120</v>
      </c>
      <c r="B11" s="1">
        <v>14040</v>
      </c>
      <c r="C11" s="1">
        <v>12583</v>
      </c>
      <c r="D11" s="221">
        <v>5820</v>
      </c>
      <c r="E11" s="6">
        <v>5760</v>
      </c>
      <c r="F11" s="21">
        <f t="shared" si="0"/>
        <v>-0.54223952952396093</v>
      </c>
      <c r="G11" s="2">
        <f t="shared" si="1"/>
        <v>9.7585513078470826E-2</v>
      </c>
      <c r="H11" s="2">
        <f t="shared" si="2"/>
        <v>0.12125</v>
      </c>
      <c r="I11" s="86">
        <v>6.84</v>
      </c>
      <c r="J11" s="185">
        <v>6.74</v>
      </c>
      <c r="K11" s="21">
        <f t="shared" si="3"/>
        <v>-1.4619883040935621E-2</v>
      </c>
      <c r="L11" s="22">
        <f t="shared" si="4"/>
        <v>0.34748550651087529</v>
      </c>
      <c r="M11" s="25">
        <v>1</v>
      </c>
      <c r="N11" s="254">
        <v>0.36359999999999998</v>
      </c>
      <c r="O11" s="31">
        <v>6763</v>
      </c>
      <c r="P11" s="49"/>
      <c r="Q11" s="49" t="s">
        <v>638</v>
      </c>
    </row>
    <row r="12" spans="1:17">
      <c r="A12" s="13">
        <f t="shared" si="5"/>
        <v>46121</v>
      </c>
      <c r="B12" s="1">
        <v>14040</v>
      </c>
      <c r="C12" s="1">
        <v>12583</v>
      </c>
      <c r="D12" s="221">
        <v>11535</v>
      </c>
      <c r="E12" s="6">
        <v>11400</v>
      </c>
      <c r="F12" s="21">
        <f t="shared" si="0"/>
        <v>-9.4015735516172608E-2</v>
      </c>
      <c r="G12" s="2">
        <f t="shared" si="1"/>
        <v>0.19341046277665996</v>
      </c>
      <c r="H12" s="2">
        <f t="shared" si="2"/>
        <v>0.24031250000000001</v>
      </c>
      <c r="I12" s="86">
        <v>6.84</v>
      </c>
      <c r="J12" s="185">
        <v>7.06</v>
      </c>
      <c r="K12" s="21">
        <f t="shared" si="3"/>
        <v>3.2163742690058443E-2</v>
      </c>
      <c r="L12" s="22">
        <f t="shared" si="4"/>
        <v>0.65748599244190364</v>
      </c>
      <c r="M12" s="25">
        <v>1</v>
      </c>
      <c r="N12" s="254">
        <v>0.74829999999999997</v>
      </c>
      <c r="O12" s="31">
        <v>1048</v>
      </c>
      <c r="P12" s="49"/>
      <c r="Q12" s="49" t="s">
        <v>639</v>
      </c>
    </row>
    <row r="13" spans="1:17">
      <c r="A13" s="13">
        <f t="shared" si="5"/>
        <v>46122</v>
      </c>
      <c r="B13" s="1">
        <v>14040</v>
      </c>
      <c r="C13" s="1">
        <v>12583</v>
      </c>
      <c r="D13" s="221">
        <v>12369</v>
      </c>
      <c r="E13" s="6">
        <v>12240</v>
      </c>
      <c r="F13" s="21">
        <f t="shared" si="0"/>
        <v>-2.7259000238416913E-2</v>
      </c>
      <c r="G13" s="2">
        <f t="shared" si="1"/>
        <v>0.2073943661971831</v>
      </c>
      <c r="H13" s="2">
        <f t="shared" si="2"/>
        <v>0.25768750000000001</v>
      </c>
      <c r="I13" s="86">
        <v>6.84</v>
      </c>
      <c r="J13" s="185">
        <v>7.02</v>
      </c>
      <c r="K13" s="21">
        <f t="shared" si="3"/>
        <v>2.6315789473684171E-2</v>
      </c>
      <c r="L13" s="22">
        <f t="shared" si="4"/>
        <v>0.70904056819549777</v>
      </c>
      <c r="M13" s="25">
        <v>1</v>
      </c>
      <c r="N13" s="254">
        <v>0.72729999999999995</v>
      </c>
      <c r="O13" s="31">
        <v>214</v>
      </c>
      <c r="P13" s="49"/>
      <c r="Q13" s="49" t="s">
        <v>634</v>
      </c>
    </row>
    <row r="14" spans="1:17">
      <c r="A14" s="13">
        <f t="shared" si="5"/>
        <v>46123</v>
      </c>
      <c r="B14" s="1">
        <v>14040</v>
      </c>
      <c r="C14" s="1">
        <v>12583</v>
      </c>
      <c r="D14" s="221">
        <v>13952</v>
      </c>
      <c r="E14" s="6">
        <v>13370</v>
      </c>
      <c r="F14" s="21">
        <f t="shared" si="0"/>
        <v>6.2544703170944932E-2</v>
      </c>
      <c r="G14" s="2">
        <f t="shared" si="1"/>
        <v>0.23393695506371562</v>
      </c>
      <c r="H14" s="2">
        <f t="shared" si="2"/>
        <v>0.29066666666666668</v>
      </c>
      <c r="I14" s="86">
        <v>6.84</v>
      </c>
      <c r="J14" s="185">
        <v>6.95</v>
      </c>
      <c r="K14" s="21">
        <f t="shared" si="3"/>
        <v>1.6081871345029287E-2</v>
      </c>
      <c r="L14" s="22">
        <f t="shared" si="4"/>
        <v>0.80783984482434168</v>
      </c>
      <c r="M14" s="25">
        <v>1</v>
      </c>
      <c r="N14" s="254">
        <v>1</v>
      </c>
      <c r="O14" s="31"/>
      <c r="P14" s="49"/>
      <c r="Q14" s="49"/>
    </row>
    <row r="15" spans="1:17">
      <c r="A15" s="13">
        <f t="shared" si="5"/>
        <v>46124</v>
      </c>
      <c r="B15" s="1">
        <v>14040</v>
      </c>
      <c r="C15" s="1">
        <v>12583</v>
      </c>
      <c r="D15" s="221">
        <v>14111</v>
      </c>
      <c r="E15" s="6">
        <v>13950</v>
      </c>
      <c r="F15" s="21">
        <f t="shared" si="0"/>
        <v>0.10863863943415719</v>
      </c>
      <c r="G15" s="2">
        <f t="shared" si="1"/>
        <v>0.23660295103957077</v>
      </c>
      <c r="H15" s="2">
        <f t="shared" si="2"/>
        <v>0.29397916666666668</v>
      </c>
      <c r="I15" s="86">
        <v>6.84</v>
      </c>
      <c r="J15" s="185">
        <v>7.13</v>
      </c>
      <c r="K15" s="21">
        <f t="shared" si="3"/>
        <v>4.2397660818713455E-2</v>
      </c>
      <c r="L15" s="22">
        <f t="shared" si="4"/>
        <v>0.79641947053992967</v>
      </c>
      <c r="M15" s="25">
        <v>1</v>
      </c>
      <c r="N15" s="254">
        <v>1</v>
      </c>
      <c r="O15" s="31"/>
      <c r="P15" s="49"/>
      <c r="Q15" s="49"/>
    </row>
    <row r="16" spans="1:17">
      <c r="A16" s="13">
        <f t="shared" si="5"/>
        <v>46125</v>
      </c>
      <c r="B16" s="1">
        <v>14040</v>
      </c>
      <c r="C16" s="1">
        <v>12583</v>
      </c>
      <c r="D16" s="221">
        <v>14211</v>
      </c>
      <c r="E16" s="6">
        <v>13980</v>
      </c>
      <c r="F16" s="21">
        <f t="shared" si="0"/>
        <v>0.1110228085512199</v>
      </c>
      <c r="G16" s="2">
        <f t="shared" si="1"/>
        <v>0.23827967806841047</v>
      </c>
      <c r="H16" s="2">
        <f t="shared" si="2"/>
        <v>0.29606250000000001</v>
      </c>
      <c r="I16" s="86">
        <v>6.84</v>
      </c>
      <c r="J16" s="185">
        <v>7.07</v>
      </c>
      <c r="K16" s="21">
        <f t="shared" si="3"/>
        <v>3.3625730994152107E-2</v>
      </c>
      <c r="L16" s="22">
        <f t="shared" si="4"/>
        <v>0.80887019429163376</v>
      </c>
      <c r="M16" s="25">
        <v>1</v>
      </c>
      <c r="N16" s="254">
        <v>1</v>
      </c>
      <c r="O16" s="31"/>
      <c r="P16" s="49"/>
      <c r="Q16" s="49"/>
    </row>
    <row r="17" spans="1:17">
      <c r="A17" s="13">
        <f t="shared" si="5"/>
        <v>46126</v>
      </c>
      <c r="B17" s="1">
        <v>14040</v>
      </c>
      <c r="C17" s="1">
        <v>12583</v>
      </c>
      <c r="D17" s="221">
        <v>12997</v>
      </c>
      <c r="E17" s="6">
        <v>12780</v>
      </c>
      <c r="F17" s="21">
        <f t="shared" si="0"/>
        <v>1.5656043868711753E-2</v>
      </c>
      <c r="G17" s="2">
        <f t="shared" si="1"/>
        <v>0.21792421193829645</v>
      </c>
      <c r="H17" s="2">
        <f t="shared" si="2"/>
        <v>0.27077083333333335</v>
      </c>
      <c r="I17" s="86">
        <v>6.84</v>
      </c>
      <c r="J17" s="185">
        <v>7.45</v>
      </c>
      <c r="K17" s="21">
        <f t="shared" si="3"/>
        <v>8.9181286549707653E-2</v>
      </c>
      <c r="L17" s="22">
        <f t="shared" si="4"/>
        <v>0.70203772973410938</v>
      </c>
      <c r="M17" s="25">
        <v>1</v>
      </c>
      <c r="N17" s="254">
        <v>0.78600000000000003</v>
      </c>
      <c r="O17" s="31">
        <v>414</v>
      </c>
      <c r="P17" s="49"/>
      <c r="Q17" s="49" t="s">
        <v>640</v>
      </c>
    </row>
    <row r="18" spans="1:17">
      <c r="A18" s="13">
        <f t="shared" si="5"/>
        <v>46127</v>
      </c>
      <c r="B18" s="1">
        <v>14040</v>
      </c>
      <c r="C18" s="1">
        <v>12583</v>
      </c>
      <c r="D18" s="221">
        <v>13234</v>
      </c>
      <c r="E18" s="6">
        <v>13080</v>
      </c>
      <c r="F18" s="21">
        <f t="shared" si="0"/>
        <v>3.9497735039338788E-2</v>
      </c>
      <c r="G18" s="2">
        <f t="shared" si="1"/>
        <v>0.22189805499664655</v>
      </c>
      <c r="H18" s="2">
        <f t="shared" si="2"/>
        <v>0.27570833333333333</v>
      </c>
      <c r="I18" s="86">
        <v>6.84</v>
      </c>
      <c r="J18" s="185">
        <v>7.53</v>
      </c>
      <c r="K18" s="21">
        <f t="shared" si="3"/>
        <v>0.1008771929824562</v>
      </c>
      <c r="L18" s="22">
        <f t="shared" si="4"/>
        <v>0.70724479680206076</v>
      </c>
      <c r="M18" s="25">
        <v>1</v>
      </c>
      <c r="N18" s="254">
        <v>0.76219999999999999</v>
      </c>
      <c r="O18" s="31">
        <v>651</v>
      </c>
      <c r="P18" s="49"/>
      <c r="Q18" s="49" t="s">
        <v>640</v>
      </c>
    </row>
    <row r="19" spans="1:17">
      <c r="A19" s="13">
        <f t="shared" si="5"/>
        <v>46128</v>
      </c>
      <c r="B19" s="1">
        <v>14040</v>
      </c>
      <c r="C19" s="1">
        <v>12583</v>
      </c>
      <c r="D19" s="221">
        <v>13747</v>
      </c>
      <c r="E19" s="6">
        <v>13530</v>
      </c>
      <c r="F19" s="21">
        <f t="shared" si="0"/>
        <v>7.5260271795279346E-2</v>
      </c>
      <c r="G19" s="2">
        <f t="shared" si="1"/>
        <v>0.23049966465459423</v>
      </c>
      <c r="H19" s="2">
        <f t="shared" si="2"/>
        <v>0.28639583333333335</v>
      </c>
      <c r="I19" s="86">
        <v>6.84</v>
      </c>
      <c r="J19" s="185">
        <v>7.42</v>
      </c>
      <c r="K19" s="21">
        <f t="shared" si="3"/>
        <v>8.479532163742691E-2</v>
      </c>
      <c r="L19" s="22">
        <f t="shared" si="4"/>
        <v>0.74555147597173332</v>
      </c>
      <c r="M19" s="25">
        <v>1</v>
      </c>
      <c r="N19" s="254">
        <v>0.86709999999999998</v>
      </c>
      <c r="O19" s="31">
        <v>1164</v>
      </c>
      <c r="P19" s="49"/>
      <c r="Q19" s="49" t="s">
        <v>640</v>
      </c>
    </row>
    <row r="20" spans="1:17">
      <c r="A20" s="13">
        <f t="shared" si="5"/>
        <v>46129</v>
      </c>
      <c r="B20" s="1">
        <v>14040</v>
      </c>
      <c r="C20" s="1">
        <v>12583</v>
      </c>
      <c r="D20" s="221">
        <v>10576</v>
      </c>
      <c r="E20" s="6">
        <v>10530</v>
      </c>
      <c r="F20" s="21">
        <f t="shared" si="0"/>
        <v>-0.16315663991099102</v>
      </c>
      <c r="G20" s="2">
        <f t="shared" si="1"/>
        <v>0.17733065057008718</v>
      </c>
      <c r="H20" s="2">
        <f t="shared" si="2"/>
        <v>0.22033333333333333</v>
      </c>
      <c r="I20" s="86">
        <v>6.84</v>
      </c>
      <c r="J20" s="185">
        <v>6.16</v>
      </c>
      <c r="K20" s="21">
        <f t="shared" si="3"/>
        <v>-9.941520467836254E-2</v>
      </c>
      <c r="L20" s="22">
        <f t="shared" si="4"/>
        <v>0.69089863858475531</v>
      </c>
      <c r="M20" s="25">
        <v>1</v>
      </c>
      <c r="N20" s="254">
        <v>0.74129999999999996</v>
      </c>
      <c r="O20" s="31">
        <v>2007</v>
      </c>
      <c r="P20" s="49"/>
      <c r="Q20" s="49" t="s">
        <v>640</v>
      </c>
    </row>
    <row r="21" spans="1:17">
      <c r="A21" s="13">
        <f t="shared" si="5"/>
        <v>46130</v>
      </c>
      <c r="B21" s="1">
        <v>14040</v>
      </c>
      <c r="C21" s="1">
        <v>12583</v>
      </c>
      <c r="D21" s="221">
        <v>12262</v>
      </c>
      <c r="E21" s="6">
        <v>12150</v>
      </c>
      <c r="F21" s="21">
        <f t="shared" si="0"/>
        <v>-3.4411507589605025E-2</v>
      </c>
      <c r="G21" s="2">
        <f t="shared" si="1"/>
        <v>0.2056002682763246</v>
      </c>
      <c r="H21" s="2">
        <f t="shared" si="2"/>
        <v>0.25545833333333334</v>
      </c>
      <c r="I21" s="86">
        <v>6.84</v>
      </c>
      <c r="J21" s="185">
        <v>6.91</v>
      </c>
      <c r="K21" s="21">
        <f t="shared" si="3"/>
        <v>1.0233918128655012E-2</v>
      </c>
      <c r="L21" s="22">
        <f t="shared" si="4"/>
        <v>0.7140964455328207</v>
      </c>
      <c r="M21" s="25">
        <v>1</v>
      </c>
      <c r="N21" s="254">
        <v>0.7762</v>
      </c>
      <c r="O21" s="31">
        <v>321</v>
      </c>
      <c r="P21" s="186"/>
      <c r="Q21" s="49" t="s">
        <v>640</v>
      </c>
    </row>
    <row r="22" spans="1:17">
      <c r="A22" s="13">
        <f t="shared" si="5"/>
        <v>46131</v>
      </c>
      <c r="B22" s="1">
        <v>14040</v>
      </c>
      <c r="C22" s="1">
        <v>12583</v>
      </c>
      <c r="D22" s="221">
        <v>10136</v>
      </c>
      <c r="E22" s="6">
        <v>9960</v>
      </c>
      <c r="F22" s="21">
        <f t="shared" si="0"/>
        <v>-0.20845585313518239</v>
      </c>
      <c r="G22" s="2">
        <f t="shared" si="1"/>
        <v>0.16995305164319249</v>
      </c>
      <c r="H22" s="2">
        <f t="shared" ref="H22:H33" si="6">E22/($D$2*24)</f>
        <v>0.16700201207243462</v>
      </c>
      <c r="I22" s="86">
        <v>6.84</v>
      </c>
      <c r="J22" s="185">
        <v>6.88</v>
      </c>
      <c r="K22" s="21">
        <f t="shared" si="3"/>
        <v>5.8479532163742748E-3</v>
      </c>
      <c r="L22" s="22">
        <f t="shared" si="4"/>
        <v>0.59285948247625286</v>
      </c>
      <c r="M22" s="25">
        <v>1</v>
      </c>
      <c r="N22" s="254">
        <v>0.58040000000000003</v>
      </c>
      <c r="O22" s="31">
        <v>2447</v>
      </c>
      <c r="P22" s="186"/>
      <c r="Q22" s="49" t="s">
        <v>635</v>
      </c>
    </row>
    <row r="23" spans="1:17">
      <c r="A23" s="13">
        <f t="shared" si="5"/>
        <v>46132</v>
      </c>
      <c r="B23" s="1">
        <v>14040</v>
      </c>
      <c r="C23" s="1">
        <v>12583</v>
      </c>
      <c r="D23" s="221">
        <v>12206</v>
      </c>
      <c r="E23" s="6">
        <v>12000</v>
      </c>
      <c r="F23" s="21">
        <f t="shared" si="0"/>
        <v>-4.6332353174918538E-2</v>
      </c>
      <c r="G23" s="2">
        <f t="shared" si="1"/>
        <v>0.20466130114017439</v>
      </c>
      <c r="H23" s="2">
        <f t="shared" si="6"/>
        <v>0.2012072434607646</v>
      </c>
      <c r="I23" s="86">
        <v>6.84</v>
      </c>
      <c r="J23" s="185">
        <v>7.25</v>
      </c>
      <c r="K23" s="21">
        <f t="shared" si="3"/>
        <v>5.9941520467836282E-2</v>
      </c>
      <c r="L23" s="22">
        <f t="shared" si="4"/>
        <v>0.67749947963643931</v>
      </c>
      <c r="M23" s="25">
        <v>1</v>
      </c>
      <c r="N23" s="254">
        <v>0.74550000000000005</v>
      </c>
      <c r="O23" s="31">
        <v>377</v>
      </c>
      <c r="P23" s="186"/>
      <c r="Q23" s="49" t="s">
        <v>640</v>
      </c>
    </row>
    <row r="24" spans="1:17">
      <c r="A24" s="13">
        <f t="shared" si="5"/>
        <v>46133</v>
      </c>
      <c r="B24" s="1">
        <v>14040</v>
      </c>
      <c r="C24" s="1">
        <v>12583</v>
      </c>
      <c r="D24" s="221">
        <v>5392</v>
      </c>
      <c r="E24" s="6">
        <v>5130</v>
      </c>
      <c r="F24" s="21">
        <f t="shared" si="0"/>
        <v>-0.59230708098227769</v>
      </c>
      <c r="G24" s="2">
        <f t="shared" si="1"/>
        <v>9.0409121395036887E-2</v>
      </c>
      <c r="H24" s="2">
        <f t="shared" si="6"/>
        <v>8.6016096579476856E-2</v>
      </c>
      <c r="I24" s="86">
        <v>6.84</v>
      </c>
      <c r="J24" s="185">
        <v>8.92</v>
      </c>
      <c r="K24" s="21">
        <f t="shared" si="3"/>
        <v>0.30409356725146203</v>
      </c>
      <c r="L24" s="22">
        <f t="shared" si="4"/>
        <v>0.24325324142162391</v>
      </c>
      <c r="M24" s="25">
        <v>0.93710000000000004</v>
      </c>
      <c r="N24" s="254">
        <v>0.52449999999999997</v>
      </c>
      <c r="O24" s="31">
        <v>7191</v>
      </c>
      <c r="P24" s="186"/>
      <c r="Q24" s="252" t="s">
        <v>641</v>
      </c>
    </row>
    <row r="25" spans="1:17">
      <c r="A25" s="13">
        <f t="shared" si="5"/>
        <v>46134</v>
      </c>
      <c r="B25" s="1">
        <v>14040</v>
      </c>
      <c r="C25" s="1">
        <v>12583</v>
      </c>
      <c r="D25" s="221">
        <v>11137</v>
      </c>
      <c r="E25" s="6">
        <v>11100</v>
      </c>
      <c r="F25" s="21">
        <f t="shared" si="0"/>
        <v>-0.11785742668679965</v>
      </c>
      <c r="G25" s="2">
        <f t="shared" si="1"/>
        <v>0.18673708920187793</v>
      </c>
      <c r="H25" s="2">
        <f t="shared" si="6"/>
        <v>0.18611670020120724</v>
      </c>
      <c r="I25" s="86">
        <v>6.84</v>
      </c>
      <c r="J25" s="185">
        <v>7.3</v>
      </c>
      <c r="K25" s="21">
        <f t="shared" si="3"/>
        <v>6.725146198830409E-2</v>
      </c>
      <c r="L25" s="22">
        <f t="shared" si="4"/>
        <v>0.61393015628014669</v>
      </c>
      <c r="M25" s="25">
        <v>1</v>
      </c>
      <c r="N25" s="254">
        <v>0.66990000000000005</v>
      </c>
      <c r="O25" s="31">
        <v>1446</v>
      </c>
      <c r="P25" s="186"/>
      <c r="Q25" s="49" t="s">
        <v>640</v>
      </c>
    </row>
    <row r="26" spans="1:17">
      <c r="A26" s="13">
        <f t="shared" si="5"/>
        <v>46135</v>
      </c>
      <c r="B26" s="1">
        <v>14040</v>
      </c>
      <c r="C26" s="1">
        <v>12583</v>
      </c>
      <c r="D26" s="221">
        <v>12920</v>
      </c>
      <c r="E26" s="6">
        <v>12900</v>
      </c>
      <c r="F26" s="21">
        <f t="shared" si="0"/>
        <v>2.5192720336962567E-2</v>
      </c>
      <c r="G26" s="2">
        <f t="shared" si="1"/>
        <v>0.21663313212608987</v>
      </c>
      <c r="H26" s="2">
        <f t="shared" si="6"/>
        <v>0.21629778672032193</v>
      </c>
      <c r="I26" s="86">
        <v>6.84</v>
      </c>
      <c r="J26" s="185">
        <v>7.22</v>
      </c>
      <c r="K26" s="21">
        <f t="shared" si="3"/>
        <v>5.5555555555555539E-2</v>
      </c>
      <c r="L26" s="22">
        <f t="shared" si="4"/>
        <v>0.72011013449115746</v>
      </c>
      <c r="M26" s="25">
        <v>1</v>
      </c>
      <c r="N26" s="254">
        <v>0.76780000000000004</v>
      </c>
      <c r="O26" s="31">
        <v>337</v>
      </c>
      <c r="P26" s="49"/>
      <c r="Q26" s="49" t="s">
        <v>642</v>
      </c>
    </row>
    <row r="27" spans="1:17">
      <c r="A27" s="13">
        <f t="shared" si="5"/>
        <v>46136</v>
      </c>
      <c r="B27" s="1">
        <v>14040</v>
      </c>
      <c r="C27" s="1">
        <v>12583</v>
      </c>
      <c r="D27" s="221">
        <v>14065</v>
      </c>
      <c r="E27" s="6">
        <v>13890</v>
      </c>
      <c r="F27" s="21">
        <f t="shared" si="0"/>
        <v>0.10387030120003179</v>
      </c>
      <c r="G27" s="2">
        <f t="shared" si="1"/>
        <v>0.23583165660630451</v>
      </c>
      <c r="H27" s="2">
        <f t="shared" si="6"/>
        <v>0.23289738430583501</v>
      </c>
      <c r="I27" s="86">
        <v>6.84</v>
      </c>
      <c r="J27" s="185">
        <v>7.47</v>
      </c>
      <c r="K27" s="21">
        <f t="shared" si="3"/>
        <v>9.2105263157894718E-2</v>
      </c>
      <c r="L27" s="22">
        <f t="shared" si="4"/>
        <v>0.75769206941784573</v>
      </c>
      <c r="M27" s="25">
        <v>1</v>
      </c>
      <c r="N27" s="254">
        <v>0.85589999999999999</v>
      </c>
      <c r="O27" s="31">
        <v>1482</v>
      </c>
      <c r="P27" s="49"/>
      <c r="Q27" s="49" t="s">
        <v>643</v>
      </c>
    </row>
    <row r="28" spans="1:17">
      <c r="A28" s="13">
        <f t="shared" si="5"/>
        <v>46137</v>
      </c>
      <c r="B28" s="1">
        <v>14040</v>
      </c>
      <c r="C28" s="1">
        <v>12583</v>
      </c>
      <c r="D28" s="221">
        <v>14568</v>
      </c>
      <c r="E28" s="6">
        <v>14490</v>
      </c>
      <c r="F28" s="21">
        <f t="shared" si="0"/>
        <v>0.15155368354128587</v>
      </c>
      <c r="G28" s="2">
        <f t="shared" si="1"/>
        <v>0.24426559356136821</v>
      </c>
      <c r="H28" s="2">
        <f t="shared" si="6"/>
        <v>0.24295774647887325</v>
      </c>
      <c r="I28" s="86">
        <v>6.84</v>
      </c>
      <c r="J28" s="185">
        <v>7.3</v>
      </c>
      <c r="K28" s="21">
        <f t="shared" si="3"/>
        <v>6.725146198830409E-2</v>
      </c>
      <c r="L28" s="22">
        <f t="shared" si="4"/>
        <v>0.80306496513326531</v>
      </c>
      <c r="M28" s="25">
        <v>1</v>
      </c>
      <c r="N28" s="254">
        <v>1</v>
      </c>
      <c r="O28" s="31"/>
      <c r="P28" s="186"/>
      <c r="Q28" s="49"/>
    </row>
    <row r="29" spans="1:17">
      <c r="A29" s="13">
        <f t="shared" si="5"/>
        <v>46138</v>
      </c>
      <c r="B29" s="1">
        <v>14040</v>
      </c>
      <c r="C29" s="1">
        <v>12583</v>
      </c>
      <c r="D29" s="221">
        <v>11423</v>
      </c>
      <c r="E29" s="6">
        <v>11250</v>
      </c>
      <c r="F29" s="21">
        <f t="shared" si="0"/>
        <v>-0.10593658110148613</v>
      </c>
      <c r="G29" s="2">
        <f t="shared" si="1"/>
        <v>0.19153252850435948</v>
      </c>
      <c r="H29" s="2">
        <f t="shared" si="6"/>
        <v>0.18863179074446679</v>
      </c>
      <c r="I29" s="86">
        <v>6.84</v>
      </c>
      <c r="J29" s="185">
        <v>7.01</v>
      </c>
      <c r="K29" s="21">
        <f t="shared" si="3"/>
        <v>2.4853801169590635E-2</v>
      </c>
      <c r="L29" s="22">
        <f t="shared" si="4"/>
        <v>0.65574617462262885</v>
      </c>
      <c r="M29" s="25">
        <v>1</v>
      </c>
      <c r="N29" s="254">
        <v>0.52869999999999995</v>
      </c>
      <c r="O29" s="31">
        <v>1160</v>
      </c>
      <c r="P29" s="49"/>
      <c r="Q29" s="49" t="s">
        <v>635</v>
      </c>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155"/>
      <c r="O30" s="31"/>
      <c r="P30" s="255"/>
      <c r="Q30" s="49"/>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155"/>
      <c r="O31" s="31"/>
      <c r="P31" s="255"/>
      <c r="Q31" s="49"/>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155"/>
      <c r="O32" s="31"/>
      <c r="P32" s="255"/>
      <c r="Q32" s="49"/>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155"/>
      <c r="O33" s="31"/>
      <c r="P33" s="255"/>
      <c r="Q33" s="49"/>
    </row>
    <row r="34" spans="1:17">
      <c r="A34" s="349">
        <v>46113</v>
      </c>
      <c r="B34" s="89">
        <f>SUM(B4:B33)</f>
        <v>365040</v>
      </c>
      <c r="C34" s="89">
        <f>SUM(C4:C33)</f>
        <v>327158</v>
      </c>
      <c r="D34" s="89">
        <f>SUM(D4:D33)</f>
        <v>302194</v>
      </c>
      <c r="E34" s="89">
        <f>SUM(E4:E33)</f>
        <v>297950</v>
      </c>
      <c r="F34" s="160">
        <f t="shared" si="0"/>
        <v>-8.9277963552778783E-2</v>
      </c>
      <c r="G34" s="90">
        <f>AVERAGE(G4:G33)</f>
        <v>0.16889894925106191</v>
      </c>
      <c r="H34" s="90">
        <f>AVERAGE(H4:H33)</f>
        <v>0.19677853090766817</v>
      </c>
      <c r="I34" s="89">
        <f>SUM(I4:I33)</f>
        <v>177.84000000000006</v>
      </c>
      <c r="J34" s="89">
        <f>SUM(J4:J33)</f>
        <v>182.35</v>
      </c>
      <c r="K34" s="160">
        <f t="shared" si="3"/>
        <v>2.5359874044084192E-2</v>
      </c>
      <c r="L34" s="161">
        <f t="shared" si="4"/>
        <v>0.66688918815884057</v>
      </c>
      <c r="M34" s="90">
        <f>AVERAGE(M4:M33)</f>
        <v>0.99758076923076922</v>
      </c>
      <c r="N34" s="90">
        <f>AVERAGE(N4:N33)</f>
        <v>0.73942692307692304</v>
      </c>
      <c r="O34" s="256">
        <f>SUM(O4:O33)</f>
        <v>38867</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4E32-53A8-459C-893A-7126A16D5468}">
  <dimension ref="A1:Q66"/>
  <sheetViews>
    <sheetView workbookViewId="0">
      <pane xSplit="1" ySplit="3" topLeftCell="B19" activePane="bottomRight" state="frozen"/>
      <selection pane="topRight"/>
      <selection pane="bottomLeft"/>
      <selection pane="bottomRight" activeCell="A38" sqref="A38"/>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644</v>
      </c>
      <c r="B1" s="406"/>
      <c r="C1" s="406"/>
      <c r="D1" s="406"/>
      <c r="E1" s="406"/>
      <c r="F1" s="406"/>
      <c r="G1" s="406"/>
      <c r="H1" s="406"/>
      <c r="I1" s="406"/>
      <c r="J1" s="406"/>
      <c r="K1" s="406"/>
      <c r="L1" s="406"/>
      <c r="M1" s="406"/>
      <c r="N1" s="406"/>
      <c r="O1" s="406"/>
      <c r="P1" s="406"/>
      <c r="Q1" s="406"/>
    </row>
    <row r="2" spans="1:17" ht="18.5">
      <c r="A2" s="7">
        <v>46113</v>
      </c>
      <c r="B2" s="407" t="s">
        <v>172</v>
      </c>
      <c r="C2" s="408"/>
      <c r="D2" s="8">
        <v>3000</v>
      </c>
      <c r="E2" s="407" t="s">
        <v>173</v>
      </c>
      <c r="F2" s="407"/>
      <c r="G2" s="408"/>
      <c r="H2" s="8">
        <v>2420</v>
      </c>
      <c r="I2" s="409" t="s">
        <v>174</v>
      </c>
      <c r="J2" s="410"/>
      <c r="K2" s="9">
        <v>45000</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15454</v>
      </c>
      <c r="C4" s="1">
        <v>14891</v>
      </c>
      <c r="D4" s="221">
        <v>15007</v>
      </c>
      <c r="E4" s="257">
        <v>14610</v>
      </c>
      <c r="F4" s="21">
        <f t="shared" ref="F4:F35" si="0">(IF(ISBLANK(E4),0,E4-C4))/C4</f>
        <v>-1.8870458666308508E-2</v>
      </c>
      <c r="G4" s="2">
        <f t="shared" ref="G4:G33" si="1">D4/($D$2*24)</f>
        <v>0.20843055555555556</v>
      </c>
      <c r="H4" s="2">
        <f t="shared" ref="H4:H21" si="2">D4/($H$2*24)</f>
        <v>0.25838498622589534</v>
      </c>
      <c r="I4" s="86">
        <v>6.6269999999999998</v>
      </c>
      <c r="J4" s="185">
        <v>6.23</v>
      </c>
      <c r="K4" s="21">
        <f t="shared" ref="K4:K35" si="3">(IF(ISBLANK(J4),0,J4-I4))/I4</f>
        <v>-5.9906443337860174E-2</v>
      </c>
      <c r="L4" s="22">
        <f t="shared" ref="L4:L35" si="4">D4/($D$2*J4)</f>
        <v>0.80294275013376137</v>
      </c>
      <c r="M4" s="25">
        <v>1</v>
      </c>
      <c r="N4" s="25">
        <v>0.97499999999999998</v>
      </c>
      <c r="O4" s="253">
        <v>1354</v>
      </c>
      <c r="P4" s="49"/>
      <c r="Q4" s="50" t="s">
        <v>615</v>
      </c>
    </row>
    <row r="5" spans="1:17">
      <c r="A5" s="13">
        <f t="shared" ref="A5:A33" si="5">A4+1</f>
        <v>46114</v>
      </c>
      <c r="B5" s="1">
        <v>15454</v>
      </c>
      <c r="C5" s="1">
        <v>14891</v>
      </c>
      <c r="D5" s="221">
        <v>15733</v>
      </c>
      <c r="E5" s="257">
        <v>15360</v>
      </c>
      <c r="F5" s="21">
        <f t="shared" si="0"/>
        <v>3.1495534215297834E-2</v>
      </c>
      <c r="G5" s="2">
        <f t="shared" si="1"/>
        <v>0.2185138888888889</v>
      </c>
      <c r="H5" s="2">
        <f t="shared" si="2"/>
        <v>0.2708849862258953</v>
      </c>
      <c r="I5" s="86">
        <v>6.6269999999999998</v>
      </c>
      <c r="J5" s="185">
        <v>6.51</v>
      </c>
      <c r="K5" s="21">
        <f t="shared" si="3"/>
        <v>-1.7655047532820281E-2</v>
      </c>
      <c r="L5" s="22">
        <f t="shared" si="4"/>
        <v>0.80558115719406043</v>
      </c>
      <c r="M5" s="25">
        <v>1</v>
      </c>
      <c r="N5" s="25">
        <v>0.96</v>
      </c>
      <c r="O5" s="253">
        <v>1101</v>
      </c>
      <c r="P5" s="49"/>
      <c r="Q5" s="50" t="s">
        <v>615</v>
      </c>
    </row>
    <row r="6" spans="1:17">
      <c r="A6" s="13">
        <f t="shared" si="5"/>
        <v>46115</v>
      </c>
      <c r="B6" s="1">
        <v>15454</v>
      </c>
      <c r="C6" s="1">
        <v>14891</v>
      </c>
      <c r="D6" s="221">
        <v>13219</v>
      </c>
      <c r="E6" s="257">
        <v>12900</v>
      </c>
      <c r="F6" s="21">
        <f t="shared" si="0"/>
        <v>-0.13370492243637097</v>
      </c>
      <c r="G6" s="2">
        <f t="shared" si="1"/>
        <v>0.18359722222222222</v>
      </c>
      <c r="H6" s="2">
        <f t="shared" si="2"/>
        <v>0.22759986225895318</v>
      </c>
      <c r="I6" s="86">
        <v>6.6269999999999998</v>
      </c>
      <c r="J6" s="185">
        <v>4.91</v>
      </c>
      <c r="K6" s="21">
        <f t="shared" si="3"/>
        <v>-0.25909159499019158</v>
      </c>
      <c r="L6" s="22">
        <f t="shared" si="4"/>
        <v>0.89742023082145284</v>
      </c>
      <c r="M6" s="25">
        <v>1</v>
      </c>
      <c r="N6" s="25">
        <v>1</v>
      </c>
      <c r="O6" s="253" t="s">
        <v>175</v>
      </c>
      <c r="P6" s="49"/>
      <c r="Q6" s="49"/>
    </row>
    <row r="7" spans="1:17">
      <c r="A7" s="13">
        <f t="shared" si="5"/>
        <v>46116</v>
      </c>
      <c r="B7" s="1">
        <v>15454</v>
      </c>
      <c r="C7" s="1">
        <v>14891</v>
      </c>
      <c r="D7" s="221">
        <v>15284</v>
      </c>
      <c r="E7" s="257">
        <v>14880</v>
      </c>
      <c r="F7" s="21">
        <f t="shared" si="0"/>
        <v>-7.3870122893022626E-4</v>
      </c>
      <c r="G7" s="2">
        <f t="shared" si="1"/>
        <v>0.21227777777777779</v>
      </c>
      <c r="H7" s="2">
        <f t="shared" si="2"/>
        <v>0.26315426997245178</v>
      </c>
      <c r="I7" s="86">
        <v>6.6269999999999998</v>
      </c>
      <c r="J7" s="185">
        <v>6.05</v>
      </c>
      <c r="K7" s="21">
        <f t="shared" si="3"/>
        <v>-8.7068054926814548E-2</v>
      </c>
      <c r="L7" s="22">
        <f t="shared" si="4"/>
        <v>0.8420936639118457</v>
      </c>
      <c r="M7" s="25">
        <v>1</v>
      </c>
      <c r="N7" s="25">
        <v>1</v>
      </c>
      <c r="O7" s="253" t="s">
        <v>175</v>
      </c>
      <c r="P7" s="49"/>
      <c r="Q7" s="49"/>
    </row>
    <row r="8" spans="1:17">
      <c r="A8" s="13">
        <f t="shared" si="5"/>
        <v>46117</v>
      </c>
      <c r="B8" s="1">
        <v>15454</v>
      </c>
      <c r="C8" s="1">
        <v>14891</v>
      </c>
      <c r="D8" s="221">
        <v>13884</v>
      </c>
      <c r="E8" s="257">
        <v>13530</v>
      </c>
      <c r="F8" s="21">
        <f t="shared" si="0"/>
        <v>-9.139748841582164E-2</v>
      </c>
      <c r="G8" s="2">
        <f t="shared" si="1"/>
        <v>0.19283333333333333</v>
      </c>
      <c r="H8" s="2">
        <f t="shared" si="2"/>
        <v>0.2390495867768595</v>
      </c>
      <c r="I8" s="86">
        <v>6.6269999999999998</v>
      </c>
      <c r="J8" s="185">
        <v>6.28</v>
      </c>
      <c r="K8" s="21">
        <f t="shared" si="3"/>
        <v>-5.2361551229817345E-2</v>
      </c>
      <c r="L8" s="22">
        <f t="shared" si="4"/>
        <v>0.73694267515923562</v>
      </c>
      <c r="M8" s="25">
        <v>1</v>
      </c>
      <c r="N8" s="25">
        <v>0.97499999999999998</v>
      </c>
      <c r="O8" s="253">
        <v>2497</v>
      </c>
      <c r="P8" s="49"/>
      <c r="Q8" s="50" t="s">
        <v>615</v>
      </c>
    </row>
    <row r="9" spans="1:17">
      <c r="A9" s="13">
        <f t="shared" si="5"/>
        <v>46118</v>
      </c>
      <c r="B9" s="1">
        <v>15454</v>
      </c>
      <c r="C9" s="1">
        <v>14891</v>
      </c>
      <c r="D9" s="221">
        <v>14433</v>
      </c>
      <c r="E9" s="257">
        <v>14100</v>
      </c>
      <c r="F9" s="21">
        <f t="shared" si="0"/>
        <v>-5.3119333825800821E-2</v>
      </c>
      <c r="G9" s="2">
        <f t="shared" si="1"/>
        <v>0.20045833333333332</v>
      </c>
      <c r="H9" s="2">
        <f t="shared" si="2"/>
        <v>0.24850206611570247</v>
      </c>
      <c r="I9" s="86">
        <v>6.6269999999999998</v>
      </c>
      <c r="J9" s="185">
        <v>6.65</v>
      </c>
      <c r="K9" s="21">
        <f t="shared" si="3"/>
        <v>3.4706503696998003E-3</v>
      </c>
      <c r="L9" s="22">
        <f t="shared" si="4"/>
        <v>0.72345864661654136</v>
      </c>
      <c r="M9" s="25">
        <v>1</v>
      </c>
      <c r="N9" s="25">
        <v>0.96</v>
      </c>
      <c r="O9" s="253">
        <v>3118</v>
      </c>
      <c r="P9" s="49"/>
      <c r="Q9" s="50" t="s">
        <v>615</v>
      </c>
    </row>
    <row r="10" spans="1:17">
      <c r="A10" s="13">
        <f t="shared" si="5"/>
        <v>46119</v>
      </c>
      <c r="B10" s="1">
        <v>15454</v>
      </c>
      <c r="C10" s="1">
        <v>14891</v>
      </c>
      <c r="D10" s="221">
        <v>8207</v>
      </c>
      <c r="E10" s="257">
        <v>7980</v>
      </c>
      <c r="F10" s="21">
        <f t="shared" si="0"/>
        <v>-0.46410583573970854</v>
      </c>
      <c r="G10" s="2">
        <f t="shared" si="1"/>
        <v>0.11398611111111111</v>
      </c>
      <c r="H10" s="2">
        <f t="shared" si="2"/>
        <v>0.14130509641873279</v>
      </c>
      <c r="I10" s="86">
        <v>6.6269999999999998</v>
      </c>
      <c r="J10" s="185">
        <v>4.78</v>
      </c>
      <c r="K10" s="21">
        <f t="shared" si="3"/>
        <v>-0.278708314471103</v>
      </c>
      <c r="L10" s="22">
        <f t="shared" si="4"/>
        <v>0.57231520223152021</v>
      </c>
      <c r="M10" s="25">
        <v>1</v>
      </c>
      <c r="N10" s="25">
        <v>0.98</v>
      </c>
      <c r="O10" s="253">
        <v>4143</v>
      </c>
      <c r="P10" s="219"/>
      <c r="Q10" s="50" t="s">
        <v>615</v>
      </c>
    </row>
    <row r="11" spans="1:17">
      <c r="A11" s="13">
        <f t="shared" si="5"/>
        <v>46120</v>
      </c>
      <c r="B11" s="1">
        <v>15454</v>
      </c>
      <c r="C11" s="1">
        <v>14891</v>
      </c>
      <c r="D11" s="221">
        <v>9415</v>
      </c>
      <c r="E11" s="257">
        <v>9180</v>
      </c>
      <c r="F11" s="21">
        <f t="shared" si="0"/>
        <v>-0.3835202471291384</v>
      </c>
      <c r="G11" s="2">
        <f t="shared" si="1"/>
        <v>0.1307638888888889</v>
      </c>
      <c r="H11" s="2">
        <f t="shared" si="2"/>
        <v>0.16210399449035812</v>
      </c>
      <c r="I11" s="86">
        <v>6.6269999999999998</v>
      </c>
      <c r="J11" s="185">
        <v>5.49</v>
      </c>
      <c r="K11" s="21">
        <f t="shared" si="3"/>
        <v>-0.17157084653689447</v>
      </c>
      <c r="L11" s="22">
        <f t="shared" si="4"/>
        <v>0.57164541590771101</v>
      </c>
      <c r="M11" s="25">
        <v>1</v>
      </c>
      <c r="N11" s="25">
        <v>0.97</v>
      </c>
      <c r="O11" s="253">
        <v>4848</v>
      </c>
      <c r="P11" s="49"/>
      <c r="Q11" s="50" t="s">
        <v>615</v>
      </c>
    </row>
    <row r="12" spans="1:17">
      <c r="A12" s="13">
        <f t="shared" si="5"/>
        <v>46121</v>
      </c>
      <c r="B12" s="1">
        <v>15454</v>
      </c>
      <c r="C12" s="1">
        <v>14891</v>
      </c>
      <c r="D12" s="221">
        <v>14450</v>
      </c>
      <c r="E12" s="257">
        <v>14100</v>
      </c>
      <c r="F12" s="21">
        <f t="shared" si="0"/>
        <v>-5.3119333825800821E-2</v>
      </c>
      <c r="G12" s="2">
        <f t="shared" si="1"/>
        <v>0.20069444444444445</v>
      </c>
      <c r="H12" s="2">
        <f t="shared" si="2"/>
        <v>0.24879476584022039</v>
      </c>
      <c r="I12" s="86">
        <v>6.6269999999999998</v>
      </c>
      <c r="J12" s="185">
        <v>6.44</v>
      </c>
      <c r="K12" s="21">
        <f t="shared" si="3"/>
        <v>-2.8217896484080185E-2</v>
      </c>
      <c r="L12" s="22">
        <f t="shared" si="4"/>
        <v>0.74792960662525876</v>
      </c>
      <c r="M12" s="25">
        <v>1</v>
      </c>
      <c r="N12" s="25">
        <v>1</v>
      </c>
      <c r="O12" s="253">
        <v>2294</v>
      </c>
      <c r="P12" s="49"/>
      <c r="Q12" s="50" t="s">
        <v>615</v>
      </c>
    </row>
    <row r="13" spans="1:17">
      <c r="A13" s="13">
        <f t="shared" si="5"/>
        <v>46122</v>
      </c>
      <c r="B13" s="1">
        <v>15454</v>
      </c>
      <c r="C13" s="1">
        <v>14891</v>
      </c>
      <c r="D13" s="221">
        <v>16374</v>
      </c>
      <c r="E13" s="257">
        <v>15990</v>
      </c>
      <c r="F13" s="21">
        <f t="shared" si="0"/>
        <v>7.3802968235847158E-2</v>
      </c>
      <c r="G13" s="2">
        <f t="shared" si="1"/>
        <v>0.22741666666666666</v>
      </c>
      <c r="H13" s="2">
        <f t="shared" si="2"/>
        <v>0.28192148760330576</v>
      </c>
      <c r="I13" s="86">
        <v>6.6269999999999998</v>
      </c>
      <c r="J13" s="185">
        <v>7.04</v>
      </c>
      <c r="K13" s="21">
        <f t="shared" si="3"/>
        <v>6.2320808812434021E-2</v>
      </c>
      <c r="L13" s="22">
        <f t="shared" si="4"/>
        <v>0.77528409090909089</v>
      </c>
      <c r="M13" s="25">
        <v>1</v>
      </c>
      <c r="N13" s="25">
        <v>1</v>
      </c>
      <c r="O13" s="253">
        <v>1632</v>
      </c>
      <c r="P13" s="49"/>
      <c r="Q13" s="50" t="s">
        <v>615</v>
      </c>
    </row>
    <row r="14" spans="1:17">
      <c r="A14" s="13">
        <f t="shared" si="5"/>
        <v>46123</v>
      </c>
      <c r="B14" s="1">
        <v>15454</v>
      </c>
      <c r="C14" s="1">
        <v>14891</v>
      </c>
      <c r="D14" s="221">
        <v>16167</v>
      </c>
      <c r="E14" s="257">
        <v>15750</v>
      </c>
      <c r="F14" s="21">
        <f t="shared" si="0"/>
        <v>5.7685850513733129E-2</v>
      </c>
      <c r="G14" s="2">
        <f t="shared" si="1"/>
        <v>0.22454166666666667</v>
      </c>
      <c r="H14" s="2">
        <f t="shared" si="2"/>
        <v>0.2783574380165289</v>
      </c>
      <c r="I14" s="86">
        <v>6.6269999999999998</v>
      </c>
      <c r="J14" s="185">
        <v>6.66</v>
      </c>
      <c r="K14" s="21">
        <f t="shared" si="3"/>
        <v>4.979628791308339E-3</v>
      </c>
      <c r="L14" s="22">
        <f t="shared" si="4"/>
        <v>0.80915915915915915</v>
      </c>
      <c r="M14" s="25">
        <v>1</v>
      </c>
      <c r="N14" s="25">
        <v>0.98</v>
      </c>
      <c r="O14" s="253">
        <v>532</v>
      </c>
      <c r="P14" s="49"/>
      <c r="Q14" s="50" t="s">
        <v>615</v>
      </c>
    </row>
    <row r="15" spans="1:17">
      <c r="A15" s="13">
        <f t="shared" si="5"/>
        <v>46124</v>
      </c>
      <c r="B15" s="1">
        <v>15454</v>
      </c>
      <c r="C15" s="1">
        <v>14891</v>
      </c>
      <c r="D15" s="221">
        <v>16777</v>
      </c>
      <c r="E15" s="257">
        <v>16350</v>
      </c>
      <c r="F15" s="21">
        <f t="shared" si="0"/>
        <v>9.7978644819018204E-2</v>
      </c>
      <c r="G15" s="2">
        <f t="shared" si="1"/>
        <v>0.23301388888888888</v>
      </c>
      <c r="H15" s="2">
        <f t="shared" si="2"/>
        <v>0.28886019283746556</v>
      </c>
      <c r="I15" s="86">
        <v>6.6269999999999998</v>
      </c>
      <c r="J15" s="185">
        <v>6.79</v>
      </c>
      <c r="K15" s="21">
        <f t="shared" si="3"/>
        <v>2.4596348272219747E-2</v>
      </c>
      <c r="L15" s="22">
        <f t="shared" si="4"/>
        <v>0.82361315660284729</v>
      </c>
      <c r="M15" s="25">
        <v>1</v>
      </c>
      <c r="N15" s="25">
        <v>1</v>
      </c>
      <c r="O15" s="253"/>
      <c r="P15" s="49"/>
      <c r="Q15" s="49"/>
    </row>
    <row r="16" spans="1:17">
      <c r="A16" s="13">
        <f t="shared" si="5"/>
        <v>46125</v>
      </c>
      <c r="B16" s="1">
        <v>15454</v>
      </c>
      <c r="C16" s="1">
        <v>14891</v>
      </c>
      <c r="D16" s="221">
        <v>16975</v>
      </c>
      <c r="E16" s="257">
        <v>16590</v>
      </c>
      <c r="F16" s="21">
        <f t="shared" si="0"/>
        <v>0.11409576254113223</v>
      </c>
      <c r="G16" s="2">
        <f t="shared" si="1"/>
        <v>0.23576388888888888</v>
      </c>
      <c r="H16" s="2">
        <f t="shared" si="2"/>
        <v>0.29226928374655647</v>
      </c>
      <c r="I16" s="86">
        <v>6.6269999999999998</v>
      </c>
      <c r="J16" s="185">
        <v>6.87</v>
      </c>
      <c r="K16" s="21">
        <f t="shared" si="3"/>
        <v>3.6668175645088327E-2</v>
      </c>
      <c r="L16" s="22">
        <f t="shared" si="4"/>
        <v>0.82362930616205721</v>
      </c>
      <c r="M16" s="25">
        <v>1</v>
      </c>
      <c r="N16" s="25">
        <v>1</v>
      </c>
      <c r="O16" s="253"/>
      <c r="P16" s="49"/>
      <c r="Q16" s="49"/>
    </row>
    <row r="17" spans="1:17">
      <c r="A17" s="13">
        <f t="shared" si="5"/>
        <v>46126</v>
      </c>
      <c r="B17" s="1">
        <v>15454</v>
      </c>
      <c r="C17" s="1">
        <v>14891</v>
      </c>
      <c r="D17" s="221">
        <v>15855</v>
      </c>
      <c r="E17" s="257">
        <v>15450</v>
      </c>
      <c r="F17" s="21">
        <f t="shared" si="0"/>
        <v>3.7539453361090588E-2</v>
      </c>
      <c r="G17" s="2">
        <f t="shared" si="1"/>
        <v>0.22020833333333334</v>
      </c>
      <c r="H17" s="2">
        <f t="shared" si="2"/>
        <v>0.27298553719008267</v>
      </c>
      <c r="I17" s="86">
        <v>6.6269999999999998</v>
      </c>
      <c r="J17" s="185">
        <v>6.92</v>
      </c>
      <c r="K17" s="21">
        <f t="shared" si="3"/>
        <v>4.4213067753131156E-2</v>
      </c>
      <c r="L17" s="22">
        <f t="shared" si="4"/>
        <v>0.76372832369942201</v>
      </c>
      <c r="M17" s="25">
        <v>1</v>
      </c>
      <c r="N17" s="25">
        <v>0.99880000000000002</v>
      </c>
      <c r="O17" s="253">
        <v>1798</v>
      </c>
      <c r="P17" s="49"/>
      <c r="Q17" s="50" t="s">
        <v>615</v>
      </c>
    </row>
    <row r="18" spans="1:17">
      <c r="A18" s="13">
        <f t="shared" si="5"/>
        <v>46127</v>
      </c>
      <c r="B18" s="1">
        <v>15454</v>
      </c>
      <c r="C18" s="1">
        <v>14891</v>
      </c>
      <c r="D18" s="221">
        <v>14924</v>
      </c>
      <c r="E18" s="257">
        <v>14580</v>
      </c>
      <c r="F18" s="21">
        <f t="shared" si="0"/>
        <v>-2.0885098381572761E-2</v>
      </c>
      <c r="G18" s="2">
        <f t="shared" si="1"/>
        <v>0.20727777777777778</v>
      </c>
      <c r="H18" s="2">
        <f t="shared" si="2"/>
        <v>0.25695592286501379</v>
      </c>
      <c r="I18" s="86">
        <v>6.6269999999999998</v>
      </c>
      <c r="J18" s="185">
        <v>6.47</v>
      </c>
      <c r="K18" s="21">
        <f t="shared" si="3"/>
        <v>-2.3690961219254569E-2</v>
      </c>
      <c r="L18" s="22">
        <f t="shared" si="4"/>
        <v>0.76888201957753732</v>
      </c>
      <c r="M18" s="25">
        <v>1</v>
      </c>
      <c r="N18" s="25">
        <v>0.99439999999999995</v>
      </c>
      <c r="O18" s="253">
        <v>1711</v>
      </c>
      <c r="P18" s="49"/>
      <c r="Q18" s="50" t="s">
        <v>615</v>
      </c>
    </row>
    <row r="19" spans="1:17">
      <c r="A19" s="13">
        <f t="shared" si="5"/>
        <v>46128</v>
      </c>
      <c r="B19" s="1">
        <v>15454</v>
      </c>
      <c r="C19" s="1">
        <v>14891</v>
      </c>
      <c r="D19" s="221">
        <v>15658</v>
      </c>
      <c r="E19" s="257">
        <v>15240</v>
      </c>
      <c r="F19" s="21">
        <f t="shared" si="0"/>
        <v>2.3436975354240816E-2</v>
      </c>
      <c r="G19" s="2">
        <f t="shared" si="1"/>
        <v>0.21747222222222223</v>
      </c>
      <c r="H19" s="2">
        <f t="shared" si="2"/>
        <v>0.26959366391184575</v>
      </c>
      <c r="I19" s="86">
        <v>6.6269999999999998</v>
      </c>
      <c r="J19" s="185">
        <v>6.57</v>
      </c>
      <c r="K19" s="21">
        <f t="shared" si="3"/>
        <v>-8.6011770031687793E-3</v>
      </c>
      <c r="L19" s="22">
        <f t="shared" si="4"/>
        <v>0.79441907661085742</v>
      </c>
      <c r="M19" s="25">
        <v>1</v>
      </c>
      <c r="N19" s="25">
        <v>0.99880000000000002</v>
      </c>
      <c r="O19" s="253">
        <v>1129</v>
      </c>
      <c r="P19" s="49"/>
      <c r="Q19" s="50" t="s">
        <v>615</v>
      </c>
    </row>
    <row r="20" spans="1:17">
      <c r="A20" s="13">
        <f t="shared" si="5"/>
        <v>46129</v>
      </c>
      <c r="B20" s="1">
        <v>15454</v>
      </c>
      <c r="C20" s="1">
        <v>14891</v>
      </c>
      <c r="D20" s="221">
        <v>13668</v>
      </c>
      <c r="E20" s="257">
        <v>13320</v>
      </c>
      <c r="F20" s="21">
        <f t="shared" si="0"/>
        <v>-0.10549996642267141</v>
      </c>
      <c r="G20" s="2">
        <f t="shared" si="1"/>
        <v>0.18983333333333333</v>
      </c>
      <c r="H20" s="2">
        <f t="shared" si="2"/>
        <v>0.23533057851239669</v>
      </c>
      <c r="I20" s="86">
        <v>6.6269999999999998</v>
      </c>
      <c r="J20" s="185">
        <v>5.96</v>
      </c>
      <c r="K20" s="21">
        <f t="shared" si="3"/>
        <v>-0.10064886072129166</v>
      </c>
      <c r="L20" s="22">
        <f t="shared" si="4"/>
        <v>0.7644295302013423</v>
      </c>
      <c r="M20" s="25">
        <v>1</v>
      </c>
      <c r="N20" s="25">
        <v>0.99450000000000005</v>
      </c>
      <c r="O20" s="253">
        <v>1707</v>
      </c>
      <c r="P20" s="49"/>
      <c r="Q20" s="50" t="s">
        <v>615</v>
      </c>
    </row>
    <row r="21" spans="1:17">
      <c r="A21" s="13">
        <f t="shared" si="5"/>
        <v>46130</v>
      </c>
      <c r="B21" s="1">
        <v>15454</v>
      </c>
      <c r="C21" s="1">
        <v>14891</v>
      </c>
      <c r="D21" s="221">
        <v>16370</v>
      </c>
      <c r="E21" s="257">
        <v>16020</v>
      </c>
      <c r="F21" s="21">
        <f t="shared" si="0"/>
        <v>7.5817607951111407E-2</v>
      </c>
      <c r="G21" s="2">
        <f t="shared" si="1"/>
        <v>0.22736111111111112</v>
      </c>
      <c r="H21" s="2">
        <f t="shared" si="2"/>
        <v>0.28185261707988979</v>
      </c>
      <c r="I21" s="86">
        <v>6.6269999999999998</v>
      </c>
      <c r="J21" s="185">
        <v>7.04</v>
      </c>
      <c r="K21" s="21">
        <f t="shared" si="3"/>
        <v>6.2320808812434021E-2</v>
      </c>
      <c r="L21" s="22">
        <f t="shared" si="4"/>
        <v>0.77509469696969702</v>
      </c>
      <c r="M21" s="25">
        <v>1</v>
      </c>
      <c r="N21" s="25">
        <v>0.99229999999999996</v>
      </c>
      <c r="O21" s="253">
        <v>1396</v>
      </c>
      <c r="P21" s="186"/>
      <c r="Q21" s="50" t="s">
        <v>615</v>
      </c>
    </row>
    <row r="22" spans="1:17">
      <c r="A22" s="13">
        <f t="shared" si="5"/>
        <v>46131</v>
      </c>
      <c r="B22" s="1">
        <v>15454</v>
      </c>
      <c r="C22" s="1">
        <v>14891</v>
      </c>
      <c r="D22" s="221">
        <v>13504</v>
      </c>
      <c r="E22" s="257">
        <v>13170</v>
      </c>
      <c r="F22" s="21">
        <f t="shared" si="0"/>
        <v>-0.11557316499899269</v>
      </c>
      <c r="G22" s="2">
        <f t="shared" si="1"/>
        <v>0.18755555555555556</v>
      </c>
      <c r="H22" s="2">
        <f t="shared" ref="H22:H33" si="6">E22/($D$2*24)</f>
        <v>0.18291666666666667</v>
      </c>
      <c r="I22" s="86">
        <v>6.6269999999999998</v>
      </c>
      <c r="J22" s="185">
        <v>6.48</v>
      </c>
      <c r="K22" s="21">
        <f t="shared" si="3"/>
        <v>-2.2181982797645897E-2</v>
      </c>
      <c r="L22" s="22">
        <f t="shared" si="4"/>
        <v>0.69465020576131686</v>
      </c>
      <c r="M22" s="25">
        <v>1</v>
      </c>
      <c r="N22" s="25">
        <v>0.98650000000000004</v>
      </c>
      <c r="O22" s="253">
        <v>2905</v>
      </c>
      <c r="P22" s="186"/>
      <c r="Q22" s="50" t="s">
        <v>615</v>
      </c>
    </row>
    <row r="23" spans="1:17">
      <c r="A23" s="13">
        <f t="shared" si="5"/>
        <v>46132</v>
      </c>
      <c r="B23" s="1">
        <v>15454</v>
      </c>
      <c r="C23" s="1">
        <v>14891</v>
      </c>
      <c r="D23" s="221">
        <v>15107</v>
      </c>
      <c r="E23" s="257">
        <v>14730</v>
      </c>
      <c r="F23" s="21">
        <f t="shared" si="0"/>
        <v>-1.0811899805251494E-2</v>
      </c>
      <c r="G23" s="2">
        <f t="shared" si="1"/>
        <v>0.20981944444444445</v>
      </c>
      <c r="H23" s="2">
        <f t="shared" si="6"/>
        <v>0.20458333333333334</v>
      </c>
      <c r="I23" s="86">
        <v>6.6269999999999998</v>
      </c>
      <c r="J23" s="185">
        <v>6.74</v>
      </c>
      <c r="K23" s="21">
        <f t="shared" si="3"/>
        <v>1.7051456164176918E-2</v>
      </c>
      <c r="L23" s="22">
        <f t="shared" si="4"/>
        <v>0.74713155291790312</v>
      </c>
      <c r="M23" s="25">
        <v>1</v>
      </c>
      <c r="N23" s="25">
        <v>0.99439999999999995</v>
      </c>
      <c r="O23" s="253">
        <v>1912</v>
      </c>
      <c r="P23" s="186"/>
      <c r="Q23" s="50" t="s">
        <v>615</v>
      </c>
    </row>
    <row r="24" spans="1:17">
      <c r="A24" s="13">
        <f t="shared" si="5"/>
        <v>46133</v>
      </c>
      <c r="B24" s="1">
        <v>15454</v>
      </c>
      <c r="C24" s="1">
        <v>14891</v>
      </c>
      <c r="D24" s="221">
        <v>14557</v>
      </c>
      <c r="E24" s="257">
        <v>14220</v>
      </c>
      <c r="F24" s="21">
        <f t="shared" si="0"/>
        <v>-4.5060774964743804E-2</v>
      </c>
      <c r="G24" s="2">
        <f t="shared" si="1"/>
        <v>0.20218055555555556</v>
      </c>
      <c r="H24" s="2">
        <f t="shared" si="6"/>
        <v>0.19750000000000001</v>
      </c>
      <c r="I24" s="86">
        <v>6.6269999999999998</v>
      </c>
      <c r="J24" s="185">
        <v>6.61</v>
      </c>
      <c r="K24" s="21">
        <f t="shared" si="3"/>
        <v>-2.5652633167344892E-3</v>
      </c>
      <c r="L24" s="22">
        <f t="shared" si="4"/>
        <v>0.73408976298537565</v>
      </c>
      <c r="M24" s="25">
        <v>1</v>
      </c>
      <c r="N24" s="25">
        <v>0.99229999999999996</v>
      </c>
      <c r="O24" s="253">
        <v>2153</v>
      </c>
      <c r="P24" s="186"/>
      <c r="Q24" s="50" t="s">
        <v>615</v>
      </c>
    </row>
    <row r="25" spans="1:17">
      <c r="A25" s="13">
        <f t="shared" si="5"/>
        <v>46134</v>
      </c>
      <c r="B25" s="1">
        <v>15454</v>
      </c>
      <c r="C25" s="1">
        <v>14891</v>
      </c>
      <c r="D25" s="221">
        <v>14730</v>
      </c>
      <c r="E25" s="257">
        <v>14370</v>
      </c>
      <c r="F25" s="21">
        <f t="shared" si="0"/>
        <v>-3.4987576388422537E-2</v>
      </c>
      <c r="G25" s="2">
        <f t="shared" si="1"/>
        <v>0.20458333333333334</v>
      </c>
      <c r="H25" s="2">
        <f t="shared" si="6"/>
        <v>0.19958333333333333</v>
      </c>
      <c r="I25" s="86">
        <v>6.6269999999999998</v>
      </c>
      <c r="J25" s="185">
        <v>6.52</v>
      </c>
      <c r="K25" s="21">
        <f t="shared" si="3"/>
        <v>-1.614606911121174E-2</v>
      </c>
      <c r="L25" s="22">
        <f t="shared" si="4"/>
        <v>0.75306748466257667</v>
      </c>
      <c r="M25" s="25">
        <v>1</v>
      </c>
      <c r="N25" s="25">
        <v>0.99119999999999997</v>
      </c>
      <c r="O25" s="253">
        <v>2282</v>
      </c>
      <c r="P25" s="186"/>
      <c r="Q25" s="50" t="s">
        <v>615</v>
      </c>
    </row>
    <row r="26" spans="1:17">
      <c r="A26" s="13">
        <f t="shared" si="5"/>
        <v>46135</v>
      </c>
      <c r="B26" s="1">
        <v>15454</v>
      </c>
      <c r="C26" s="1">
        <v>14891</v>
      </c>
      <c r="D26" s="221">
        <v>16035</v>
      </c>
      <c r="E26" s="257">
        <v>15630</v>
      </c>
      <c r="F26" s="21">
        <f t="shared" si="0"/>
        <v>4.9627291652676112E-2</v>
      </c>
      <c r="G26" s="2">
        <f t="shared" si="1"/>
        <v>0.22270833333333334</v>
      </c>
      <c r="H26" s="2">
        <f t="shared" si="6"/>
        <v>0.21708333333333332</v>
      </c>
      <c r="I26" s="86">
        <v>6.6269999999999998</v>
      </c>
      <c r="J26" s="185">
        <v>6.98</v>
      </c>
      <c r="K26" s="21">
        <f t="shared" si="3"/>
        <v>5.3266938282782658E-2</v>
      </c>
      <c r="L26" s="22">
        <f t="shared" si="4"/>
        <v>0.76575931232091687</v>
      </c>
      <c r="M26" s="25">
        <v>1</v>
      </c>
      <c r="N26" s="25">
        <v>0.99890000000000001</v>
      </c>
      <c r="O26" s="253">
        <v>1374</v>
      </c>
      <c r="P26" s="49"/>
      <c r="Q26" s="50" t="s">
        <v>615</v>
      </c>
    </row>
    <row r="27" spans="1:17">
      <c r="A27" s="13">
        <f t="shared" si="5"/>
        <v>46136</v>
      </c>
      <c r="B27" s="1">
        <v>15454</v>
      </c>
      <c r="C27" s="1">
        <v>14891</v>
      </c>
      <c r="D27" s="221">
        <v>16532</v>
      </c>
      <c r="E27" s="257">
        <v>16140</v>
      </c>
      <c r="F27" s="21">
        <f t="shared" si="0"/>
        <v>8.3876166812168418E-2</v>
      </c>
      <c r="G27" s="2">
        <f t="shared" si="1"/>
        <v>0.2296111111111111</v>
      </c>
      <c r="H27" s="2">
        <f t="shared" si="6"/>
        <v>0.22416666666666665</v>
      </c>
      <c r="I27" s="86">
        <v>6.6269999999999998</v>
      </c>
      <c r="J27" s="185">
        <v>6.94</v>
      </c>
      <c r="K27" s="21">
        <f t="shared" si="3"/>
        <v>4.7231024596348363E-2</v>
      </c>
      <c r="L27" s="22">
        <f t="shared" si="4"/>
        <v>0.7940441882804995</v>
      </c>
      <c r="M27" s="25">
        <v>1</v>
      </c>
      <c r="N27" s="25">
        <v>0.99950000000000006</v>
      </c>
      <c r="O27" s="253">
        <v>847</v>
      </c>
      <c r="P27" s="49"/>
      <c r="Q27" s="50" t="s">
        <v>615</v>
      </c>
    </row>
    <row r="28" spans="1:17">
      <c r="A28" s="13">
        <f t="shared" si="5"/>
        <v>46137</v>
      </c>
      <c r="B28" s="1">
        <v>15454</v>
      </c>
      <c r="C28" s="1">
        <v>14891</v>
      </c>
      <c r="D28" s="221">
        <v>16697</v>
      </c>
      <c r="E28" s="257">
        <v>16290</v>
      </c>
      <c r="F28" s="21">
        <f t="shared" si="0"/>
        <v>9.3949365388489692E-2</v>
      </c>
      <c r="G28" s="2">
        <f t="shared" si="1"/>
        <v>0.23190277777777779</v>
      </c>
      <c r="H28" s="2">
        <f t="shared" si="6"/>
        <v>0.22625000000000001</v>
      </c>
      <c r="I28" s="86">
        <v>6.6269999999999998</v>
      </c>
      <c r="J28" s="185">
        <v>6.87</v>
      </c>
      <c r="K28" s="21">
        <f t="shared" si="3"/>
        <v>3.6668175645088327E-2</v>
      </c>
      <c r="L28" s="22">
        <f t="shared" si="4"/>
        <v>0.81014070839398356</v>
      </c>
      <c r="M28" s="25">
        <v>1</v>
      </c>
      <c r="N28" s="25">
        <v>1</v>
      </c>
      <c r="O28" s="253"/>
      <c r="P28" s="186"/>
      <c r="Q28" s="49"/>
    </row>
    <row r="29" spans="1:17">
      <c r="A29" s="13">
        <f t="shared" si="5"/>
        <v>46138</v>
      </c>
      <c r="B29" s="1">
        <v>15454</v>
      </c>
      <c r="C29" s="1">
        <v>14891</v>
      </c>
      <c r="D29" s="221">
        <v>14400</v>
      </c>
      <c r="E29" s="257">
        <v>14040</v>
      </c>
      <c r="F29" s="21">
        <f t="shared" si="0"/>
        <v>-5.7148613256329327E-2</v>
      </c>
      <c r="G29" s="2">
        <f t="shared" si="1"/>
        <v>0.2</v>
      </c>
      <c r="H29" s="2">
        <f t="shared" si="6"/>
        <v>0.19500000000000001</v>
      </c>
      <c r="I29" s="86">
        <v>6.6269999999999998</v>
      </c>
      <c r="J29" s="185">
        <v>6.66</v>
      </c>
      <c r="K29" s="21">
        <f t="shared" si="3"/>
        <v>4.979628791308339E-3</v>
      </c>
      <c r="L29" s="22">
        <f t="shared" si="4"/>
        <v>0.72072072072072069</v>
      </c>
      <c r="M29" s="25">
        <v>1</v>
      </c>
      <c r="N29" s="25">
        <v>0.9889</v>
      </c>
      <c r="O29" s="253">
        <v>2246</v>
      </c>
      <c r="P29" s="49"/>
      <c r="Q29" s="50" t="s">
        <v>615</v>
      </c>
    </row>
    <row r="30" spans="1:17">
      <c r="A30" s="13">
        <f t="shared" si="5"/>
        <v>46139</v>
      </c>
      <c r="B30" s="1">
        <v>15454</v>
      </c>
      <c r="C30" s="1">
        <v>14891</v>
      </c>
      <c r="D30" s="6">
        <v>15154</v>
      </c>
      <c r="E30" s="6">
        <v>14790</v>
      </c>
      <c r="F30" s="21">
        <f t="shared" si="0"/>
        <v>-6.7826203747229866E-3</v>
      </c>
      <c r="G30" s="2">
        <f t="shared" si="1"/>
        <v>0.21047222222222223</v>
      </c>
      <c r="H30" s="2">
        <f t="shared" si="6"/>
        <v>0.20541666666666666</v>
      </c>
      <c r="I30" s="86">
        <v>6.6269999999999998</v>
      </c>
      <c r="J30" s="6">
        <v>6.7</v>
      </c>
      <c r="K30" s="21">
        <f t="shared" si="3"/>
        <v>1.1015542477742628E-2</v>
      </c>
      <c r="L30" s="22">
        <f t="shared" si="4"/>
        <v>0.75393034825870642</v>
      </c>
      <c r="M30" s="25">
        <v>1</v>
      </c>
      <c r="N30" s="25">
        <v>0.98553333333333304</v>
      </c>
      <c r="O30" s="49">
        <v>1709</v>
      </c>
      <c r="P30" s="6"/>
      <c r="Q30" s="50" t="s">
        <v>615</v>
      </c>
    </row>
    <row r="31" spans="1:17">
      <c r="A31" s="13">
        <f t="shared" si="5"/>
        <v>46140</v>
      </c>
      <c r="B31" s="1">
        <v>15454</v>
      </c>
      <c r="C31" s="1">
        <v>14891</v>
      </c>
      <c r="D31" s="6">
        <v>14921</v>
      </c>
      <c r="E31" s="6">
        <v>14550</v>
      </c>
      <c r="F31" s="21">
        <f t="shared" si="0"/>
        <v>-2.2899738096837017E-2</v>
      </c>
      <c r="G31" s="2">
        <f t="shared" si="1"/>
        <v>0.20723611111111112</v>
      </c>
      <c r="H31" s="2">
        <f t="shared" si="6"/>
        <v>0.20208333333333334</v>
      </c>
      <c r="I31" s="86">
        <v>6.6269999999999998</v>
      </c>
      <c r="J31" s="6">
        <v>6.89</v>
      </c>
      <c r="K31" s="21">
        <f t="shared" si="3"/>
        <v>3.9686132488305402E-2</v>
      </c>
      <c r="L31" s="22">
        <f t="shared" si="4"/>
        <v>0.72186744073536524</v>
      </c>
      <c r="M31" s="25">
        <v>1</v>
      </c>
      <c r="N31" s="25">
        <v>0.98023333333333296</v>
      </c>
      <c r="O31" s="49">
        <v>2308</v>
      </c>
      <c r="P31" s="6"/>
      <c r="Q31" s="50" t="s">
        <v>615</v>
      </c>
    </row>
    <row r="32" spans="1:17">
      <c r="A32" s="13">
        <f t="shared" si="5"/>
        <v>46141</v>
      </c>
      <c r="B32" s="1">
        <v>15454</v>
      </c>
      <c r="C32" s="1">
        <v>14891</v>
      </c>
      <c r="D32" s="6">
        <v>14950</v>
      </c>
      <c r="E32" s="6">
        <v>14580</v>
      </c>
      <c r="F32" s="21">
        <f t="shared" si="0"/>
        <v>-2.0885098381572761E-2</v>
      </c>
      <c r="G32" s="2">
        <f t="shared" si="1"/>
        <v>0.2076388888888889</v>
      </c>
      <c r="H32" s="2">
        <f t="shared" si="6"/>
        <v>0.20250000000000001</v>
      </c>
      <c r="I32" s="86">
        <v>6.6269999999999998</v>
      </c>
      <c r="J32" s="6">
        <v>6.86</v>
      </c>
      <c r="K32" s="21">
        <f t="shared" si="3"/>
        <v>3.5159197223479786E-2</v>
      </c>
      <c r="L32" s="22">
        <f t="shared" si="4"/>
        <v>0.72643343051506315</v>
      </c>
      <c r="M32" s="25">
        <v>1</v>
      </c>
      <c r="N32" s="25">
        <v>0.97493333333333299</v>
      </c>
      <c r="O32" s="49">
        <v>2273</v>
      </c>
      <c r="P32" s="6"/>
      <c r="Q32" s="50" t="s">
        <v>615</v>
      </c>
    </row>
    <row r="33" spans="1:17">
      <c r="A33" s="13">
        <f t="shared" si="5"/>
        <v>46142</v>
      </c>
      <c r="B33" s="1">
        <v>15454</v>
      </c>
      <c r="C33" s="1">
        <v>14891</v>
      </c>
      <c r="D33" s="6">
        <v>13973</v>
      </c>
      <c r="E33" s="6">
        <v>13650</v>
      </c>
      <c r="F33" s="21">
        <f t="shared" si="0"/>
        <v>-8.3338929554764629E-2</v>
      </c>
      <c r="G33" s="2">
        <f t="shared" si="1"/>
        <v>0.19406944444444443</v>
      </c>
      <c r="H33" s="2">
        <f t="shared" si="6"/>
        <v>0.18958333333333333</v>
      </c>
      <c r="I33" s="86">
        <v>6.6269999999999998</v>
      </c>
      <c r="J33" s="6">
        <v>6.34</v>
      </c>
      <c r="K33" s="21">
        <f t="shared" si="3"/>
        <v>-4.3307680700165975E-2</v>
      </c>
      <c r="L33" s="22">
        <f t="shared" si="4"/>
        <v>0.73464773922187177</v>
      </c>
      <c r="M33" s="25">
        <v>1</v>
      </c>
      <c r="N33" s="25">
        <v>0.96963333333333301</v>
      </c>
      <c r="O33" s="49">
        <v>2166</v>
      </c>
      <c r="P33" s="6"/>
      <c r="Q33" s="50" t="s">
        <v>615</v>
      </c>
    </row>
    <row r="34" spans="1:17">
      <c r="A34" s="349">
        <v>46113</v>
      </c>
      <c r="B34" s="89">
        <f>SUM(B4:B33)</f>
        <v>463620</v>
      </c>
      <c r="C34" s="89">
        <f>SUM(C4:C33)</f>
        <v>446730</v>
      </c>
      <c r="D34" s="89">
        <f>SUM(D4:D33)</f>
        <v>442960</v>
      </c>
      <c r="E34" s="89">
        <f>SUM(E4:E33)</f>
        <v>432090</v>
      </c>
      <c r="F34" s="160">
        <f t="shared" si="0"/>
        <v>-3.277147270163186E-2</v>
      </c>
      <c r="G34" s="90">
        <f>AVERAGE(G4:G33)</f>
        <v>0.2050740740740741</v>
      </c>
      <c r="H34" s="90">
        <f>AVERAGE(H4:H33)</f>
        <v>0.23215243342516068</v>
      </c>
      <c r="I34" s="89">
        <f>SUM(I4:I33)</f>
        <v>198.81000000000006</v>
      </c>
      <c r="J34" s="89">
        <f>SUM(J4:J33)</f>
        <v>194.25000000000003</v>
      </c>
      <c r="K34" s="160">
        <f t="shared" si="3"/>
        <v>-2.2936472008450427E-2</v>
      </c>
      <c r="L34" s="161">
        <f t="shared" si="4"/>
        <v>0.76012012012011998</v>
      </c>
      <c r="M34" s="90">
        <f>AVERAGE(M4:M33)</f>
        <v>1</v>
      </c>
      <c r="N34" s="90">
        <f>AVERAGE(N4:N33)</f>
        <v>0.98802777777777773</v>
      </c>
      <c r="O34" s="89">
        <f>SUM(O4:O33)</f>
        <v>51435</v>
      </c>
      <c r="P34" s="89">
        <f>SUM(P4:P33)</f>
        <v>0</v>
      </c>
      <c r="Q34" s="19"/>
    </row>
    <row r="35" spans="1:17">
      <c r="A35" s="13">
        <v>46143</v>
      </c>
      <c r="B35" s="127">
        <v>15332</v>
      </c>
      <c r="C35" s="127">
        <v>14774</v>
      </c>
      <c r="D35" s="398">
        <v>14456</v>
      </c>
      <c r="E35" s="398">
        <v>14100</v>
      </c>
      <c r="F35" s="20">
        <f t="shared" si="0"/>
        <v>-4.5620684987139566E-2</v>
      </c>
      <c r="G35" s="2">
        <f t="shared" ref="G35:G57" si="7">D35/($D$2*24)</f>
        <v>0.20077777777777778</v>
      </c>
      <c r="H35" s="2">
        <f t="shared" ref="H35:H61" si="8">D35/($H$2*24)</f>
        <v>0.24889807162534436</v>
      </c>
      <c r="I35" s="28">
        <v>6.6609999999999996</v>
      </c>
      <c r="J35" s="33">
        <v>6.7</v>
      </c>
      <c r="K35" s="20">
        <f t="shared" si="3"/>
        <v>5.8549767302207767E-3</v>
      </c>
      <c r="L35" s="4">
        <f t="shared" si="4"/>
        <v>0.71920398009950248</v>
      </c>
      <c r="M35" s="25">
        <v>1</v>
      </c>
      <c r="N35" s="25">
        <v>1</v>
      </c>
      <c r="O35" s="33">
        <v>2243</v>
      </c>
      <c r="P35" s="6"/>
      <c r="Q35" s="50" t="s">
        <v>615</v>
      </c>
    </row>
    <row r="36" spans="1:17">
      <c r="A36" s="13">
        <f>A35+1</f>
        <v>46144</v>
      </c>
      <c r="B36" s="127">
        <v>15332</v>
      </c>
      <c r="C36" s="127">
        <v>14774</v>
      </c>
      <c r="D36" s="399">
        <v>14274</v>
      </c>
      <c r="E36" s="399">
        <v>13920</v>
      </c>
      <c r="F36" s="20">
        <f t="shared" ref="F36:F54" si="9">(IF(ISBLANK(E36),0,E36-C36))/C36</f>
        <v>-5.7804250710708001E-2</v>
      </c>
      <c r="G36" s="2">
        <f t="shared" si="7"/>
        <v>0.19825000000000001</v>
      </c>
      <c r="H36" s="2">
        <f t="shared" si="8"/>
        <v>0.24576446280991734</v>
      </c>
      <c r="I36" s="28">
        <v>6.6609999999999996</v>
      </c>
      <c r="J36" s="34">
        <v>6.66</v>
      </c>
      <c r="K36" s="20">
        <f t="shared" ref="K36:K54" si="10">(IF(ISBLANK(J36),0,J36-I36))/I36</f>
        <v>-1.5012760846711391E-4</v>
      </c>
      <c r="L36" s="4">
        <f t="shared" ref="L36:L66" si="11">D36/($D$2*J36)</f>
        <v>0.71441441441441444</v>
      </c>
      <c r="M36" s="25">
        <v>1</v>
      </c>
      <c r="N36" s="25">
        <v>1</v>
      </c>
      <c r="O36" s="34">
        <v>2338</v>
      </c>
      <c r="P36" s="6"/>
      <c r="Q36" s="50" t="s">
        <v>615</v>
      </c>
    </row>
    <row r="37" spans="1:17">
      <c r="A37" s="13">
        <f t="shared" ref="A37:A65" si="12">A36+1</f>
        <v>46145</v>
      </c>
      <c r="B37" s="127">
        <v>15332</v>
      </c>
      <c r="C37" s="127">
        <v>14774</v>
      </c>
      <c r="D37" s="399">
        <v>13534</v>
      </c>
      <c r="E37" s="399">
        <v>13230</v>
      </c>
      <c r="F37" s="20">
        <f t="shared" si="9"/>
        <v>-0.10450791931772031</v>
      </c>
      <c r="G37" s="2">
        <f t="shared" si="7"/>
        <v>0.18797222222222223</v>
      </c>
      <c r="H37" s="2">
        <f t="shared" si="8"/>
        <v>0.23302341597796145</v>
      </c>
      <c r="I37" s="28">
        <v>6.6609999999999996</v>
      </c>
      <c r="J37" s="34">
        <v>6.95</v>
      </c>
      <c r="K37" s="20">
        <f t="shared" si="10"/>
        <v>4.3386878847020055E-2</v>
      </c>
      <c r="L37" s="4">
        <f t="shared" si="11"/>
        <v>0.64911270983213432</v>
      </c>
      <c r="M37" s="25">
        <v>1</v>
      </c>
      <c r="N37" s="25">
        <v>1</v>
      </c>
      <c r="O37" s="34">
        <v>3924</v>
      </c>
      <c r="P37" s="6"/>
      <c r="Q37" s="50" t="s">
        <v>615</v>
      </c>
    </row>
    <row r="38" spans="1:17">
      <c r="A38" s="13">
        <f t="shared" si="12"/>
        <v>46146</v>
      </c>
      <c r="B38" s="127">
        <v>15332</v>
      </c>
      <c r="C38" s="127">
        <v>14774</v>
      </c>
      <c r="D38" s="399">
        <v>15732</v>
      </c>
      <c r="E38" s="399">
        <v>15330</v>
      </c>
      <c r="F38" s="20">
        <f t="shared" si="9"/>
        <v>3.7633680790578043E-2</v>
      </c>
      <c r="G38" s="2">
        <f t="shared" si="7"/>
        <v>0.2185</v>
      </c>
      <c r="H38" s="2">
        <f t="shared" si="8"/>
        <v>0.2708677685950413</v>
      </c>
      <c r="I38" s="28">
        <v>6.6609999999999996</v>
      </c>
      <c r="J38" s="34">
        <v>6.23</v>
      </c>
      <c r="K38" s="20">
        <f t="shared" si="10"/>
        <v>-6.4704999249361836E-2</v>
      </c>
      <c r="L38" s="4">
        <f t="shared" si="11"/>
        <v>0.84173354735152484</v>
      </c>
      <c r="M38" s="25">
        <v>1</v>
      </c>
      <c r="N38" s="25">
        <v>1</v>
      </c>
      <c r="O38" s="34"/>
      <c r="P38" s="6"/>
      <c r="Q38" s="14"/>
    </row>
    <row r="39" spans="1:17">
      <c r="A39" s="13">
        <f t="shared" si="12"/>
        <v>46147</v>
      </c>
      <c r="B39" s="127">
        <v>15332</v>
      </c>
      <c r="C39" s="127">
        <v>14774</v>
      </c>
      <c r="D39" s="399">
        <v>13707</v>
      </c>
      <c r="E39" s="399">
        <v>13380</v>
      </c>
      <c r="F39" s="20">
        <f t="shared" si="9"/>
        <v>-9.4354947881413298E-2</v>
      </c>
      <c r="G39" s="2">
        <f t="shared" si="7"/>
        <v>0.19037499999999999</v>
      </c>
      <c r="H39" s="2">
        <f t="shared" si="8"/>
        <v>0.23600206611570249</v>
      </c>
      <c r="I39" s="28">
        <v>6.6609999999999996</v>
      </c>
      <c r="J39" s="34">
        <v>5.46</v>
      </c>
      <c r="K39" s="20">
        <f t="shared" si="10"/>
        <v>-0.18030325776910369</v>
      </c>
      <c r="L39" s="4">
        <f t="shared" si="11"/>
        <v>0.83681318681318684</v>
      </c>
      <c r="M39" s="25">
        <v>1</v>
      </c>
      <c r="N39" s="25">
        <v>1</v>
      </c>
      <c r="O39" s="34"/>
      <c r="P39" s="6"/>
      <c r="Q39" s="14"/>
    </row>
    <row r="40" spans="1:17">
      <c r="A40" s="13">
        <f t="shared" si="12"/>
        <v>46148</v>
      </c>
      <c r="B40" s="127">
        <v>15332</v>
      </c>
      <c r="C40" s="127">
        <v>14774</v>
      </c>
      <c r="D40" s="34"/>
      <c r="E40" s="34"/>
      <c r="F40" s="20">
        <f t="shared" si="9"/>
        <v>0</v>
      </c>
      <c r="G40" s="2">
        <f t="shared" si="7"/>
        <v>0</v>
      </c>
      <c r="H40" s="2">
        <f t="shared" si="8"/>
        <v>0</v>
      </c>
      <c r="I40" s="28">
        <v>6.6609999999999996</v>
      </c>
      <c r="J40" s="34"/>
      <c r="K40" s="20">
        <f t="shared" si="10"/>
        <v>0</v>
      </c>
      <c r="L40" s="4" t="e">
        <f t="shared" si="11"/>
        <v>#DIV/0!</v>
      </c>
      <c r="M40" s="25"/>
      <c r="N40" s="25"/>
      <c r="O40" s="34"/>
      <c r="P40" s="6"/>
      <c r="Q40" s="14"/>
    </row>
    <row r="41" spans="1:17">
      <c r="A41" s="13">
        <f t="shared" si="12"/>
        <v>46149</v>
      </c>
      <c r="B41" s="127">
        <v>15332</v>
      </c>
      <c r="C41" s="127">
        <v>14774</v>
      </c>
      <c r="D41" s="34"/>
      <c r="E41" s="34"/>
      <c r="F41" s="20">
        <f t="shared" si="9"/>
        <v>0</v>
      </c>
      <c r="G41" s="2">
        <f t="shared" si="7"/>
        <v>0</v>
      </c>
      <c r="H41" s="2">
        <f t="shared" si="8"/>
        <v>0</v>
      </c>
      <c r="I41" s="28">
        <v>6.6609999999999996</v>
      </c>
      <c r="J41" s="34"/>
      <c r="K41" s="20">
        <f t="shared" si="10"/>
        <v>0</v>
      </c>
      <c r="L41" s="4" t="e">
        <f t="shared" si="11"/>
        <v>#DIV/0!</v>
      </c>
      <c r="M41" s="103"/>
      <c r="N41" s="103"/>
      <c r="O41" s="34"/>
      <c r="P41" s="6"/>
      <c r="Q41" s="202"/>
    </row>
    <row r="42" spans="1:17">
      <c r="A42" s="13">
        <f t="shared" si="12"/>
        <v>46150</v>
      </c>
      <c r="B42" s="127">
        <v>15332</v>
      </c>
      <c r="C42" s="127">
        <v>14774</v>
      </c>
      <c r="D42" s="34"/>
      <c r="E42" s="34"/>
      <c r="F42" s="20">
        <f t="shared" si="9"/>
        <v>0</v>
      </c>
      <c r="G42" s="2">
        <f t="shared" si="7"/>
        <v>0</v>
      </c>
      <c r="H42" s="2">
        <f t="shared" si="8"/>
        <v>0</v>
      </c>
      <c r="I42" s="28">
        <v>6.6609999999999996</v>
      </c>
      <c r="J42" s="34"/>
      <c r="K42" s="20">
        <f t="shared" si="10"/>
        <v>0</v>
      </c>
      <c r="L42" s="4" t="e">
        <f t="shared" si="11"/>
        <v>#DIV/0!</v>
      </c>
      <c r="M42" s="103"/>
      <c r="N42" s="103"/>
      <c r="O42" s="34"/>
      <c r="P42" s="6"/>
      <c r="Q42" s="14"/>
    </row>
    <row r="43" spans="1:17">
      <c r="A43" s="13">
        <f t="shared" si="12"/>
        <v>46151</v>
      </c>
      <c r="B43" s="127">
        <v>15332</v>
      </c>
      <c r="C43" s="127">
        <v>14774</v>
      </c>
      <c r="D43" s="34"/>
      <c r="E43" s="34"/>
      <c r="F43" s="20">
        <f t="shared" si="9"/>
        <v>0</v>
      </c>
      <c r="G43" s="2">
        <f t="shared" si="7"/>
        <v>0</v>
      </c>
      <c r="H43" s="2">
        <f t="shared" si="8"/>
        <v>0</v>
      </c>
      <c r="I43" s="28">
        <v>6.6609999999999996</v>
      </c>
      <c r="J43" s="34"/>
      <c r="K43" s="20">
        <f t="shared" si="10"/>
        <v>0</v>
      </c>
      <c r="L43" s="4" t="e">
        <f t="shared" si="11"/>
        <v>#DIV/0!</v>
      </c>
      <c r="M43" s="103"/>
      <c r="N43" s="103"/>
      <c r="O43" s="34"/>
      <c r="P43" s="6"/>
      <c r="Q43" s="6"/>
    </row>
    <row r="44" spans="1:17">
      <c r="A44" s="13">
        <f t="shared" si="12"/>
        <v>46152</v>
      </c>
      <c r="B44" s="127">
        <v>15332</v>
      </c>
      <c r="C44" s="127">
        <v>14774</v>
      </c>
      <c r="D44" s="34"/>
      <c r="E44" s="34"/>
      <c r="F44" s="20">
        <f t="shared" si="9"/>
        <v>0</v>
      </c>
      <c r="G44" s="2">
        <f t="shared" si="7"/>
        <v>0</v>
      </c>
      <c r="H44" s="2">
        <f t="shared" si="8"/>
        <v>0</v>
      </c>
      <c r="I44" s="28">
        <v>6.6609999999999996</v>
      </c>
      <c r="J44" s="34"/>
      <c r="K44" s="20">
        <f t="shared" si="10"/>
        <v>0</v>
      </c>
      <c r="L44" s="4" t="e">
        <f t="shared" si="11"/>
        <v>#DIV/0!</v>
      </c>
      <c r="M44" s="103"/>
      <c r="N44" s="103"/>
      <c r="O44" s="34"/>
      <c r="P44" s="6"/>
      <c r="Q44" s="16"/>
    </row>
    <row r="45" spans="1:17">
      <c r="A45" s="13">
        <f t="shared" si="12"/>
        <v>46153</v>
      </c>
      <c r="B45" s="127">
        <v>15332</v>
      </c>
      <c r="C45" s="127">
        <v>14774</v>
      </c>
      <c r="D45" s="34"/>
      <c r="E45" s="34"/>
      <c r="F45" s="20">
        <f t="shared" si="9"/>
        <v>0</v>
      </c>
      <c r="G45" s="2">
        <f t="shared" si="7"/>
        <v>0</v>
      </c>
      <c r="H45" s="2">
        <f t="shared" si="8"/>
        <v>0</v>
      </c>
      <c r="I45" s="28">
        <v>6.6609999999999996</v>
      </c>
      <c r="J45" s="34"/>
      <c r="K45" s="20">
        <f t="shared" si="10"/>
        <v>0</v>
      </c>
      <c r="L45" s="4" t="e">
        <f t="shared" si="11"/>
        <v>#DIV/0!</v>
      </c>
      <c r="M45" s="103"/>
      <c r="N45" s="103"/>
      <c r="O45" s="34"/>
      <c r="P45" s="6"/>
      <c r="Q45" s="6"/>
    </row>
    <row r="46" spans="1:17">
      <c r="A46" s="13">
        <f t="shared" si="12"/>
        <v>46154</v>
      </c>
      <c r="B46" s="127">
        <v>15332</v>
      </c>
      <c r="C46" s="127">
        <v>14774</v>
      </c>
      <c r="D46" s="34"/>
      <c r="E46" s="34"/>
      <c r="F46" s="20">
        <f t="shared" si="9"/>
        <v>0</v>
      </c>
      <c r="G46" s="2">
        <f t="shared" si="7"/>
        <v>0</v>
      </c>
      <c r="H46" s="2">
        <f t="shared" si="8"/>
        <v>0</v>
      </c>
      <c r="I46" s="28">
        <v>6.6609999999999996</v>
      </c>
      <c r="J46" s="34"/>
      <c r="K46" s="20">
        <f t="shared" si="10"/>
        <v>0</v>
      </c>
      <c r="L46" s="4" t="e">
        <f t="shared" si="11"/>
        <v>#DIV/0!</v>
      </c>
      <c r="M46" s="104"/>
      <c r="N46" s="103"/>
      <c r="O46" s="34"/>
      <c r="P46" s="6"/>
      <c r="Q46" s="6"/>
    </row>
    <row r="47" spans="1:17">
      <c r="A47" s="13">
        <f t="shared" si="12"/>
        <v>46155</v>
      </c>
      <c r="B47" s="127">
        <v>15332</v>
      </c>
      <c r="C47" s="127">
        <v>14774</v>
      </c>
      <c r="D47" s="34"/>
      <c r="E47" s="34"/>
      <c r="F47" s="20">
        <f t="shared" si="9"/>
        <v>0</v>
      </c>
      <c r="G47" s="2">
        <f t="shared" si="7"/>
        <v>0</v>
      </c>
      <c r="H47" s="2">
        <f t="shared" si="8"/>
        <v>0</v>
      </c>
      <c r="I47" s="28">
        <v>6.6609999999999996</v>
      </c>
      <c r="J47" s="34"/>
      <c r="K47" s="20">
        <f t="shared" si="10"/>
        <v>0</v>
      </c>
      <c r="L47" s="4" t="e">
        <f t="shared" si="11"/>
        <v>#DIV/0!</v>
      </c>
      <c r="M47" s="104"/>
      <c r="N47" s="103"/>
      <c r="O47" s="34"/>
      <c r="P47" s="6"/>
      <c r="Q47" s="31"/>
    </row>
    <row r="48" spans="1:17">
      <c r="A48" s="13">
        <f t="shared" si="12"/>
        <v>46156</v>
      </c>
      <c r="B48" s="127">
        <v>15332</v>
      </c>
      <c r="C48" s="127">
        <v>14774</v>
      </c>
      <c r="D48" s="34"/>
      <c r="E48" s="34"/>
      <c r="F48" s="20">
        <f t="shared" si="9"/>
        <v>0</v>
      </c>
      <c r="G48" s="2">
        <f t="shared" si="7"/>
        <v>0</v>
      </c>
      <c r="H48" s="2">
        <f t="shared" si="8"/>
        <v>0</v>
      </c>
      <c r="I48" s="28">
        <v>6.6609999999999996</v>
      </c>
      <c r="J48" s="34"/>
      <c r="K48" s="20">
        <f t="shared" si="10"/>
        <v>0</v>
      </c>
      <c r="L48" s="4" t="e">
        <f t="shared" si="11"/>
        <v>#DIV/0!</v>
      </c>
      <c r="M48" s="104"/>
      <c r="N48" s="103"/>
      <c r="O48" s="34"/>
      <c r="P48" s="6"/>
      <c r="Q48" s="32"/>
    </row>
    <row r="49" spans="1:17">
      <c r="A49" s="13">
        <f t="shared" si="12"/>
        <v>46157</v>
      </c>
      <c r="B49" s="127">
        <v>15332</v>
      </c>
      <c r="C49" s="127">
        <v>14774</v>
      </c>
      <c r="D49" s="34"/>
      <c r="E49" s="34"/>
      <c r="F49" s="20">
        <f t="shared" si="9"/>
        <v>0</v>
      </c>
      <c r="G49" s="2">
        <f t="shared" si="7"/>
        <v>0</v>
      </c>
      <c r="H49" s="2">
        <f t="shared" si="8"/>
        <v>0</v>
      </c>
      <c r="I49" s="28">
        <v>6.6609999999999996</v>
      </c>
      <c r="J49" s="34"/>
      <c r="K49" s="20">
        <f t="shared" si="10"/>
        <v>0</v>
      </c>
      <c r="L49" s="4" t="e">
        <f t="shared" si="11"/>
        <v>#DIV/0!</v>
      </c>
      <c r="M49" s="104"/>
      <c r="N49" s="103"/>
      <c r="O49" s="34"/>
      <c r="P49" s="6"/>
      <c r="Q49" s="32"/>
    </row>
    <row r="50" spans="1:17">
      <c r="A50" s="13">
        <f t="shared" si="12"/>
        <v>46158</v>
      </c>
      <c r="B50" s="127">
        <v>15332</v>
      </c>
      <c r="C50" s="127">
        <v>14774</v>
      </c>
      <c r="D50" s="34"/>
      <c r="E50" s="34"/>
      <c r="F50" s="20">
        <f t="shared" si="9"/>
        <v>0</v>
      </c>
      <c r="G50" s="2">
        <f t="shared" si="7"/>
        <v>0</v>
      </c>
      <c r="H50" s="2">
        <f t="shared" si="8"/>
        <v>0</v>
      </c>
      <c r="I50" s="28">
        <v>6.6609999999999996</v>
      </c>
      <c r="J50" s="34"/>
      <c r="K50" s="20">
        <f t="shared" si="10"/>
        <v>0</v>
      </c>
      <c r="L50" s="4" t="e">
        <f t="shared" si="11"/>
        <v>#DIV/0!</v>
      </c>
      <c r="M50" s="104"/>
      <c r="N50" s="103"/>
      <c r="O50" s="34"/>
      <c r="P50" s="6"/>
      <c r="Q50" s="32"/>
    </row>
    <row r="51" spans="1:17">
      <c r="A51" s="13">
        <f t="shared" si="12"/>
        <v>46159</v>
      </c>
      <c r="B51" s="127">
        <v>15332</v>
      </c>
      <c r="C51" s="127">
        <v>14774</v>
      </c>
      <c r="D51" s="34"/>
      <c r="E51" s="34"/>
      <c r="F51" s="20">
        <f t="shared" si="9"/>
        <v>0</v>
      </c>
      <c r="G51" s="2">
        <f t="shared" si="7"/>
        <v>0</v>
      </c>
      <c r="H51" s="2">
        <f t="shared" si="8"/>
        <v>0</v>
      </c>
      <c r="I51" s="28">
        <v>6.6609999999999996</v>
      </c>
      <c r="J51" s="34"/>
      <c r="K51" s="20">
        <f t="shared" si="10"/>
        <v>0</v>
      </c>
      <c r="L51" s="4" t="e">
        <f t="shared" si="11"/>
        <v>#DIV/0!</v>
      </c>
      <c r="M51" s="103"/>
      <c r="N51" s="103"/>
      <c r="O51" s="34"/>
      <c r="P51" s="6"/>
      <c r="Q51" s="6"/>
    </row>
    <row r="52" spans="1:17">
      <c r="A52" s="13">
        <f t="shared" si="12"/>
        <v>46160</v>
      </c>
      <c r="B52" s="127">
        <v>15332</v>
      </c>
      <c r="C52" s="127">
        <v>14774</v>
      </c>
      <c r="D52" s="34"/>
      <c r="E52" s="34"/>
      <c r="F52" s="20">
        <f t="shared" si="9"/>
        <v>0</v>
      </c>
      <c r="G52" s="2">
        <f t="shared" si="7"/>
        <v>0</v>
      </c>
      <c r="H52" s="2">
        <f t="shared" si="8"/>
        <v>0</v>
      </c>
      <c r="I52" s="28">
        <v>6.6609999999999996</v>
      </c>
      <c r="J52" s="34"/>
      <c r="K52" s="20">
        <f t="shared" si="10"/>
        <v>0</v>
      </c>
      <c r="L52" s="4" t="e">
        <f t="shared" si="11"/>
        <v>#DIV/0!</v>
      </c>
      <c r="M52" s="103"/>
      <c r="N52" s="103"/>
      <c r="O52" s="34"/>
      <c r="P52" s="6"/>
      <c r="Q52" s="14"/>
    </row>
    <row r="53" spans="1:17">
      <c r="A53" s="13">
        <f t="shared" si="12"/>
        <v>46161</v>
      </c>
      <c r="B53" s="127">
        <v>15332</v>
      </c>
      <c r="C53" s="127">
        <v>14774</v>
      </c>
      <c r="D53" s="34"/>
      <c r="E53" s="34"/>
      <c r="F53" s="20">
        <f t="shared" si="9"/>
        <v>0</v>
      </c>
      <c r="G53" s="2">
        <f t="shared" si="7"/>
        <v>0</v>
      </c>
      <c r="H53" s="2">
        <f t="shared" si="8"/>
        <v>0</v>
      </c>
      <c r="I53" s="28">
        <v>6.6609999999999996</v>
      </c>
      <c r="J53" s="34"/>
      <c r="K53" s="20">
        <f t="shared" si="10"/>
        <v>0</v>
      </c>
      <c r="L53" s="4" t="e">
        <f t="shared" si="11"/>
        <v>#DIV/0!</v>
      </c>
      <c r="M53" s="103"/>
      <c r="N53" s="103"/>
      <c r="O53" s="34"/>
      <c r="P53" s="6"/>
      <c r="Q53" s="14"/>
    </row>
    <row r="54" spans="1:17">
      <c r="A54" s="13">
        <f t="shared" si="12"/>
        <v>46162</v>
      </c>
      <c r="B54" s="127">
        <v>15332</v>
      </c>
      <c r="C54" s="127">
        <v>14774</v>
      </c>
      <c r="D54" s="34"/>
      <c r="E54" s="34"/>
      <c r="F54" s="20">
        <f t="shared" si="9"/>
        <v>0</v>
      </c>
      <c r="G54" s="2">
        <f t="shared" si="7"/>
        <v>0</v>
      </c>
      <c r="H54" s="2">
        <f t="shared" si="8"/>
        <v>0</v>
      </c>
      <c r="I54" s="28">
        <v>6.6609999999999996</v>
      </c>
      <c r="J54" s="34"/>
      <c r="K54" s="20">
        <f t="shared" si="10"/>
        <v>0</v>
      </c>
      <c r="L54" s="4" t="e">
        <f t="shared" si="11"/>
        <v>#DIV/0!</v>
      </c>
      <c r="M54" s="103"/>
      <c r="N54" s="103"/>
      <c r="O54" s="34"/>
      <c r="P54" s="6"/>
      <c r="Q54" s="14"/>
    </row>
    <row r="55" spans="1:17">
      <c r="A55" s="13">
        <f t="shared" si="12"/>
        <v>46163</v>
      </c>
      <c r="B55" s="127">
        <v>15332</v>
      </c>
      <c r="C55" s="127">
        <v>14774</v>
      </c>
      <c r="D55" s="34"/>
      <c r="E55" s="34"/>
      <c r="F55" s="20">
        <f>(IF(ISBLANK(E55),0,E55-C55))/C55</f>
        <v>0</v>
      </c>
      <c r="G55" s="2">
        <f t="shared" si="7"/>
        <v>0</v>
      </c>
      <c r="H55" s="2">
        <f t="shared" si="8"/>
        <v>0</v>
      </c>
      <c r="I55" s="28">
        <v>6.6609999999999996</v>
      </c>
      <c r="J55" s="34"/>
      <c r="K55" s="20">
        <f>(IF(ISBLANK(J55),0,J55-I55))/I55</f>
        <v>0</v>
      </c>
      <c r="L55" s="4" t="e">
        <f t="shared" si="11"/>
        <v>#DIV/0!</v>
      </c>
      <c r="M55" s="103"/>
      <c r="N55" s="103"/>
      <c r="O55" s="34"/>
      <c r="P55" s="6"/>
      <c r="Q55" s="6"/>
    </row>
    <row r="56" spans="1:17">
      <c r="A56" s="13">
        <f t="shared" si="12"/>
        <v>46164</v>
      </c>
      <c r="B56" s="127">
        <v>15332</v>
      </c>
      <c r="C56" s="127">
        <v>14774</v>
      </c>
      <c r="D56" s="34"/>
      <c r="E56" s="34"/>
      <c r="F56" s="20">
        <f t="shared" ref="F56:F65" si="13">(IF(ISBLANK(E56),0,E56-C56))/C56</f>
        <v>0</v>
      </c>
      <c r="G56" s="2">
        <f t="shared" si="7"/>
        <v>0</v>
      </c>
      <c r="H56" s="2">
        <f t="shared" si="8"/>
        <v>0</v>
      </c>
      <c r="I56" s="28">
        <v>6.6609999999999996</v>
      </c>
      <c r="J56" s="34"/>
      <c r="K56" s="20">
        <f t="shared" ref="K56:K65" si="14">(IF(ISBLANK(J56),0,J56-I56))/I56</f>
        <v>0</v>
      </c>
      <c r="L56" s="4" t="e">
        <f t="shared" si="11"/>
        <v>#DIV/0!</v>
      </c>
      <c r="M56" s="103"/>
      <c r="N56" s="103"/>
      <c r="O56" s="34"/>
      <c r="P56" s="6"/>
      <c r="Q56" s="6"/>
    </row>
    <row r="57" spans="1:17">
      <c r="A57" s="13">
        <f t="shared" si="12"/>
        <v>46165</v>
      </c>
      <c r="B57" s="127">
        <v>15332</v>
      </c>
      <c r="C57" s="127">
        <v>14774</v>
      </c>
      <c r="D57" s="14"/>
      <c r="E57" s="14"/>
      <c r="F57" s="20">
        <f t="shared" si="13"/>
        <v>0</v>
      </c>
      <c r="G57" s="2">
        <f t="shared" si="7"/>
        <v>0</v>
      </c>
      <c r="H57" s="2">
        <f t="shared" si="8"/>
        <v>0</v>
      </c>
      <c r="I57" s="28">
        <v>6.6609999999999996</v>
      </c>
      <c r="J57" s="14"/>
      <c r="K57" s="20">
        <f t="shared" si="14"/>
        <v>0</v>
      </c>
      <c r="L57" s="4" t="e">
        <f t="shared" si="11"/>
        <v>#DIV/0!</v>
      </c>
      <c r="M57" s="103"/>
      <c r="N57" s="103"/>
      <c r="O57" s="34"/>
      <c r="P57" s="6"/>
      <c r="Q57" s="6"/>
    </row>
    <row r="58" spans="1:17">
      <c r="A58" s="13">
        <f t="shared" si="12"/>
        <v>46166</v>
      </c>
      <c r="B58" s="127">
        <v>15332</v>
      </c>
      <c r="C58" s="127">
        <v>14774</v>
      </c>
      <c r="D58" s="14"/>
      <c r="E58" s="14"/>
      <c r="F58" s="20">
        <f t="shared" si="13"/>
        <v>0</v>
      </c>
      <c r="G58" s="2">
        <f t="shared" ref="G58:G65" si="15">D58/($D$2*24)</f>
        <v>0</v>
      </c>
      <c r="H58" s="2">
        <f t="shared" si="8"/>
        <v>0</v>
      </c>
      <c r="I58" s="28">
        <v>6.6609999999999996</v>
      </c>
      <c r="J58" s="14"/>
      <c r="K58" s="20">
        <f t="shared" si="14"/>
        <v>0</v>
      </c>
      <c r="L58" s="4" t="e">
        <f t="shared" si="11"/>
        <v>#DIV/0!</v>
      </c>
      <c r="M58" s="103"/>
      <c r="N58" s="103"/>
      <c r="O58" s="34"/>
      <c r="P58" s="6"/>
      <c r="Q58" s="288"/>
    </row>
    <row r="59" spans="1:17">
      <c r="A59" s="13">
        <f t="shared" si="12"/>
        <v>46167</v>
      </c>
      <c r="B59" s="127">
        <v>15332</v>
      </c>
      <c r="C59" s="127">
        <v>14774</v>
      </c>
      <c r="D59" s="14"/>
      <c r="E59" s="14"/>
      <c r="F59" s="20">
        <f t="shared" si="13"/>
        <v>0</v>
      </c>
      <c r="G59" s="2">
        <f t="shared" si="15"/>
        <v>0</v>
      </c>
      <c r="H59" s="2">
        <f t="shared" si="8"/>
        <v>0</v>
      </c>
      <c r="I59" s="28">
        <v>6.6609999999999996</v>
      </c>
      <c r="J59" s="14"/>
      <c r="K59" s="20">
        <f t="shared" si="14"/>
        <v>0</v>
      </c>
      <c r="L59" s="4" t="e">
        <f t="shared" si="11"/>
        <v>#DIV/0!</v>
      </c>
      <c r="M59" s="103"/>
      <c r="N59" s="103"/>
      <c r="O59" s="34"/>
      <c r="P59" s="155"/>
      <c r="Q59" s="6"/>
    </row>
    <row r="60" spans="1:17">
      <c r="A60" s="13">
        <f t="shared" si="12"/>
        <v>46168</v>
      </c>
      <c r="B60" s="127">
        <v>15332</v>
      </c>
      <c r="C60" s="127">
        <v>14774</v>
      </c>
      <c r="D60" s="14"/>
      <c r="E60" s="14"/>
      <c r="F60" s="20">
        <f t="shared" si="13"/>
        <v>0</v>
      </c>
      <c r="G60" s="2">
        <f t="shared" si="15"/>
        <v>0</v>
      </c>
      <c r="H60" s="2">
        <f t="shared" si="8"/>
        <v>0</v>
      </c>
      <c r="I60" s="28">
        <v>6.6609999999999996</v>
      </c>
      <c r="J60" s="14"/>
      <c r="K60" s="20">
        <f t="shared" si="14"/>
        <v>0</v>
      </c>
      <c r="L60" s="4" t="e">
        <f t="shared" si="11"/>
        <v>#DIV/0!</v>
      </c>
      <c r="M60" s="103"/>
      <c r="N60" s="103"/>
      <c r="O60" s="34"/>
      <c r="P60" s="6"/>
      <c r="Q60" s="123"/>
    </row>
    <row r="61" spans="1:17">
      <c r="A61" s="13">
        <f t="shared" si="12"/>
        <v>46169</v>
      </c>
      <c r="B61" s="127">
        <v>15332</v>
      </c>
      <c r="C61" s="127">
        <v>14774</v>
      </c>
      <c r="D61" s="14"/>
      <c r="E61" s="14"/>
      <c r="F61" s="20">
        <f t="shared" si="13"/>
        <v>0</v>
      </c>
      <c r="G61" s="2">
        <f t="shared" si="15"/>
        <v>0</v>
      </c>
      <c r="H61" s="2">
        <f t="shared" si="8"/>
        <v>0</v>
      </c>
      <c r="I61" s="28">
        <v>6.6609999999999996</v>
      </c>
      <c r="J61" s="14"/>
      <c r="K61" s="20">
        <f t="shared" si="14"/>
        <v>0</v>
      </c>
      <c r="L61" s="4" t="e">
        <f t="shared" si="11"/>
        <v>#DIV/0!</v>
      </c>
      <c r="M61" s="103"/>
      <c r="N61" s="103"/>
      <c r="O61" s="34"/>
      <c r="P61" s="6"/>
      <c r="Q61" s="6"/>
    </row>
    <row r="62" spans="1:17">
      <c r="A62" s="13">
        <f t="shared" si="12"/>
        <v>46170</v>
      </c>
      <c r="B62" s="127">
        <v>15332</v>
      </c>
      <c r="C62" s="127">
        <v>14774</v>
      </c>
      <c r="D62" s="14"/>
      <c r="E62" s="14"/>
      <c r="F62" s="20">
        <f t="shared" si="13"/>
        <v>0</v>
      </c>
      <c r="G62" s="2">
        <f t="shared" si="15"/>
        <v>0</v>
      </c>
      <c r="H62" s="2">
        <f t="shared" ref="H62:H65" si="16">D62/($H$2*24)</f>
        <v>0</v>
      </c>
      <c r="I62" s="28">
        <v>6.6609999999999996</v>
      </c>
      <c r="J62" s="14"/>
      <c r="K62" s="20">
        <f t="shared" si="14"/>
        <v>0</v>
      </c>
      <c r="L62" s="4" t="e">
        <f t="shared" si="11"/>
        <v>#DIV/0!</v>
      </c>
      <c r="M62" s="103"/>
      <c r="N62" s="103"/>
      <c r="O62" s="34"/>
      <c r="P62" s="6"/>
      <c r="Q62" s="6"/>
    </row>
    <row r="63" spans="1:17">
      <c r="A63" s="13">
        <f t="shared" si="12"/>
        <v>46171</v>
      </c>
      <c r="B63" s="127">
        <v>15332</v>
      </c>
      <c r="C63" s="127">
        <v>14774</v>
      </c>
      <c r="D63" s="14"/>
      <c r="E63" s="14"/>
      <c r="F63" s="20">
        <f t="shared" si="13"/>
        <v>0</v>
      </c>
      <c r="G63" s="2">
        <f t="shared" si="15"/>
        <v>0</v>
      </c>
      <c r="H63" s="2">
        <f t="shared" si="16"/>
        <v>0</v>
      </c>
      <c r="I63" s="28">
        <v>6.6609999999999996</v>
      </c>
      <c r="J63" s="14"/>
      <c r="K63" s="20">
        <f t="shared" si="14"/>
        <v>0</v>
      </c>
      <c r="L63" s="4" t="e">
        <f t="shared" si="11"/>
        <v>#DIV/0!</v>
      </c>
      <c r="M63" s="103"/>
      <c r="N63" s="103"/>
      <c r="O63" s="34"/>
      <c r="P63" s="6"/>
      <c r="Q63" s="6"/>
    </row>
    <row r="64" spans="1:17">
      <c r="A64" s="13">
        <f t="shared" si="12"/>
        <v>46172</v>
      </c>
      <c r="B64" s="127">
        <v>15332</v>
      </c>
      <c r="C64" s="127">
        <v>14774</v>
      </c>
      <c r="D64" s="14"/>
      <c r="E64" s="14"/>
      <c r="F64" s="20">
        <f t="shared" si="13"/>
        <v>0</v>
      </c>
      <c r="G64" s="2">
        <f t="shared" si="15"/>
        <v>0</v>
      </c>
      <c r="H64" s="2">
        <f t="shared" si="16"/>
        <v>0</v>
      </c>
      <c r="I64" s="28">
        <v>6.6609999999999996</v>
      </c>
      <c r="J64" s="14"/>
      <c r="K64" s="20">
        <f t="shared" si="14"/>
        <v>0</v>
      </c>
      <c r="L64" s="4" t="e">
        <f t="shared" si="11"/>
        <v>#DIV/0!</v>
      </c>
      <c r="M64" s="103"/>
      <c r="N64" s="103"/>
      <c r="O64" s="34"/>
      <c r="P64" s="6"/>
      <c r="Q64" s="6"/>
    </row>
    <row r="65" spans="1:17">
      <c r="A65" s="13">
        <f t="shared" si="12"/>
        <v>46173</v>
      </c>
      <c r="B65" s="127">
        <v>15332</v>
      </c>
      <c r="C65" s="127">
        <v>14774</v>
      </c>
      <c r="D65" s="14"/>
      <c r="E65" s="14"/>
      <c r="F65" s="20">
        <f t="shared" si="13"/>
        <v>0</v>
      </c>
      <c r="G65" s="2">
        <f t="shared" si="15"/>
        <v>0</v>
      </c>
      <c r="H65" s="2">
        <f t="shared" si="16"/>
        <v>0</v>
      </c>
      <c r="I65" s="28">
        <v>6.6609999999999996</v>
      </c>
      <c r="J65" s="14"/>
      <c r="K65" s="20">
        <f t="shared" si="14"/>
        <v>0</v>
      </c>
      <c r="L65" s="4" t="e">
        <f t="shared" si="11"/>
        <v>#DIV/0!</v>
      </c>
      <c r="M65" s="103"/>
      <c r="N65" s="103"/>
      <c r="O65" s="34"/>
      <c r="P65" s="6"/>
      <c r="Q65" s="6"/>
    </row>
    <row r="66" spans="1:17">
      <c r="A66" s="349">
        <v>46143</v>
      </c>
      <c r="B66" s="89">
        <f>SUM(B35:B65)</f>
        <v>475292</v>
      </c>
      <c r="C66" s="89">
        <f>SUM(C35:C65)</f>
        <v>457994</v>
      </c>
      <c r="D66" s="89">
        <f>SUM(D35:D65)</f>
        <v>71703</v>
      </c>
      <c r="E66" s="89">
        <f>SUM(E35:E65)</f>
        <v>69960</v>
      </c>
      <c r="F66" s="160">
        <f>(IF(ISBLANK(E66),0,E66-C66))/C66</f>
        <v>-0.84724690716472273</v>
      </c>
      <c r="G66" s="90">
        <f>AVERAGE(G35:G65)</f>
        <v>3.2125000000000001E-2</v>
      </c>
      <c r="H66" s="90">
        <f>AVERAGE(H35:H65)</f>
        <v>3.9824380165289261E-2</v>
      </c>
      <c r="I66" s="89">
        <f>SUM(I35:I65)</f>
        <v>206.49100000000001</v>
      </c>
      <c r="J66" s="89">
        <f>SUM(J35:J65)</f>
        <v>32</v>
      </c>
      <c r="K66" s="160">
        <f>(IF(ISBLANK(J66),0,J66-I66))/I66</f>
        <v>-0.84502956545321584</v>
      </c>
      <c r="L66" s="161">
        <f t="shared" si="11"/>
        <v>0.74690624999999999</v>
      </c>
      <c r="M66" s="90">
        <f>AVERAGE(M35:M65)</f>
        <v>1</v>
      </c>
      <c r="N66" s="90">
        <f>AVERAGE(N35:N65)</f>
        <v>1</v>
      </c>
      <c r="O66" s="89">
        <f>SUM(O35:O65)</f>
        <v>8505</v>
      </c>
      <c r="P66" s="89">
        <f>SUM(P35:P65)</f>
        <v>0</v>
      </c>
      <c r="Q66" s="19"/>
    </row>
  </sheetData>
  <mergeCells count="4">
    <mergeCell ref="A1:Q1"/>
    <mergeCell ref="B2:C2"/>
    <mergeCell ref="E2:G2"/>
    <mergeCell ref="I2:J2"/>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45C6-594C-4420-93A6-06882CCBEAAE}">
  <dimension ref="A1:Q66"/>
  <sheetViews>
    <sheetView topLeftCell="A33"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645</v>
      </c>
      <c r="B1" s="406"/>
      <c r="C1" s="406"/>
      <c r="D1" s="406"/>
      <c r="E1" s="406"/>
      <c r="F1" s="406"/>
      <c r="G1" s="406"/>
      <c r="H1" s="406"/>
      <c r="I1" s="406"/>
      <c r="J1" s="406"/>
      <c r="K1" s="406"/>
      <c r="L1" s="406"/>
      <c r="M1" s="406"/>
      <c r="N1" s="406"/>
      <c r="O1" s="406"/>
      <c r="P1" s="406"/>
      <c r="Q1" s="406"/>
    </row>
    <row r="2" spans="1:17" ht="18.5">
      <c r="A2" s="7">
        <v>46113</v>
      </c>
      <c r="B2" s="407" t="s">
        <v>172</v>
      </c>
      <c r="C2" s="408"/>
      <c r="D2" s="8">
        <v>1700</v>
      </c>
      <c r="E2" s="407" t="s">
        <v>173</v>
      </c>
      <c r="F2" s="407"/>
      <c r="G2" s="408"/>
      <c r="H2" s="8">
        <v>1280</v>
      </c>
      <c r="I2" s="409" t="s">
        <v>174</v>
      </c>
      <c r="J2" s="410"/>
      <c r="K2" s="9">
        <v>45763</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10294</v>
      </c>
      <c r="C4" s="1">
        <v>8792</v>
      </c>
      <c r="D4" s="221">
        <v>9021</v>
      </c>
      <c r="E4" s="257">
        <v>8865</v>
      </c>
      <c r="F4" s="21">
        <f t="shared" ref="F4:F35" si="0">(IF(ISBLANK(E4),0,E4-C4))/C4</f>
        <v>8.3030027297543215E-3</v>
      </c>
      <c r="G4" s="2">
        <f t="shared" ref="G4:G33" si="1">D4/($D$2*24)</f>
        <v>0.22110294117647059</v>
      </c>
      <c r="H4" s="2">
        <f t="shared" ref="H4:H21" si="2">D4/($H$2*24)</f>
        <v>0.29365234374999999</v>
      </c>
      <c r="I4" s="86">
        <v>7.03</v>
      </c>
      <c r="J4" s="185">
        <v>6.52</v>
      </c>
      <c r="K4" s="21">
        <f t="shared" ref="K4:K35" si="3">(IF(ISBLANK(J4),0,J4-I4))/I4</f>
        <v>-7.2546230440967377E-2</v>
      </c>
      <c r="L4" s="22">
        <f t="shared" ref="L4:L35" si="4">D4/($D$2*J4)</f>
        <v>0.81387585709130272</v>
      </c>
      <c r="M4" s="68">
        <v>1</v>
      </c>
      <c r="N4" s="68">
        <v>1</v>
      </c>
      <c r="O4" s="253"/>
      <c r="P4" s="49"/>
      <c r="Q4" s="50"/>
    </row>
    <row r="5" spans="1:17">
      <c r="A5" s="13">
        <f t="shared" ref="A5:A33" si="5">A4+1</f>
        <v>46114</v>
      </c>
      <c r="B5" s="1">
        <v>10294</v>
      </c>
      <c r="C5" s="1">
        <v>8792</v>
      </c>
      <c r="D5" s="221">
        <v>9689</v>
      </c>
      <c r="E5" s="257">
        <v>9330</v>
      </c>
      <c r="F5" s="21">
        <f t="shared" si="0"/>
        <v>6.119199272065514E-2</v>
      </c>
      <c r="G5" s="2">
        <f t="shared" si="1"/>
        <v>0.23747549019607844</v>
      </c>
      <c r="H5" s="2">
        <f t="shared" si="2"/>
        <v>0.31539713541666664</v>
      </c>
      <c r="I5" s="86">
        <v>7.03</v>
      </c>
      <c r="J5" s="185">
        <v>6.8</v>
      </c>
      <c r="K5" s="21">
        <f t="shared" si="3"/>
        <v>-3.2716927453769619E-2</v>
      </c>
      <c r="L5" s="22">
        <f t="shared" si="4"/>
        <v>0.83814878892733569</v>
      </c>
      <c r="M5" s="68">
        <v>1</v>
      </c>
      <c r="N5" s="68">
        <v>1</v>
      </c>
      <c r="O5" s="253"/>
      <c r="P5" s="49"/>
      <c r="Q5" s="50"/>
    </row>
    <row r="6" spans="1:17">
      <c r="A6" s="13">
        <f t="shared" si="5"/>
        <v>46115</v>
      </c>
      <c r="B6" s="1">
        <v>10294</v>
      </c>
      <c r="C6" s="1">
        <v>8792</v>
      </c>
      <c r="D6" s="221">
        <v>10010</v>
      </c>
      <c r="E6" s="257">
        <v>10665</v>
      </c>
      <c r="F6" s="21">
        <f t="shared" si="0"/>
        <v>0.21303457688808008</v>
      </c>
      <c r="G6" s="2">
        <f t="shared" si="1"/>
        <v>0.24534313725490195</v>
      </c>
      <c r="H6" s="2">
        <f t="shared" si="2"/>
        <v>0.32584635416666669</v>
      </c>
      <c r="I6" s="86">
        <v>7.03</v>
      </c>
      <c r="J6" s="185">
        <v>7.79</v>
      </c>
      <c r="K6" s="21">
        <f t="shared" si="3"/>
        <v>0.10810810810810807</v>
      </c>
      <c r="L6" s="22">
        <f t="shared" si="4"/>
        <v>0.75587102620252211</v>
      </c>
      <c r="M6" s="68">
        <v>1</v>
      </c>
      <c r="N6" s="68">
        <v>1</v>
      </c>
      <c r="O6" s="253"/>
      <c r="P6" s="49"/>
      <c r="Q6" s="50"/>
    </row>
    <row r="7" spans="1:17">
      <c r="A7" s="13">
        <f t="shared" si="5"/>
        <v>46116</v>
      </c>
      <c r="B7" s="1">
        <v>10294</v>
      </c>
      <c r="C7" s="1">
        <v>8792</v>
      </c>
      <c r="D7" s="221">
        <v>7733</v>
      </c>
      <c r="E7" s="257">
        <v>7815</v>
      </c>
      <c r="F7" s="21">
        <f t="shared" si="0"/>
        <v>-0.11112374886260236</v>
      </c>
      <c r="G7" s="2">
        <f t="shared" si="1"/>
        <v>0.18953431372549021</v>
      </c>
      <c r="H7" s="2">
        <f t="shared" si="2"/>
        <v>0.25172526041666665</v>
      </c>
      <c r="I7" s="86">
        <v>7.03</v>
      </c>
      <c r="J7" s="185">
        <v>5.62</v>
      </c>
      <c r="K7" s="21">
        <f t="shared" si="3"/>
        <v>-0.20056899004267426</v>
      </c>
      <c r="L7" s="22">
        <f t="shared" si="4"/>
        <v>0.80939920452166636</v>
      </c>
      <c r="M7" s="68">
        <v>1</v>
      </c>
      <c r="N7" s="68">
        <v>1</v>
      </c>
      <c r="O7" s="253"/>
      <c r="P7" s="49"/>
      <c r="Q7" s="50"/>
    </row>
    <row r="8" spans="1:17">
      <c r="A8" s="13">
        <f t="shared" si="5"/>
        <v>46117</v>
      </c>
      <c r="B8" s="1">
        <v>10294</v>
      </c>
      <c r="C8" s="1">
        <v>8792</v>
      </c>
      <c r="D8" s="221">
        <v>10043</v>
      </c>
      <c r="E8" s="257">
        <v>9915</v>
      </c>
      <c r="F8" s="21">
        <f t="shared" si="0"/>
        <v>0.12772975432211101</v>
      </c>
      <c r="G8" s="2">
        <f t="shared" si="1"/>
        <v>0.24615196078431373</v>
      </c>
      <c r="H8" s="2">
        <f t="shared" si="2"/>
        <v>0.32692057291666665</v>
      </c>
      <c r="I8" s="86">
        <v>7.03</v>
      </c>
      <c r="J8" s="185">
        <v>6.94</v>
      </c>
      <c r="K8" s="21">
        <f t="shared" si="3"/>
        <v>-1.2802275960170676E-2</v>
      </c>
      <c r="L8" s="22">
        <f t="shared" si="4"/>
        <v>0.85124597389388035</v>
      </c>
      <c r="M8" s="68">
        <v>1</v>
      </c>
      <c r="N8" s="68">
        <v>1</v>
      </c>
      <c r="O8" s="253"/>
      <c r="P8" s="49"/>
      <c r="Q8" s="50"/>
    </row>
    <row r="9" spans="1:17">
      <c r="A9" s="13">
        <f t="shared" si="5"/>
        <v>46118</v>
      </c>
      <c r="B9" s="1">
        <v>10294</v>
      </c>
      <c r="C9" s="1">
        <v>8792</v>
      </c>
      <c r="D9" s="221">
        <v>10413</v>
      </c>
      <c r="E9" s="257">
        <v>10530</v>
      </c>
      <c r="F9" s="21">
        <f t="shared" si="0"/>
        <v>0.19767970882620564</v>
      </c>
      <c r="G9" s="2">
        <f t="shared" si="1"/>
        <v>0.25522058823529414</v>
      </c>
      <c r="H9" s="2">
        <f t="shared" si="2"/>
        <v>0.33896484375000002</v>
      </c>
      <c r="I9" s="86">
        <v>7.03</v>
      </c>
      <c r="J9" s="185">
        <v>6.91</v>
      </c>
      <c r="K9" s="21">
        <f t="shared" si="3"/>
        <v>-1.7069701280227612E-2</v>
      </c>
      <c r="L9" s="22">
        <f t="shared" si="4"/>
        <v>0.88643909083170169</v>
      </c>
      <c r="M9" s="68">
        <v>1</v>
      </c>
      <c r="N9" s="68">
        <v>1</v>
      </c>
      <c r="O9" s="253"/>
      <c r="P9" s="49"/>
      <c r="Q9" s="50"/>
    </row>
    <row r="10" spans="1:17">
      <c r="A10" s="13">
        <f t="shared" si="5"/>
        <v>46119</v>
      </c>
      <c r="B10" s="1">
        <v>10294</v>
      </c>
      <c r="C10" s="1">
        <v>8792</v>
      </c>
      <c r="D10" s="221">
        <v>8305</v>
      </c>
      <c r="E10" s="257">
        <v>8295</v>
      </c>
      <c r="F10" s="21">
        <f t="shared" si="0"/>
        <v>-5.6528662420382167E-2</v>
      </c>
      <c r="G10" s="2">
        <f t="shared" si="1"/>
        <v>0.20355392156862745</v>
      </c>
      <c r="H10" s="2">
        <f t="shared" si="2"/>
        <v>0.27034505208333331</v>
      </c>
      <c r="I10" s="86">
        <v>7.03</v>
      </c>
      <c r="J10" s="185">
        <v>6.13</v>
      </c>
      <c r="K10" s="21">
        <f t="shared" si="3"/>
        <v>-0.128022759601707</v>
      </c>
      <c r="L10" s="22">
        <f t="shared" si="4"/>
        <v>0.79694846943671438</v>
      </c>
      <c r="M10" s="68">
        <v>1</v>
      </c>
      <c r="N10" s="68">
        <v>1</v>
      </c>
      <c r="O10" s="253"/>
      <c r="P10" s="219"/>
      <c r="Q10" s="50"/>
    </row>
    <row r="11" spans="1:17">
      <c r="A11" s="13">
        <f t="shared" si="5"/>
        <v>46120</v>
      </c>
      <c r="B11" s="1">
        <v>10294</v>
      </c>
      <c r="C11" s="1">
        <v>8792</v>
      </c>
      <c r="D11" s="221">
        <v>5722</v>
      </c>
      <c r="E11" s="257">
        <v>8535</v>
      </c>
      <c r="F11" s="21">
        <f t="shared" si="0"/>
        <v>-2.9231119199272064E-2</v>
      </c>
      <c r="G11" s="2">
        <f t="shared" si="1"/>
        <v>0.1402450980392157</v>
      </c>
      <c r="H11" s="2">
        <f t="shared" si="2"/>
        <v>0.18626302083333332</v>
      </c>
      <c r="I11" s="86">
        <v>7.03</v>
      </c>
      <c r="J11" s="185">
        <v>6.29</v>
      </c>
      <c r="K11" s="21">
        <f t="shared" si="3"/>
        <v>-0.10526315789473686</v>
      </c>
      <c r="L11" s="22">
        <f t="shared" si="4"/>
        <v>0.53511643131020292</v>
      </c>
      <c r="M11" s="68">
        <v>1</v>
      </c>
      <c r="N11" s="68">
        <v>1</v>
      </c>
      <c r="O11" s="253"/>
      <c r="P11" s="49"/>
      <c r="Q11" s="50"/>
    </row>
    <row r="12" spans="1:17">
      <c r="A12" s="13">
        <f t="shared" si="5"/>
        <v>46121</v>
      </c>
      <c r="B12" s="1">
        <v>10294</v>
      </c>
      <c r="C12" s="1">
        <v>8792</v>
      </c>
      <c r="D12" s="221">
        <v>9050</v>
      </c>
      <c r="E12" s="257">
        <v>9075</v>
      </c>
      <c r="F12" s="21">
        <f t="shared" si="0"/>
        <v>3.2188353048225662E-2</v>
      </c>
      <c r="G12" s="2">
        <f t="shared" si="1"/>
        <v>0.22181372549019607</v>
      </c>
      <c r="H12" s="2">
        <f t="shared" si="2"/>
        <v>0.29459635416666669</v>
      </c>
      <c r="I12" s="86">
        <v>7.03</v>
      </c>
      <c r="J12" s="185">
        <v>6.12</v>
      </c>
      <c r="K12" s="21">
        <f t="shared" si="3"/>
        <v>-0.12944523470839261</v>
      </c>
      <c r="L12" s="22">
        <f t="shared" si="4"/>
        <v>0.86985774702037677</v>
      </c>
      <c r="M12" s="68">
        <v>1</v>
      </c>
      <c r="N12" s="68">
        <v>1</v>
      </c>
      <c r="O12" s="253"/>
      <c r="P12" s="49"/>
      <c r="Q12" s="50"/>
    </row>
    <row r="13" spans="1:17">
      <c r="A13" s="13">
        <f t="shared" si="5"/>
        <v>46122</v>
      </c>
      <c r="B13" s="1">
        <v>10294</v>
      </c>
      <c r="C13" s="1">
        <v>8792</v>
      </c>
      <c r="D13" s="221">
        <v>9924</v>
      </c>
      <c r="E13" s="257">
        <v>9915</v>
      </c>
      <c r="F13" s="21">
        <f t="shared" si="0"/>
        <v>0.12772975432211101</v>
      </c>
      <c r="G13" s="2">
        <f t="shared" si="1"/>
        <v>0.24323529411764705</v>
      </c>
      <c r="H13" s="2">
        <f t="shared" si="2"/>
        <v>0.32304687500000001</v>
      </c>
      <c r="I13" s="86">
        <v>7.03</v>
      </c>
      <c r="J13" s="185">
        <v>6.71</v>
      </c>
      <c r="K13" s="21">
        <f t="shared" si="3"/>
        <v>-4.5519203413940293E-2</v>
      </c>
      <c r="L13" s="22">
        <f t="shared" si="4"/>
        <v>0.86999211010782851</v>
      </c>
      <c r="M13" s="68">
        <v>1</v>
      </c>
      <c r="N13" s="68">
        <v>1</v>
      </c>
      <c r="O13" s="253"/>
      <c r="P13" s="49"/>
      <c r="Q13" s="50"/>
    </row>
    <row r="14" spans="1:17">
      <c r="A14" s="13">
        <f t="shared" si="5"/>
        <v>46123</v>
      </c>
      <c r="B14" s="1">
        <v>10294</v>
      </c>
      <c r="C14" s="1">
        <v>8792</v>
      </c>
      <c r="D14" s="221">
        <v>9947</v>
      </c>
      <c r="E14" s="257">
        <v>9915</v>
      </c>
      <c r="F14" s="21">
        <f t="shared" si="0"/>
        <v>0.12772975432211101</v>
      </c>
      <c r="G14" s="2">
        <f t="shared" si="1"/>
        <v>0.24379901960784314</v>
      </c>
      <c r="H14" s="2">
        <f t="shared" si="2"/>
        <v>0.32379557291666666</v>
      </c>
      <c r="I14" s="86">
        <v>7.03</v>
      </c>
      <c r="J14" s="185">
        <v>6.72</v>
      </c>
      <c r="K14" s="21">
        <f t="shared" si="3"/>
        <v>-4.4096728307254696E-2</v>
      </c>
      <c r="L14" s="22">
        <f t="shared" si="4"/>
        <v>0.87071078431372551</v>
      </c>
      <c r="M14" s="68">
        <v>1</v>
      </c>
      <c r="N14" s="68">
        <v>1</v>
      </c>
      <c r="O14" s="253"/>
      <c r="P14" s="49"/>
      <c r="Q14" s="50"/>
    </row>
    <row r="15" spans="1:17">
      <c r="A15" s="13">
        <f t="shared" si="5"/>
        <v>46124</v>
      </c>
      <c r="B15" s="1">
        <v>10294</v>
      </c>
      <c r="C15" s="1">
        <v>8792</v>
      </c>
      <c r="D15" s="221">
        <v>9696</v>
      </c>
      <c r="E15" s="257">
        <v>9690</v>
      </c>
      <c r="F15" s="21">
        <f t="shared" si="0"/>
        <v>0.10213830755232028</v>
      </c>
      <c r="G15" s="2">
        <f t="shared" si="1"/>
        <v>0.23764705882352941</v>
      </c>
      <c r="H15" s="2">
        <f t="shared" si="2"/>
        <v>0.31562499999999999</v>
      </c>
      <c r="I15" s="86">
        <v>7.03</v>
      </c>
      <c r="J15" s="185">
        <v>6.67</v>
      </c>
      <c r="K15" s="21">
        <f t="shared" si="3"/>
        <v>-5.1209103840682835E-2</v>
      </c>
      <c r="L15" s="22">
        <f t="shared" si="4"/>
        <v>0.85510186083428874</v>
      </c>
      <c r="M15" s="68">
        <v>1</v>
      </c>
      <c r="N15" s="68">
        <v>1</v>
      </c>
      <c r="O15" s="253"/>
      <c r="P15" s="49"/>
      <c r="Q15" s="50"/>
    </row>
    <row r="16" spans="1:17">
      <c r="A16" s="13">
        <f t="shared" si="5"/>
        <v>46125</v>
      </c>
      <c r="B16" s="1">
        <v>10294</v>
      </c>
      <c r="C16" s="1">
        <v>8792</v>
      </c>
      <c r="D16" s="221">
        <v>9421</v>
      </c>
      <c r="E16" s="257">
        <v>9375</v>
      </c>
      <c r="F16" s="21">
        <f t="shared" si="0"/>
        <v>6.6310282074613286E-2</v>
      </c>
      <c r="G16" s="2">
        <f t="shared" si="1"/>
        <v>0.23090686274509803</v>
      </c>
      <c r="H16" s="2">
        <f t="shared" si="2"/>
        <v>0.30667317708333336</v>
      </c>
      <c r="I16" s="86">
        <v>7.03</v>
      </c>
      <c r="J16" s="185">
        <v>6.72</v>
      </c>
      <c r="K16" s="21">
        <f t="shared" si="3"/>
        <v>-4.4096728307254696E-2</v>
      </c>
      <c r="L16" s="22">
        <f t="shared" si="4"/>
        <v>0.82466736694677867</v>
      </c>
      <c r="M16" s="68">
        <v>1</v>
      </c>
      <c r="N16" s="68">
        <v>1</v>
      </c>
      <c r="O16" s="253"/>
      <c r="P16" s="49"/>
      <c r="Q16" s="50"/>
    </row>
    <row r="17" spans="1:17">
      <c r="A17" s="13">
        <f t="shared" si="5"/>
        <v>46126</v>
      </c>
      <c r="B17" s="1">
        <v>10294</v>
      </c>
      <c r="C17" s="1">
        <v>8792</v>
      </c>
      <c r="D17" s="221">
        <v>9895</v>
      </c>
      <c r="E17" s="257">
        <v>9930</v>
      </c>
      <c r="F17" s="21">
        <f t="shared" si="0"/>
        <v>0.12943585077343039</v>
      </c>
      <c r="G17" s="2">
        <f t="shared" si="1"/>
        <v>0.24252450980392157</v>
      </c>
      <c r="H17" s="2">
        <f t="shared" si="2"/>
        <v>0.32210286458333331</v>
      </c>
      <c r="I17" s="86">
        <v>7.03</v>
      </c>
      <c r="J17" s="185">
        <v>6.81</v>
      </c>
      <c r="K17" s="21">
        <f t="shared" si="3"/>
        <v>-3.1294452347084015E-2</v>
      </c>
      <c r="L17" s="22">
        <f t="shared" si="4"/>
        <v>0.85471192882439317</v>
      </c>
      <c r="M17" s="68">
        <v>1</v>
      </c>
      <c r="N17" s="68">
        <v>1</v>
      </c>
      <c r="O17" s="253"/>
      <c r="P17" s="49"/>
      <c r="Q17" s="50"/>
    </row>
    <row r="18" spans="1:17">
      <c r="A18" s="13">
        <f t="shared" si="5"/>
        <v>46127</v>
      </c>
      <c r="B18" s="1">
        <v>10294</v>
      </c>
      <c r="C18" s="1">
        <v>8792</v>
      </c>
      <c r="D18" s="221">
        <v>10386</v>
      </c>
      <c r="E18" s="257">
        <v>10395</v>
      </c>
      <c r="F18" s="21">
        <f t="shared" si="0"/>
        <v>0.1823248407643312</v>
      </c>
      <c r="G18" s="2">
        <f t="shared" si="1"/>
        <v>0.25455882352941178</v>
      </c>
      <c r="H18" s="2">
        <f t="shared" si="2"/>
        <v>0.33808593749999999</v>
      </c>
      <c r="I18" s="86">
        <v>7.03</v>
      </c>
      <c r="J18" s="185">
        <v>7.42</v>
      </c>
      <c r="K18" s="21">
        <f t="shared" si="3"/>
        <v>5.547652916073964E-2</v>
      </c>
      <c r="L18" s="22">
        <f t="shared" si="4"/>
        <v>0.82337085777707308</v>
      </c>
      <c r="M18" s="68">
        <v>1</v>
      </c>
      <c r="N18" s="68">
        <v>1</v>
      </c>
      <c r="O18" s="253"/>
      <c r="P18" s="49"/>
      <c r="Q18" s="50"/>
    </row>
    <row r="19" spans="1:17">
      <c r="A19" s="13">
        <f t="shared" si="5"/>
        <v>46128</v>
      </c>
      <c r="B19" s="1">
        <v>10294</v>
      </c>
      <c r="C19" s="1">
        <v>8792</v>
      </c>
      <c r="D19" s="221">
        <v>10511</v>
      </c>
      <c r="E19" s="257">
        <v>10470</v>
      </c>
      <c r="F19" s="21">
        <f t="shared" si="0"/>
        <v>0.19085532302092811</v>
      </c>
      <c r="G19" s="2">
        <f t="shared" si="1"/>
        <v>0.25762254901960785</v>
      </c>
      <c r="H19" s="2">
        <f t="shared" si="2"/>
        <v>0.34215494791666667</v>
      </c>
      <c r="I19" s="86">
        <v>7.03</v>
      </c>
      <c r="J19" s="185">
        <v>6.92</v>
      </c>
      <c r="K19" s="21">
        <f t="shared" si="3"/>
        <v>-1.5647226173542007E-2</v>
      </c>
      <c r="L19" s="22">
        <f t="shared" si="4"/>
        <v>0.89348860931655905</v>
      </c>
      <c r="M19" s="68">
        <v>1</v>
      </c>
      <c r="N19" s="68">
        <v>1</v>
      </c>
      <c r="O19" s="253"/>
      <c r="P19" s="49"/>
      <c r="Q19" s="50"/>
    </row>
    <row r="20" spans="1:17">
      <c r="A20" s="13">
        <f t="shared" si="5"/>
        <v>46129</v>
      </c>
      <c r="B20" s="1">
        <v>10294</v>
      </c>
      <c r="C20" s="1">
        <v>8792</v>
      </c>
      <c r="D20" s="221">
        <v>8973</v>
      </c>
      <c r="E20" s="257">
        <v>9000</v>
      </c>
      <c r="F20" s="21">
        <f t="shared" si="0"/>
        <v>2.3657870791628753E-2</v>
      </c>
      <c r="G20" s="2">
        <f t="shared" si="1"/>
        <v>0.21992647058823531</v>
      </c>
      <c r="H20" s="2">
        <f t="shared" si="2"/>
        <v>0.29208984375000002</v>
      </c>
      <c r="I20" s="86">
        <v>7.03</v>
      </c>
      <c r="J20" s="185">
        <v>6.72</v>
      </c>
      <c r="K20" s="21">
        <f t="shared" si="3"/>
        <v>-4.4096728307254696E-2</v>
      </c>
      <c r="L20" s="22">
        <f t="shared" si="4"/>
        <v>0.78545168067226889</v>
      </c>
      <c r="M20" s="68">
        <v>1</v>
      </c>
      <c r="N20" s="68">
        <v>1</v>
      </c>
      <c r="O20" s="253"/>
      <c r="P20" s="49"/>
      <c r="Q20" s="50"/>
    </row>
    <row r="21" spans="1:17">
      <c r="A21" s="13">
        <f t="shared" si="5"/>
        <v>46130</v>
      </c>
      <c r="B21" s="1">
        <v>10294</v>
      </c>
      <c r="C21" s="1">
        <v>8792</v>
      </c>
      <c r="D21" s="221">
        <v>8370</v>
      </c>
      <c r="E21" s="257">
        <v>8400</v>
      </c>
      <c r="F21" s="21">
        <f t="shared" si="0"/>
        <v>-4.4585987261146494E-2</v>
      </c>
      <c r="G21" s="2">
        <f t="shared" si="1"/>
        <v>0.2051470588235294</v>
      </c>
      <c r="H21" s="2">
        <f t="shared" si="2"/>
        <v>0.2724609375</v>
      </c>
      <c r="I21" s="86">
        <v>7.03</v>
      </c>
      <c r="J21" s="185">
        <v>6.42</v>
      </c>
      <c r="K21" s="21">
        <f t="shared" si="3"/>
        <v>-8.6770981507823655E-2</v>
      </c>
      <c r="L21" s="22">
        <f t="shared" si="4"/>
        <v>0.76690489279824081</v>
      </c>
      <c r="M21" s="68">
        <v>1</v>
      </c>
      <c r="N21" s="68">
        <v>1</v>
      </c>
      <c r="O21" s="253"/>
      <c r="P21" s="186"/>
      <c r="Q21" s="50"/>
    </row>
    <row r="22" spans="1:17">
      <c r="A22" s="13">
        <f t="shared" si="5"/>
        <v>46131</v>
      </c>
      <c r="B22" s="1">
        <v>10294</v>
      </c>
      <c r="C22" s="1">
        <v>8792</v>
      </c>
      <c r="D22" s="221">
        <v>9066</v>
      </c>
      <c r="E22" s="257">
        <v>9210</v>
      </c>
      <c r="F22" s="21">
        <f t="shared" si="0"/>
        <v>4.7543221110100092E-2</v>
      </c>
      <c r="G22" s="2">
        <f t="shared" si="1"/>
        <v>0.22220588235294117</v>
      </c>
      <c r="H22" s="2">
        <f t="shared" ref="H22:H33" si="6">E22/($D$2*24)</f>
        <v>0.22573529411764706</v>
      </c>
      <c r="I22" s="86">
        <v>7.03</v>
      </c>
      <c r="J22" s="185">
        <v>6.81</v>
      </c>
      <c r="K22" s="21">
        <f t="shared" si="3"/>
        <v>-3.1294452347084015E-2</v>
      </c>
      <c r="L22" s="22">
        <f t="shared" si="4"/>
        <v>0.78310443119979267</v>
      </c>
      <c r="M22" s="68">
        <v>1</v>
      </c>
      <c r="N22" s="68">
        <v>1</v>
      </c>
      <c r="O22" s="253"/>
      <c r="P22" s="186"/>
      <c r="Q22" s="50"/>
    </row>
    <row r="23" spans="1:17">
      <c r="A23" s="13">
        <f t="shared" si="5"/>
        <v>46132</v>
      </c>
      <c r="B23" s="1">
        <v>10294</v>
      </c>
      <c r="C23" s="1">
        <v>8792</v>
      </c>
      <c r="D23" s="221">
        <v>9231</v>
      </c>
      <c r="E23" s="257">
        <v>9045</v>
      </c>
      <c r="F23" s="21">
        <f t="shared" si="0"/>
        <v>2.8776160145586899E-2</v>
      </c>
      <c r="G23" s="2">
        <f t="shared" si="1"/>
        <v>0.22625000000000001</v>
      </c>
      <c r="H23" s="2">
        <f t="shared" si="6"/>
        <v>0.22169117647058822</v>
      </c>
      <c r="I23" s="86">
        <v>7.03</v>
      </c>
      <c r="J23" s="185">
        <v>6.32</v>
      </c>
      <c r="K23" s="21">
        <f t="shared" si="3"/>
        <v>-0.10099573257467993</v>
      </c>
      <c r="L23" s="22">
        <f t="shared" si="4"/>
        <v>0.85917721518987344</v>
      </c>
      <c r="M23" s="68">
        <v>1</v>
      </c>
      <c r="N23" s="68">
        <v>1</v>
      </c>
      <c r="O23" s="253"/>
      <c r="P23" s="186"/>
      <c r="Q23" s="50"/>
    </row>
    <row r="24" spans="1:17">
      <c r="A24" s="13">
        <f t="shared" si="5"/>
        <v>46133</v>
      </c>
      <c r="B24" s="1">
        <v>10294</v>
      </c>
      <c r="C24" s="1">
        <v>8792</v>
      </c>
      <c r="D24" s="221">
        <v>9438</v>
      </c>
      <c r="E24" s="257">
        <v>9465</v>
      </c>
      <c r="F24" s="21">
        <f t="shared" si="0"/>
        <v>7.6546860782529577E-2</v>
      </c>
      <c r="G24" s="2">
        <f t="shared" si="1"/>
        <v>0.23132352941176471</v>
      </c>
      <c r="H24" s="2">
        <f t="shared" si="6"/>
        <v>0.23198529411764707</v>
      </c>
      <c r="I24" s="86">
        <v>7.03</v>
      </c>
      <c r="J24" s="185">
        <v>6.92</v>
      </c>
      <c r="K24" s="21">
        <f t="shared" si="3"/>
        <v>-1.5647226173542007E-2</v>
      </c>
      <c r="L24" s="22">
        <f t="shared" si="4"/>
        <v>0.80227813668820125</v>
      </c>
      <c r="M24" s="68">
        <v>1</v>
      </c>
      <c r="N24" s="68">
        <v>1</v>
      </c>
      <c r="O24" s="253"/>
      <c r="P24" s="186"/>
      <c r="Q24" s="50"/>
    </row>
    <row r="25" spans="1:17">
      <c r="A25" s="13">
        <f t="shared" si="5"/>
        <v>46134</v>
      </c>
      <c r="B25" s="1">
        <v>10294</v>
      </c>
      <c r="C25" s="1">
        <v>8792</v>
      </c>
      <c r="D25" s="221">
        <v>9267</v>
      </c>
      <c r="E25" s="257">
        <v>9105</v>
      </c>
      <c r="F25" s="21">
        <f t="shared" si="0"/>
        <v>3.5600545950864419E-2</v>
      </c>
      <c r="G25" s="2">
        <f t="shared" si="1"/>
        <v>0.22713235294117648</v>
      </c>
      <c r="H25" s="2">
        <f t="shared" si="6"/>
        <v>0.22316176470588237</v>
      </c>
      <c r="I25" s="86">
        <v>7.03</v>
      </c>
      <c r="J25" s="185">
        <v>6.92</v>
      </c>
      <c r="K25" s="21">
        <f t="shared" si="3"/>
        <v>-1.5647226173542007E-2</v>
      </c>
      <c r="L25" s="22">
        <f t="shared" si="4"/>
        <v>0.78774226453587215</v>
      </c>
      <c r="M25" s="68">
        <v>1</v>
      </c>
      <c r="N25" s="68">
        <v>1</v>
      </c>
      <c r="O25" s="253"/>
      <c r="P25" s="186"/>
      <c r="Q25" s="50"/>
    </row>
    <row r="26" spans="1:17">
      <c r="A26" s="13">
        <f t="shared" si="5"/>
        <v>46135</v>
      </c>
      <c r="B26" s="1">
        <v>10294</v>
      </c>
      <c r="C26" s="1">
        <v>8792</v>
      </c>
      <c r="D26" s="221">
        <v>8853</v>
      </c>
      <c r="E26" s="257">
        <v>8820</v>
      </c>
      <c r="F26" s="21">
        <f t="shared" si="0"/>
        <v>3.1847133757961785E-3</v>
      </c>
      <c r="G26" s="2">
        <f t="shared" si="1"/>
        <v>0.21698529411764705</v>
      </c>
      <c r="H26" s="2">
        <f t="shared" si="6"/>
        <v>0.2161764705882353</v>
      </c>
      <c r="I26" s="86">
        <v>7.03</v>
      </c>
      <c r="J26" s="185">
        <v>6.37</v>
      </c>
      <c r="K26" s="21">
        <f t="shared" si="3"/>
        <v>-9.3883357041251794E-2</v>
      </c>
      <c r="L26" s="22">
        <f t="shared" si="4"/>
        <v>0.81752701080432177</v>
      </c>
      <c r="M26" s="68">
        <v>1</v>
      </c>
      <c r="N26" s="68">
        <v>1</v>
      </c>
      <c r="O26" s="253"/>
      <c r="P26" s="49"/>
      <c r="Q26" s="50"/>
    </row>
    <row r="27" spans="1:17">
      <c r="A27" s="13">
        <f t="shared" si="5"/>
        <v>46136</v>
      </c>
      <c r="B27" s="1">
        <v>10294</v>
      </c>
      <c r="C27" s="1">
        <v>8792</v>
      </c>
      <c r="D27" s="221">
        <v>9488</v>
      </c>
      <c r="E27" s="257">
        <v>9210</v>
      </c>
      <c r="F27" s="21">
        <f t="shared" si="0"/>
        <v>4.7543221110100092E-2</v>
      </c>
      <c r="G27" s="2">
        <f t="shared" si="1"/>
        <v>0.23254901960784313</v>
      </c>
      <c r="H27" s="2">
        <f t="shared" si="6"/>
        <v>0.22573529411764706</v>
      </c>
      <c r="I27" s="86">
        <v>7.03</v>
      </c>
      <c r="J27" s="185">
        <v>6.19</v>
      </c>
      <c r="K27" s="21">
        <f t="shared" si="3"/>
        <v>-0.11948790896159314</v>
      </c>
      <c r="L27" s="22">
        <f t="shared" si="4"/>
        <v>0.90164401786562764</v>
      </c>
      <c r="M27" s="68">
        <v>1</v>
      </c>
      <c r="N27" s="68">
        <v>1</v>
      </c>
      <c r="O27" s="253"/>
      <c r="P27" s="49"/>
      <c r="Q27" s="50"/>
    </row>
    <row r="28" spans="1:17">
      <c r="A28" s="13">
        <f t="shared" si="5"/>
        <v>46137</v>
      </c>
      <c r="B28" s="1">
        <v>10294</v>
      </c>
      <c r="C28" s="1">
        <v>8792</v>
      </c>
      <c r="D28" s="221">
        <v>9092</v>
      </c>
      <c r="E28" s="257">
        <v>8850</v>
      </c>
      <c r="F28" s="21">
        <f t="shared" si="0"/>
        <v>6.5969062784349405E-3</v>
      </c>
      <c r="G28" s="2">
        <f t="shared" si="1"/>
        <v>0.22284313725490196</v>
      </c>
      <c r="H28" s="2">
        <f t="shared" si="6"/>
        <v>0.21691176470588236</v>
      </c>
      <c r="I28" s="86">
        <v>7.03</v>
      </c>
      <c r="J28" s="185">
        <v>6.49</v>
      </c>
      <c r="K28" s="21">
        <f t="shared" si="3"/>
        <v>-7.6813655761024183E-2</v>
      </c>
      <c r="L28" s="22">
        <f t="shared" si="4"/>
        <v>0.82407323484093176</v>
      </c>
      <c r="M28" s="68">
        <v>1</v>
      </c>
      <c r="N28" s="68">
        <v>1</v>
      </c>
      <c r="O28" s="253"/>
      <c r="P28" s="186"/>
      <c r="Q28" s="49"/>
    </row>
    <row r="29" spans="1:17">
      <c r="A29" s="13">
        <f t="shared" si="5"/>
        <v>46138</v>
      </c>
      <c r="B29" s="1">
        <v>10294</v>
      </c>
      <c r="C29" s="1">
        <v>8792</v>
      </c>
      <c r="D29" s="221">
        <v>8840</v>
      </c>
      <c r="E29" s="257">
        <v>8955</v>
      </c>
      <c r="F29" s="21">
        <f t="shared" si="0"/>
        <v>1.8539581437670611E-2</v>
      </c>
      <c r="G29" s="2">
        <f t="shared" si="1"/>
        <v>0.21666666666666667</v>
      </c>
      <c r="H29" s="2">
        <f t="shared" si="6"/>
        <v>0.21948529411764706</v>
      </c>
      <c r="I29" s="86">
        <v>7.03</v>
      </c>
      <c r="J29" s="185">
        <v>6.38</v>
      </c>
      <c r="K29" s="21">
        <f t="shared" si="3"/>
        <v>-9.2460881934566197E-2</v>
      </c>
      <c r="L29" s="22">
        <f t="shared" si="4"/>
        <v>0.8150470219435737</v>
      </c>
      <c r="M29" s="68">
        <v>1</v>
      </c>
      <c r="N29" s="68">
        <v>1</v>
      </c>
      <c r="O29" s="253"/>
      <c r="P29" s="49"/>
      <c r="Q29" s="50"/>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49"/>
      <c r="P30" s="6"/>
      <c r="Q30" s="49"/>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49"/>
      <c r="P31" s="6"/>
      <c r="Q31" s="49"/>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49"/>
      <c r="P32" s="6"/>
      <c r="Q32" s="49"/>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49"/>
      <c r="P33" s="6"/>
      <c r="Q33" s="49"/>
    </row>
    <row r="34" spans="1:17">
      <c r="A34" s="349">
        <v>46113</v>
      </c>
      <c r="B34" s="89">
        <f>SUM(B4:B33)</f>
        <v>267644</v>
      </c>
      <c r="C34" s="89">
        <f>SUM(C4:C33)</f>
        <v>228592</v>
      </c>
      <c r="D34" s="89">
        <f>SUM(D4:D33)</f>
        <v>240384</v>
      </c>
      <c r="E34" s="89">
        <f>SUM(E4:E33)</f>
        <v>242775</v>
      </c>
      <c r="F34" s="160">
        <f t="shared" si="0"/>
        <v>6.2045040946314835E-2</v>
      </c>
      <c r="G34" s="90">
        <f>AVERAGE(G4:G33)</f>
        <v>0.19639215686274511</v>
      </c>
      <c r="H34" s="90">
        <f>AVERAGE(H4:H33)</f>
        <v>0.24068761488970589</v>
      </c>
      <c r="I34" s="89">
        <f>SUM(I4:I33)</f>
        <v>182.78</v>
      </c>
      <c r="J34" s="89">
        <f>SUM(J4:J33)</f>
        <v>172.63</v>
      </c>
      <c r="K34" s="160">
        <f t="shared" si="3"/>
        <v>-5.5531239741766089E-2</v>
      </c>
      <c r="L34" s="161">
        <f t="shared" si="4"/>
        <v>0.81910648752346915</v>
      </c>
      <c r="M34" s="90">
        <f>AVERAGE(M4:M33)</f>
        <v>1</v>
      </c>
      <c r="N34" s="90">
        <f>AVERAGE(N4:N33)</f>
        <v>1</v>
      </c>
      <c r="O34" s="89">
        <f>SUM(O4:O33)</f>
        <v>0</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ED6E3-FD79-4E9B-A2CE-103D74275822}">
  <dimension ref="A1:Q66"/>
  <sheetViews>
    <sheetView topLeftCell="A2" workbookViewId="0">
      <pane ySplit="2" topLeftCell="A37" activePane="bottomLeft" state="frozen"/>
      <selection pane="bottomLeft" activeCell="M42" sqref="M42"/>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646</v>
      </c>
      <c r="B1" s="406"/>
      <c r="C1" s="406"/>
      <c r="D1" s="406"/>
      <c r="E1" s="406"/>
      <c r="F1" s="406"/>
      <c r="G1" s="406"/>
      <c r="H1" s="406"/>
      <c r="I1" s="406"/>
      <c r="J1" s="406"/>
      <c r="K1" s="406"/>
      <c r="L1" s="406"/>
      <c r="M1" s="406"/>
      <c r="N1" s="406"/>
      <c r="O1" s="406"/>
      <c r="P1" s="406"/>
      <c r="Q1" s="406"/>
    </row>
    <row r="2" spans="1:17" ht="18.5">
      <c r="A2" s="7">
        <v>46113</v>
      </c>
      <c r="B2" s="407" t="s">
        <v>172</v>
      </c>
      <c r="C2" s="408"/>
      <c r="D2" s="8">
        <v>4600</v>
      </c>
      <c r="E2" s="407" t="s">
        <v>173</v>
      </c>
      <c r="F2" s="407"/>
      <c r="G2" s="408"/>
      <c r="H2" s="8">
        <v>3960</v>
      </c>
      <c r="I2" s="409" t="s">
        <v>174</v>
      </c>
      <c r="J2" s="410"/>
      <c r="K2" s="9">
        <v>45603</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31983</v>
      </c>
      <c r="C4" s="1">
        <v>31829</v>
      </c>
      <c r="D4" s="221">
        <v>2488</v>
      </c>
      <c r="E4" s="257">
        <v>2650</v>
      </c>
      <c r="F4" s="21">
        <f t="shared" ref="F4:F35" si="0">(IF(ISBLANK(E4),0,E4-C4))/C4</f>
        <v>-0.91674259323258667</v>
      </c>
      <c r="G4" s="2">
        <f t="shared" ref="G4:G33" si="1">D4/($D$2*24)</f>
        <v>2.253623188405797E-2</v>
      </c>
      <c r="H4" s="2">
        <f t="shared" ref="H4:H21" si="2">D4/($H$2*24)</f>
        <v>2.6178451178451179E-2</v>
      </c>
      <c r="I4" s="86">
        <v>8.2799999999999994</v>
      </c>
      <c r="J4" s="185">
        <v>0.68500000000000005</v>
      </c>
      <c r="K4" s="21">
        <f t="shared" ref="K4:K35" si="3">(IF(ISBLANK(J4),0,J4-I4))/I4</f>
        <v>-0.91727053140096615</v>
      </c>
      <c r="L4" s="22">
        <f t="shared" ref="L4:L35" si="4">D4/($D$2*J4)</f>
        <v>0.78959060615677557</v>
      </c>
      <c r="M4" s="68">
        <v>1</v>
      </c>
      <c r="N4" s="68">
        <v>0.18490000000000001</v>
      </c>
      <c r="O4" s="253">
        <v>25922</v>
      </c>
      <c r="P4" s="49"/>
      <c r="Q4" s="50" t="s">
        <v>647</v>
      </c>
    </row>
    <row r="5" spans="1:17">
      <c r="A5" s="13">
        <f t="shared" ref="A5:A33" si="5">A4+1</f>
        <v>46114</v>
      </c>
      <c r="B5" s="1">
        <v>31983</v>
      </c>
      <c r="C5" s="1">
        <v>31829</v>
      </c>
      <c r="D5" s="221">
        <v>30213</v>
      </c>
      <c r="E5" s="257">
        <v>29700</v>
      </c>
      <c r="F5" s="21">
        <f t="shared" si="0"/>
        <v>-6.6888686418046434E-2</v>
      </c>
      <c r="G5" s="2">
        <f t="shared" si="1"/>
        <v>0.27366847826086954</v>
      </c>
      <c r="H5" s="2">
        <f t="shared" si="2"/>
        <v>0.31789772727272725</v>
      </c>
      <c r="I5" s="86">
        <v>8.2799999999999994</v>
      </c>
      <c r="J5" s="185">
        <v>8.1470000000000002</v>
      </c>
      <c r="K5" s="21">
        <f t="shared" si="3"/>
        <v>-1.6062801932367046E-2</v>
      </c>
      <c r="L5" s="22">
        <f t="shared" si="4"/>
        <v>0.80619166297543499</v>
      </c>
      <c r="M5" s="68">
        <v>1</v>
      </c>
      <c r="N5" s="68">
        <v>1</v>
      </c>
      <c r="O5" s="253"/>
      <c r="P5" s="49"/>
      <c r="Q5" s="50"/>
    </row>
    <row r="6" spans="1:17">
      <c r="A6" s="13">
        <f t="shared" si="5"/>
        <v>46115</v>
      </c>
      <c r="B6" s="1">
        <v>31983</v>
      </c>
      <c r="C6" s="1">
        <v>31829</v>
      </c>
      <c r="D6" s="221">
        <v>29190</v>
      </c>
      <c r="E6" s="257">
        <v>28650</v>
      </c>
      <c r="F6" s="21">
        <f t="shared" si="0"/>
        <v>-9.9877470231549845E-2</v>
      </c>
      <c r="G6" s="2">
        <f t="shared" si="1"/>
        <v>0.26440217391304349</v>
      </c>
      <c r="H6" s="2">
        <f t="shared" si="2"/>
        <v>0.3071338383838384</v>
      </c>
      <c r="I6" s="86">
        <v>8.2799999999999994</v>
      </c>
      <c r="J6" s="185">
        <v>8.0109999999999992</v>
      </c>
      <c r="K6" s="21">
        <f t="shared" si="3"/>
        <v>-3.2487922705314025E-2</v>
      </c>
      <c r="L6" s="22">
        <f t="shared" si="4"/>
        <v>0.79211736036862357</v>
      </c>
      <c r="M6" s="68">
        <v>1</v>
      </c>
      <c r="N6" s="68">
        <v>1</v>
      </c>
      <c r="O6" s="253"/>
      <c r="P6" s="49"/>
      <c r="Q6" s="50"/>
    </row>
    <row r="7" spans="1:17">
      <c r="A7" s="13">
        <f t="shared" si="5"/>
        <v>46116</v>
      </c>
      <c r="B7" s="1">
        <v>31983</v>
      </c>
      <c r="C7" s="1">
        <v>31829</v>
      </c>
      <c r="D7" s="221">
        <v>13360</v>
      </c>
      <c r="E7" s="257">
        <v>13100</v>
      </c>
      <c r="F7" s="21">
        <f t="shared" si="0"/>
        <v>-0.58842564956486221</v>
      </c>
      <c r="G7" s="2">
        <f t="shared" si="1"/>
        <v>0.12101449275362319</v>
      </c>
      <c r="H7" s="2">
        <f t="shared" si="2"/>
        <v>0.14057239057239057</v>
      </c>
      <c r="I7" s="86">
        <v>8.2799999999999994</v>
      </c>
      <c r="J7" s="185">
        <v>3.4849999999999999</v>
      </c>
      <c r="K7" s="21">
        <f t="shared" si="3"/>
        <v>-0.57910628019323673</v>
      </c>
      <c r="L7" s="22">
        <f t="shared" si="4"/>
        <v>0.83338531595034615</v>
      </c>
      <c r="M7" s="68">
        <v>1</v>
      </c>
      <c r="N7" s="68">
        <v>0.67949999999999999</v>
      </c>
      <c r="O7" s="253">
        <v>12198</v>
      </c>
      <c r="P7" s="49"/>
      <c r="Q7" s="50" t="s">
        <v>648</v>
      </c>
    </row>
    <row r="8" spans="1:17">
      <c r="A8" s="13">
        <f t="shared" si="5"/>
        <v>46117</v>
      </c>
      <c r="B8" s="1">
        <v>31983</v>
      </c>
      <c r="C8" s="1">
        <v>31829</v>
      </c>
      <c r="D8" s="221">
        <v>26375</v>
      </c>
      <c r="E8" s="257">
        <v>25950</v>
      </c>
      <c r="F8" s="21">
        <f t="shared" si="0"/>
        <v>-0.1847057714662729</v>
      </c>
      <c r="G8" s="2">
        <f t="shared" si="1"/>
        <v>0.23890398550724637</v>
      </c>
      <c r="H8" s="2">
        <f t="shared" si="2"/>
        <v>0.27751473063973064</v>
      </c>
      <c r="I8" s="86">
        <v>8.2799999999999994</v>
      </c>
      <c r="J8" s="185">
        <v>7.0890000000000004</v>
      </c>
      <c r="K8" s="21">
        <f t="shared" si="3"/>
        <v>-0.1438405797101448</v>
      </c>
      <c r="L8" s="22">
        <f t="shared" si="4"/>
        <v>0.80881586291069441</v>
      </c>
      <c r="M8" s="68">
        <v>1</v>
      </c>
      <c r="N8" s="68">
        <v>1</v>
      </c>
      <c r="O8" s="253"/>
      <c r="P8" s="49"/>
      <c r="Q8" s="50"/>
    </row>
    <row r="9" spans="1:17">
      <c r="A9" s="13">
        <f t="shared" si="5"/>
        <v>46118</v>
      </c>
      <c r="B9" s="1">
        <v>31983</v>
      </c>
      <c r="C9" s="1">
        <v>31829</v>
      </c>
      <c r="D9" s="221">
        <v>31645</v>
      </c>
      <c r="E9" s="257">
        <v>31100</v>
      </c>
      <c r="F9" s="21">
        <f t="shared" si="0"/>
        <v>-2.2903641333375222E-2</v>
      </c>
      <c r="G9" s="2">
        <f t="shared" si="1"/>
        <v>0.28663949275362322</v>
      </c>
      <c r="H9" s="2">
        <f t="shared" si="2"/>
        <v>0.33296506734006737</v>
      </c>
      <c r="I9" s="86">
        <v>8.2799999999999994</v>
      </c>
      <c r="J9" s="185">
        <v>8.4239999999999995</v>
      </c>
      <c r="K9" s="21">
        <f t="shared" si="3"/>
        <v>1.7391304347826105E-2</v>
      </c>
      <c r="L9" s="22">
        <f t="shared" si="4"/>
        <v>0.81663673149180405</v>
      </c>
      <c r="M9" s="68">
        <v>1</v>
      </c>
      <c r="N9" s="68">
        <v>1</v>
      </c>
      <c r="O9" s="253"/>
      <c r="P9" s="49"/>
      <c r="Q9" s="50"/>
    </row>
    <row r="10" spans="1:17">
      <c r="A10" s="13">
        <f t="shared" si="5"/>
        <v>46119</v>
      </c>
      <c r="B10" s="1">
        <v>31983</v>
      </c>
      <c r="C10" s="1">
        <v>31829</v>
      </c>
      <c r="D10" s="221">
        <v>24048</v>
      </c>
      <c r="E10" s="257">
        <v>23650</v>
      </c>
      <c r="F10" s="21">
        <f t="shared" si="0"/>
        <v>-0.25696691696251844</v>
      </c>
      <c r="G10" s="2">
        <f t="shared" si="1"/>
        <v>0.21782608695652175</v>
      </c>
      <c r="H10" s="2">
        <f t="shared" si="2"/>
        <v>0.25303030303030305</v>
      </c>
      <c r="I10" s="86">
        <v>8.2799999999999994</v>
      </c>
      <c r="J10" s="185">
        <v>7.2889999999999997</v>
      </c>
      <c r="K10" s="21">
        <f t="shared" si="3"/>
        <v>-0.11968599033816422</v>
      </c>
      <c r="L10" s="22">
        <f t="shared" si="4"/>
        <v>0.71722130428817688</v>
      </c>
      <c r="M10" s="68">
        <v>1</v>
      </c>
      <c r="N10" s="68">
        <v>0.86709999999999998</v>
      </c>
      <c r="O10" s="253">
        <v>3147</v>
      </c>
      <c r="P10" s="219"/>
      <c r="Q10" s="50" t="s">
        <v>648</v>
      </c>
    </row>
    <row r="11" spans="1:17">
      <c r="A11" s="13">
        <f t="shared" si="5"/>
        <v>46120</v>
      </c>
      <c r="B11" s="1">
        <v>31983</v>
      </c>
      <c r="C11" s="1">
        <v>31829</v>
      </c>
      <c r="D11" s="221">
        <v>23133</v>
      </c>
      <c r="E11" s="257">
        <v>22650</v>
      </c>
      <c r="F11" s="21">
        <f t="shared" si="0"/>
        <v>-0.28838480630871216</v>
      </c>
      <c r="G11" s="2">
        <f t="shared" si="1"/>
        <v>0.20953804347826088</v>
      </c>
      <c r="H11" s="2">
        <f t="shared" si="2"/>
        <v>0.24340277777777777</v>
      </c>
      <c r="I11" s="86">
        <v>8.2799999999999994</v>
      </c>
      <c r="J11" s="185">
        <v>6.1379999999999999</v>
      </c>
      <c r="K11" s="21">
        <f t="shared" si="3"/>
        <v>-0.25869565217391299</v>
      </c>
      <c r="L11" s="22">
        <f t="shared" si="4"/>
        <v>0.81930808789153808</v>
      </c>
      <c r="M11" s="68">
        <v>1</v>
      </c>
      <c r="N11" s="68">
        <v>0.94869999999999999</v>
      </c>
      <c r="O11" s="253">
        <v>2060</v>
      </c>
      <c r="P11" s="49"/>
      <c r="Q11" s="50" t="s">
        <v>648</v>
      </c>
    </row>
    <row r="12" spans="1:17">
      <c r="A12" s="13">
        <f t="shared" si="5"/>
        <v>46121</v>
      </c>
      <c r="B12" s="1">
        <v>31983</v>
      </c>
      <c r="C12" s="1">
        <v>31829</v>
      </c>
      <c r="D12" s="221">
        <v>30775</v>
      </c>
      <c r="E12" s="257">
        <v>30300</v>
      </c>
      <c r="F12" s="21">
        <f t="shared" si="0"/>
        <v>-4.8037952810330201E-2</v>
      </c>
      <c r="G12" s="2">
        <f t="shared" si="1"/>
        <v>0.27875905797101447</v>
      </c>
      <c r="H12" s="2">
        <f t="shared" si="2"/>
        <v>0.32381102693602692</v>
      </c>
      <c r="I12" s="86">
        <v>8.2799999999999994</v>
      </c>
      <c r="J12" s="185">
        <v>8.3330000000000002</v>
      </c>
      <c r="K12" s="21">
        <f t="shared" si="3"/>
        <v>6.4009661835749791E-3</v>
      </c>
      <c r="L12" s="22">
        <f t="shared" si="4"/>
        <v>0.80285820128457308</v>
      </c>
      <c r="M12" s="68">
        <v>1</v>
      </c>
      <c r="N12" s="68">
        <v>1</v>
      </c>
      <c r="O12" s="253"/>
      <c r="P12" s="49"/>
      <c r="Q12" s="50"/>
    </row>
    <row r="13" spans="1:17">
      <c r="A13" s="13">
        <f t="shared" si="5"/>
        <v>46122</v>
      </c>
      <c r="B13" s="1">
        <v>31983</v>
      </c>
      <c r="C13" s="1">
        <v>31829</v>
      </c>
      <c r="D13" s="221">
        <v>31494</v>
      </c>
      <c r="E13" s="257">
        <v>30950</v>
      </c>
      <c r="F13" s="21">
        <f t="shared" si="0"/>
        <v>-2.7616324735304284E-2</v>
      </c>
      <c r="G13" s="2">
        <f t="shared" si="1"/>
        <v>0.2852717391304348</v>
      </c>
      <c r="H13" s="2">
        <f t="shared" si="2"/>
        <v>0.33137626262626263</v>
      </c>
      <c r="I13" s="86">
        <v>8.2799999999999994</v>
      </c>
      <c r="J13" s="185">
        <v>8.5239999999999991</v>
      </c>
      <c r="K13" s="21">
        <f t="shared" si="3"/>
        <v>2.9468599033816399E-2</v>
      </c>
      <c r="L13" s="22">
        <f t="shared" si="4"/>
        <v>0.80320527207067527</v>
      </c>
      <c r="M13" s="68">
        <v>1</v>
      </c>
      <c r="N13" s="68">
        <v>1</v>
      </c>
      <c r="O13" s="253"/>
      <c r="P13" s="49"/>
      <c r="Q13" s="50"/>
    </row>
    <row r="14" spans="1:17">
      <c r="A14" s="13">
        <f t="shared" si="5"/>
        <v>46123</v>
      </c>
      <c r="B14" s="1">
        <v>31983</v>
      </c>
      <c r="C14" s="1">
        <v>31829</v>
      </c>
      <c r="D14" s="221">
        <v>20870</v>
      </c>
      <c r="E14" s="257">
        <v>20700</v>
      </c>
      <c r="F14" s="21">
        <f t="shared" si="0"/>
        <v>-0.34964969053378991</v>
      </c>
      <c r="G14" s="2">
        <f t="shared" si="1"/>
        <v>0.18903985507246376</v>
      </c>
      <c r="H14" s="2">
        <f t="shared" si="2"/>
        <v>0.21959175084175084</v>
      </c>
      <c r="I14" s="86">
        <v>8.2799999999999994</v>
      </c>
      <c r="J14" s="185">
        <v>5.6589999999999998</v>
      </c>
      <c r="K14" s="21">
        <f t="shared" si="3"/>
        <v>-0.31654589371980674</v>
      </c>
      <c r="L14" s="22">
        <f t="shared" si="4"/>
        <v>0.80172407169802629</v>
      </c>
      <c r="M14" s="68">
        <v>0.98319999999999996</v>
      </c>
      <c r="N14" s="68">
        <v>0.6835</v>
      </c>
      <c r="O14" s="253">
        <v>6362</v>
      </c>
      <c r="P14" s="49">
        <v>504</v>
      </c>
      <c r="Q14" s="50" t="s">
        <v>649</v>
      </c>
    </row>
    <row r="15" spans="1:17">
      <c r="A15" s="13">
        <f t="shared" si="5"/>
        <v>46124</v>
      </c>
      <c r="B15" s="1">
        <v>31983</v>
      </c>
      <c r="C15" s="1">
        <v>31829</v>
      </c>
      <c r="D15" s="221">
        <v>30658</v>
      </c>
      <c r="E15" s="257">
        <v>30250</v>
      </c>
      <c r="F15" s="21">
        <f t="shared" si="0"/>
        <v>-4.9608847277639888E-2</v>
      </c>
      <c r="G15" s="2">
        <f t="shared" si="1"/>
        <v>0.27769927536231886</v>
      </c>
      <c r="H15" s="2">
        <f t="shared" si="2"/>
        <v>0.32257996632996633</v>
      </c>
      <c r="I15" s="86">
        <v>8.2799999999999994</v>
      </c>
      <c r="J15" s="185">
        <v>7.5620000000000003</v>
      </c>
      <c r="K15" s="21">
        <f t="shared" si="3"/>
        <v>-8.6714975845410519E-2</v>
      </c>
      <c r="L15" s="22">
        <f t="shared" si="4"/>
        <v>0.88135183928797289</v>
      </c>
      <c r="M15" s="68">
        <v>0.96889999999999998</v>
      </c>
      <c r="N15" s="68">
        <v>1</v>
      </c>
      <c r="O15" s="253"/>
      <c r="P15" s="49">
        <v>708</v>
      </c>
      <c r="Q15" s="50" t="s">
        <v>650</v>
      </c>
    </row>
    <row r="16" spans="1:17">
      <c r="A16" s="13">
        <f t="shared" si="5"/>
        <v>46125</v>
      </c>
      <c r="B16" s="1">
        <v>31983</v>
      </c>
      <c r="C16" s="1">
        <v>31829</v>
      </c>
      <c r="D16" s="221">
        <v>29733</v>
      </c>
      <c r="E16" s="257">
        <v>29250</v>
      </c>
      <c r="F16" s="21">
        <f t="shared" si="0"/>
        <v>-8.1026736623833612E-2</v>
      </c>
      <c r="G16" s="2">
        <f t="shared" si="1"/>
        <v>0.26932065217391304</v>
      </c>
      <c r="H16" s="2">
        <f t="shared" si="2"/>
        <v>0.31284722222222222</v>
      </c>
      <c r="I16" s="86">
        <v>8.2799999999999994</v>
      </c>
      <c r="J16" s="185">
        <v>8.0500000000000007</v>
      </c>
      <c r="K16" s="21">
        <f t="shared" si="3"/>
        <v>-2.7777777777777617E-2</v>
      </c>
      <c r="L16" s="22">
        <f t="shared" si="4"/>
        <v>0.80294355927626249</v>
      </c>
      <c r="M16" s="68">
        <v>0.96889999999999998</v>
      </c>
      <c r="N16" s="68">
        <v>1</v>
      </c>
      <c r="O16" s="253"/>
      <c r="P16" s="49">
        <v>442</v>
      </c>
      <c r="Q16" s="50" t="s">
        <v>650</v>
      </c>
    </row>
    <row r="17" spans="1:17">
      <c r="A17" s="13">
        <f t="shared" si="5"/>
        <v>46126</v>
      </c>
      <c r="B17" s="1">
        <v>31983</v>
      </c>
      <c r="C17" s="1">
        <v>31829</v>
      </c>
      <c r="D17" s="221">
        <v>30843</v>
      </c>
      <c r="E17" s="257">
        <v>30300</v>
      </c>
      <c r="F17" s="21">
        <f t="shared" si="0"/>
        <v>-4.8037952810330201E-2</v>
      </c>
      <c r="G17" s="2">
        <f t="shared" si="1"/>
        <v>0.27937499999999998</v>
      </c>
      <c r="H17" s="2">
        <f t="shared" si="2"/>
        <v>0.32452651515151515</v>
      </c>
      <c r="I17" s="86">
        <v>8.2799999999999994</v>
      </c>
      <c r="J17" s="185">
        <v>8.2739999999999991</v>
      </c>
      <c r="K17" s="21">
        <f t="shared" si="3"/>
        <v>-7.2463768115944784E-4</v>
      </c>
      <c r="L17" s="22">
        <f t="shared" si="4"/>
        <v>0.81036983321247291</v>
      </c>
      <c r="M17" s="68">
        <v>0.94440000000000002</v>
      </c>
      <c r="N17" s="68">
        <v>1</v>
      </c>
      <c r="O17" s="253"/>
      <c r="P17" s="49">
        <v>1969</v>
      </c>
      <c r="Q17" s="50" t="s">
        <v>650</v>
      </c>
    </row>
    <row r="18" spans="1:17">
      <c r="A18" s="13">
        <f t="shared" si="5"/>
        <v>46127</v>
      </c>
      <c r="B18" s="1">
        <v>31983</v>
      </c>
      <c r="C18" s="1">
        <v>31829</v>
      </c>
      <c r="D18" s="221">
        <v>31178</v>
      </c>
      <c r="E18" s="257">
        <v>30650</v>
      </c>
      <c r="F18" s="21">
        <f t="shared" si="0"/>
        <v>-3.7041691539162397E-2</v>
      </c>
      <c r="G18" s="2">
        <f t="shared" si="1"/>
        <v>0.28240942028985505</v>
      </c>
      <c r="H18" s="2">
        <f t="shared" si="2"/>
        <v>0.32805134680134679</v>
      </c>
      <c r="I18" s="86">
        <v>8.2799999999999994</v>
      </c>
      <c r="J18" s="185">
        <v>8.2569999999999997</v>
      </c>
      <c r="K18" s="21">
        <f t="shared" si="3"/>
        <v>-2.7777777777777402E-3</v>
      </c>
      <c r="L18" s="22">
        <f t="shared" si="4"/>
        <v>0.82085819146863537</v>
      </c>
      <c r="M18" s="68">
        <v>0.94440000000000002</v>
      </c>
      <c r="N18" s="68">
        <v>1</v>
      </c>
      <c r="O18" s="253"/>
      <c r="P18" s="49">
        <v>1966</v>
      </c>
      <c r="Q18" s="50" t="s">
        <v>650</v>
      </c>
    </row>
    <row r="19" spans="1:17">
      <c r="A19" s="13">
        <f t="shared" si="5"/>
        <v>46128</v>
      </c>
      <c r="B19" s="1">
        <v>31983</v>
      </c>
      <c r="C19" s="1">
        <v>31829</v>
      </c>
      <c r="D19" s="221">
        <v>31770</v>
      </c>
      <c r="E19" s="257">
        <v>31200</v>
      </c>
      <c r="F19" s="21">
        <f t="shared" si="0"/>
        <v>-1.9761852398755851E-2</v>
      </c>
      <c r="G19" s="2">
        <f t="shared" si="1"/>
        <v>0.2877717391304348</v>
      </c>
      <c r="H19" s="2">
        <f t="shared" si="2"/>
        <v>0.33428030303030304</v>
      </c>
      <c r="I19" s="86">
        <v>8.2799999999999994</v>
      </c>
      <c r="J19" s="185">
        <v>8.5389999999999997</v>
      </c>
      <c r="K19" s="21">
        <f t="shared" si="3"/>
        <v>3.128019323671502E-2</v>
      </c>
      <c r="L19" s="22">
        <f t="shared" si="4"/>
        <v>0.80882090866968437</v>
      </c>
      <c r="M19" s="68">
        <v>1</v>
      </c>
      <c r="N19" s="68">
        <v>1</v>
      </c>
      <c r="O19" s="253"/>
      <c r="P19" s="49"/>
      <c r="Q19" s="50"/>
    </row>
    <row r="20" spans="1:17">
      <c r="A20" s="13">
        <f t="shared" si="5"/>
        <v>46129</v>
      </c>
      <c r="B20" s="1">
        <v>31983</v>
      </c>
      <c r="C20" s="1">
        <v>31829</v>
      </c>
      <c r="D20" s="31">
        <v>31149</v>
      </c>
      <c r="E20" s="49">
        <v>30600</v>
      </c>
      <c r="F20" s="21">
        <f t="shared" si="0"/>
        <v>-3.8612586006472084E-2</v>
      </c>
      <c r="G20" s="2">
        <f t="shared" si="1"/>
        <v>0.28214673913043481</v>
      </c>
      <c r="H20" s="2">
        <f t="shared" si="2"/>
        <v>0.32774621212121213</v>
      </c>
      <c r="I20" s="86">
        <v>8.2799999999999994</v>
      </c>
      <c r="J20" s="31">
        <v>8.2739999999999991</v>
      </c>
      <c r="K20" s="21">
        <f t="shared" si="3"/>
        <v>-7.2463768115944784E-4</v>
      </c>
      <c r="L20" s="22">
        <f t="shared" si="4"/>
        <v>0.81840968565753391</v>
      </c>
      <c r="M20" s="67">
        <v>1</v>
      </c>
      <c r="N20" s="68">
        <v>1</v>
      </c>
      <c r="O20" s="49" t="s">
        <v>175</v>
      </c>
      <c r="P20" s="49" t="s">
        <v>175</v>
      </c>
      <c r="Q20" s="49" t="s">
        <v>175</v>
      </c>
    </row>
    <row r="21" spans="1:17">
      <c r="A21" s="13">
        <f t="shared" si="5"/>
        <v>46130</v>
      </c>
      <c r="B21" s="1">
        <v>31983</v>
      </c>
      <c r="C21" s="1">
        <v>31829</v>
      </c>
      <c r="D21" s="32">
        <v>30061</v>
      </c>
      <c r="E21" s="50">
        <v>29500</v>
      </c>
      <c r="F21" s="21">
        <f t="shared" si="0"/>
        <v>-7.3172264287285183E-2</v>
      </c>
      <c r="G21" s="2">
        <f t="shared" si="1"/>
        <v>0.27229166666666665</v>
      </c>
      <c r="H21" s="2">
        <f t="shared" si="2"/>
        <v>0.31629840067340065</v>
      </c>
      <c r="I21" s="86">
        <v>8.2799999999999994</v>
      </c>
      <c r="J21" s="32">
        <v>8.1319999999999997</v>
      </c>
      <c r="K21" s="21">
        <f t="shared" si="3"/>
        <v>-1.7874396135265664E-2</v>
      </c>
      <c r="L21" s="22">
        <f t="shared" si="4"/>
        <v>0.80361534677816038</v>
      </c>
      <c r="M21" s="63">
        <v>0.98019999999999996</v>
      </c>
      <c r="N21" s="66">
        <v>1</v>
      </c>
      <c r="O21" s="50" t="s">
        <v>175</v>
      </c>
      <c r="P21" s="50">
        <v>660</v>
      </c>
      <c r="Q21" s="50" t="s">
        <v>651</v>
      </c>
    </row>
    <row r="22" spans="1:17">
      <c r="A22" s="13">
        <f t="shared" si="5"/>
        <v>46131</v>
      </c>
      <c r="B22" s="1">
        <v>31983</v>
      </c>
      <c r="C22" s="1">
        <v>31829</v>
      </c>
      <c r="D22" s="32">
        <v>29436</v>
      </c>
      <c r="E22" s="50">
        <v>28950</v>
      </c>
      <c r="F22" s="21">
        <f t="shared" si="0"/>
        <v>-9.0452103427691721E-2</v>
      </c>
      <c r="G22" s="2">
        <f t="shared" si="1"/>
        <v>0.26663043478260867</v>
      </c>
      <c r="H22" s="2">
        <f t="shared" ref="H22:H33" si="6">E22/($D$2*24)</f>
        <v>0.26222826086956524</v>
      </c>
      <c r="I22" s="86">
        <v>8.2799999999999994</v>
      </c>
      <c r="J22" s="32">
        <v>7.952</v>
      </c>
      <c r="K22" s="21">
        <f t="shared" si="3"/>
        <v>-3.9613526570048241E-2</v>
      </c>
      <c r="L22" s="22">
        <f t="shared" si="4"/>
        <v>0.80471962208030801</v>
      </c>
      <c r="M22" s="63">
        <v>1</v>
      </c>
      <c r="N22" s="66">
        <v>1</v>
      </c>
      <c r="O22" s="50" t="s">
        <v>175</v>
      </c>
      <c r="P22" s="50" t="s">
        <v>175</v>
      </c>
      <c r="Q22" s="50" t="s">
        <v>175</v>
      </c>
    </row>
    <row r="23" spans="1:17">
      <c r="A23" s="13">
        <f t="shared" si="5"/>
        <v>46132</v>
      </c>
      <c r="B23" s="1">
        <v>31983</v>
      </c>
      <c r="C23" s="1">
        <v>31829</v>
      </c>
      <c r="D23" s="32">
        <v>30175</v>
      </c>
      <c r="E23" s="50">
        <v>29700</v>
      </c>
      <c r="F23" s="21">
        <f t="shared" si="0"/>
        <v>-6.6888686418046434E-2</v>
      </c>
      <c r="G23" s="2">
        <f t="shared" si="1"/>
        <v>0.27332427536231885</v>
      </c>
      <c r="H23" s="2">
        <f t="shared" si="6"/>
        <v>0.26902173913043476</v>
      </c>
      <c r="I23" s="86">
        <v>8.2799999999999994</v>
      </c>
      <c r="J23" s="32">
        <v>8.1430000000000007</v>
      </c>
      <c r="K23" s="21">
        <f t="shared" si="3"/>
        <v>-1.6545893719806606E-2</v>
      </c>
      <c r="L23" s="22">
        <f t="shared" si="4"/>
        <v>0.8055732050467459</v>
      </c>
      <c r="M23" s="63">
        <v>1</v>
      </c>
      <c r="N23" s="66">
        <v>1</v>
      </c>
      <c r="O23" s="50" t="s">
        <v>175</v>
      </c>
      <c r="P23" s="50" t="s">
        <v>175</v>
      </c>
      <c r="Q23" s="50" t="s">
        <v>175</v>
      </c>
    </row>
    <row r="24" spans="1:17">
      <c r="A24" s="13">
        <f t="shared" si="5"/>
        <v>46133</v>
      </c>
      <c r="B24" s="1">
        <v>31983</v>
      </c>
      <c r="C24" s="1">
        <v>31829</v>
      </c>
      <c r="D24" s="32">
        <v>28204</v>
      </c>
      <c r="E24" s="50">
        <v>27700</v>
      </c>
      <c r="F24" s="21">
        <f t="shared" si="0"/>
        <v>-0.12972446511043387</v>
      </c>
      <c r="G24" s="2">
        <f t="shared" si="1"/>
        <v>0.25547101449275361</v>
      </c>
      <c r="H24" s="2">
        <f t="shared" si="6"/>
        <v>0.25090579710144928</v>
      </c>
      <c r="I24" s="86">
        <v>8.2799999999999994</v>
      </c>
      <c r="J24" s="32">
        <v>7.61</v>
      </c>
      <c r="K24" s="21">
        <f t="shared" si="3"/>
        <v>-8.0917874396135153E-2</v>
      </c>
      <c r="L24" s="22">
        <f t="shared" si="4"/>
        <v>0.80569045306518883</v>
      </c>
      <c r="M24" s="63">
        <v>1</v>
      </c>
      <c r="N24" s="66">
        <v>1</v>
      </c>
      <c r="O24" s="50" t="s">
        <v>175</v>
      </c>
      <c r="P24" s="50" t="s">
        <v>175</v>
      </c>
      <c r="Q24" s="50" t="s">
        <v>175</v>
      </c>
    </row>
    <row r="25" spans="1:17">
      <c r="A25" s="13">
        <f t="shared" si="5"/>
        <v>46134</v>
      </c>
      <c r="B25" s="1">
        <v>31983</v>
      </c>
      <c r="C25" s="1">
        <v>31829</v>
      </c>
      <c r="D25" s="32">
        <v>30804</v>
      </c>
      <c r="E25" s="50">
        <v>30300</v>
      </c>
      <c r="F25" s="21">
        <f t="shared" si="0"/>
        <v>-4.8037952810330201E-2</v>
      </c>
      <c r="G25" s="2">
        <f t="shared" si="1"/>
        <v>0.27902173913043476</v>
      </c>
      <c r="H25" s="2">
        <f t="shared" si="6"/>
        <v>0.27445652173913043</v>
      </c>
      <c r="I25" s="86">
        <v>8.2799999999999994</v>
      </c>
      <c r="J25" s="32">
        <v>8.1539999999999999</v>
      </c>
      <c r="K25" s="21">
        <f t="shared" si="3"/>
        <v>-1.5217391304347761E-2</v>
      </c>
      <c r="L25" s="22">
        <f t="shared" si="4"/>
        <v>0.82125603864734298</v>
      </c>
      <c r="M25" s="63">
        <v>0.99370000000000003</v>
      </c>
      <c r="N25" s="66">
        <v>1</v>
      </c>
      <c r="O25" s="50" t="s">
        <v>175</v>
      </c>
      <c r="P25" s="50">
        <v>74</v>
      </c>
      <c r="Q25" s="50" t="s">
        <v>652</v>
      </c>
    </row>
    <row r="26" spans="1:17" ht="15">
      <c r="A26" s="13">
        <f t="shared" si="5"/>
        <v>46135</v>
      </c>
      <c r="B26" s="1">
        <v>31983</v>
      </c>
      <c r="C26" s="1">
        <v>31829</v>
      </c>
      <c r="D26" s="265">
        <v>30833</v>
      </c>
      <c r="E26" s="259">
        <v>30300</v>
      </c>
      <c r="F26" s="21">
        <f t="shared" si="0"/>
        <v>-4.8037952810330201E-2</v>
      </c>
      <c r="G26" s="2">
        <f t="shared" si="1"/>
        <v>0.27928442028985506</v>
      </c>
      <c r="H26" s="2">
        <f t="shared" si="6"/>
        <v>0.27445652173913043</v>
      </c>
      <c r="I26" s="86">
        <v>8.2799999999999994</v>
      </c>
      <c r="J26" s="260">
        <v>8.2129999999999992</v>
      </c>
      <c r="K26" s="21">
        <f t="shared" si="3"/>
        <v>-8.0917874396135483E-3</v>
      </c>
      <c r="L26" s="22">
        <f t="shared" si="4"/>
        <v>0.81612396042329505</v>
      </c>
      <c r="M26" s="261">
        <v>1</v>
      </c>
      <c r="N26" s="262">
        <v>1</v>
      </c>
      <c r="O26" s="267"/>
      <c r="P26" s="49"/>
      <c r="Q26" s="50"/>
    </row>
    <row r="27" spans="1:17" ht="15">
      <c r="A27" s="13">
        <f t="shared" si="5"/>
        <v>46136</v>
      </c>
      <c r="B27" s="1">
        <v>31983</v>
      </c>
      <c r="C27" s="1">
        <v>31829</v>
      </c>
      <c r="D27" s="266">
        <v>31000</v>
      </c>
      <c r="E27" s="260">
        <v>30500</v>
      </c>
      <c r="F27" s="21">
        <f t="shared" si="0"/>
        <v>-4.1754374941091459E-2</v>
      </c>
      <c r="G27" s="2">
        <f t="shared" si="1"/>
        <v>0.28079710144927539</v>
      </c>
      <c r="H27" s="2">
        <f t="shared" si="6"/>
        <v>0.27626811594202899</v>
      </c>
      <c r="I27" s="86">
        <v>8.2799999999999994</v>
      </c>
      <c r="J27" s="260">
        <v>8.3010000000000002</v>
      </c>
      <c r="K27" s="21">
        <f t="shared" si="3"/>
        <v>2.5362318840580671E-3</v>
      </c>
      <c r="L27" s="22">
        <f t="shared" si="4"/>
        <v>0.81184561315294645</v>
      </c>
      <c r="M27" s="263">
        <v>1</v>
      </c>
      <c r="N27" s="264">
        <v>1</v>
      </c>
      <c r="O27" s="267"/>
      <c r="P27" s="49"/>
      <c r="Q27" s="50"/>
    </row>
    <row r="28" spans="1:17" ht="15">
      <c r="A28" s="13">
        <f t="shared" si="5"/>
        <v>46137</v>
      </c>
      <c r="B28" s="1">
        <v>31983</v>
      </c>
      <c r="C28" s="1">
        <v>31829</v>
      </c>
      <c r="D28" s="266">
        <v>30489</v>
      </c>
      <c r="E28" s="260">
        <v>29950</v>
      </c>
      <c r="F28" s="21">
        <f t="shared" si="0"/>
        <v>-5.9034214081498004E-2</v>
      </c>
      <c r="G28" s="2">
        <f t="shared" si="1"/>
        <v>0.27616847826086954</v>
      </c>
      <c r="H28" s="2">
        <f t="shared" si="6"/>
        <v>0.27128623188405798</v>
      </c>
      <c r="I28" s="86">
        <v>8.2799999999999994</v>
      </c>
      <c r="J28" s="260">
        <v>8.2520000000000007</v>
      </c>
      <c r="K28" s="21">
        <f t="shared" si="3"/>
        <v>-3.381642512077137E-3</v>
      </c>
      <c r="L28" s="22">
        <f t="shared" si="4"/>
        <v>0.80320449324537913</v>
      </c>
      <c r="M28" s="263">
        <v>1</v>
      </c>
      <c r="N28" s="264">
        <v>1</v>
      </c>
      <c r="O28" s="267"/>
      <c r="P28" s="186"/>
      <c r="Q28" s="49"/>
    </row>
    <row r="29" spans="1:17" ht="15">
      <c r="A29" s="13">
        <f t="shared" si="5"/>
        <v>46138</v>
      </c>
      <c r="B29" s="1">
        <v>31983</v>
      </c>
      <c r="C29" s="1">
        <v>31829</v>
      </c>
      <c r="D29" s="266">
        <v>29194</v>
      </c>
      <c r="E29" s="260">
        <v>28750</v>
      </c>
      <c r="F29" s="21">
        <f t="shared" si="0"/>
        <v>-9.673568129693047E-2</v>
      </c>
      <c r="G29" s="2">
        <f t="shared" si="1"/>
        <v>0.26443840579710143</v>
      </c>
      <c r="H29" s="2">
        <f t="shared" si="6"/>
        <v>0.26041666666666669</v>
      </c>
      <c r="I29" s="86">
        <v>8.2799999999999994</v>
      </c>
      <c r="J29" s="260">
        <v>7.9109999999999996</v>
      </c>
      <c r="K29" s="21">
        <f t="shared" si="3"/>
        <v>-4.4565217391304326E-2</v>
      </c>
      <c r="L29" s="22">
        <f t="shared" si="4"/>
        <v>0.80224013893697821</v>
      </c>
      <c r="M29" s="263">
        <v>1</v>
      </c>
      <c r="N29" s="264">
        <v>1</v>
      </c>
      <c r="O29" s="267"/>
      <c r="P29" s="49"/>
      <c r="Q29" s="50"/>
    </row>
    <row r="30" spans="1:17" ht="15">
      <c r="A30" s="13">
        <f t="shared" si="5"/>
        <v>46139</v>
      </c>
      <c r="B30" s="1">
        <v>31983</v>
      </c>
      <c r="C30" s="1">
        <v>31829</v>
      </c>
      <c r="D30" s="266">
        <v>29946</v>
      </c>
      <c r="E30" s="260">
        <v>29400</v>
      </c>
      <c r="F30" s="21">
        <f t="shared" si="0"/>
        <v>-7.6314053221904557E-2</v>
      </c>
      <c r="G30" s="2">
        <f t="shared" si="1"/>
        <v>0.27124999999999999</v>
      </c>
      <c r="H30" s="2">
        <f t="shared" si="6"/>
        <v>0.26630434782608697</v>
      </c>
      <c r="I30" s="86">
        <v>8.2799999999999994</v>
      </c>
      <c r="J30" s="260">
        <v>8.1150000000000002</v>
      </c>
      <c r="K30" s="21">
        <f t="shared" si="3"/>
        <v>-1.9927536231883956E-2</v>
      </c>
      <c r="L30" s="22">
        <f t="shared" si="4"/>
        <v>0.80221811460258785</v>
      </c>
      <c r="M30" s="263">
        <v>1</v>
      </c>
      <c r="N30" s="264">
        <v>1</v>
      </c>
      <c r="O30" s="268"/>
      <c r="P30" s="6"/>
      <c r="Q30" s="49"/>
    </row>
    <row r="31" spans="1:17" ht="15">
      <c r="A31" s="13">
        <f t="shared" si="5"/>
        <v>46140</v>
      </c>
      <c r="B31" s="1">
        <v>31983</v>
      </c>
      <c r="C31" s="1">
        <v>31829</v>
      </c>
      <c r="D31" s="6">
        <v>31380</v>
      </c>
      <c r="E31" s="6">
        <v>30850</v>
      </c>
      <c r="F31" s="21">
        <f t="shared" si="0"/>
        <v>-3.0758113669923655E-2</v>
      </c>
      <c r="G31" s="2">
        <f t="shared" si="1"/>
        <v>0.28423913043478261</v>
      </c>
      <c r="H31" s="2">
        <f t="shared" si="6"/>
        <v>0.27943840579710144</v>
      </c>
      <c r="I31" s="86">
        <v>8.2799999999999994</v>
      </c>
      <c r="J31" s="260">
        <v>8.4659999999999993</v>
      </c>
      <c r="K31" s="21">
        <f t="shared" si="3"/>
        <v>2.2463768115942025E-2</v>
      </c>
      <c r="L31" s="22">
        <f t="shared" si="4"/>
        <v>0.80578066742674026</v>
      </c>
      <c r="M31" s="263">
        <v>1</v>
      </c>
      <c r="N31" s="264">
        <v>1</v>
      </c>
      <c r="O31" s="49"/>
      <c r="P31" s="6"/>
      <c r="Q31" s="49"/>
    </row>
    <row r="32" spans="1:17" ht="15">
      <c r="A32" s="13">
        <f t="shared" si="5"/>
        <v>46141</v>
      </c>
      <c r="B32" s="1">
        <v>31983</v>
      </c>
      <c r="C32" s="1">
        <v>31829</v>
      </c>
      <c r="D32" s="6">
        <v>33239</v>
      </c>
      <c r="E32" s="6">
        <v>32650</v>
      </c>
      <c r="F32" s="21">
        <f t="shared" si="0"/>
        <v>2.5794087153225047E-2</v>
      </c>
      <c r="G32" s="2">
        <f t="shared" si="1"/>
        <v>0.30107789855072464</v>
      </c>
      <c r="H32" s="2">
        <f t="shared" si="6"/>
        <v>0.29574275362318841</v>
      </c>
      <c r="I32" s="86">
        <v>8.2799999999999994</v>
      </c>
      <c r="J32" s="6">
        <v>8.8840000000000003</v>
      </c>
      <c r="K32" s="21">
        <f t="shared" si="3"/>
        <v>7.2946859903381761E-2</v>
      </c>
      <c r="L32" s="22">
        <f t="shared" si="4"/>
        <v>0.81335767280700033</v>
      </c>
      <c r="M32" s="263">
        <v>1</v>
      </c>
      <c r="N32" s="264">
        <v>1</v>
      </c>
      <c r="O32" s="49"/>
      <c r="P32" s="6"/>
      <c r="Q32" s="49"/>
    </row>
    <row r="33" spans="1:17" ht="15">
      <c r="A33" s="13">
        <f t="shared" si="5"/>
        <v>46142</v>
      </c>
      <c r="B33" s="1">
        <v>31983</v>
      </c>
      <c r="C33" s="1">
        <v>31829</v>
      </c>
      <c r="D33" s="6">
        <v>31802</v>
      </c>
      <c r="E33" s="6">
        <v>31200</v>
      </c>
      <c r="F33" s="21">
        <f t="shared" si="0"/>
        <v>-1.9761852398755851E-2</v>
      </c>
      <c r="G33" s="2">
        <f t="shared" si="1"/>
        <v>0.28806159420289856</v>
      </c>
      <c r="H33" s="2">
        <f t="shared" si="6"/>
        <v>0.28260869565217389</v>
      </c>
      <c r="I33" s="86">
        <v>8.2799999999999994</v>
      </c>
      <c r="J33" s="6">
        <v>8.59</v>
      </c>
      <c r="K33" s="21">
        <f t="shared" si="3"/>
        <v>3.743961352657011E-2</v>
      </c>
      <c r="L33" s="22">
        <f t="shared" si="4"/>
        <v>0.80482866832008904</v>
      </c>
      <c r="M33" s="263">
        <v>1</v>
      </c>
      <c r="N33" s="264">
        <v>1</v>
      </c>
      <c r="O33" s="49"/>
      <c r="P33" s="6"/>
      <c r="Q33" s="49"/>
    </row>
    <row r="34" spans="1:17">
      <c r="A34" s="349">
        <v>46113</v>
      </c>
      <c r="B34" s="89">
        <f>SUM(B4:B33)</f>
        <v>959490</v>
      </c>
      <c r="C34" s="89">
        <f>SUM(C4:C33)</f>
        <v>954870</v>
      </c>
      <c r="D34" s="89">
        <f>SUM(D4:D33)</f>
        <v>845485</v>
      </c>
      <c r="E34" s="89">
        <f>SUM(E4:E33)</f>
        <v>831400</v>
      </c>
      <c r="F34" s="160">
        <f t="shared" si="0"/>
        <v>-0.1293055599191513</v>
      </c>
      <c r="G34" s="90">
        <f>AVERAGE(G4:G33)</f>
        <v>0.25527928743961353</v>
      </c>
      <c r="H34" s="90">
        <f>AVERAGE(H4:H33)</f>
        <v>0.27676461169667699</v>
      </c>
      <c r="I34" s="89">
        <f>SUM(I4:I33)</f>
        <v>248.4</v>
      </c>
      <c r="J34" s="89">
        <f>SUM(J4:J33)</f>
        <v>227.46300000000005</v>
      </c>
      <c r="K34" s="160">
        <f t="shared" si="3"/>
        <v>-8.4287439613526388E-2</v>
      </c>
      <c r="L34" s="161">
        <f t="shared" si="4"/>
        <v>0.80804828458484101</v>
      </c>
      <c r="M34" s="90">
        <f>AVERAGE(M4:M33)</f>
        <v>0.99278999999999995</v>
      </c>
      <c r="N34" s="90">
        <f>AVERAGE(N4:N33)</f>
        <v>0.94545666666666672</v>
      </c>
      <c r="O34" s="89">
        <f>SUM(O4:O33)</f>
        <v>49689</v>
      </c>
      <c r="P34" s="89">
        <f>SUM(P4:P33)</f>
        <v>6323</v>
      </c>
      <c r="Q34" s="19"/>
    </row>
    <row r="35" spans="1:17" ht="15">
      <c r="A35" s="13">
        <v>46143</v>
      </c>
      <c r="B35" s="127">
        <v>31492</v>
      </c>
      <c r="C35" s="127">
        <v>31340</v>
      </c>
      <c r="D35" s="33">
        <v>30056</v>
      </c>
      <c r="E35" s="33">
        <v>29500</v>
      </c>
      <c r="F35" s="20">
        <f t="shared" si="0"/>
        <v>-5.8710912571793235E-2</v>
      </c>
      <c r="G35" s="2">
        <f t="shared" ref="G35:G57" si="7">D35/($D$2*24)</f>
        <v>0.27224637681159419</v>
      </c>
      <c r="H35" s="2">
        <f t="shared" ref="H35:H61" si="8">D35/($H$2*24)</f>
        <v>0.31624579124579122</v>
      </c>
      <c r="I35" s="28">
        <v>8.1199999999999992</v>
      </c>
      <c r="J35" s="33">
        <v>8.1839999999999993</v>
      </c>
      <c r="K35" s="20">
        <f t="shared" si="3"/>
        <v>7.8817733990147864E-3</v>
      </c>
      <c r="L35" s="4">
        <f t="shared" si="4"/>
        <v>0.79837647158825287</v>
      </c>
      <c r="M35" s="263">
        <v>1</v>
      </c>
      <c r="N35" s="263">
        <v>1</v>
      </c>
      <c r="O35" s="33"/>
      <c r="P35" s="6"/>
      <c r="Q35" s="6"/>
    </row>
    <row r="36" spans="1:17" ht="15">
      <c r="A36" s="13">
        <f>A35+1</f>
        <v>46144</v>
      </c>
      <c r="B36" s="127">
        <v>31492</v>
      </c>
      <c r="C36" s="127">
        <v>31340</v>
      </c>
      <c r="D36" s="34">
        <v>30609</v>
      </c>
      <c r="E36" s="34">
        <v>30050</v>
      </c>
      <c r="F36" s="20">
        <f t="shared" ref="F36:F54" si="9">(IF(ISBLANK(E36),0,E36-C36))/C36</f>
        <v>-4.1161455009572433E-2</v>
      </c>
      <c r="G36" s="2">
        <f t="shared" si="7"/>
        <v>0.27725543478260872</v>
      </c>
      <c r="H36" s="2">
        <f t="shared" si="8"/>
        <v>0.32206439393939396</v>
      </c>
      <c r="I36" s="28">
        <v>8.1199999999999992</v>
      </c>
      <c r="J36" s="34">
        <v>8.2620000000000005</v>
      </c>
      <c r="K36" s="20">
        <f t="shared" ref="K36:K54" si="10">(IF(ISBLANK(J36),0,J36-I36))/I36</f>
        <v>1.7487684729064194E-2</v>
      </c>
      <c r="L36" s="4">
        <f t="shared" ref="L36:L66" si="11">D36/($D$2*J36)</f>
        <v>0.80538978876574774</v>
      </c>
      <c r="M36" s="263">
        <v>1</v>
      </c>
      <c r="N36" s="263">
        <v>1</v>
      </c>
      <c r="O36" s="34"/>
      <c r="P36" s="6"/>
      <c r="Q36" s="6"/>
    </row>
    <row r="37" spans="1:17" ht="53">
      <c r="A37" s="13">
        <f t="shared" ref="A37:A65" si="12">A36+1</f>
        <v>46145</v>
      </c>
      <c r="B37" s="127">
        <v>31492</v>
      </c>
      <c r="C37" s="127">
        <v>31340</v>
      </c>
      <c r="D37" s="259">
        <v>29819</v>
      </c>
      <c r="E37" s="259">
        <v>29350</v>
      </c>
      <c r="F37" s="20">
        <f t="shared" si="9"/>
        <v>-6.3497128270580724E-2</v>
      </c>
      <c r="G37" s="2">
        <f t="shared" si="7"/>
        <v>0.27009963768115941</v>
      </c>
      <c r="H37" s="2">
        <f t="shared" si="8"/>
        <v>0.31375210437710438</v>
      </c>
      <c r="I37" s="28">
        <v>8.1199999999999992</v>
      </c>
      <c r="J37" s="259">
        <v>8.0839999999999996</v>
      </c>
      <c r="K37" s="20">
        <f t="shared" si="10"/>
        <v>-4.4334975369457628E-3</v>
      </c>
      <c r="L37" s="4">
        <f t="shared" si="11"/>
        <v>0.80187918163629712</v>
      </c>
      <c r="M37" s="261">
        <v>0.92589999999999995</v>
      </c>
      <c r="N37" s="262">
        <v>0.96299999999999997</v>
      </c>
      <c r="O37" s="34">
        <v>538</v>
      </c>
      <c r="P37" s="6">
        <v>1424</v>
      </c>
      <c r="Q37" s="351" t="s">
        <v>653</v>
      </c>
    </row>
    <row r="38" spans="1:17" ht="15">
      <c r="A38" s="13">
        <f t="shared" si="12"/>
        <v>46146</v>
      </c>
      <c r="B38" s="127">
        <v>31492</v>
      </c>
      <c r="C38" s="127">
        <v>31340</v>
      </c>
      <c r="D38" s="34">
        <v>2191</v>
      </c>
      <c r="E38" s="34">
        <v>2150</v>
      </c>
      <c r="F38" s="20">
        <f t="shared" si="9"/>
        <v>-0.93139757498404596</v>
      </c>
      <c r="G38" s="2">
        <f t="shared" si="7"/>
        <v>1.9846014492753625E-2</v>
      </c>
      <c r="H38" s="2">
        <f t="shared" si="8"/>
        <v>2.305345117845118E-2</v>
      </c>
      <c r="I38" s="28">
        <v>8.1199999999999992</v>
      </c>
      <c r="J38" s="34">
        <v>0.57899999999999996</v>
      </c>
      <c r="K38" s="20">
        <f t="shared" si="10"/>
        <v>-0.92869458128078819</v>
      </c>
      <c r="L38" s="4">
        <f t="shared" si="11"/>
        <v>0.82263272508823315</v>
      </c>
      <c r="M38" s="263">
        <v>1</v>
      </c>
      <c r="N38" s="104">
        <v>0.24690000000000001</v>
      </c>
      <c r="O38" s="34">
        <v>25897</v>
      </c>
      <c r="P38" s="6"/>
      <c r="Q38" s="14" t="s">
        <v>654</v>
      </c>
    </row>
    <row r="39" spans="1:17" ht="15">
      <c r="A39" s="13">
        <f t="shared" si="12"/>
        <v>46147</v>
      </c>
      <c r="B39" s="127">
        <v>31492</v>
      </c>
      <c r="C39" s="127">
        <v>31340</v>
      </c>
      <c r="D39" s="34">
        <v>27126</v>
      </c>
      <c r="E39" s="34">
        <v>26650</v>
      </c>
      <c r="F39" s="20">
        <f t="shared" si="9"/>
        <v>-0.14964901084875559</v>
      </c>
      <c r="G39" s="2">
        <f t="shared" si="7"/>
        <v>0.24570652173913043</v>
      </c>
      <c r="H39" s="2">
        <f t="shared" si="8"/>
        <v>0.28541666666666665</v>
      </c>
      <c r="I39" s="28">
        <v>8.1199999999999992</v>
      </c>
      <c r="J39" s="34">
        <v>7.3239999999999998</v>
      </c>
      <c r="K39" s="20">
        <f t="shared" si="10"/>
        <v>-9.8029556650246236E-2</v>
      </c>
      <c r="L39" s="4">
        <f t="shared" si="11"/>
        <v>0.80515517773609091</v>
      </c>
      <c r="M39" s="263">
        <v>1</v>
      </c>
      <c r="N39" s="104">
        <v>1</v>
      </c>
      <c r="O39" s="34"/>
      <c r="P39" s="6"/>
      <c r="Q39" s="14"/>
    </row>
    <row r="40" spans="1:17">
      <c r="A40" s="13">
        <f t="shared" si="12"/>
        <v>46148</v>
      </c>
      <c r="B40" s="127">
        <v>31492</v>
      </c>
      <c r="C40" s="127">
        <v>31340</v>
      </c>
      <c r="D40" s="34">
        <v>25096</v>
      </c>
      <c r="E40" s="34">
        <v>24650</v>
      </c>
      <c r="F40" s="20">
        <f t="shared" si="9"/>
        <v>-0.21346522016592215</v>
      </c>
      <c r="G40" s="2">
        <f t="shared" si="7"/>
        <v>0.22731884057971014</v>
      </c>
      <c r="H40" s="2">
        <f t="shared" si="8"/>
        <v>0.26405723905723905</v>
      </c>
      <c r="I40" s="28">
        <v>8.1199999999999992</v>
      </c>
      <c r="J40" s="34">
        <v>7.14</v>
      </c>
      <c r="K40" s="20">
        <f t="shared" si="10"/>
        <v>-0.12068965517241374</v>
      </c>
      <c r="L40" s="4">
        <f t="shared" si="11"/>
        <v>0.76409694312507614</v>
      </c>
      <c r="M40" s="103"/>
      <c r="N40" s="103"/>
      <c r="O40" s="34"/>
      <c r="P40" s="6"/>
      <c r="Q40" s="14"/>
    </row>
    <row r="41" spans="1:17">
      <c r="A41" s="13">
        <f t="shared" si="12"/>
        <v>46149</v>
      </c>
      <c r="B41" s="127">
        <v>31492</v>
      </c>
      <c r="C41" s="127">
        <v>31340</v>
      </c>
      <c r="D41" s="34"/>
      <c r="E41" s="34"/>
      <c r="F41" s="20">
        <f t="shared" si="9"/>
        <v>0</v>
      </c>
      <c r="G41" s="2">
        <f t="shared" si="7"/>
        <v>0</v>
      </c>
      <c r="H41" s="2">
        <f t="shared" si="8"/>
        <v>0</v>
      </c>
      <c r="I41" s="28">
        <v>8.1199999999999992</v>
      </c>
      <c r="J41" s="34"/>
      <c r="K41" s="20">
        <f t="shared" si="10"/>
        <v>0</v>
      </c>
      <c r="L41" s="4" t="e">
        <f t="shared" si="11"/>
        <v>#DIV/0!</v>
      </c>
      <c r="M41" s="103"/>
      <c r="N41" s="103"/>
      <c r="O41" s="34"/>
      <c r="P41" s="6"/>
      <c r="Q41" s="202"/>
    </row>
    <row r="42" spans="1:17">
      <c r="A42" s="13">
        <f t="shared" si="12"/>
        <v>46150</v>
      </c>
      <c r="B42" s="127">
        <v>31492</v>
      </c>
      <c r="C42" s="127">
        <v>31340</v>
      </c>
      <c r="D42" s="34"/>
      <c r="E42" s="34"/>
      <c r="F42" s="20">
        <f t="shared" si="9"/>
        <v>0</v>
      </c>
      <c r="G42" s="2">
        <f t="shared" si="7"/>
        <v>0</v>
      </c>
      <c r="H42" s="2">
        <f t="shared" si="8"/>
        <v>0</v>
      </c>
      <c r="I42" s="28">
        <v>8.1199999999999992</v>
      </c>
      <c r="J42" s="34"/>
      <c r="K42" s="20">
        <f t="shared" si="10"/>
        <v>0</v>
      </c>
      <c r="L42" s="4" t="e">
        <f t="shared" si="11"/>
        <v>#DIV/0!</v>
      </c>
      <c r="M42" s="103"/>
      <c r="N42" s="103"/>
      <c r="O42" s="34"/>
      <c r="P42" s="6"/>
      <c r="Q42" s="14"/>
    </row>
    <row r="43" spans="1:17">
      <c r="A43" s="13">
        <f t="shared" si="12"/>
        <v>46151</v>
      </c>
      <c r="B43" s="127">
        <v>31492</v>
      </c>
      <c r="C43" s="127">
        <v>31340</v>
      </c>
      <c r="D43" s="34"/>
      <c r="E43" s="34"/>
      <c r="F43" s="20">
        <f t="shared" si="9"/>
        <v>0</v>
      </c>
      <c r="G43" s="2">
        <f t="shared" si="7"/>
        <v>0</v>
      </c>
      <c r="H43" s="2">
        <f t="shared" si="8"/>
        <v>0</v>
      </c>
      <c r="I43" s="28">
        <v>8.1199999999999992</v>
      </c>
      <c r="J43" s="34"/>
      <c r="K43" s="20">
        <f t="shared" si="10"/>
        <v>0</v>
      </c>
      <c r="L43" s="4" t="e">
        <f t="shared" si="11"/>
        <v>#DIV/0!</v>
      </c>
      <c r="M43" s="103"/>
      <c r="N43" s="103"/>
      <c r="O43" s="34"/>
      <c r="P43" s="6"/>
      <c r="Q43" s="6"/>
    </row>
    <row r="44" spans="1:17">
      <c r="A44" s="13">
        <f t="shared" si="12"/>
        <v>46152</v>
      </c>
      <c r="B44" s="127">
        <v>31492</v>
      </c>
      <c r="C44" s="127">
        <v>31340</v>
      </c>
      <c r="D44" s="34"/>
      <c r="E44" s="34"/>
      <c r="F44" s="20">
        <f t="shared" si="9"/>
        <v>0</v>
      </c>
      <c r="G44" s="2">
        <f t="shared" si="7"/>
        <v>0</v>
      </c>
      <c r="H44" s="2">
        <f t="shared" si="8"/>
        <v>0</v>
      </c>
      <c r="I44" s="28">
        <v>8.1199999999999992</v>
      </c>
      <c r="J44" s="34"/>
      <c r="K44" s="20">
        <f t="shared" si="10"/>
        <v>0</v>
      </c>
      <c r="L44" s="4" t="e">
        <f t="shared" si="11"/>
        <v>#DIV/0!</v>
      </c>
      <c r="M44" s="103"/>
      <c r="N44" s="103"/>
      <c r="O44" s="34"/>
      <c r="P44" s="6"/>
      <c r="Q44" s="16"/>
    </row>
    <row r="45" spans="1:17">
      <c r="A45" s="13">
        <f t="shared" si="12"/>
        <v>46153</v>
      </c>
      <c r="B45" s="127">
        <v>31492</v>
      </c>
      <c r="C45" s="127">
        <v>31340</v>
      </c>
      <c r="D45" s="34"/>
      <c r="E45" s="34"/>
      <c r="F45" s="20">
        <f t="shared" si="9"/>
        <v>0</v>
      </c>
      <c r="G45" s="2">
        <f t="shared" si="7"/>
        <v>0</v>
      </c>
      <c r="H45" s="2">
        <f t="shared" si="8"/>
        <v>0</v>
      </c>
      <c r="I45" s="28">
        <v>8.1199999999999992</v>
      </c>
      <c r="J45" s="34"/>
      <c r="K45" s="20">
        <f t="shared" si="10"/>
        <v>0</v>
      </c>
      <c r="L45" s="4" t="e">
        <f t="shared" si="11"/>
        <v>#DIV/0!</v>
      </c>
      <c r="M45" s="103"/>
      <c r="N45" s="103"/>
      <c r="O45" s="34"/>
      <c r="P45" s="6"/>
      <c r="Q45" s="6"/>
    </row>
    <row r="46" spans="1:17">
      <c r="A46" s="13">
        <f t="shared" si="12"/>
        <v>46154</v>
      </c>
      <c r="B46" s="127">
        <v>31492</v>
      </c>
      <c r="C46" s="127">
        <v>31340</v>
      </c>
      <c r="D46" s="34"/>
      <c r="E46" s="34"/>
      <c r="F46" s="20">
        <f t="shared" si="9"/>
        <v>0</v>
      </c>
      <c r="G46" s="2">
        <f t="shared" si="7"/>
        <v>0</v>
      </c>
      <c r="H46" s="2">
        <f t="shared" si="8"/>
        <v>0</v>
      </c>
      <c r="I46" s="28">
        <v>8.1199999999999992</v>
      </c>
      <c r="J46" s="34"/>
      <c r="K46" s="20">
        <f t="shared" si="10"/>
        <v>0</v>
      </c>
      <c r="L46" s="4" t="e">
        <f t="shared" si="11"/>
        <v>#DIV/0!</v>
      </c>
      <c r="M46" s="104"/>
      <c r="N46" s="103"/>
      <c r="O46" s="34"/>
      <c r="P46" s="6"/>
      <c r="Q46" s="6"/>
    </row>
    <row r="47" spans="1:17">
      <c r="A47" s="13">
        <f t="shared" si="12"/>
        <v>46155</v>
      </c>
      <c r="B47" s="127">
        <v>31492</v>
      </c>
      <c r="C47" s="127">
        <v>31340</v>
      </c>
      <c r="D47" s="34"/>
      <c r="E47" s="34"/>
      <c r="F47" s="20">
        <f t="shared" si="9"/>
        <v>0</v>
      </c>
      <c r="G47" s="2">
        <f t="shared" si="7"/>
        <v>0</v>
      </c>
      <c r="H47" s="2">
        <f t="shared" si="8"/>
        <v>0</v>
      </c>
      <c r="I47" s="28">
        <v>8.1199999999999992</v>
      </c>
      <c r="J47" s="34"/>
      <c r="K47" s="20">
        <f t="shared" si="10"/>
        <v>0</v>
      </c>
      <c r="L47" s="4" t="e">
        <f t="shared" si="11"/>
        <v>#DIV/0!</v>
      </c>
      <c r="M47" s="104"/>
      <c r="N47" s="103"/>
      <c r="O47" s="34"/>
      <c r="P47" s="6"/>
      <c r="Q47" s="31"/>
    </row>
    <row r="48" spans="1:17">
      <c r="A48" s="13">
        <f t="shared" si="12"/>
        <v>46156</v>
      </c>
      <c r="B48" s="127">
        <v>31492</v>
      </c>
      <c r="C48" s="127">
        <v>31340</v>
      </c>
      <c r="D48" s="34"/>
      <c r="E48" s="34"/>
      <c r="F48" s="20">
        <f t="shared" si="9"/>
        <v>0</v>
      </c>
      <c r="G48" s="2">
        <f t="shared" si="7"/>
        <v>0</v>
      </c>
      <c r="H48" s="2">
        <f t="shared" si="8"/>
        <v>0</v>
      </c>
      <c r="I48" s="28">
        <v>8.1199999999999992</v>
      </c>
      <c r="J48" s="34"/>
      <c r="K48" s="20">
        <f t="shared" si="10"/>
        <v>0</v>
      </c>
      <c r="L48" s="4" t="e">
        <f t="shared" si="11"/>
        <v>#DIV/0!</v>
      </c>
      <c r="M48" s="104"/>
      <c r="N48" s="103"/>
      <c r="O48" s="34"/>
      <c r="P48" s="6"/>
      <c r="Q48" s="32"/>
    </row>
    <row r="49" spans="1:17">
      <c r="A49" s="13">
        <f t="shared" si="12"/>
        <v>46157</v>
      </c>
      <c r="B49" s="127">
        <v>31492</v>
      </c>
      <c r="C49" s="127">
        <v>31340</v>
      </c>
      <c r="D49" s="34"/>
      <c r="E49" s="34"/>
      <c r="F49" s="20">
        <f t="shared" si="9"/>
        <v>0</v>
      </c>
      <c r="G49" s="2">
        <f t="shared" si="7"/>
        <v>0</v>
      </c>
      <c r="H49" s="2">
        <f t="shared" si="8"/>
        <v>0</v>
      </c>
      <c r="I49" s="28">
        <v>8.1199999999999992</v>
      </c>
      <c r="J49" s="34"/>
      <c r="K49" s="20">
        <f t="shared" si="10"/>
        <v>0</v>
      </c>
      <c r="L49" s="4" t="e">
        <f t="shared" si="11"/>
        <v>#DIV/0!</v>
      </c>
      <c r="M49" s="104"/>
      <c r="N49" s="103"/>
      <c r="O49" s="34"/>
      <c r="P49" s="6"/>
      <c r="Q49" s="32"/>
    </row>
    <row r="50" spans="1:17">
      <c r="A50" s="13">
        <f t="shared" si="12"/>
        <v>46158</v>
      </c>
      <c r="B50" s="127">
        <v>31492</v>
      </c>
      <c r="C50" s="127">
        <v>31340</v>
      </c>
      <c r="D50" s="34"/>
      <c r="E50" s="34"/>
      <c r="F50" s="20">
        <f t="shared" si="9"/>
        <v>0</v>
      </c>
      <c r="G50" s="2">
        <f t="shared" si="7"/>
        <v>0</v>
      </c>
      <c r="H50" s="2">
        <f t="shared" si="8"/>
        <v>0</v>
      </c>
      <c r="I50" s="28">
        <v>8.1199999999999992</v>
      </c>
      <c r="J50" s="34"/>
      <c r="K50" s="20">
        <f t="shared" si="10"/>
        <v>0</v>
      </c>
      <c r="L50" s="4" t="e">
        <f t="shared" si="11"/>
        <v>#DIV/0!</v>
      </c>
      <c r="M50" s="104"/>
      <c r="N50" s="103"/>
      <c r="O50" s="34"/>
      <c r="P50" s="6"/>
      <c r="Q50" s="32"/>
    </row>
    <row r="51" spans="1:17">
      <c r="A51" s="13">
        <f t="shared" si="12"/>
        <v>46159</v>
      </c>
      <c r="B51" s="127">
        <v>31492</v>
      </c>
      <c r="C51" s="127">
        <v>31340</v>
      </c>
      <c r="D51" s="34"/>
      <c r="E51" s="34"/>
      <c r="F51" s="20">
        <f t="shared" si="9"/>
        <v>0</v>
      </c>
      <c r="G51" s="2">
        <f t="shared" si="7"/>
        <v>0</v>
      </c>
      <c r="H51" s="2">
        <f t="shared" si="8"/>
        <v>0</v>
      </c>
      <c r="I51" s="28">
        <v>8.1199999999999992</v>
      </c>
      <c r="J51" s="34"/>
      <c r="K51" s="20">
        <f t="shared" si="10"/>
        <v>0</v>
      </c>
      <c r="L51" s="4" t="e">
        <f t="shared" si="11"/>
        <v>#DIV/0!</v>
      </c>
      <c r="M51" s="103"/>
      <c r="N51" s="103"/>
      <c r="O51" s="34"/>
      <c r="P51" s="6"/>
      <c r="Q51" s="6"/>
    </row>
    <row r="52" spans="1:17">
      <c r="A52" s="13">
        <f t="shared" si="12"/>
        <v>46160</v>
      </c>
      <c r="B52" s="127">
        <v>31492</v>
      </c>
      <c r="C52" s="127">
        <v>31340</v>
      </c>
      <c r="D52" s="34"/>
      <c r="E52" s="34"/>
      <c r="F52" s="20">
        <f t="shared" si="9"/>
        <v>0</v>
      </c>
      <c r="G52" s="2">
        <f t="shared" si="7"/>
        <v>0</v>
      </c>
      <c r="H52" s="2">
        <f t="shared" si="8"/>
        <v>0</v>
      </c>
      <c r="I52" s="28">
        <v>8.1199999999999992</v>
      </c>
      <c r="J52" s="34"/>
      <c r="K52" s="20">
        <f t="shared" si="10"/>
        <v>0</v>
      </c>
      <c r="L52" s="4" t="e">
        <f t="shared" si="11"/>
        <v>#DIV/0!</v>
      </c>
      <c r="M52" s="103"/>
      <c r="N52" s="103"/>
      <c r="O52" s="34"/>
      <c r="P52" s="6"/>
      <c r="Q52" s="14"/>
    </row>
    <row r="53" spans="1:17">
      <c r="A53" s="13">
        <f t="shared" si="12"/>
        <v>46161</v>
      </c>
      <c r="B53" s="127">
        <v>31492</v>
      </c>
      <c r="C53" s="127">
        <v>31340</v>
      </c>
      <c r="D53" s="34"/>
      <c r="E53" s="34"/>
      <c r="F53" s="20">
        <f t="shared" si="9"/>
        <v>0</v>
      </c>
      <c r="G53" s="2">
        <f t="shared" si="7"/>
        <v>0</v>
      </c>
      <c r="H53" s="2">
        <f t="shared" si="8"/>
        <v>0</v>
      </c>
      <c r="I53" s="28">
        <v>8.1199999999999992</v>
      </c>
      <c r="J53" s="34"/>
      <c r="K53" s="20">
        <f t="shared" si="10"/>
        <v>0</v>
      </c>
      <c r="L53" s="4" t="e">
        <f t="shared" si="11"/>
        <v>#DIV/0!</v>
      </c>
      <c r="M53" s="103"/>
      <c r="N53" s="103"/>
      <c r="O53" s="34"/>
      <c r="P53" s="6"/>
      <c r="Q53" s="14"/>
    </row>
    <row r="54" spans="1:17">
      <c r="A54" s="13">
        <f t="shared" si="12"/>
        <v>46162</v>
      </c>
      <c r="B54" s="127">
        <v>31492</v>
      </c>
      <c r="C54" s="127">
        <v>31340</v>
      </c>
      <c r="D54" s="34"/>
      <c r="E54" s="34"/>
      <c r="F54" s="20">
        <f t="shared" si="9"/>
        <v>0</v>
      </c>
      <c r="G54" s="2">
        <f t="shared" si="7"/>
        <v>0</v>
      </c>
      <c r="H54" s="2">
        <f t="shared" si="8"/>
        <v>0</v>
      </c>
      <c r="I54" s="28">
        <v>8.1199999999999992</v>
      </c>
      <c r="J54" s="34"/>
      <c r="K54" s="20">
        <f t="shared" si="10"/>
        <v>0</v>
      </c>
      <c r="L54" s="4" t="e">
        <f t="shared" si="11"/>
        <v>#DIV/0!</v>
      </c>
      <c r="M54" s="103"/>
      <c r="N54" s="103"/>
      <c r="O54" s="34"/>
      <c r="P54" s="6"/>
      <c r="Q54" s="14"/>
    </row>
    <row r="55" spans="1:17">
      <c r="A55" s="13">
        <f t="shared" si="12"/>
        <v>46163</v>
      </c>
      <c r="B55" s="127">
        <v>31492</v>
      </c>
      <c r="C55" s="127">
        <v>31340</v>
      </c>
      <c r="D55" s="34"/>
      <c r="E55" s="34"/>
      <c r="F55" s="20">
        <f>(IF(ISBLANK(E55),0,E55-C55))/C55</f>
        <v>0</v>
      </c>
      <c r="G55" s="2">
        <f t="shared" si="7"/>
        <v>0</v>
      </c>
      <c r="H55" s="2">
        <f t="shared" si="8"/>
        <v>0</v>
      </c>
      <c r="I55" s="28">
        <v>8.1199999999999992</v>
      </c>
      <c r="J55" s="34"/>
      <c r="K55" s="20">
        <f>(IF(ISBLANK(J55),0,J55-I55))/I55</f>
        <v>0</v>
      </c>
      <c r="L55" s="4" t="e">
        <f t="shared" si="11"/>
        <v>#DIV/0!</v>
      </c>
      <c r="M55" s="103"/>
      <c r="N55" s="103"/>
      <c r="O55" s="34"/>
      <c r="P55" s="6"/>
      <c r="Q55" s="6"/>
    </row>
    <row r="56" spans="1:17">
      <c r="A56" s="13">
        <f t="shared" si="12"/>
        <v>46164</v>
      </c>
      <c r="B56" s="127">
        <v>31492</v>
      </c>
      <c r="C56" s="127">
        <v>31340</v>
      </c>
      <c r="D56" s="34"/>
      <c r="E56" s="34"/>
      <c r="F56" s="20">
        <f t="shared" ref="F56:F65" si="13">(IF(ISBLANK(E56),0,E56-C56))/C56</f>
        <v>0</v>
      </c>
      <c r="G56" s="2">
        <f t="shared" si="7"/>
        <v>0</v>
      </c>
      <c r="H56" s="2">
        <f t="shared" si="8"/>
        <v>0</v>
      </c>
      <c r="I56" s="28">
        <v>8.1199999999999992</v>
      </c>
      <c r="J56" s="34"/>
      <c r="K56" s="20">
        <f t="shared" ref="K56:K65" si="14">(IF(ISBLANK(J56),0,J56-I56))/I56</f>
        <v>0</v>
      </c>
      <c r="L56" s="4" t="e">
        <f t="shared" si="11"/>
        <v>#DIV/0!</v>
      </c>
      <c r="M56" s="103"/>
      <c r="N56" s="103"/>
      <c r="O56" s="34"/>
      <c r="P56" s="6"/>
      <c r="Q56" s="6"/>
    </row>
    <row r="57" spans="1:17">
      <c r="A57" s="13">
        <f t="shared" si="12"/>
        <v>46165</v>
      </c>
      <c r="B57" s="127">
        <v>31492</v>
      </c>
      <c r="C57" s="127">
        <v>31340</v>
      </c>
      <c r="D57" s="14"/>
      <c r="E57" s="14"/>
      <c r="F57" s="20">
        <f t="shared" si="13"/>
        <v>0</v>
      </c>
      <c r="G57" s="2">
        <f t="shared" si="7"/>
        <v>0</v>
      </c>
      <c r="H57" s="2">
        <f t="shared" si="8"/>
        <v>0</v>
      </c>
      <c r="I57" s="28">
        <v>8.1199999999999992</v>
      </c>
      <c r="J57" s="14"/>
      <c r="K57" s="20">
        <f t="shared" si="14"/>
        <v>0</v>
      </c>
      <c r="L57" s="4" t="e">
        <f t="shared" si="11"/>
        <v>#DIV/0!</v>
      </c>
      <c r="M57" s="103"/>
      <c r="N57" s="103"/>
      <c r="O57" s="34"/>
      <c r="P57" s="6"/>
      <c r="Q57" s="6"/>
    </row>
    <row r="58" spans="1:17">
      <c r="A58" s="13">
        <f t="shared" si="12"/>
        <v>46166</v>
      </c>
      <c r="B58" s="127">
        <v>31492</v>
      </c>
      <c r="C58" s="127">
        <v>31340</v>
      </c>
      <c r="D58" s="14"/>
      <c r="E58" s="14"/>
      <c r="F58" s="20">
        <f t="shared" si="13"/>
        <v>0</v>
      </c>
      <c r="G58" s="2">
        <f t="shared" ref="G58:G65" si="15">D58/($D$2*24)</f>
        <v>0</v>
      </c>
      <c r="H58" s="2">
        <f t="shared" si="8"/>
        <v>0</v>
      </c>
      <c r="I58" s="28">
        <v>8.1199999999999992</v>
      </c>
      <c r="J58" s="14"/>
      <c r="K58" s="20">
        <f t="shared" si="14"/>
        <v>0</v>
      </c>
      <c r="L58" s="4" t="e">
        <f t="shared" si="11"/>
        <v>#DIV/0!</v>
      </c>
      <c r="M58" s="103"/>
      <c r="N58" s="103"/>
      <c r="O58" s="34"/>
      <c r="P58" s="6"/>
      <c r="Q58" s="288"/>
    </row>
    <row r="59" spans="1:17">
      <c r="A59" s="13">
        <f t="shared" si="12"/>
        <v>46167</v>
      </c>
      <c r="B59" s="127">
        <v>31492</v>
      </c>
      <c r="C59" s="127">
        <v>31340</v>
      </c>
      <c r="D59" s="14"/>
      <c r="E59" s="14"/>
      <c r="F59" s="20">
        <f t="shared" si="13"/>
        <v>0</v>
      </c>
      <c r="G59" s="2">
        <f t="shared" si="15"/>
        <v>0</v>
      </c>
      <c r="H59" s="2">
        <f t="shared" si="8"/>
        <v>0</v>
      </c>
      <c r="I59" s="28">
        <v>8.1199999999999992</v>
      </c>
      <c r="J59" s="14"/>
      <c r="K59" s="20">
        <f t="shared" si="14"/>
        <v>0</v>
      </c>
      <c r="L59" s="4" t="e">
        <f t="shared" si="11"/>
        <v>#DIV/0!</v>
      </c>
      <c r="M59" s="103"/>
      <c r="N59" s="103"/>
      <c r="O59" s="34"/>
      <c r="P59" s="155"/>
      <c r="Q59" s="6"/>
    </row>
    <row r="60" spans="1:17">
      <c r="A60" s="13">
        <f t="shared" si="12"/>
        <v>46168</v>
      </c>
      <c r="B60" s="127">
        <v>31492</v>
      </c>
      <c r="C60" s="127">
        <v>31340</v>
      </c>
      <c r="D60" s="14"/>
      <c r="E60" s="14"/>
      <c r="F60" s="20">
        <f t="shared" si="13"/>
        <v>0</v>
      </c>
      <c r="G60" s="2">
        <f t="shared" si="15"/>
        <v>0</v>
      </c>
      <c r="H60" s="2">
        <f t="shared" si="8"/>
        <v>0</v>
      </c>
      <c r="I60" s="28">
        <v>8.1199999999999992</v>
      </c>
      <c r="J60" s="14"/>
      <c r="K60" s="20">
        <f t="shared" si="14"/>
        <v>0</v>
      </c>
      <c r="L60" s="4" t="e">
        <f t="shared" si="11"/>
        <v>#DIV/0!</v>
      </c>
      <c r="M60" s="103"/>
      <c r="N60" s="103"/>
      <c r="O60" s="34"/>
      <c r="P60" s="6"/>
      <c r="Q60" s="123"/>
    </row>
    <row r="61" spans="1:17">
      <c r="A61" s="13">
        <f t="shared" si="12"/>
        <v>46169</v>
      </c>
      <c r="B61" s="127">
        <v>31492</v>
      </c>
      <c r="C61" s="127">
        <v>31340</v>
      </c>
      <c r="D61" s="14"/>
      <c r="E61" s="14"/>
      <c r="F61" s="20">
        <f t="shared" si="13"/>
        <v>0</v>
      </c>
      <c r="G61" s="2">
        <f t="shared" si="15"/>
        <v>0</v>
      </c>
      <c r="H61" s="2">
        <f t="shared" si="8"/>
        <v>0</v>
      </c>
      <c r="I61" s="28">
        <v>8.1199999999999992</v>
      </c>
      <c r="J61" s="14"/>
      <c r="K61" s="20">
        <f t="shared" si="14"/>
        <v>0</v>
      </c>
      <c r="L61" s="4" t="e">
        <f t="shared" si="11"/>
        <v>#DIV/0!</v>
      </c>
      <c r="M61" s="103"/>
      <c r="N61" s="103"/>
      <c r="O61" s="34"/>
      <c r="P61" s="6"/>
      <c r="Q61" s="6"/>
    </row>
    <row r="62" spans="1:17">
      <c r="A62" s="13">
        <f t="shared" si="12"/>
        <v>46170</v>
      </c>
      <c r="B62" s="127">
        <v>31492</v>
      </c>
      <c r="C62" s="127">
        <v>31340</v>
      </c>
      <c r="D62" s="14"/>
      <c r="E62" s="14"/>
      <c r="F62" s="20">
        <f t="shared" si="13"/>
        <v>0</v>
      </c>
      <c r="G62" s="2">
        <f t="shared" si="15"/>
        <v>0</v>
      </c>
      <c r="H62" s="2">
        <f t="shared" ref="H62:H65" si="16">D62/($H$2*24)</f>
        <v>0</v>
      </c>
      <c r="I62" s="28">
        <v>8.1199999999999992</v>
      </c>
      <c r="J62" s="14"/>
      <c r="K62" s="20">
        <f t="shared" si="14"/>
        <v>0</v>
      </c>
      <c r="L62" s="4" t="e">
        <f t="shared" si="11"/>
        <v>#DIV/0!</v>
      </c>
      <c r="M62" s="103"/>
      <c r="N62" s="103"/>
      <c r="O62" s="34"/>
      <c r="P62" s="6"/>
      <c r="Q62" s="6"/>
    </row>
    <row r="63" spans="1:17">
      <c r="A63" s="13">
        <f t="shared" si="12"/>
        <v>46171</v>
      </c>
      <c r="B63" s="127">
        <v>31492</v>
      </c>
      <c r="C63" s="127">
        <v>31340</v>
      </c>
      <c r="D63" s="14"/>
      <c r="E63" s="14"/>
      <c r="F63" s="20">
        <f t="shared" si="13"/>
        <v>0</v>
      </c>
      <c r="G63" s="2">
        <f t="shared" si="15"/>
        <v>0</v>
      </c>
      <c r="H63" s="2">
        <f t="shared" si="16"/>
        <v>0</v>
      </c>
      <c r="I63" s="28">
        <v>8.1199999999999992</v>
      </c>
      <c r="J63" s="14"/>
      <c r="K63" s="20">
        <f t="shared" si="14"/>
        <v>0</v>
      </c>
      <c r="L63" s="4" t="e">
        <f t="shared" si="11"/>
        <v>#DIV/0!</v>
      </c>
      <c r="M63" s="103"/>
      <c r="N63" s="103"/>
      <c r="O63" s="34"/>
      <c r="P63" s="6"/>
      <c r="Q63" s="6"/>
    </row>
    <row r="64" spans="1:17">
      <c r="A64" s="13">
        <f t="shared" si="12"/>
        <v>46172</v>
      </c>
      <c r="B64" s="127">
        <v>31492</v>
      </c>
      <c r="C64" s="127">
        <v>31340</v>
      </c>
      <c r="D64" s="14"/>
      <c r="E64" s="14"/>
      <c r="F64" s="20">
        <f t="shared" si="13"/>
        <v>0</v>
      </c>
      <c r="G64" s="2">
        <f t="shared" si="15"/>
        <v>0</v>
      </c>
      <c r="H64" s="2">
        <f t="shared" si="16"/>
        <v>0</v>
      </c>
      <c r="I64" s="28">
        <v>8.1199999999999992</v>
      </c>
      <c r="J64" s="14"/>
      <c r="K64" s="20">
        <f t="shared" si="14"/>
        <v>0</v>
      </c>
      <c r="L64" s="4" t="e">
        <f t="shared" si="11"/>
        <v>#DIV/0!</v>
      </c>
      <c r="M64" s="103"/>
      <c r="N64" s="103"/>
      <c r="O64" s="34"/>
      <c r="P64" s="6"/>
      <c r="Q64" s="6"/>
    </row>
    <row r="65" spans="1:17">
      <c r="A65" s="13">
        <f t="shared" si="12"/>
        <v>46173</v>
      </c>
      <c r="B65" s="127">
        <v>31492</v>
      </c>
      <c r="C65" s="127">
        <v>31340</v>
      </c>
      <c r="D65" s="14"/>
      <c r="E65" s="14"/>
      <c r="F65" s="20">
        <f t="shared" si="13"/>
        <v>0</v>
      </c>
      <c r="G65" s="2">
        <f t="shared" si="15"/>
        <v>0</v>
      </c>
      <c r="H65" s="2">
        <f t="shared" si="16"/>
        <v>0</v>
      </c>
      <c r="I65" s="28">
        <v>8.1199999999999992</v>
      </c>
      <c r="J65" s="14"/>
      <c r="K65" s="20">
        <f t="shared" si="14"/>
        <v>0</v>
      </c>
      <c r="L65" s="4" t="e">
        <f t="shared" si="11"/>
        <v>#DIV/0!</v>
      </c>
      <c r="M65" s="103"/>
      <c r="N65" s="103"/>
      <c r="O65" s="34"/>
      <c r="P65" s="6"/>
      <c r="Q65" s="6"/>
    </row>
    <row r="66" spans="1:17">
      <c r="A66" s="349">
        <v>46143</v>
      </c>
      <c r="B66" s="89">
        <f>SUM(B35:B65)</f>
        <v>976252</v>
      </c>
      <c r="C66" s="89">
        <f>SUM(C35:C65)</f>
        <v>971540</v>
      </c>
      <c r="D66" s="89">
        <f>SUM(D35:D65)</f>
        <v>144897</v>
      </c>
      <c r="E66" s="89">
        <f>SUM(E35:E65)</f>
        <v>142350</v>
      </c>
      <c r="F66" s="160">
        <f>(IF(ISBLANK(E66),0,E66-C66))/C66</f>
        <v>-0.8534800419951829</v>
      </c>
      <c r="G66" s="90">
        <f>AVERAGE(G35:G65)</f>
        <v>4.2337833099579246E-2</v>
      </c>
      <c r="H66" s="90">
        <f>AVERAGE(H35:H65)</f>
        <v>4.9180311176278919E-2</v>
      </c>
      <c r="I66" s="89">
        <f>SUM(I35:I65)</f>
        <v>251.72000000000008</v>
      </c>
      <c r="J66" s="89">
        <f>SUM(J35:J65)</f>
        <v>39.573</v>
      </c>
      <c r="K66" s="160">
        <f>(IF(ISBLANK(J66),0,J66-I66))/I66</f>
        <v>-0.84278960750039733</v>
      </c>
      <c r="L66" s="161">
        <f t="shared" si="11"/>
        <v>0.79598079059174076</v>
      </c>
      <c r="M66" s="90">
        <f>AVERAGE(M35:M65)</f>
        <v>0.98518000000000006</v>
      </c>
      <c r="N66" s="90">
        <f>AVERAGE(N35:N65)</f>
        <v>0.84198000000000006</v>
      </c>
      <c r="O66" s="89">
        <f>SUM(O35:O65)</f>
        <v>26435</v>
      </c>
      <c r="P66" s="89">
        <f>SUM(P35:P65)</f>
        <v>1424</v>
      </c>
      <c r="Q66" s="19"/>
    </row>
  </sheetData>
  <mergeCells count="4">
    <mergeCell ref="A1:Q1"/>
    <mergeCell ref="B2:C2"/>
    <mergeCell ref="E2:G2"/>
    <mergeCell ref="I2:J2"/>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66A4-76D4-4140-8378-5E12251761D2}">
  <dimension ref="A1:Q66"/>
  <sheetViews>
    <sheetView workbookViewId="0">
      <pane ySplit="3" topLeftCell="A36" activePane="bottomLeft" state="frozen"/>
      <selection pane="bottomLeft" activeCell="Q39" sqref="Q39"/>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3" width="9.54296875" bestFit="1" customWidth="1"/>
    <col min="14"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655</v>
      </c>
      <c r="B1" s="406"/>
      <c r="C1" s="406"/>
      <c r="D1" s="406"/>
      <c r="E1" s="406"/>
      <c r="F1" s="406"/>
      <c r="G1" s="406"/>
      <c r="H1" s="406"/>
      <c r="I1" s="406"/>
      <c r="J1" s="406"/>
      <c r="K1" s="406"/>
      <c r="L1" s="406"/>
      <c r="M1" s="406"/>
      <c r="N1" s="406"/>
      <c r="O1" s="406"/>
      <c r="P1" s="406"/>
      <c r="Q1" s="406"/>
    </row>
    <row r="2" spans="1:17" ht="18.5">
      <c r="A2" s="7">
        <v>46113</v>
      </c>
      <c r="B2" s="407" t="s">
        <v>172</v>
      </c>
      <c r="C2" s="408"/>
      <c r="D2" s="8">
        <v>3800</v>
      </c>
      <c r="E2" s="407" t="s">
        <v>173</v>
      </c>
      <c r="F2" s="407"/>
      <c r="G2" s="408"/>
      <c r="H2" s="8">
        <v>2860</v>
      </c>
      <c r="I2" s="409" t="s">
        <v>174</v>
      </c>
      <c r="J2" s="410"/>
      <c r="K2" s="9">
        <v>45692</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28517</v>
      </c>
      <c r="C4" s="1">
        <v>23598</v>
      </c>
      <c r="D4" s="221">
        <v>25690</v>
      </c>
      <c r="E4" s="257">
        <v>25200</v>
      </c>
      <c r="F4" s="21">
        <f t="shared" ref="F4:F35" si="0">(IF(ISBLANK(E4),0,E4-C4))/C4</f>
        <v>6.7887109077040431E-2</v>
      </c>
      <c r="G4" s="2">
        <f t="shared" ref="G4:G33" si="1">D4/($D$2*24)</f>
        <v>0.28168859649122807</v>
      </c>
      <c r="H4" s="2">
        <f t="shared" ref="H4:H21" si="2">D4/($H$2*24)</f>
        <v>0.37427156177156179</v>
      </c>
      <c r="I4" s="86">
        <v>7.27</v>
      </c>
      <c r="J4" s="185">
        <v>8.2420000000000009</v>
      </c>
      <c r="K4" s="21">
        <f t="shared" ref="K4:K35" si="3">(IF(ISBLANK(J4),0,J4-I4))/I4</f>
        <v>0.13370013755158203</v>
      </c>
      <c r="L4" s="22">
        <f t="shared" ref="L4:L35" si="4">D4/($D$2*J4)</f>
        <v>0.82025313222391083</v>
      </c>
      <c r="M4" s="68">
        <v>1</v>
      </c>
      <c r="N4" s="68">
        <v>1</v>
      </c>
      <c r="O4" s="253"/>
      <c r="P4" s="49"/>
      <c r="Q4" s="50"/>
    </row>
    <row r="5" spans="1:17">
      <c r="A5" s="13">
        <f t="shared" ref="A5:A33" si="5">A4+1</f>
        <v>46114</v>
      </c>
      <c r="B5" s="1">
        <v>28517</v>
      </c>
      <c r="C5" s="1">
        <v>23598</v>
      </c>
      <c r="D5" s="221">
        <v>25980</v>
      </c>
      <c r="E5" s="257">
        <v>25480</v>
      </c>
      <c r="F5" s="21">
        <f t="shared" si="0"/>
        <v>7.9752521400118653E-2</v>
      </c>
      <c r="G5" s="2">
        <f t="shared" si="1"/>
        <v>0.2848684210526316</v>
      </c>
      <c r="H5" s="2">
        <f t="shared" si="2"/>
        <v>0.37849650349650349</v>
      </c>
      <c r="I5" s="86">
        <v>7.27</v>
      </c>
      <c r="J5" s="185">
        <v>8.2590000000000003</v>
      </c>
      <c r="K5" s="21">
        <f t="shared" si="3"/>
        <v>0.1360385144429162</v>
      </c>
      <c r="L5" s="22">
        <f t="shared" si="4"/>
        <v>0.82780507389068381</v>
      </c>
      <c r="M5" s="68">
        <v>1</v>
      </c>
      <c r="N5" s="68">
        <v>1</v>
      </c>
      <c r="O5" s="253"/>
      <c r="P5" s="49"/>
      <c r="Q5" s="50"/>
    </row>
    <row r="6" spans="1:17">
      <c r="A6" s="13">
        <f t="shared" si="5"/>
        <v>46115</v>
      </c>
      <c r="B6" s="1">
        <v>28517</v>
      </c>
      <c r="C6" s="1">
        <v>23598</v>
      </c>
      <c r="D6" s="221">
        <v>26330</v>
      </c>
      <c r="E6" s="257">
        <v>25840</v>
      </c>
      <c r="F6" s="21">
        <f t="shared" si="0"/>
        <v>9.5008051529790666E-2</v>
      </c>
      <c r="G6" s="2">
        <f t="shared" si="1"/>
        <v>0.28870614035087722</v>
      </c>
      <c r="H6" s="2">
        <f t="shared" si="2"/>
        <v>0.38359557109557108</v>
      </c>
      <c r="I6" s="86">
        <v>7.27</v>
      </c>
      <c r="J6" s="185">
        <v>8.4550000000000001</v>
      </c>
      <c r="K6" s="21">
        <f t="shared" si="3"/>
        <v>0.16299862448418165</v>
      </c>
      <c r="L6" s="22">
        <f t="shared" si="4"/>
        <v>0.81950885492856917</v>
      </c>
      <c r="M6" s="68">
        <v>1</v>
      </c>
      <c r="N6" s="68">
        <v>1</v>
      </c>
      <c r="O6" s="253"/>
      <c r="P6" s="49"/>
      <c r="Q6" s="50"/>
    </row>
    <row r="7" spans="1:17">
      <c r="A7" s="13">
        <f t="shared" si="5"/>
        <v>46116</v>
      </c>
      <c r="B7" s="1">
        <v>28517</v>
      </c>
      <c r="C7" s="1">
        <v>23598</v>
      </c>
      <c r="D7" s="221">
        <v>19670</v>
      </c>
      <c r="E7" s="257">
        <v>19320</v>
      </c>
      <c r="F7" s="21">
        <f t="shared" si="0"/>
        <v>-0.18128654970760233</v>
      </c>
      <c r="G7" s="2">
        <f t="shared" si="1"/>
        <v>0.2156798245614035</v>
      </c>
      <c r="H7" s="2">
        <f t="shared" si="2"/>
        <v>0.28656759906759904</v>
      </c>
      <c r="I7" s="86">
        <v>7.27</v>
      </c>
      <c r="J7" s="185">
        <v>6.1970000000000001</v>
      </c>
      <c r="K7" s="21">
        <f t="shared" si="3"/>
        <v>-0.14759284731774411</v>
      </c>
      <c r="L7" s="22">
        <f t="shared" si="4"/>
        <v>0.83529381789150947</v>
      </c>
      <c r="M7" s="68">
        <v>1</v>
      </c>
      <c r="N7" s="68">
        <v>0.98650000000000004</v>
      </c>
      <c r="O7" s="253">
        <v>427</v>
      </c>
      <c r="P7" s="49"/>
      <c r="Q7" s="50" t="s">
        <v>656</v>
      </c>
    </row>
    <row r="8" spans="1:17">
      <c r="A8" s="13">
        <f t="shared" si="5"/>
        <v>46117</v>
      </c>
      <c r="B8" s="1">
        <v>28517</v>
      </c>
      <c r="C8" s="1">
        <v>23598</v>
      </c>
      <c r="D8" s="221">
        <v>22610</v>
      </c>
      <c r="E8" s="257">
        <v>22120</v>
      </c>
      <c r="F8" s="21">
        <f t="shared" si="0"/>
        <v>-6.2632426476820074E-2</v>
      </c>
      <c r="G8" s="2">
        <f t="shared" si="1"/>
        <v>0.24791666666666667</v>
      </c>
      <c r="H8" s="2">
        <f t="shared" si="2"/>
        <v>0.32939976689976691</v>
      </c>
      <c r="I8" s="86">
        <v>7.27</v>
      </c>
      <c r="J8" s="185">
        <v>7.093</v>
      </c>
      <c r="K8" s="21">
        <f t="shared" si="3"/>
        <v>-2.4346629986244789E-2</v>
      </c>
      <c r="L8" s="22">
        <f t="shared" si="4"/>
        <v>0.83885520936134217</v>
      </c>
      <c r="M8" s="68">
        <v>0.94440000000000002</v>
      </c>
      <c r="N8" s="68">
        <v>1</v>
      </c>
      <c r="O8" s="253"/>
      <c r="P8" s="253">
        <v>1787</v>
      </c>
      <c r="Q8" s="50" t="s">
        <v>657</v>
      </c>
    </row>
    <row r="9" spans="1:17">
      <c r="A9" s="13">
        <f t="shared" si="5"/>
        <v>46118</v>
      </c>
      <c r="B9" s="1">
        <v>28517</v>
      </c>
      <c r="C9" s="1">
        <v>23598</v>
      </c>
      <c r="D9" s="221">
        <v>25230</v>
      </c>
      <c r="E9" s="257">
        <v>24800</v>
      </c>
      <c r="F9" s="21">
        <f t="shared" si="0"/>
        <v>5.093652004407153E-2</v>
      </c>
      <c r="G9" s="2">
        <f t="shared" si="1"/>
        <v>0.27664473684210528</v>
      </c>
      <c r="H9" s="2">
        <f t="shared" si="2"/>
        <v>0.36756993006993005</v>
      </c>
      <c r="I9" s="86">
        <v>7.27</v>
      </c>
      <c r="J9" s="185">
        <v>8.1229999999999993</v>
      </c>
      <c r="K9" s="21">
        <f t="shared" si="3"/>
        <v>0.11733149931224207</v>
      </c>
      <c r="L9" s="22">
        <f t="shared" si="4"/>
        <v>0.81736718998036773</v>
      </c>
      <c r="M9" s="68">
        <v>0.94440000000000002</v>
      </c>
      <c r="N9" s="68">
        <v>1</v>
      </c>
      <c r="O9" s="253"/>
      <c r="P9" s="253">
        <v>2029</v>
      </c>
      <c r="Q9" s="50" t="s">
        <v>657</v>
      </c>
    </row>
    <row r="10" spans="1:17">
      <c r="A10" s="13">
        <f t="shared" si="5"/>
        <v>46119</v>
      </c>
      <c r="B10" s="1">
        <v>28517</v>
      </c>
      <c r="C10" s="1">
        <v>23598</v>
      </c>
      <c r="D10" s="221">
        <v>21692</v>
      </c>
      <c r="E10" s="257">
        <v>21280</v>
      </c>
      <c r="F10" s="21">
        <f t="shared" si="0"/>
        <v>-9.8228663446054756E-2</v>
      </c>
      <c r="G10" s="2">
        <f t="shared" si="1"/>
        <v>0.23785087719298245</v>
      </c>
      <c r="H10" s="2">
        <f t="shared" si="2"/>
        <v>0.31602564102564101</v>
      </c>
      <c r="I10" s="86">
        <v>7.27</v>
      </c>
      <c r="J10" s="185">
        <v>7.0010000000000003</v>
      </c>
      <c r="K10" s="21">
        <f t="shared" si="3"/>
        <v>-3.7001375515818329E-2</v>
      </c>
      <c r="L10" s="22">
        <f t="shared" si="4"/>
        <v>0.81537224005593179</v>
      </c>
      <c r="M10" s="68">
        <v>0.95</v>
      </c>
      <c r="N10" s="68">
        <v>1</v>
      </c>
      <c r="O10" s="253"/>
      <c r="P10" s="253">
        <v>1709</v>
      </c>
      <c r="Q10" s="50" t="s">
        <v>657</v>
      </c>
    </row>
    <row r="11" spans="1:17">
      <c r="A11" s="13">
        <f t="shared" si="5"/>
        <v>46120</v>
      </c>
      <c r="B11" s="1">
        <v>28517</v>
      </c>
      <c r="C11" s="1">
        <v>23598</v>
      </c>
      <c r="D11" s="221">
        <v>21950</v>
      </c>
      <c r="E11" s="257">
        <v>21520</v>
      </c>
      <c r="F11" s="21">
        <f t="shared" si="0"/>
        <v>-8.8058310026273415E-2</v>
      </c>
      <c r="G11" s="2">
        <f t="shared" si="1"/>
        <v>0.24067982456140352</v>
      </c>
      <c r="H11" s="2">
        <f t="shared" si="2"/>
        <v>0.31978438228438227</v>
      </c>
      <c r="I11" s="86">
        <v>7.27</v>
      </c>
      <c r="J11" s="185">
        <v>6.7510000000000003</v>
      </c>
      <c r="K11" s="21">
        <f t="shared" si="3"/>
        <v>-7.1389270976616126E-2</v>
      </c>
      <c r="L11" s="22">
        <f t="shared" si="4"/>
        <v>0.85562372825858146</v>
      </c>
      <c r="M11" s="68">
        <v>1</v>
      </c>
      <c r="N11" s="68">
        <v>1</v>
      </c>
      <c r="O11" s="253"/>
      <c r="P11" s="49"/>
      <c r="Q11" s="50"/>
    </row>
    <row r="12" spans="1:17">
      <c r="A12" s="13">
        <f t="shared" si="5"/>
        <v>46121</v>
      </c>
      <c r="B12" s="1">
        <v>28517</v>
      </c>
      <c r="C12" s="1">
        <v>23598</v>
      </c>
      <c r="D12" s="221">
        <v>26420</v>
      </c>
      <c r="E12" s="257">
        <v>25920</v>
      </c>
      <c r="F12" s="21">
        <f t="shared" si="0"/>
        <v>9.8398169336384442E-2</v>
      </c>
      <c r="G12" s="2">
        <f t="shared" si="1"/>
        <v>0.28969298245614034</v>
      </c>
      <c r="H12" s="2">
        <f t="shared" si="2"/>
        <v>0.38490675990675993</v>
      </c>
      <c r="I12" s="86">
        <v>7.27</v>
      </c>
      <c r="J12" s="185">
        <v>8.1880000000000006</v>
      </c>
      <c r="K12" s="21">
        <f t="shared" si="3"/>
        <v>0.12627235213204968</v>
      </c>
      <c r="L12" s="22">
        <f t="shared" si="4"/>
        <v>0.84912452112205272</v>
      </c>
      <c r="M12" s="68">
        <v>1</v>
      </c>
      <c r="N12" s="68">
        <v>1</v>
      </c>
      <c r="O12" s="253"/>
      <c r="P12" s="49"/>
      <c r="Q12" s="50"/>
    </row>
    <row r="13" spans="1:17">
      <c r="A13" s="13">
        <f t="shared" si="5"/>
        <v>46122</v>
      </c>
      <c r="B13" s="1">
        <v>28517</v>
      </c>
      <c r="C13" s="1">
        <v>23598</v>
      </c>
      <c r="D13" s="221">
        <v>25810</v>
      </c>
      <c r="E13" s="257">
        <v>25280</v>
      </c>
      <c r="F13" s="21">
        <f t="shared" si="0"/>
        <v>7.1277226883634207E-2</v>
      </c>
      <c r="G13" s="2">
        <f t="shared" si="1"/>
        <v>0.28300438596491229</v>
      </c>
      <c r="H13" s="2">
        <f t="shared" si="2"/>
        <v>0.37601981351981351</v>
      </c>
      <c r="I13" s="86">
        <v>7.27</v>
      </c>
      <c r="J13" s="185">
        <v>8.0389999999999997</v>
      </c>
      <c r="K13" s="21">
        <f t="shared" si="3"/>
        <v>0.10577716643741406</v>
      </c>
      <c r="L13" s="22">
        <f t="shared" si="4"/>
        <v>0.84489429819105555</v>
      </c>
      <c r="M13" s="68">
        <v>1</v>
      </c>
      <c r="N13" s="68">
        <v>0.97989999999999999</v>
      </c>
      <c r="O13" s="253">
        <v>646</v>
      </c>
      <c r="P13" s="49"/>
      <c r="Q13" s="50" t="s">
        <v>658</v>
      </c>
    </row>
    <row r="14" spans="1:17">
      <c r="A14" s="13">
        <f t="shared" si="5"/>
        <v>46123</v>
      </c>
      <c r="B14" s="1">
        <v>28517</v>
      </c>
      <c r="C14" s="1">
        <v>23598</v>
      </c>
      <c r="D14" s="221">
        <v>25150</v>
      </c>
      <c r="E14" s="257">
        <v>24680</v>
      </c>
      <c r="F14" s="21">
        <f t="shared" si="0"/>
        <v>4.5851343334180859E-2</v>
      </c>
      <c r="G14" s="2">
        <f t="shared" si="1"/>
        <v>0.27576754385964913</v>
      </c>
      <c r="H14" s="2">
        <f t="shared" si="2"/>
        <v>0.36640442890442892</v>
      </c>
      <c r="I14" s="86">
        <v>7.27</v>
      </c>
      <c r="J14" s="185">
        <v>7.8819999999999997</v>
      </c>
      <c r="K14" s="21">
        <f t="shared" si="3"/>
        <v>8.4181568088033037E-2</v>
      </c>
      <c r="L14" s="22">
        <f t="shared" si="4"/>
        <v>0.83968803002176851</v>
      </c>
      <c r="M14" s="68">
        <v>1</v>
      </c>
      <c r="N14" s="68">
        <v>1</v>
      </c>
      <c r="O14" s="253"/>
      <c r="P14" s="49"/>
      <c r="Q14" s="50"/>
    </row>
    <row r="15" spans="1:17">
      <c r="A15" s="13">
        <f t="shared" si="5"/>
        <v>46124</v>
      </c>
      <c r="B15" s="1">
        <v>28517</v>
      </c>
      <c r="C15" s="1">
        <v>23598</v>
      </c>
      <c r="D15" s="221">
        <v>26590</v>
      </c>
      <c r="E15" s="257">
        <v>26120</v>
      </c>
      <c r="F15" s="21">
        <f t="shared" si="0"/>
        <v>0.10687346385286889</v>
      </c>
      <c r="G15" s="2">
        <f t="shared" si="1"/>
        <v>0.29155701754385965</v>
      </c>
      <c r="H15" s="2">
        <f t="shared" si="2"/>
        <v>0.38738344988344986</v>
      </c>
      <c r="I15" s="86">
        <v>7.27</v>
      </c>
      <c r="J15" s="185">
        <v>8.343</v>
      </c>
      <c r="K15" s="21">
        <f t="shared" si="3"/>
        <v>0.14759284731774422</v>
      </c>
      <c r="L15" s="22">
        <f t="shared" si="4"/>
        <v>0.83871130541203776</v>
      </c>
      <c r="M15" s="68">
        <v>1</v>
      </c>
      <c r="N15" s="68">
        <v>1</v>
      </c>
      <c r="O15" s="253"/>
      <c r="P15" s="49"/>
      <c r="Q15" s="50"/>
    </row>
    <row r="16" spans="1:17">
      <c r="A16" s="13">
        <f t="shared" si="5"/>
        <v>46125</v>
      </c>
      <c r="B16" s="1">
        <v>28517</v>
      </c>
      <c r="C16" s="1">
        <v>23598</v>
      </c>
      <c r="D16" s="221">
        <v>25190</v>
      </c>
      <c r="E16" s="257">
        <v>24680</v>
      </c>
      <c r="F16" s="21">
        <f t="shared" si="0"/>
        <v>4.5851343334180859E-2</v>
      </c>
      <c r="G16" s="2">
        <f t="shared" si="1"/>
        <v>0.27620614035087721</v>
      </c>
      <c r="H16" s="2">
        <f t="shared" si="2"/>
        <v>0.36698717948717946</v>
      </c>
      <c r="I16" s="86">
        <v>7.27</v>
      </c>
      <c r="J16" s="185">
        <v>7.9</v>
      </c>
      <c r="K16" s="21">
        <f t="shared" si="3"/>
        <v>8.6657496561210565E-2</v>
      </c>
      <c r="L16" s="22">
        <f t="shared" si="4"/>
        <v>0.8391072618254497</v>
      </c>
      <c r="M16" s="68">
        <v>1</v>
      </c>
      <c r="N16" s="68">
        <v>1</v>
      </c>
      <c r="O16" s="253"/>
      <c r="P16" s="49"/>
      <c r="Q16" s="50"/>
    </row>
    <row r="17" spans="1:17">
      <c r="A17" s="13">
        <f t="shared" si="5"/>
        <v>46126</v>
      </c>
      <c r="B17" s="1">
        <v>28517</v>
      </c>
      <c r="C17" s="1">
        <v>23598</v>
      </c>
      <c r="D17" s="221">
        <v>27020</v>
      </c>
      <c r="E17" s="257">
        <v>26480</v>
      </c>
      <c r="F17" s="21">
        <f t="shared" si="0"/>
        <v>0.12212899398254089</v>
      </c>
      <c r="G17" s="2">
        <f t="shared" si="1"/>
        <v>0.29627192982456141</v>
      </c>
      <c r="H17" s="2">
        <f t="shared" si="2"/>
        <v>0.39364801864801863</v>
      </c>
      <c r="I17" s="86">
        <v>7.27</v>
      </c>
      <c r="J17" s="185">
        <v>8.6780000000000008</v>
      </c>
      <c r="K17" s="21">
        <f t="shared" si="3"/>
        <v>0.19367262723521339</v>
      </c>
      <c r="L17" s="22">
        <f t="shared" si="4"/>
        <v>0.81937385524193052</v>
      </c>
      <c r="M17" s="68">
        <v>1</v>
      </c>
      <c r="N17" s="68">
        <v>1</v>
      </c>
      <c r="O17" s="253"/>
      <c r="P17" s="49"/>
      <c r="Q17" s="50"/>
    </row>
    <row r="18" spans="1:17">
      <c r="A18" s="13">
        <f t="shared" si="5"/>
        <v>46127</v>
      </c>
      <c r="B18" s="1">
        <v>28517</v>
      </c>
      <c r="C18" s="1">
        <v>23598</v>
      </c>
      <c r="D18" s="221">
        <v>26150</v>
      </c>
      <c r="E18" s="257">
        <v>25560</v>
      </c>
      <c r="F18" s="21">
        <f t="shared" si="0"/>
        <v>8.3142639206712429E-2</v>
      </c>
      <c r="G18" s="2">
        <f t="shared" si="1"/>
        <v>0.28673245614035087</v>
      </c>
      <c r="H18" s="2">
        <f t="shared" si="2"/>
        <v>0.38097319347319347</v>
      </c>
      <c r="I18" s="86">
        <v>7.27</v>
      </c>
      <c r="J18" s="185">
        <v>8.5890000000000004</v>
      </c>
      <c r="K18" s="21">
        <f t="shared" si="3"/>
        <v>0.18143053645116933</v>
      </c>
      <c r="L18" s="22">
        <f t="shared" si="4"/>
        <v>0.80120839997303772</v>
      </c>
      <c r="M18" s="68">
        <v>1</v>
      </c>
      <c r="N18" s="68">
        <v>0.97989999999999999</v>
      </c>
      <c r="O18" s="253">
        <v>733</v>
      </c>
      <c r="P18" s="49"/>
      <c r="Q18" s="50" t="s">
        <v>658</v>
      </c>
    </row>
    <row r="19" spans="1:17">
      <c r="A19" s="13">
        <f t="shared" si="5"/>
        <v>46128</v>
      </c>
      <c r="B19" s="1">
        <v>28517</v>
      </c>
      <c r="C19" s="1">
        <v>23598</v>
      </c>
      <c r="D19" s="221">
        <v>27450</v>
      </c>
      <c r="E19" s="257">
        <v>26880</v>
      </c>
      <c r="F19" s="21">
        <f t="shared" si="0"/>
        <v>0.13907958301550979</v>
      </c>
      <c r="G19" s="2">
        <f t="shared" si="1"/>
        <v>0.30098684210526316</v>
      </c>
      <c r="H19" s="2">
        <f t="shared" si="2"/>
        <v>0.39991258741258739</v>
      </c>
      <c r="I19" s="86">
        <v>7.27</v>
      </c>
      <c r="J19" s="185">
        <v>8.2370000000000001</v>
      </c>
      <c r="K19" s="21">
        <f t="shared" si="3"/>
        <v>0.13301237964236598</v>
      </c>
      <c r="L19" s="22">
        <f t="shared" si="4"/>
        <v>0.87697999399372528</v>
      </c>
      <c r="M19" s="68">
        <v>1</v>
      </c>
      <c r="N19" s="68">
        <v>1</v>
      </c>
      <c r="O19" s="253"/>
      <c r="P19" s="49"/>
      <c r="Q19" s="50"/>
    </row>
    <row r="20" spans="1:17">
      <c r="A20" s="13">
        <f t="shared" si="5"/>
        <v>46129</v>
      </c>
      <c r="B20" s="1">
        <v>28517</v>
      </c>
      <c r="C20" s="1">
        <v>23598</v>
      </c>
      <c r="D20" s="31">
        <v>24850</v>
      </c>
      <c r="E20" s="49">
        <v>24360</v>
      </c>
      <c r="F20" s="21">
        <f t="shared" si="0"/>
        <v>3.2290872107805749E-2</v>
      </c>
      <c r="G20" s="2">
        <f t="shared" si="1"/>
        <v>0.27247807017543857</v>
      </c>
      <c r="H20" s="2">
        <f t="shared" si="2"/>
        <v>0.36203379953379955</v>
      </c>
      <c r="I20" s="86">
        <v>7.27</v>
      </c>
      <c r="J20" s="31">
        <v>7.9109999999999996</v>
      </c>
      <c r="K20" s="21">
        <f t="shared" si="3"/>
        <v>8.8170563961485565E-2</v>
      </c>
      <c r="L20" s="22">
        <f t="shared" si="4"/>
        <v>0.82663047455574856</v>
      </c>
      <c r="M20" s="67">
        <v>1</v>
      </c>
      <c r="N20" s="68">
        <v>0.96640000000000004</v>
      </c>
      <c r="O20" s="49" t="s">
        <v>175</v>
      </c>
      <c r="P20" s="49">
        <v>1454</v>
      </c>
      <c r="Q20" s="258" t="s">
        <v>659</v>
      </c>
    </row>
    <row r="21" spans="1:17">
      <c r="A21" s="13">
        <f t="shared" si="5"/>
        <v>46130</v>
      </c>
      <c r="B21" s="1">
        <v>28517</v>
      </c>
      <c r="C21" s="1">
        <v>23598</v>
      </c>
      <c r="D21" s="32">
        <v>25260</v>
      </c>
      <c r="E21" s="50">
        <v>24760</v>
      </c>
      <c r="F21" s="21">
        <f t="shared" si="0"/>
        <v>4.9241461140774642E-2</v>
      </c>
      <c r="G21" s="2">
        <f t="shared" si="1"/>
        <v>0.27697368421052632</v>
      </c>
      <c r="H21" s="2">
        <f t="shared" si="2"/>
        <v>0.36800699300699302</v>
      </c>
      <c r="I21" s="86">
        <v>7.27</v>
      </c>
      <c r="J21" s="32">
        <v>8.109</v>
      </c>
      <c r="K21" s="21">
        <f t="shared" si="3"/>
        <v>0.11540577716643748</v>
      </c>
      <c r="L21" s="22">
        <f t="shared" si="4"/>
        <v>0.81975193255057732</v>
      </c>
      <c r="M21" s="63">
        <v>1</v>
      </c>
      <c r="N21" s="66">
        <v>1</v>
      </c>
      <c r="O21" s="50" t="s">
        <v>175</v>
      </c>
      <c r="P21" s="50" t="s">
        <v>175</v>
      </c>
      <c r="Q21" s="50" t="s">
        <v>175</v>
      </c>
    </row>
    <row r="22" spans="1:17">
      <c r="A22" s="13">
        <f t="shared" si="5"/>
        <v>46131</v>
      </c>
      <c r="B22" s="1">
        <v>28517</v>
      </c>
      <c r="C22" s="1">
        <v>23598</v>
      </c>
      <c r="D22" s="32">
        <v>24840</v>
      </c>
      <c r="E22" s="50">
        <v>24360</v>
      </c>
      <c r="F22" s="21">
        <f t="shared" si="0"/>
        <v>3.2290872107805749E-2</v>
      </c>
      <c r="G22" s="2">
        <f t="shared" si="1"/>
        <v>0.27236842105263159</v>
      </c>
      <c r="H22" s="2">
        <f t="shared" ref="H22:H33" si="6">E22/($D$2*24)</f>
        <v>0.26710526315789473</v>
      </c>
      <c r="I22" s="86">
        <v>7.27</v>
      </c>
      <c r="J22" s="32">
        <v>7.8789999999999996</v>
      </c>
      <c r="K22" s="21">
        <f t="shared" si="3"/>
        <v>8.3768913342503443E-2</v>
      </c>
      <c r="L22" s="22">
        <f t="shared" si="4"/>
        <v>0.82965377652787897</v>
      </c>
      <c r="M22" s="63">
        <v>1</v>
      </c>
      <c r="N22" s="66">
        <v>1</v>
      </c>
      <c r="O22" s="50" t="s">
        <v>175</v>
      </c>
      <c r="P22" s="50" t="s">
        <v>175</v>
      </c>
      <c r="Q22" s="50" t="s">
        <v>175</v>
      </c>
    </row>
    <row r="23" spans="1:17">
      <c r="A23" s="13">
        <f t="shared" si="5"/>
        <v>46132</v>
      </c>
      <c r="B23" s="1">
        <v>28517</v>
      </c>
      <c r="C23" s="1">
        <v>23598</v>
      </c>
      <c r="D23" s="32">
        <v>25870</v>
      </c>
      <c r="E23" s="50">
        <v>25360</v>
      </c>
      <c r="F23" s="21">
        <f t="shared" si="0"/>
        <v>7.4667344690227982E-2</v>
      </c>
      <c r="G23" s="2">
        <f t="shared" si="1"/>
        <v>0.28366228070175437</v>
      </c>
      <c r="H23" s="2">
        <f t="shared" si="6"/>
        <v>0.27807017543859647</v>
      </c>
      <c r="I23" s="86">
        <v>7.27</v>
      </c>
      <c r="J23" s="32">
        <v>8.1199999999999992</v>
      </c>
      <c r="K23" s="21">
        <f t="shared" si="3"/>
        <v>0.11691884456671248</v>
      </c>
      <c r="L23" s="22">
        <f t="shared" si="4"/>
        <v>0.83841068187710666</v>
      </c>
      <c r="M23" s="63">
        <v>1</v>
      </c>
      <c r="N23" s="66">
        <v>1</v>
      </c>
      <c r="O23" s="50" t="s">
        <v>175</v>
      </c>
      <c r="P23" s="50" t="s">
        <v>175</v>
      </c>
      <c r="Q23" s="50" t="s">
        <v>175</v>
      </c>
    </row>
    <row r="24" spans="1:17">
      <c r="A24" s="13">
        <f t="shared" si="5"/>
        <v>46133</v>
      </c>
      <c r="B24" s="1">
        <v>28517</v>
      </c>
      <c r="C24" s="1">
        <v>23598</v>
      </c>
      <c r="D24" s="32">
        <v>24150</v>
      </c>
      <c r="E24" s="50">
        <v>23680</v>
      </c>
      <c r="F24" s="21">
        <f t="shared" si="0"/>
        <v>3.4748707517586238E-3</v>
      </c>
      <c r="G24" s="2">
        <f t="shared" si="1"/>
        <v>0.26480263157894735</v>
      </c>
      <c r="H24" s="2">
        <f t="shared" si="6"/>
        <v>0.25964912280701752</v>
      </c>
      <c r="I24" s="86">
        <v>7.27</v>
      </c>
      <c r="J24" s="32">
        <v>7.5549999999999997</v>
      </c>
      <c r="K24" s="21">
        <f t="shared" si="3"/>
        <v>3.9202200825309515E-2</v>
      </c>
      <c r="L24" s="22">
        <f t="shared" si="4"/>
        <v>0.84119962381134838</v>
      </c>
      <c r="M24" s="63">
        <v>1</v>
      </c>
      <c r="N24" s="66">
        <v>1</v>
      </c>
      <c r="O24" s="50" t="s">
        <v>175</v>
      </c>
      <c r="P24" s="50" t="s">
        <v>175</v>
      </c>
      <c r="Q24" s="50" t="s">
        <v>175</v>
      </c>
    </row>
    <row r="25" spans="1:17">
      <c r="A25" s="13">
        <f t="shared" si="5"/>
        <v>46134</v>
      </c>
      <c r="B25" s="1">
        <v>28517</v>
      </c>
      <c r="C25" s="1">
        <v>23598</v>
      </c>
      <c r="D25" s="32">
        <v>25200</v>
      </c>
      <c r="E25" s="50">
        <v>24520</v>
      </c>
      <c r="F25" s="21">
        <f t="shared" si="0"/>
        <v>3.9071107720993307E-2</v>
      </c>
      <c r="G25" s="2">
        <f t="shared" si="1"/>
        <v>0.27631578947368424</v>
      </c>
      <c r="H25" s="2">
        <f t="shared" si="6"/>
        <v>0.26885964912280702</v>
      </c>
      <c r="I25" s="86">
        <v>7.27</v>
      </c>
      <c r="J25" s="32">
        <v>8.14</v>
      </c>
      <c r="K25" s="21">
        <f t="shared" si="3"/>
        <v>0.11966987620357648</v>
      </c>
      <c r="L25" s="22">
        <f t="shared" si="4"/>
        <v>0.81469028837449875</v>
      </c>
      <c r="M25" s="63">
        <v>1</v>
      </c>
      <c r="N25" s="66">
        <v>0.9718</v>
      </c>
      <c r="O25" s="50">
        <v>965</v>
      </c>
      <c r="P25" s="50" t="s">
        <v>175</v>
      </c>
      <c r="Q25" s="50" t="s">
        <v>660</v>
      </c>
    </row>
    <row r="26" spans="1:17" ht="15">
      <c r="A26" s="13">
        <f t="shared" si="5"/>
        <v>46135</v>
      </c>
      <c r="B26" s="1">
        <v>28517</v>
      </c>
      <c r="C26" s="1">
        <v>23598</v>
      </c>
      <c r="D26" s="259">
        <v>26150</v>
      </c>
      <c r="E26" s="259">
        <v>25800</v>
      </c>
      <c r="F26" s="21">
        <f t="shared" si="0"/>
        <v>9.3312992626493771E-2</v>
      </c>
      <c r="G26" s="2">
        <f t="shared" si="1"/>
        <v>0.28673245614035087</v>
      </c>
      <c r="H26" s="2">
        <f t="shared" si="6"/>
        <v>0.28289473684210525</v>
      </c>
      <c r="I26" s="86">
        <v>7.27</v>
      </c>
      <c r="J26" s="259">
        <v>8.4209999999999994</v>
      </c>
      <c r="K26" s="21">
        <f t="shared" si="3"/>
        <v>0.15832187070151305</v>
      </c>
      <c r="L26" s="22">
        <f t="shared" si="4"/>
        <v>0.81719260745379663</v>
      </c>
      <c r="M26" s="261">
        <v>1</v>
      </c>
      <c r="N26" s="262">
        <v>1</v>
      </c>
      <c r="O26" s="253"/>
      <c r="P26" s="49"/>
      <c r="Q26" s="50"/>
    </row>
    <row r="27" spans="1:17" ht="15">
      <c r="A27" s="13">
        <f t="shared" si="5"/>
        <v>46136</v>
      </c>
      <c r="B27" s="1">
        <v>28517</v>
      </c>
      <c r="C27" s="1">
        <v>23598</v>
      </c>
      <c r="D27" s="260">
        <v>26660</v>
      </c>
      <c r="E27" s="260">
        <v>26120</v>
      </c>
      <c r="F27" s="21">
        <f t="shared" si="0"/>
        <v>0.10687346385286889</v>
      </c>
      <c r="G27" s="2">
        <f t="shared" si="1"/>
        <v>0.29232456140350876</v>
      </c>
      <c r="H27" s="2">
        <f t="shared" si="6"/>
        <v>0.28640350877192983</v>
      </c>
      <c r="I27" s="86">
        <v>7.27</v>
      </c>
      <c r="J27" s="260">
        <v>8.5180000000000007</v>
      </c>
      <c r="K27" s="21">
        <f t="shared" si="3"/>
        <v>0.17166437414030278</v>
      </c>
      <c r="L27" s="22">
        <f t="shared" si="4"/>
        <v>0.82364281212540624</v>
      </c>
      <c r="M27" s="263">
        <v>1</v>
      </c>
      <c r="N27" s="264">
        <v>1</v>
      </c>
      <c r="O27" s="253"/>
      <c r="P27" s="49"/>
      <c r="Q27" s="50"/>
    </row>
    <row r="28" spans="1:17" ht="15">
      <c r="A28" s="13">
        <f t="shared" si="5"/>
        <v>46137</v>
      </c>
      <c r="B28" s="1">
        <v>28517</v>
      </c>
      <c r="C28" s="1">
        <v>23598</v>
      </c>
      <c r="D28" s="260">
        <v>26530</v>
      </c>
      <c r="E28" s="260">
        <v>26000</v>
      </c>
      <c r="F28" s="21">
        <f t="shared" si="0"/>
        <v>0.10178828714297822</v>
      </c>
      <c r="G28" s="2">
        <f t="shared" si="1"/>
        <v>0.29089912280701752</v>
      </c>
      <c r="H28" s="2">
        <f t="shared" si="6"/>
        <v>0.28508771929824561</v>
      </c>
      <c r="I28" s="86">
        <v>7.27</v>
      </c>
      <c r="J28" s="260">
        <v>8.4749999999999996</v>
      </c>
      <c r="K28" s="21">
        <f t="shared" si="3"/>
        <v>0.16574965612104542</v>
      </c>
      <c r="L28" s="22">
        <f t="shared" si="4"/>
        <v>0.82378512653314706</v>
      </c>
      <c r="M28" s="263">
        <v>1</v>
      </c>
      <c r="N28" s="264">
        <v>1</v>
      </c>
      <c r="O28" s="253"/>
      <c r="P28" s="186"/>
      <c r="Q28" s="49"/>
    </row>
    <row r="29" spans="1:17" ht="15">
      <c r="A29" s="13">
        <f t="shared" si="5"/>
        <v>46138</v>
      </c>
      <c r="B29" s="1">
        <v>28517</v>
      </c>
      <c r="C29" s="1">
        <v>23598</v>
      </c>
      <c r="D29" s="260">
        <v>24480</v>
      </c>
      <c r="E29" s="260">
        <v>23960</v>
      </c>
      <c r="F29" s="21">
        <f t="shared" si="0"/>
        <v>1.534028307483685E-2</v>
      </c>
      <c r="G29" s="2">
        <f t="shared" si="1"/>
        <v>0.26842105263157895</v>
      </c>
      <c r="H29" s="2">
        <f t="shared" si="6"/>
        <v>0.26271929824561402</v>
      </c>
      <c r="I29" s="86">
        <v>7.27</v>
      </c>
      <c r="J29" s="260">
        <v>7.83</v>
      </c>
      <c r="K29" s="21">
        <f t="shared" si="3"/>
        <v>7.7028885832187144E-2</v>
      </c>
      <c r="L29" s="22">
        <f t="shared" si="4"/>
        <v>0.82274652147610405</v>
      </c>
      <c r="M29" s="263">
        <v>1</v>
      </c>
      <c r="N29" s="264">
        <v>0.97330000000000005</v>
      </c>
      <c r="O29" s="186">
        <v>959</v>
      </c>
      <c r="P29" s="186"/>
      <c r="Q29" s="49" t="s">
        <v>661</v>
      </c>
    </row>
    <row r="30" spans="1:17" ht="15">
      <c r="A30" s="13">
        <f t="shared" si="5"/>
        <v>46139</v>
      </c>
      <c r="B30" s="1">
        <v>28517</v>
      </c>
      <c r="C30" s="1">
        <v>23598</v>
      </c>
      <c r="D30" s="260">
        <v>26440</v>
      </c>
      <c r="E30" s="260">
        <v>25920</v>
      </c>
      <c r="F30" s="21">
        <f t="shared" si="0"/>
        <v>9.8398169336384442E-2</v>
      </c>
      <c r="G30" s="2">
        <f t="shared" si="1"/>
        <v>0.2899122807017544</v>
      </c>
      <c r="H30" s="2">
        <f t="shared" si="6"/>
        <v>0.28421052631578947</v>
      </c>
      <c r="I30" s="86">
        <v>7.27</v>
      </c>
      <c r="J30" s="260">
        <v>8.4309999999999992</v>
      </c>
      <c r="K30" s="21">
        <f t="shared" si="3"/>
        <v>0.15969738651994494</v>
      </c>
      <c r="L30" s="22">
        <f t="shared" si="4"/>
        <v>0.82527514373646138</v>
      </c>
      <c r="M30" s="263">
        <v>1</v>
      </c>
      <c r="N30" s="264">
        <v>1</v>
      </c>
      <c r="O30" s="49"/>
      <c r="P30" s="6"/>
      <c r="Q30" s="49"/>
    </row>
    <row r="31" spans="1:17" ht="15">
      <c r="A31" s="13">
        <f t="shared" si="5"/>
        <v>46140</v>
      </c>
      <c r="B31" s="1">
        <v>28517</v>
      </c>
      <c r="C31" s="1">
        <v>23598</v>
      </c>
      <c r="D31" s="246">
        <v>27300</v>
      </c>
      <c r="E31" s="6">
        <v>26760</v>
      </c>
      <c r="F31" s="21">
        <f t="shared" si="0"/>
        <v>0.13399440630561912</v>
      </c>
      <c r="G31" s="2">
        <f t="shared" si="1"/>
        <v>0.29934210526315791</v>
      </c>
      <c r="H31" s="2">
        <f t="shared" si="6"/>
        <v>0.29342105263157897</v>
      </c>
      <c r="I31" s="86">
        <v>7.27</v>
      </c>
      <c r="J31" s="6">
        <v>8.6739999999999995</v>
      </c>
      <c r="K31" s="21">
        <f t="shared" si="3"/>
        <v>0.19312242090784043</v>
      </c>
      <c r="L31" s="22">
        <f t="shared" si="4"/>
        <v>0.82824654442192647</v>
      </c>
      <c r="M31" s="263">
        <v>1</v>
      </c>
      <c r="N31" s="264">
        <v>1</v>
      </c>
      <c r="O31" s="49"/>
      <c r="P31" s="6"/>
      <c r="Q31" s="49"/>
    </row>
    <row r="32" spans="1:17" ht="15">
      <c r="A32" s="13">
        <f t="shared" si="5"/>
        <v>46141</v>
      </c>
      <c r="B32" s="1">
        <v>28517</v>
      </c>
      <c r="C32" s="1">
        <v>23598</v>
      </c>
      <c r="D32" s="6">
        <v>28950</v>
      </c>
      <c r="E32" s="6">
        <v>28360</v>
      </c>
      <c r="F32" s="21">
        <f t="shared" si="0"/>
        <v>0.2017967624374947</v>
      </c>
      <c r="G32" s="2">
        <f t="shared" si="1"/>
        <v>0.31743421052631576</v>
      </c>
      <c r="H32" s="2">
        <f t="shared" si="6"/>
        <v>0.31096491228070178</v>
      </c>
      <c r="I32" s="86">
        <v>7.27</v>
      </c>
      <c r="J32" s="6">
        <v>9.2319999999999993</v>
      </c>
      <c r="K32" s="21">
        <f t="shared" si="3"/>
        <v>0.26987620357634112</v>
      </c>
      <c r="L32" s="22">
        <f t="shared" si="4"/>
        <v>0.82521891817933046</v>
      </c>
      <c r="M32" s="263">
        <v>1</v>
      </c>
      <c r="N32" s="264">
        <v>1</v>
      </c>
      <c r="O32" s="49"/>
      <c r="P32" s="6"/>
      <c r="Q32" s="49"/>
    </row>
    <row r="33" spans="1:17" ht="15">
      <c r="A33" s="13">
        <f t="shared" si="5"/>
        <v>46142</v>
      </c>
      <c r="B33" s="1">
        <v>28517</v>
      </c>
      <c r="C33" s="1">
        <v>23598</v>
      </c>
      <c r="D33" s="6">
        <v>27060</v>
      </c>
      <c r="E33" s="6">
        <v>26480</v>
      </c>
      <c r="F33" s="21">
        <f t="shared" si="0"/>
        <v>0.12212899398254089</v>
      </c>
      <c r="G33" s="2">
        <f t="shared" si="1"/>
        <v>0.29671052631578948</v>
      </c>
      <c r="H33" s="2">
        <f t="shared" si="6"/>
        <v>0.29035087719298247</v>
      </c>
      <c r="I33" s="86">
        <v>7.27</v>
      </c>
      <c r="J33" s="6">
        <v>8.4710000000000001</v>
      </c>
      <c r="K33" s="21">
        <f t="shared" si="3"/>
        <v>0.16519944979367271</v>
      </c>
      <c r="L33" s="22">
        <f t="shared" si="4"/>
        <v>0.8406389601675065</v>
      </c>
      <c r="M33" s="311">
        <v>0.98</v>
      </c>
      <c r="N33" s="264">
        <v>1</v>
      </c>
      <c r="O33" s="49"/>
      <c r="P33" s="6">
        <v>288</v>
      </c>
      <c r="Q33" s="49" t="s">
        <v>662</v>
      </c>
    </row>
    <row r="34" spans="1:17">
      <c r="A34" s="349">
        <v>46113</v>
      </c>
      <c r="B34" s="89">
        <f>SUM(B4:B33)</f>
        <v>855510</v>
      </c>
      <c r="C34" s="89">
        <f>SUM(C4:C33)</f>
        <v>707940</v>
      </c>
      <c r="D34" s="89">
        <f>SUM(D4:D33)</f>
        <v>762672</v>
      </c>
      <c r="E34" s="89">
        <f>SUM(E4:E33)</f>
        <v>747600</v>
      </c>
      <c r="F34" s="160">
        <f t="shared" si="0"/>
        <v>5.6021696753962201E-2</v>
      </c>
      <c r="G34" s="90">
        <f>AVERAGE(G4:G33)</f>
        <v>0.27875438596491225</v>
      </c>
      <c r="H34" s="90">
        <f>AVERAGE(H4:H33)</f>
        <v>0.33039080071974808</v>
      </c>
      <c r="I34" s="89">
        <f>SUM(I4:I33)</f>
        <v>218.10000000000008</v>
      </c>
      <c r="J34" s="89">
        <f>SUM(J4:J33)</f>
        <v>241.74300000000005</v>
      </c>
      <c r="K34" s="160">
        <f t="shared" si="3"/>
        <v>0.10840440165061882</v>
      </c>
      <c r="L34" s="161">
        <f t="shared" si="4"/>
        <v>0.83023358647297674</v>
      </c>
      <c r="M34" s="90">
        <f>AVERAGE(M4:M33)</f>
        <v>0.99395999999999995</v>
      </c>
      <c r="N34" s="90">
        <f>AVERAGE(N4:N33)</f>
        <v>0.99526000000000014</v>
      </c>
      <c r="O34" s="89">
        <f>SUM(O4:O33)</f>
        <v>3730</v>
      </c>
      <c r="P34" s="89">
        <f>SUM(P4:P33)</f>
        <v>7267</v>
      </c>
      <c r="Q34" s="19"/>
    </row>
    <row r="35" spans="1:17" ht="15">
      <c r="A35" s="13">
        <v>46143</v>
      </c>
      <c r="B35" s="127">
        <f>590121/31</f>
        <v>19036.16129032258</v>
      </c>
      <c r="C35" s="127">
        <f>736580/31</f>
        <v>23760.645161290322</v>
      </c>
      <c r="D35" s="33">
        <v>11200</v>
      </c>
      <c r="E35" s="33">
        <v>109600</v>
      </c>
      <c r="F35" s="20">
        <f t="shared" si="0"/>
        <v>3.6126693638165577</v>
      </c>
      <c r="G35" s="2">
        <f t="shared" ref="G35:G57" si="7">D35/($D$2*24)</f>
        <v>0.12280701754385964</v>
      </c>
      <c r="H35" s="2">
        <f t="shared" ref="H35:H61" si="8">D35/($H$2*24)</f>
        <v>0.16317016317016317</v>
      </c>
      <c r="I35" s="350">
        <f>223/31</f>
        <v>7.193548387096774</v>
      </c>
      <c r="J35" s="33">
        <v>3.4350000000000001</v>
      </c>
      <c r="K35" s="20">
        <f t="shared" si="3"/>
        <v>-0.52248878923766817</v>
      </c>
      <c r="L35" s="4">
        <f t="shared" si="4"/>
        <v>0.85804029724967446</v>
      </c>
      <c r="M35" s="263">
        <v>1</v>
      </c>
      <c r="N35" s="104">
        <v>0.54669999999999996</v>
      </c>
      <c r="O35" s="34">
        <v>15001</v>
      </c>
      <c r="P35" s="6"/>
      <c r="Q35" s="6" t="s">
        <v>663</v>
      </c>
    </row>
    <row r="36" spans="1:17" ht="15">
      <c r="A36" s="13">
        <f>A35+1</f>
        <v>46144</v>
      </c>
      <c r="B36" s="127">
        <f t="shared" ref="B36:B65" si="9">590121/31</f>
        <v>19036.16129032258</v>
      </c>
      <c r="C36" s="127">
        <f t="shared" ref="C36:C65" si="10">736580/31</f>
        <v>23760.645161290322</v>
      </c>
      <c r="D36" s="34">
        <v>27080</v>
      </c>
      <c r="E36" s="34">
        <v>26520</v>
      </c>
      <c r="F36" s="20">
        <f t="shared" ref="F36:F54" si="11">(IF(ISBLANK(E36),0,E36-C36))/C36</f>
        <v>0.1161313095658313</v>
      </c>
      <c r="G36" s="2">
        <f t="shared" si="7"/>
        <v>0.29692982456140349</v>
      </c>
      <c r="H36" s="2">
        <f t="shared" si="8"/>
        <v>0.39452214452214451</v>
      </c>
      <c r="I36" s="350">
        <f t="shared" ref="I36:I65" si="12">223/31</f>
        <v>7.193548387096774</v>
      </c>
      <c r="J36" s="34">
        <v>8.5</v>
      </c>
      <c r="K36" s="20">
        <f t="shared" ref="K36:K54" si="13">(IF(ISBLANK(J36),0,J36-I36))/I36</f>
        <v>0.18161434977578478</v>
      </c>
      <c r="L36" s="4">
        <f t="shared" ref="L36:L66" si="14">D36/($D$2*J36)</f>
        <v>0.83839009287925692</v>
      </c>
      <c r="M36" s="263">
        <v>1</v>
      </c>
      <c r="N36" s="263">
        <v>1</v>
      </c>
      <c r="O36" s="34"/>
      <c r="P36" s="6"/>
      <c r="Q36" s="6"/>
    </row>
    <row r="37" spans="1:17" ht="15">
      <c r="A37" s="13">
        <f t="shared" ref="A37:A65" si="15">A36+1</f>
        <v>46145</v>
      </c>
      <c r="B37" s="127">
        <f t="shared" si="9"/>
        <v>19036.16129032258</v>
      </c>
      <c r="C37" s="127">
        <f t="shared" si="10"/>
        <v>23760.645161290322</v>
      </c>
      <c r="D37" s="34">
        <v>26350</v>
      </c>
      <c r="E37" s="34">
        <v>25840</v>
      </c>
      <c r="F37" s="20">
        <f t="shared" si="11"/>
        <v>8.7512558038502289E-2</v>
      </c>
      <c r="G37" s="2">
        <f t="shared" si="7"/>
        <v>0.28892543859649122</v>
      </c>
      <c r="H37" s="2">
        <f t="shared" si="8"/>
        <v>0.38388694638694637</v>
      </c>
      <c r="I37" s="350">
        <f t="shared" si="12"/>
        <v>7.193548387096774</v>
      </c>
      <c r="J37" s="34">
        <v>8.34</v>
      </c>
      <c r="K37" s="20">
        <f t="shared" si="13"/>
        <v>0.15937219730941704</v>
      </c>
      <c r="L37" s="4">
        <f t="shared" si="14"/>
        <v>0.83144011106903948</v>
      </c>
      <c r="M37" s="104">
        <v>0.98</v>
      </c>
      <c r="N37" s="263">
        <v>1</v>
      </c>
      <c r="O37" s="34"/>
      <c r="P37" s="6">
        <v>1062</v>
      </c>
      <c r="Q37" s="6" t="s">
        <v>664</v>
      </c>
    </row>
    <row r="38" spans="1:17" ht="15">
      <c r="A38" s="13">
        <f t="shared" si="15"/>
        <v>46146</v>
      </c>
      <c r="B38" s="127">
        <f t="shared" si="9"/>
        <v>19036.16129032258</v>
      </c>
      <c r="C38" s="127">
        <f t="shared" si="10"/>
        <v>23760.645161290322</v>
      </c>
      <c r="D38" s="34">
        <v>23300</v>
      </c>
      <c r="E38" s="34">
        <v>22800</v>
      </c>
      <c r="F38" s="20">
        <f t="shared" si="11"/>
        <v>-4.043009584838033E-2</v>
      </c>
      <c r="G38" s="2">
        <f t="shared" si="7"/>
        <v>0.25548245614035087</v>
      </c>
      <c r="H38" s="2">
        <f t="shared" si="8"/>
        <v>0.33945221445221446</v>
      </c>
      <c r="I38" s="350">
        <f t="shared" si="12"/>
        <v>7.193548387096774</v>
      </c>
      <c r="J38" s="34">
        <v>7.2930000000000001</v>
      </c>
      <c r="K38" s="20">
        <f t="shared" si="13"/>
        <v>1.3825112107623364E-2</v>
      </c>
      <c r="L38" s="4">
        <f t="shared" si="14"/>
        <v>0.84074851876709455</v>
      </c>
      <c r="M38" s="263">
        <v>1</v>
      </c>
      <c r="N38" s="263">
        <v>1</v>
      </c>
      <c r="O38" s="34"/>
      <c r="P38" s="6"/>
      <c r="Q38" s="14"/>
    </row>
    <row r="39" spans="1:17" ht="15">
      <c r="A39" s="13">
        <f t="shared" si="15"/>
        <v>46147</v>
      </c>
      <c r="B39" s="127">
        <f t="shared" si="9"/>
        <v>19036.16129032258</v>
      </c>
      <c r="C39" s="127">
        <f t="shared" si="10"/>
        <v>23760.645161290322</v>
      </c>
      <c r="D39" s="34">
        <v>17590</v>
      </c>
      <c r="E39" s="34">
        <v>17200</v>
      </c>
      <c r="F39" s="20">
        <f t="shared" si="11"/>
        <v>-0.2761139319557957</v>
      </c>
      <c r="G39" s="2">
        <f t="shared" si="7"/>
        <v>0.19287280701754386</v>
      </c>
      <c r="H39" s="2">
        <f t="shared" si="8"/>
        <v>0.25626456876456877</v>
      </c>
      <c r="I39" s="350">
        <f t="shared" si="12"/>
        <v>7.193548387096774</v>
      </c>
      <c r="J39" s="34">
        <v>5.48</v>
      </c>
      <c r="K39" s="20">
        <f t="shared" si="13"/>
        <v>-0.23820627802690575</v>
      </c>
      <c r="L39" s="4">
        <f t="shared" si="14"/>
        <v>0.84469842489435265</v>
      </c>
      <c r="M39" s="263">
        <v>1</v>
      </c>
      <c r="N39" s="104">
        <v>0.80669999999999997</v>
      </c>
      <c r="O39" s="34">
        <v>5240</v>
      </c>
      <c r="P39" s="6"/>
      <c r="Q39" s="6" t="s">
        <v>663</v>
      </c>
    </row>
    <row r="40" spans="1:17">
      <c r="A40" s="13">
        <f t="shared" si="15"/>
        <v>46148</v>
      </c>
      <c r="B40" s="127">
        <f t="shared" si="9"/>
        <v>19036.16129032258</v>
      </c>
      <c r="C40" s="127">
        <f t="shared" si="10"/>
        <v>23760.645161290322</v>
      </c>
      <c r="D40" s="34"/>
      <c r="E40" s="34"/>
      <c r="F40" s="20">
        <f t="shared" si="11"/>
        <v>0</v>
      </c>
      <c r="G40" s="2">
        <f t="shared" si="7"/>
        <v>0</v>
      </c>
      <c r="H40" s="2">
        <f t="shared" si="8"/>
        <v>0</v>
      </c>
      <c r="I40" s="350">
        <f t="shared" si="12"/>
        <v>7.193548387096774</v>
      </c>
      <c r="J40" s="34"/>
      <c r="K40" s="20">
        <f t="shared" si="13"/>
        <v>0</v>
      </c>
      <c r="L40" s="4" t="e">
        <f t="shared" si="14"/>
        <v>#DIV/0!</v>
      </c>
      <c r="M40" s="103"/>
      <c r="N40" s="103"/>
      <c r="O40" s="34"/>
      <c r="P40" s="6"/>
      <c r="Q40" s="14"/>
    </row>
    <row r="41" spans="1:17">
      <c r="A41" s="13">
        <f t="shared" si="15"/>
        <v>46149</v>
      </c>
      <c r="B41" s="127">
        <f t="shared" si="9"/>
        <v>19036.16129032258</v>
      </c>
      <c r="C41" s="127">
        <f t="shared" si="10"/>
        <v>23760.645161290322</v>
      </c>
      <c r="D41" s="34"/>
      <c r="E41" s="34"/>
      <c r="F41" s="20">
        <f t="shared" si="11"/>
        <v>0</v>
      </c>
      <c r="G41" s="2">
        <f t="shared" si="7"/>
        <v>0</v>
      </c>
      <c r="H41" s="2">
        <f t="shared" si="8"/>
        <v>0</v>
      </c>
      <c r="I41" s="350">
        <f t="shared" si="12"/>
        <v>7.193548387096774</v>
      </c>
      <c r="J41" s="34"/>
      <c r="K41" s="20">
        <f t="shared" si="13"/>
        <v>0</v>
      </c>
      <c r="L41" s="4" t="e">
        <f t="shared" si="14"/>
        <v>#DIV/0!</v>
      </c>
      <c r="M41" s="103"/>
      <c r="N41" s="103"/>
      <c r="O41" s="34"/>
      <c r="P41" s="6"/>
      <c r="Q41" s="202"/>
    </row>
    <row r="42" spans="1:17">
      <c r="A42" s="13">
        <f t="shared" si="15"/>
        <v>46150</v>
      </c>
      <c r="B42" s="127">
        <f t="shared" si="9"/>
        <v>19036.16129032258</v>
      </c>
      <c r="C42" s="127">
        <f t="shared" si="10"/>
        <v>23760.645161290322</v>
      </c>
      <c r="D42" s="34"/>
      <c r="E42" s="34"/>
      <c r="F42" s="20">
        <f t="shared" si="11"/>
        <v>0</v>
      </c>
      <c r="G42" s="2">
        <f t="shared" si="7"/>
        <v>0</v>
      </c>
      <c r="H42" s="2">
        <f t="shared" si="8"/>
        <v>0</v>
      </c>
      <c r="I42" s="350">
        <f t="shared" si="12"/>
        <v>7.193548387096774</v>
      </c>
      <c r="J42" s="34"/>
      <c r="K42" s="20">
        <f t="shared" si="13"/>
        <v>0</v>
      </c>
      <c r="L42" s="4" t="e">
        <f t="shared" si="14"/>
        <v>#DIV/0!</v>
      </c>
      <c r="M42" s="103"/>
      <c r="N42" s="103"/>
      <c r="O42" s="34"/>
      <c r="P42" s="6"/>
      <c r="Q42" s="14"/>
    </row>
    <row r="43" spans="1:17">
      <c r="A43" s="13">
        <f t="shared" si="15"/>
        <v>46151</v>
      </c>
      <c r="B43" s="127">
        <f t="shared" si="9"/>
        <v>19036.16129032258</v>
      </c>
      <c r="C43" s="127">
        <f t="shared" si="10"/>
        <v>23760.645161290322</v>
      </c>
      <c r="D43" s="34"/>
      <c r="E43" s="34"/>
      <c r="F43" s="20">
        <f t="shared" si="11"/>
        <v>0</v>
      </c>
      <c r="G43" s="2">
        <f t="shared" si="7"/>
        <v>0</v>
      </c>
      <c r="H43" s="2">
        <f t="shared" si="8"/>
        <v>0</v>
      </c>
      <c r="I43" s="350">
        <f t="shared" si="12"/>
        <v>7.193548387096774</v>
      </c>
      <c r="J43" s="34"/>
      <c r="K43" s="20">
        <f t="shared" si="13"/>
        <v>0</v>
      </c>
      <c r="L43" s="4" t="e">
        <f t="shared" si="14"/>
        <v>#DIV/0!</v>
      </c>
      <c r="M43" s="103"/>
      <c r="N43" s="103"/>
      <c r="O43" s="34"/>
      <c r="P43" s="6"/>
      <c r="Q43" s="6"/>
    </row>
    <row r="44" spans="1:17">
      <c r="A44" s="13">
        <f t="shared" si="15"/>
        <v>46152</v>
      </c>
      <c r="B44" s="127">
        <f t="shared" si="9"/>
        <v>19036.16129032258</v>
      </c>
      <c r="C44" s="127">
        <f t="shared" si="10"/>
        <v>23760.645161290322</v>
      </c>
      <c r="D44" s="34"/>
      <c r="E44" s="34"/>
      <c r="F44" s="20">
        <f t="shared" si="11"/>
        <v>0</v>
      </c>
      <c r="G44" s="2">
        <f t="shared" si="7"/>
        <v>0</v>
      </c>
      <c r="H44" s="2">
        <f t="shared" si="8"/>
        <v>0</v>
      </c>
      <c r="I44" s="350">
        <f t="shared" si="12"/>
        <v>7.193548387096774</v>
      </c>
      <c r="J44" s="34"/>
      <c r="K44" s="20">
        <f t="shared" si="13"/>
        <v>0</v>
      </c>
      <c r="L44" s="4" t="e">
        <f t="shared" si="14"/>
        <v>#DIV/0!</v>
      </c>
      <c r="M44" s="103"/>
      <c r="N44" s="103"/>
      <c r="O44" s="34"/>
      <c r="P44" s="6"/>
      <c r="Q44" s="16"/>
    </row>
    <row r="45" spans="1:17">
      <c r="A45" s="13">
        <f t="shared" si="15"/>
        <v>46153</v>
      </c>
      <c r="B45" s="127">
        <f t="shared" si="9"/>
        <v>19036.16129032258</v>
      </c>
      <c r="C45" s="127">
        <f t="shared" si="10"/>
        <v>23760.645161290322</v>
      </c>
      <c r="D45" s="34"/>
      <c r="E45" s="34"/>
      <c r="F45" s="20">
        <f t="shared" si="11"/>
        <v>0</v>
      </c>
      <c r="G45" s="2">
        <f t="shared" si="7"/>
        <v>0</v>
      </c>
      <c r="H45" s="2">
        <f t="shared" si="8"/>
        <v>0</v>
      </c>
      <c r="I45" s="350">
        <f t="shared" si="12"/>
        <v>7.193548387096774</v>
      </c>
      <c r="J45" s="34"/>
      <c r="K45" s="20">
        <f t="shared" si="13"/>
        <v>0</v>
      </c>
      <c r="L45" s="4" t="e">
        <f t="shared" si="14"/>
        <v>#DIV/0!</v>
      </c>
      <c r="M45" s="103"/>
      <c r="N45" s="103"/>
      <c r="O45" s="34"/>
      <c r="P45" s="6"/>
      <c r="Q45" s="6"/>
    </row>
    <row r="46" spans="1:17">
      <c r="A46" s="13">
        <f t="shared" si="15"/>
        <v>46154</v>
      </c>
      <c r="B46" s="127">
        <f t="shared" si="9"/>
        <v>19036.16129032258</v>
      </c>
      <c r="C46" s="127">
        <f t="shared" si="10"/>
        <v>23760.645161290322</v>
      </c>
      <c r="D46" s="34"/>
      <c r="E46" s="34"/>
      <c r="F46" s="20">
        <f t="shared" si="11"/>
        <v>0</v>
      </c>
      <c r="G46" s="2">
        <f t="shared" si="7"/>
        <v>0</v>
      </c>
      <c r="H46" s="2">
        <f t="shared" si="8"/>
        <v>0</v>
      </c>
      <c r="I46" s="350">
        <f t="shared" si="12"/>
        <v>7.193548387096774</v>
      </c>
      <c r="J46" s="34"/>
      <c r="K46" s="20">
        <f t="shared" si="13"/>
        <v>0</v>
      </c>
      <c r="L46" s="4" t="e">
        <f t="shared" si="14"/>
        <v>#DIV/0!</v>
      </c>
      <c r="M46" s="104"/>
      <c r="N46" s="103"/>
      <c r="O46" s="34"/>
      <c r="P46" s="6"/>
      <c r="Q46" s="6"/>
    </row>
    <row r="47" spans="1:17">
      <c r="A47" s="13">
        <f t="shared" si="15"/>
        <v>46155</v>
      </c>
      <c r="B47" s="127">
        <f t="shared" si="9"/>
        <v>19036.16129032258</v>
      </c>
      <c r="C47" s="127">
        <f t="shared" si="10"/>
        <v>23760.645161290322</v>
      </c>
      <c r="D47" s="34"/>
      <c r="E47" s="34"/>
      <c r="F47" s="20">
        <f t="shared" si="11"/>
        <v>0</v>
      </c>
      <c r="G47" s="2">
        <f t="shared" si="7"/>
        <v>0</v>
      </c>
      <c r="H47" s="2">
        <f t="shared" si="8"/>
        <v>0</v>
      </c>
      <c r="I47" s="350">
        <f t="shared" si="12"/>
        <v>7.193548387096774</v>
      </c>
      <c r="J47" s="34"/>
      <c r="K47" s="20">
        <f t="shared" si="13"/>
        <v>0</v>
      </c>
      <c r="L47" s="4" t="e">
        <f t="shared" si="14"/>
        <v>#DIV/0!</v>
      </c>
      <c r="M47" s="104"/>
      <c r="N47" s="103"/>
      <c r="O47" s="34"/>
      <c r="P47" s="6"/>
      <c r="Q47" s="31"/>
    </row>
    <row r="48" spans="1:17">
      <c r="A48" s="13">
        <f t="shared" si="15"/>
        <v>46156</v>
      </c>
      <c r="B48" s="127">
        <f t="shared" si="9"/>
        <v>19036.16129032258</v>
      </c>
      <c r="C48" s="127">
        <f t="shared" si="10"/>
        <v>23760.645161290322</v>
      </c>
      <c r="D48" s="34"/>
      <c r="E48" s="34"/>
      <c r="F48" s="20">
        <f t="shared" si="11"/>
        <v>0</v>
      </c>
      <c r="G48" s="2">
        <f t="shared" si="7"/>
        <v>0</v>
      </c>
      <c r="H48" s="2">
        <f t="shared" si="8"/>
        <v>0</v>
      </c>
      <c r="I48" s="350">
        <f t="shared" si="12"/>
        <v>7.193548387096774</v>
      </c>
      <c r="J48" s="34"/>
      <c r="K48" s="20">
        <f t="shared" si="13"/>
        <v>0</v>
      </c>
      <c r="L48" s="4" t="e">
        <f t="shared" si="14"/>
        <v>#DIV/0!</v>
      </c>
      <c r="M48" s="104"/>
      <c r="N48" s="103"/>
      <c r="O48" s="34"/>
      <c r="P48" s="6"/>
      <c r="Q48" s="32"/>
    </row>
    <row r="49" spans="1:17">
      <c r="A49" s="13">
        <f t="shared" si="15"/>
        <v>46157</v>
      </c>
      <c r="B49" s="127">
        <f t="shared" si="9"/>
        <v>19036.16129032258</v>
      </c>
      <c r="C49" s="127">
        <f t="shared" si="10"/>
        <v>23760.645161290322</v>
      </c>
      <c r="D49" s="34"/>
      <c r="E49" s="34"/>
      <c r="F49" s="20">
        <f t="shared" si="11"/>
        <v>0</v>
      </c>
      <c r="G49" s="2">
        <f t="shared" si="7"/>
        <v>0</v>
      </c>
      <c r="H49" s="2">
        <f t="shared" si="8"/>
        <v>0</v>
      </c>
      <c r="I49" s="350">
        <f t="shared" si="12"/>
        <v>7.193548387096774</v>
      </c>
      <c r="J49" s="34"/>
      <c r="K49" s="20">
        <f t="shared" si="13"/>
        <v>0</v>
      </c>
      <c r="L49" s="4" t="e">
        <f t="shared" si="14"/>
        <v>#DIV/0!</v>
      </c>
      <c r="M49" s="104"/>
      <c r="N49" s="103"/>
      <c r="O49" s="34"/>
      <c r="P49" s="6"/>
      <c r="Q49" s="32"/>
    </row>
    <row r="50" spans="1:17">
      <c r="A50" s="13">
        <f t="shared" si="15"/>
        <v>46158</v>
      </c>
      <c r="B50" s="127">
        <f t="shared" si="9"/>
        <v>19036.16129032258</v>
      </c>
      <c r="C50" s="127">
        <f t="shared" si="10"/>
        <v>23760.645161290322</v>
      </c>
      <c r="D50" s="34"/>
      <c r="E50" s="34"/>
      <c r="F50" s="20">
        <f t="shared" si="11"/>
        <v>0</v>
      </c>
      <c r="G50" s="2">
        <f t="shared" si="7"/>
        <v>0</v>
      </c>
      <c r="H50" s="2">
        <f t="shared" si="8"/>
        <v>0</v>
      </c>
      <c r="I50" s="350">
        <f t="shared" si="12"/>
        <v>7.193548387096774</v>
      </c>
      <c r="J50" s="34"/>
      <c r="K50" s="20">
        <f t="shared" si="13"/>
        <v>0</v>
      </c>
      <c r="L50" s="4" t="e">
        <f t="shared" si="14"/>
        <v>#DIV/0!</v>
      </c>
      <c r="M50" s="104"/>
      <c r="N50" s="103"/>
      <c r="O50" s="34"/>
      <c r="P50" s="6"/>
      <c r="Q50" s="32"/>
    </row>
    <row r="51" spans="1:17">
      <c r="A51" s="13">
        <f t="shared" si="15"/>
        <v>46159</v>
      </c>
      <c r="B51" s="127">
        <f t="shared" si="9"/>
        <v>19036.16129032258</v>
      </c>
      <c r="C51" s="127">
        <f t="shared" si="10"/>
        <v>23760.645161290322</v>
      </c>
      <c r="D51" s="34"/>
      <c r="E51" s="34"/>
      <c r="F51" s="20">
        <f t="shared" si="11"/>
        <v>0</v>
      </c>
      <c r="G51" s="2">
        <f t="shared" si="7"/>
        <v>0</v>
      </c>
      <c r="H51" s="2">
        <f t="shared" si="8"/>
        <v>0</v>
      </c>
      <c r="I51" s="350">
        <f t="shared" si="12"/>
        <v>7.193548387096774</v>
      </c>
      <c r="J51" s="34"/>
      <c r="K51" s="20">
        <f t="shared" si="13"/>
        <v>0</v>
      </c>
      <c r="L51" s="4" t="e">
        <f t="shared" si="14"/>
        <v>#DIV/0!</v>
      </c>
      <c r="M51" s="103"/>
      <c r="N51" s="103"/>
      <c r="O51" s="34"/>
      <c r="P51" s="6"/>
      <c r="Q51" s="6"/>
    </row>
    <row r="52" spans="1:17">
      <c r="A52" s="13">
        <f t="shared" si="15"/>
        <v>46160</v>
      </c>
      <c r="B52" s="127">
        <f t="shared" si="9"/>
        <v>19036.16129032258</v>
      </c>
      <c r="C52" s="127">
        <f t="shared" si="10"/>
        <v>23760.645161290322</v>
      </c>
      <c r="D52" s="34"/>
      <c r="E52" s="34"/>
      <c r="F52" s="20">
        <f t="shared" si="11"/>
        <v>0</v>
      </c>
      <c r="G52" s="2">
        <f t="shared" si="7"/>
        <v>0</v>
      </c>
      <c r="H52" s="2">
        <f t="shared" si="8"/>
        <v>0</v>
      </c>
      <c r="I52" s="350">
        <f t="shared" si="12"/>
        <v>7.193548387096774</v>
      </c>
      <c r="J52" s="34"/>
      <c r="K52" s="20">
        <f t="shared" si="13"/>
        <v>0</v>
      </c>
      <c r="L52" s="4" t="e">
        <f t="shared" si="14"/>
        <v>#DIV/0!</v>
      </c>
      <c r="M52" s="103"/>
      <c r="N52" s="103"/>
      <c r="O52" s="34"/>
      <c r="P52" s="6"/>
      <c r="Q52" s="14"/>
    </row>
    <row r="53" spans="1:17">
      <c r="A53" s="13">
        <f t="shared" si="15"/>
        <v>46161</v>
      </c>
      <c r="B53" s="127">
        <f t="shared" si="9"/>
        <v>19036.16129032258</v>
      </c>
      <c r="C53" s="127">
        <f t="shared" si="10"/>
        <v>23760.645161290322</v>
      </c>
      <c r="D53" s="34"/>
      <c r="E53" s="34"/>
      <c r="F53" s="20">
        <f t="shared" si="11"/>
        <v>0</v>
      </c>
      <c r="G53" s="2">
        <f t="shared" si="7"/>
        <v>0</v>
      </c>
      <c r="H53" s="2">
        <f t="shared" si="8"/>
        <v>0</v>
      </c>
      <c r="I53" s="350">
        <f t="shared" si="12"/>
        <v>7.193548387096774</v>
      </c>
      <c r="J53" s="34"/>
      <c r="K53" s="20">
        <f t="shared" si="13"/>
        <v>0</v>
      </c>
      <c r="L53" s="4" t="e">
        <f t="shared" si="14"/>
        <v>#DIV/0!</v>
      </c>
      <c r="M53" s="103"/>
      <c r="N53" s="103"/>
      <c r="O53" s="34"/>
      <c r="P53" s="6"/>
      <c r="Q53" s="14"/>
    </row>
    <row r="54" spans="1:17">
      <c r="A54" s="13">
        <f t="shared" si="15"/>
        <v>46162</v>
      </c>
      <c r="B54" s="127">
        <f t="shared" si="9"/>
        <v>19036.16129032258</v>
      </c>
      <c r="C54" s="127">
        <f t="shared" si="10"/>
        <v>23760.645161290322</v>
      </c>
      <c r="D54" s="34"/>
      <c r="E54" s="34"/>
      <c r="F54" s="20">
        <f t="shared" si="11"/>
        <v>0</v>
      </c>
      <c r="G54" s="2">
        <f t="shared" si="7"/>
        <v>0</v>
      </c>
      <c r="H54" s="2">
        <f t="shared" si="8"/>
        <v>0</v>
      </c>
      <c r="I54" s="350">
        <f t="shared" si="12"/>
        <v>7.193548387096774</v>
      </c>
      <c r="J54" s="34"/>
      <c r="K54" s="20">
        <f t="shared" si="13"/>
        <v>0</v>
      </c>
      <c r="L54" s="4" t="e">
        <f t="shared" si="14"/>
        <v>#DIV/0!</v>
      </c>
      <c r="M54" s="103"/>
      <c r="N54" s="103"/>
      <c r="O54" s="34"/>
      <c r="P54" s="6"/>
      <c r="Q54" s="14"/>
    </row>
    <row r="55" spans="1:17">
      <c r="A55" s="13">
        <f t="shared" si="15"/>
        <v>46163</v>
      </c>
      <c r="B55" s="127">
        <f t="shared" si="9"/>
        <v>19036.16129032258</v>
      </c>
      <c r="C55" s="127">
        <f t="shared" si="10"/>
        <v>23760.645161290322</v>
      </c>
      <c r="D55" s="34"/>
      <c r="E55" s="34"/>
      <c r="F55" s="20">
        <f>(IF(ISBLANK(E55),0,E55-C55))/C55</f>
        <v>0</v>
      </c>
      <c r="G55" s="2">
        <f t="shared" si="7"/>
        <v>0</v>
      </c>
      <c r="H55" s="2">
        <f t="shared" si="8"/>
        <v>0</v>
      </c>
      <c r="I55" s="350">
        <f t="shared" si="12"/>
        <v>7.193548387096774</v>
      </c>
      <c r="J55" s="34"/>
      <c r="K55" s="20">
        <f>(IF(ISBLANK(J55),0,J55-I55))/I55</f>
        <v>0</v>
      </c>
      <c r="L55" s="4" t="e">
        <f t="shared" si="14"/>
        <v>#DIV/0!</v>
      </c>
      <c r="M55" s="103"/>
      <c r="N55" s="103"/>
      <c r="O55" s="34"/>
      <c r="P55" s="6"/>
      <c r="Q55" s="6"/>
    </row>
    <row r="56" spans="1:17">
      <c r="A56" s="13">
        <f t="shared" si="15"/>
        <v>46164</v>
      </c>
      <c r="B56" s="127">
        <f t="shared" si="9"/>
        <v>19036.16129032258</v>
      </c>
      <c r="C56" s="127">
        <f t="shared" si="10"/>
        <v>23760.645161290322</v>
      </c>
      <c r="D56" s="34"/>
      <c r="E56" s="34"/>
      <c r="F56" s="20">
        <f t="shared" ref="F56:F65" si="16">(IF(ISBLANK(E56),0,E56-C56))/C56</f>
        <v>0</v>
      </c>
      <c r="G56" s="2">
        <f t="shared" si="7"/>
        <v>0</v>
      </c>
      <c r="H56" s="2">
        <f t="shared" si="8"/>
        <v>0</v>
      </c>
      <c r="I56" s="350">
        <f t="shared" si="12"/>
        <v>7.193548387096774</v>
      </c>
      <c r="J56" s="34"/>
      <c r="K56" s="20">
        <f t="shared" ref="K56:K65" si="17">(IF(ISBLANK(J56),0,J56-I56))/I56</f>
        <v>0</v>
      </c>
      <c r="L56" s="4" t="e">
        <f t="shared" si="14"/>
        <v>#DIV/0!</v>
      </c>
      <c r="M56" s="103"/>
      <c r="N56" s="103"/>
      <c r="O56" s="34"/>
      <c r="P56" s="6"/>
      <c r="Q56" s="6"/>
    </row>
    <row r="57" spans="1:17">
      <c r="A57" s="13">
        <f t="shared" si="15"/>
        <v>46165</v>
      </c>
      <c r="B57" s="127">
        <f t="shared" si="9"/>
        <v>19036.16129032258</v>
      </c>
      <c r="C57" s="127">
        <f t="shared" si="10"/>
        <v>23760.645161290322</v>
      </c>
      <c r="D57" s="14"/>
      <c r="E57" s="14"/>
      <c r="F57" s="20">
        <f t="shared" si="16"/>
        <v>0</v>
      </c>
      <c r="G57" s="2">
        <f t="shared" si="7"/>
        <v>0</v>
      </c>
      <c r="H57" s="2">
        <f t="shared" si="8"/>
        <v>0</v>
      </c>
      <c r="I57" s="350">
        <f t="shared" si="12"/>
        <v>7.193548387096774</v>
      </c>
      <c r="J57" s="14"/>
      <c r="K57" s="20">
        <f t="shared" si="17"/>
        <v>0</v>
      </c>
      <c r="L57" s="4" t="e">
        <f t="shared" si="14"/>
        <v>#DIV/0!</v>
      </c>
      <c r="M57" s="103"/>
      <c r="N57" s="103"/>
      <c r="O57" s="34"/>
      <c r="P57" s="6"/>
      <c r="Q57" s="6"/>
    </row>
    <row r="58" spans="1:17">
      <c r="A58" s="13">
        <f t="shared" si="15"/>
        <v>46166</v>
      </c>
      <c r="B58" s="127">
        <f t="shared" si="9"/>
        <v>19036.16129032258</v>
      </c>
      <c r="C58" s="127">
        <f t="shared" si="10"/>
        <v>23760.645161290322</v>
      </c>
      <c r="D58" s="14"/>
      <c r="E58" s="14"/>
      <c r="F58" s="20">
        <f t="shared" si="16"/>
        <v>0</v>
      </c>
      <c r="G58" s="2">
        <f t="shared" ref="G58:G65" si="18">D58/($D$2*24)</f>
        <v>0</v>
      </c>
      <c r="H58" s="2">
        <f t="shared" si="8"/>
        <v>0</v>
      </c>
      <c r="I58" s="350">
        <f t="shared" si="12"/>
        <v>7.193548387096774</v>
      </c>
      <c r="J58" s="14"/>
      <c r="K58" s="20">
        <f t="shared" si="17"/>
        <v>0</v>
      </c>
      <c r="L58" s="4" t="e">
        <f t="shared" si="14"/>
        <v>#DIV/0!</v>
      </c>
      <c r="M58" s="103"/>
      <c r="N58" s="103"/>
      <c r="O58" s="34"/>
      <c r="P58" s="6"/>
      <c r="Q58" s="288"/>
    </row>
    <row r="59" spans="1:17">
      <c r="A59" s="13">
        <f t="shared" si="15"/>
        <v>46167</v>
      </c>
      <c r="B59" s="127">
        <f t="shared" si="9"/>
        <v>19036.16129032258</v>
      </c>
      <c r="C59" s="127">
        <f t="shared" si="10"/>
        <v>23760.645161290322</v>
      </c>
      <c r="D59" s="14"/>
      <c r="E59" s="14"/>
      <c r="F59" s="20">
        <f t="shared" si="16"/>
        <v>0</v>
      </c>
      <c r="G59" s="2">
        <f t="shared" si="18"/>
        <v>0</v>
      </c>
      <c r="H59" s="2">
        <f t="shared" si="8"/>
        <v>0</v>
      </c>
      <c r="I59" s="350">
        <f t="shared" si="12"/>
        <v>7.193548387096774</v>
      </c>
      <c r="J59" s="14"/>
      <c r="K59" s="20">
        <f t="shared" si="17"/>
        <v>0</v>
      </c>
      <c r="L59" s="4" t="e">
        <f t="shared" si="14"/>
        <v>#DIV/0!</v>
      </c>
      <c r="M59" s="103"/>
      <c r="N59" s="103"/>
      <c r="O59" s="34"/>
      <c r="P59" s="155"/>
      <c r="Q59" s="6"/>
    </row>
    <row r="60" spans="1:17">
      <c r="A60" s="13">
        <f t="shared" si="15"/>
        <v>46168</v>
      </c>
      <c r="B60" s="127">
        <f t="shared" si="9"/>
        <v>19036.16129032258</v>
      </c>
      <c r="C60" s="127">
        <f t="shared" si="10"/>
        <v>23760.645161290322</v>
      </c>
      <c r="D60" s="14"/>
      <c r="E60" s="14"/>
      <c r="F60" s="20">
        <f t="shared" si="16"/>
        <v>0</v>
      </c>
      <c r="G60" s="2">
        <f t="shared" si="18"/>
        <v>0</v>
      </c>
      <c r="H60" s="2">
        <f t="shared" si="8"/>
        <v>0</v>
      </c>
      <c r="I60" s="350">
        <f t="shared" si="12"/>
        <v>7.193548387096774</v>
      </c>
      <c r="J60" s="14"/>
      <c r="K60" s="20">
        <f t="shared" si="17"/>
        <v>0</v>
      </c>
      <c r="L60" s="4" t="e">
        <f t="shared" si="14"/>
        <v>#DIV/0!</v>
      </c>
      <c r="M60" s="103"/>
      <c r="N60" s="103"/>
      <c r="O60" s="34"/>
      <c r="P60" s="6"/>
      <c r="Q60" s="123"/>
    </row>
    <row r="61" spans="1:17">
      <c r="A61" s="13">
        <f t="shared" si="15"/>
        <v>46169</v>
      </c>
      <c r="B61" s="127">
        <f t="shared" si="9"/>
        <v>19036.16129032258</v>
      </c>
      <c r="C61" s="127">
        <f t="shared" si="10"/>
        <v>23760.645161290322</v>
      </c>
      <c r="D61" s="14"/>
      <c r="E61" s="14"/>
      <c r="F61" s="20">
        <f t="shared" si="16"/>
        <v>0</v>
      </c>
      <c r="G61" s="2">
        <f t="shared" si="18"/>
        <v>0</v>
      </c>
      <c r="H61" s="2">
        <f t="shared" si="8"/>
        <v>0</v>
      </c>
      <c r="I61" s="350">
        <f t="shared" si="12"/>
        <v>7.193548387096774</v>
      </c>
      <c r="J61" s="14"/>
      <c r="K61" s="20">
        <f t="shared" si="17"/>
        <v>0</v>
      </c>
      <c r="L61" s="4" t="e">
        <f t="shared" si="14"/>
        <v>#DIV/0!</v>
      </c>
      <c r="M61" s="103"/>
      <c r="N61" s="103"/>
      <c r="O61" s="34"/>
      <c r="P61" s="6"/>
      <c r="Q61" s="6"/>
    </row>
    <row r="62" spans="1:17">
      <c r="A62" s="13">
        <f t="shared" si="15"/>
        <v>46170</v>
      </c>
      <c r="B62" s="127">
        <f t="shared" si="9"/>
        <v>19036.16129032258</v>
      </c>
      <c r="C62" s="127">
        <f t="shared" si="10"/>
        <v>23760.645161290322</v>
      </c>
      <c r="D62" s="14"/>
      <c r="E62" s="14"/>
      <c r="F62" s="20">
        <f t="shared" si="16"/>
        <v>0</v>
      </c>
      <c r="G62" s="2">
        <f t="shared" si="18"/>
        <v>0</v>
      </c>
      <c r="H62" s="2">
        <f t="shared" ref="H62:H65" si="19">D62/($H$2*24)</f>
        <v>0</v>
      </c>
      <c r="I62" s="350">
        <f t="shared" si="12"/>
        <v>7.193548387096774</v>
      </c>
      <c r="J62" s="14"/>
      <c r="K62" s="20">
        <f t="shared" si="17"/>
        <v>0</v>
      </c>
      <c r="L62" s="4" t="e">
        <f t="shared" si="14"/>
        <v>#DIV/0!</v>
      </c>
      <c r="M62" s="103"/>
      <c r="N62" s="103"/>
      <c r="O62" s="34"/>
      <c r="P62" s="6"/>
      <c r="Q62" s="6"/>
    </row>
    <row r="63" spans="1:17">
      <c r="A63" s="13">
        <f t="shared" si="15"/>
        <v>46171</v>
      </c>
      <c r="B63" s="127">
        <f t="shared" si="9"/>
        <v>19036.16129032258</v>
      </c>
      <c r="C63" s="127">
        <f t="shared" si="10"/>
        <v>23760.645161290322</v>
      </c>
      <c r="D63" s="14"/>
      <c r="E63" s="14"/>
      <c r="F63" s="20">
        <f t="shared" si="16"/>
        <v>0</v>
      </c>
      <c r="G63" s="2">
        <f t="shared" si="18"/>
        <v>0</v>
      </c>
      <c r="H63" s="2">
        <f t="shared" si="19"/>
        <v>0</v>
      </c>
      <c r="I63" s="350">
        <f t="shared" si="12"/>
        <v>7.193548387096774</v>
      </c>
      <c r="J63" s="14"/>
      <c r="K63" s="20">
        <f t="shared" si="17"/>
        <v>0</v>
      </c>
      <c r="L63" s="4" t="e">
        <f t="shared" si="14"/>
        <v>#DIV/0!</v>
      </c>
      <c r="M63" s="103"/>
      <c r="N63" s="103"/>
      <c r="O63" s="34"/>
      <c r="P63" s="6"/>
      <c r="Q63" s="6"/>
    </row>
    <row r="64" spans="1:17">
      <c r="A64" s="13">
        <f t="shared" si="15"/>
        <v>46172</v>
      </c>
      <c r="B64" s="127">
        <f t="shared" si="9"/>
        <v>19036.16129032258</v>
      </c>
      <c r="C64" s="127">
        <f t="shared" si="10"/>
        <v>23760.645161290322</v>
      </c>
      <c r="D64" s="14"/>
      <c r="E64" s="14"/>
      <c r="F64" s="20">
        <f t="shared" si="16"/>
        <v>0</v>
      </c>
      <c r="G64" s="2">
        <f t="shared" si="18"/>
        <v>0</v>
      </c>
      <c r="H64" s="2">
        <f t="shared" si="19"/>
        <v>0</v>
      </c>
      <c r="I64" s="350">
        <f t="shared" si="12"/>
        <v>7.193548387096774</v>
      </c>
      <c r="J64" s="14"/>
      <c r="K64" s="20">
        <f t="shared" si="17"/>
        <v>0</v>
      </c>
      <c r="L64" s="4" t="e">
        <f t="shared" si="14"/>
        <v>#DIV/0!</v>
      </c>
      <c r="M64" s="103"/>
      <c r="N64" s="103"/>
      <c r="O64" s="34"/>
      <c r="P64" s="6"/>
      <c r="Q64" s="6"/>
    </row>
    <row r="65" spans="1:17">
      <c r="A65" s="13">
        <f t="shared" si="15"/>
        <v>46173</v>
      </c>
      <c r="B65" s="127">
        <f t="shared" si="9"/>
        <v>19036.16129032258</v>
      </c>
      <c r="C65" s="127">
        <f t="shared" si="10"/>
        <v>23760.645161290322</v>
      </c>
      <c r="D65" s="14"/>
      <c r="E65" s="14"/>
      <c r="F65" s="20">
        <f t="shared" si="16"/>
        <v>0</v>
      </c>
      <c r="G65" s="2">
        <f t="shared" si="18"/>
        <v>0</v>
      </c>
      <c r="H65" s="2">
        <f t="shared" si="19"/>
        <v>0</v>
      </c>
      <c r="I65" s="350">
        <f t="shared" si="12"/>
        <v>7.193548387096774</v>
      </c>
      <c r="J65" s="14"/>
      <c r="K65" s="20">
        <f t="shared" si="17"/>
        <v>0</v>
      </c>
      <c r="L65" s="4" t="e">
        <f t="shared" si="14"/>
        <v>#DIV/0!</v>
      </c>
      <c r="M65" s="103"/>
      <c r="N65" s="103"/>
      <c r="O65" s="34"/>
      <c r="P65" s="6"/>
      <c r="Q65" s="6"/>
    </row>
    <row r="66" spans="1:17">
      <c r="A66" s="349">
        <v>46143</v>
      </c>
      <c r="B66" s="89">
        <f>SUM(B35:B65)</f>
        <v>590121.00000000023</v>
      </c>
      <c r="C66" s="89">
        <f>SUM(C35:C65)</f>
        <v>736579.99999999977</v>
      </c>
      <c r="D66" s="89">
        <f>SUM(D35:D65)</f>
        <v>105520</v>
      </c>
      <c r="E66" s="89">
        <f>SUM(E35:E65)</f>
        <v>201960</v>
      </c>
      <c r="F66" s="160">
        <f>(IF(ISBLANK(E66),0,E66-C66))/C66</f>
        <v>-0.72581389665752527</v>
      </c>
      <c r="G66" s="90">
        <f>AVERAGE(G35:G65)</f>
        <v>3.7323146576117711E-2</v>
      </c>
      <c r="H66" s="90">
        <f>AVERAGE(H35:H65)</f>
        <v>4.959019475148508E-2</v>
      </c>
      <c r="I66" s="89">
        <f>SUM(I35:I65)</f>
        <v>222.99999999999989</v>
      </c>
      <c r="J66" s="89">
        <f>SUM(J35:J65)</f>
        <v>33.048000000000002</v>
      </c>
      <c r="K66" s="160">
        <f>(IF(ISBLANK(J66),0,J66-I66))/I66</f>
        <v>-0.85180269058295954</v>
      </c>
      <c r="L66" s="161">
        <f t="shared" si="14"/>
        <v>0.84024512989081268</v>
      </c>
      <c r="M66" s="90">
        <f>AVERAGE(M35:M65)</f>
        <v>0.99600000000000011</v>
      </c>
      <c r="N66" s="90">
        <f>AVERAGE(N35:N65)</f>
        <v>0.8706799999999999</v>
      </c>
      <c r="O66" s="89">
        <f>SUM(O35:O65)</f>
        <v>20241</v>
      </c>
      <c r="P66" s="89">
        <f>SUM(P35:P65)</f>
        <v>1062</v>
      </c>
      <c r="Q66" s="19"/>
    </row>
  </sheetData>
  <mergeCells count="4">
    <mergeCell ref="A1:Q1"/>
    <mergeCell ref="B2:C2"/>
    <mergeCell ref="E2:G2"/>
    <mergeCell ref="I2:J2"/>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BF4F-13EC-4CCC-9C62-B98A570A7AF0}">
  <dimension ref="A1:Q66"/>
  <sheetViews>
    <sheetView workbookViewId="0">
      <pane ySplit="3" topLeftCell="A45" activePane="bottomLeft" state="frozen"/>
      <selection pane="bottomLeft" activeCell="N41" sqref="N41"/>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665</v>
      </c>
      <c r="B1" s="406"/>
      <c r="C1" s="406"/>
      <c r="D1" s="406"/>
      <c r="E1" s="406"/>
      <c r="F1" s="406"/>
      <c r="G1" s="406"/>
      <c r="H1" s="406"/>
      <c r="I1" s="406"/>
      <c r="J1" s="406"/>
      <c r="K1" s="406"/>
      <c r="L1" s="406"/>
      <c r="M1" s="406"/>
      <c r="N1" s="406"/>
      <c r="O1" s="406"/>
      <c r="P1" s="406"/>
      <c r="Q1" s="406"/>
    </row>
    <row r="2" spans="1:17" ht="18.5">
      <c r="A2" s="7">
        <v>46113</v>
      </c>
      <c r="B2" s="407" t="s">
        <v>172</v>
      </c>
      <c r="C2" s="408"/>
      <c r="D2" s="8">
        <v>2100</v>
      </c>
      <c r="E2" s="407" t="s">
        <v>173</v>
      </c>
      <c r="F2" s="407"/>
      <c r="G2" s="408"/>
      <c r="H2" s="8">
        <v>1760</v>
      </c>
      <c r="I2" s="409" t="s">
        <v>174</v>
      </c>
      <c r="J2" s="410"/>
      <c r="K2" s="9">
        <v>45901</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16581</v>
      </c>
      <c r="C4" s="1">
        <v>13337</v>
      </c>
      <c r="D4" s="257">
        <v>14500</v>
      </c>
      <c r="E4" s="257">
        <v>14220</v>
      </c>
      <c r="F4" s="21">
        <f t="shared" ref="F4:F35" si="0">(IF(ISBLANK(E4),0,E4-C4))/C4</f>
        <v>6.6206793131888736E-2</v>
      </c>
      <c r="G4" s="2">
        <f t="shared" ref="G4:G33" si="1">D4/($D$2*24)</f>
        <v>0.28769841269841268</v>
      </c>
      <c r="H4" s="2">
        <f t="shared" ref="H4:H21" si="2">D4/($H$2*24)</f>
        <v>0.34327651515151514</v>
      </c>
      <c r="I4" s="86">
        <v>7.27</v>
      </c>
      <c r="J4" s="185">
        <v>8.2040000000000006</v>
      </c>
      <c r="K4" s="21">
        <f t="shared" ref="K4:K35" si="3">(IF(ISBLANK(J4),0,J4-I4))/I4</f>
        <v>0.12847317744154074</v>
      </c>
      <c r="L4" s="22">
        <f t="shared" ref="L4:L35" si="4">D4/($D$2*J4)</f>
        <v>0.84163358176034908</v>
      </c>
      <c r="M4" s="68">
        <v>1</v>
      </c>
      <c r="N4" s="68">
        <v>1</v>
      </c>
      <c r="O4" s="253"/>
      <c r="P4" s="49"/>
      <c r="Q4" s="50"/>
    </row>
    <row r="5" spans="1:17">
      <c r="A5" s="13">
        <f t="shared" ref="A5:A33" si="5">A4+1</f>
        <v>46114</v>
      </c>
      <c r="B5" s="1">
        <v>16581</v>
      </c>
      <c r="C5" s="1">
        <v>13337</v>
      </c>
      <c r="D5" s="257">
        <v>14890</v>
      </c>
      <c r="E5" s="257">
        <v>14580</v>
      </c>
      <c r="F5" s="21">
        <f t="shared" si="0"/>
        <v>9.3199370173202373E-2</v>
      </c>
      <c r="G5" s="2">
        <f t="shared" si="1"/>
        <v>0.29543650793650794</v>
      </c>
      <c r="H5" s="2">
        <f t="shared" si="2"/>
        <v>0.35250946969696972</v>
      </c>
      <c r="I5" s="86">
        <v>7.27</v>
      </c>
      <c r="J5" s="185">
        <v>8.4109999999999996</v>
      </c>
      <c r="K5" s="21">
        <f t="shared" si="3"/>
        <v>0.15694635488308117</v>
      </c>
      <c r="L5" s="22">
        <f t="shared" si="4"/>
        <v>0.84300037932186311</v>
      </c>
      <c r="M5" s="68">
        <v>1</v>
      </c>
      <c r="N5" s="68">
        <v>1</v>
      </c>
      <c r="O5" s="253"/>
      <c r="P5" s="49"/>
      <c r="Q5" s="50"/>
    </row>
    <row r="6" spans="1:17">
      <c r="A6" s="13">
        <f t="shared" si="5"/>
        <v>46115</v>
      </c>
      <c r="B6" s="1">
        <v>16581</v>
      </c>
      <c r="C6" s="1">
        <v>13337</v>
      </c>
      <c r="D6" s="257">
        <v>15020</v>
      </c>
      <c r="E6" s="257">
        <v>14670</v>
      </c>
      <c r="F6" s="21">
        <f t="shared" si="0"/>
        <v>9.9947514433530782E-2</v>
      </c>
      <c r="G6" s="2">
        <f t="shared" si="1"/>
        <v>0.29801587301587301</v>
      </c>
      <c r="H6" s="2">
        <f t="shared" si="2"/>
        <v>0.35558712121212122</v>
      </c>
      <c r="I6" s="86">
        <v>7.27</v>
      </c>
      <c r="J6" s="185">
        <v>8.5549999999999997</v>
      </c>
      <c r="K6" s="21">
        <f t="shared" si="3"/>
        <v>0.17675378266850073</v>
      </c>
      <c r="L6" s="22">
        <f t="shared" si="4"/>
        <v>0.83604686760735858</v>
      </c>
      <c r="M6" s="68">
        <v>1</v>
      </c>
      <c r="N6" s="68">
        <v>1</v>
      </c>
      <c r="O6" s="253"/>
      <c r="P6" s="49"/>
      <c r="Q6" s="50"/>
    </row>
    <row r="7" spans="1:17">
      <c r="A7" s="13">
        <f t="shared" si="5"/>
        <v>46116</v>
      </c>
      <c r="B7" s="1">
        <v>16581</v>
      </c>
      <c r="C7" s="1">
        <v>13337</v>
      </c>
      <c r="D7" s="257">
        <v>11290</v>
      </c>
      <c r="E7" s="257">
        <v>11070</v>
      </c>
      <c r="F7" s="21">
        <f t="shared" si="0"/>
        <v>-0.16997825597960561</v>
      </c>
      <c r="G7" s="2">
        <f t="shared" si="1"/>
        <v>0.22400793650793652</v>
      </c>
      <c r="H7" s="2">
        <f t="shared" si="2"/>
        <v>0.26728219696969696</v>
      </c>
      <c r="I7" s="86">
        <v>7.27</v>
      </c>
      <c r="J7" s="185">
        <v>6.3650000000000002</v>
      </c>
      <c r="K7" s="21">
        <f t="shared" si="3"/>
        <v>-0.12448418156808795</v>
      </c>
      <c r="L7" s="22">
        <f t="shared" si="4"/>
        <v>0.84464893577226652</v>
      </c>
      <c r="M7" s="68">
        <v>1</v>
      </c>
      <c r="N7" s="68">
        <v>0.98</v>
      </c>
      <c r="O7" s="253">
        <v>240</v>
      </c>
      <c r="P7" s="49"/>
      <c r="Q7" s="50" t="s">
        <v>666</v>
      </c>
    </row>
    <row r="8" spans="1:17">
      <c r="A8" s="13">
        <f t="shared" si="5"/>
        <v>46117</v>
      </c>
      <c r="B8" s="1">
        <v>16581</v>
      </c>
      <c r="C8" s="1">
        <v>13337</v>
      </c>
      <c r="D8" s="257">
        <v>13820</v>
      </c>
      <c r="E8" s="257">
        <v>13530</v>
      </c>
      <c r="F8" s="21">
        <f t="shared" si="0"/>
        <v>1.4471020469370923E-2</v>
      </c>
      <c r="G8" s="2">
        <f t="shared" si="1"/>
        <v>0.27420634920634923</v>
      </c>
      <c r="H8" s="2">
        <f t="shared" si="2"/>
        <v>0.32717803030303028</v>
      </c>
      <c r="I8" s="86">
        <v>7.27</v>
      </c>
      <c r="J8" s="185">
        <v>7.9329999999999998</v>
      </c>
      <c r="K8" s="21">
        <f t="shared" si="3"/>
        <v>9.1196698762035802E-2</v>
      </c>
      <c r="L8" s="22">
        <f t="shared" si="4"/>
        <v>0.82956666846746263</v>
      </c>
      <c r="M8" s="68">
        <v>1</v>
      </c>
      <c r="N8" s="68">
        <v>1</v>
      </c>
      <c r="O8" s="253"/>
      <c r="P8" s="253"/>
      <c r="Q8" s="50"/>
    </row>
    <row r="9" spans="1:17">
      <c r="A9" s="13">
        <f t="shared" si="5"/>
        <v>46118</v>
      </c>
      <c r="B9" s="1">
        <v>16581</v>
      </c>
      <c r="C9" s="1">
        <v>13337</v>
      </c>
      <c r="D9" s="257">
        <v>15280</v>
      </c>
      <c r="E9" s="257">
        <v>14970</v>
      </c>
      <c r="F9" s="21">
        <f t="shared" si="0"/>
        <v>0.12244132863462548</v>
      </c>
      <c r="G9" s="2">
        <f t="shared" si="1"/>
        <v>0.30317460317460315</v>
      </c>
      <c r="H9" s="2">
        <f t="shared" si="2"/>
        <v>0.36174242424242425</v>
      </c>
      <c r="I9" s="86">
        <v>7.27</v>
      </c>
      <c r="J9" s="185">
        <v>8.6660000000000004</v>
      </c>
      <c r="K9" s="21">
        <f t="shared" si="3"/>
        <v>0.19202200825309504</v>
      </c>
      <c r="L9" s="22">
        <f t="shared" si="4"/>
        <v>0.83962502610090872</v>
      </c>
      <c r="M9" s="68">
        <v>1</v>
      </c>
      <c r="N9" s="68">
        <v>1</v>
      </c>
      <c r="O9" s="253"/>
      <c r="P9" s="253"/>
      <c r="Q9" s="50"/>
    </row>
    <row r="10" spans="1:17">
      <c r="A10" s="13">
        <f t="shared" si="5"/>
        <v>46119</v>
      </c>
      <c r="B10" s="1">
        <v>16581</v>
      </c>
      <c r="C10" s="1">
        <v>13337</v>
      </c>
      <c r="D10" s="257">
        <v>13060</v>
      </c>
      <c r="E10" s="257">
        <v>12810</v>
      </c>
      <c r="F10" s="21">
        <f t="shared" si="0"/>
        <v>-3.9514133613256355E-2</v>
      </c>
      <c r="G10" s="2">
        <f t="shared" si="1"/>
        <v>0.25912698412698415</v>
      </c>
      <c r="H10" s="2">
        <f t="shared" si="2"/>
        <v>0.30918560606060608</v>
      </c>
      <c r="I10" s="86">
        <v>7.27</v>
      </c>
      <c r="J10" s="185">
        <v>7.1879999999999997</v>
      </c>
      <c r="K10" s="21">
        <f t="shared" si="3"/>
        <v>-1.1279229711141658E-2</v>
      </c>
      <c r="L10" s="22">
        <f t="shared" si="4"/>
        <v>0.865198611442351</v>
      </c>
      <c r="M10" s="68">
        <v>1</v>
      </c>
      <c r="N10" s="68">
        <v>1</v>
      </c>
      <c r="O10" s="253"/>
      <c r="P10" s="253"/>
      <c r="Q10" s="50"/>
    </row>
    <row r="11" spans="1:17">
      <c r="A11" s="13">
        <f t="shared" si="5"/>
        <v>46120</v>
      </c>
      <c r="B11" s="1">
        <v>16581</v>
      </c>
      <c r="C11" s="1">
        <v>13337</v>
      </c>
      <c r="D11" s="257">
        <v>12250</v>
      </c>
      <c r="E11" s="257">
        <v>11970</v>
      </c>
      <c r="F11" s="21">
        <f t="shared" si="0"/>
        <v>-0.10249681337632151</v>
      </c>
      <c r="G11" s="2">
        <f t="shared" si="1"/>
        <v>0.24305555555555555</v>
      </c>
      <c r="H11" s="2">
        <f t="shared" si="2"/>
        <v>0.29000946969696972</v>
      </c>
      <c r="I11" s="86">
        <v>7.27</v>
      </c>
      <c r="J11" s="185">
        <v>6.9059999999999997</v>
      </c>
      <c r="K11" s="21">
        <f t="shared" si="3"/>
        <v>-5.0068775790921581E-2</v>
      </c>
      <c r="L11" s="22">
        <f t="shared" si="4"/>
        <v>0.84467612703928963</v>
      </c>
      <c r="M11" s="68">
        <v>1</v>
      </c>
      <c r="N11" s="68">
        <v>1</v>
      </c>
      <c r="O11" s="253"/>
      <c r="P11" s="49"/>
      <c r="Q11" s="50"/>
    </row>
    <row r="12" spans="1:17">
      <c r="A12" s="13">
        <f t="shared" si="5"/>
        <v>46121</v>
      </c>
      <c r="B12" s="1">
        <v>16581</v>
      </c>
      <c r="C12" s="1">
        <v>13337</v>
      </c>
      <c r="D12" s="257">
        <v>14550</v>
      </c>
      <c r="E12" s="257">
        <v>14280</v>
      </c>
      <c r="F12" s="21">
        <f t="shared" si="0"/>
        <v>7.0705555972107675E-2</v>
      </c>
      <c r="G12" s="2">
        <f t="shared" si="1"/>
        <v>0.28869047619047616</v>
      </c>
      <c r="H12" s="2">
        <f t="shared" si="2"/>
        <v>0.34446022727272729</v>
      </c>
      <c r="I12" s="86">
        <v>7.27</v>
      </c>
      <c r="J12" s="185">
        <v>8.35</v>
      </c>
      <c r="K12" s="21">
        <f t="shared" si="3"/>
        <v>0.14855570839064652</v>
      </c>
      <c r="L12" s="22">
        <f t="shared" si="4"/>
        <v>0.82976903336184771</v>
      </c>
      <c r="M12" s="68">
        <v>1</v>
      </c>
      <c r="N12" s="68">
        <v>1</v>
      </c>
      <c r="O12" s="253"/>
      <c r="P12" s="49"/>
      <c r="Q12" s="50"/>
    </row>
    <row r="13" spans="1:17">
      <c r="A13" s="13">
        <f t="shared" si="5"/>
        <v>46122</v>
      </c>
      <c r="B13" s="1">
        <v>16581</v>
      </c>
      <c r="C13" s="1">
        <v>13337</v>
      </c>
      <c r="D13" s="257">
        <v>14240</v>
      </c>
      <c r="E13" s="257">
        <v>13950</v>
      </c>
      <c r="F13" s="21">
        <f t="shared" si="0"/>
        <v>4.5962360350903501E-2</v>
      </c>
      <c r="G13" s="2">
        <f t="shared" si="1"/>
        <v>0.28253968253968254</v>
      </c>
      <c r="H13" s="2">
        <f t="shared" si="2"/>
        <v>0.3371212121212121</v>
      </c>
      <c r="I13" s="86">
        <v>7.27</v>
      </c>
      <c r="J13" s="185">
        <v>8.1880000000000006</v>
      </c>
      <c r="K13" s="21">
        <f t="shared" si="3"/>
        <v>0.12627235213204968</v>
      </c>
      <c r="L13" s="22">
        <f t="shared" si="4"/>
        <v>0.82815734989648015</v>
      </c>
      <c r="M13" s="68">
        <v>1</v>
      </c>
      <c r="N13" s="68">
        <v>0.97989999999999999</v>
      </c>
      <c r="O13" s="253">
        <v>359</v>
      </c>
      <c r="P13" s="49"/>
      <c r="Q13" s="50" t="s">
        <v>666</v>
      </c>
    </row>
    <row r="14" spans="1:17">
      <c r="A14" s="13">
        <f t="shared" si="5"/>
        <v>46123</v>
      </c>
      <c r="B14" s="1">
        <v>16581</v>
      </c>
      <c r="C14" s="1">
        <v>13337</v>
      </c>
      <c r="D14" s="257">
        <v>13850</v>
      </c>
      <c r="E14" s="257">
        <v>13590</v>
      </c>
      <c r="F14" s="21">
        <f t="shared" si="0"/>
        <v>1.8969783309589861E-2</v>
      </c>
      <c r="G14" s="2">
        <f t="shared" si="1"/>
        <v>0.27480158730158732</v>
      </c>
      <c r="H14" s="2">
        <f t="shared" si="2"/>
        <v>0.32788825757575757</v>
      </c>
      <c r="I14" s="86">
        <v>7.27</v>
      </c>
      <c r="J14" s="185">
        <v>8.0139999999999993</v>
      </c>
      <c r="K14" s="21">
        <f t="shared" si="3"/>
        <v>0.10233837689133422</v>
      </c>
      <c r="L14" s="22">
        <f t="shared" si="4"/>
        <v>0.8229645739004362</v>
      </c>
      <c r="M14" s="68">
        <v>1</v>
      </c>
      <c r="N14" s="68">
        <v>1</v>
      </c>
      <c r="O14" s="253"/>
      <c r="P14" s="49"/>
      <c r="Q14" s="50"/>
    </row>
    <row r="15" spans="1:17">
      <c r="A15" s="13">
        <f t="shared" si="5"/>
        <v>46124</v>
      </c>
      <c r="B15" s="1">
        <v>16581</v>
      </c>
      <c r="C15" s="1">
        <v>13337</v>
      </c>
      <c r="D15" s="257">
        <v>14670</v>
      </c>
      <c r="E15" s="257">
        <v>14400</v>
      </c>
      <c r="F15" s="21">
        <f t="shared" si="0"/>
        <v>7.9703081652545554E-2</v>
      </c>
      <c r="G15" s="2">
        <f t="shared" si="1"/>
        <v>0.29107142857142859</v>
      </c>
      <c r="H15" s="2">
        <f t="shared" si="2"/>
        <v>0.34730113636363635</v>
      </c>
      <c r="I15" s="86">
        <v>7.27</v>
      </c>
      <c r="J15" s="185">
        <v>8.4440000000000008</v>
      </c>
      <c r="K15" s="21">
        <f t="shared" si="3"/>
        <v>0.16148555708390666</v>
      </c>
      <c r="L15" s="22">
        <f t="shared" si="4"/>
        <v>0.82729918115991063</v>
      </c>
      <c r="M15" s="68">
        <v>1</v>
      </c>
      <c r="N15" s="68">
        <v>1</v>
      </c>
      <c r="O15" s="253"/>
      <c r="P15" s="49"/>
      <c r="Q15" s="50"/>
    </row>
    <row r="16" spans="1:17">
      <c r="A16" s="13">
        <f t="shared" si="5"/>
        <v>46125</v>
      </c>
      <c r="B16" s="1">
        <v>16581</v>
      </c>
      <c r="C16" s="1">
        <v>13337</v>
      </c>
      <c r="D16" s="257">
        <v>14150</v>
      </c>
      <c r="E16" s="257">
        <v>13860</v>
      </c>
      <c r="F16" s="21">
        <f t="shared" si="0"/>
        <v>3.9214216090575092E-2</v>
      </c>
      <c r="G16" s="2">
        <f t="shared" si="1"/>
        <v>0.28075396825396826</v>
      </c>
      <c r="H16" s="2">
        <f t="shared" si="2"/>
        <v>0.33499053030303028</v>
      </c>
      <c r="I16" s="86">
        <v>7.27</v>
      </c>
      <c r="J16" s="185">
        <v>8.1219999999999999</v>
      </c>
      <c r="K16" s="21">
        <f t="shared" si="3"/>
        <v>0.11719394773039896</v>
      </c>
      <c r="L16" s="22">
        <f t="shared" si="4"/>
        <v>0.82961034697060299</v>
      </c>
      <c r="M16" s="68">
        <v>1</v>
      </c>
      <c r="N16" s="68">
        <v>1</v>
      </c>
      <c r="O16" s="253"/>
      <c r="P16" s="49"/>
      <c r="Q16" s="50"/>
    </row>
    <row r="17" spans="1:17">
      <c r="A17" s="13">
        <f t="shared" si="5"/>
        <v>46126</v>
      </c>
      <c r="B17" s="1">
        <v>16581</v>
      </c>
      <c r="C17" s="1">
        <v>13337</v>
      </c>
      <c r="D17" s="257">
        <v>15170</v>
      </c>
      <c r="E17" s="257">
        <v>14850</v>
      </c>
      <c r="F17" s="21">
        <f t="shared" si="0"/>
        <v>0.1134438029541876</v>
      </c>
      <c r="G17" s="2">
        <f t="shared" si="1"/>
        <v>0.30099206349206348</v>
      </c>
      <c r="H17" s="2">
        <f t="shared" si="2"/>
        <v>0.35913825757575757</v>
      </c>
      <c r="I17" s="86">
        <v>7.27</v>
      </c>
      <c r="J17" s="185">
        <v>8.7880000000000003</v>
      </c>
      <c r="K17" s="21">
        <f t="shared" si="3"/>
        <v>0.20880330123796434</v>
      </c>
      <c r="L17" s="22">
        <f t="shared" si="4"/>
        <v>0.82200836638706465</v>
      </c>
      <c r="M17" s="68">
        <v>1</v>
      </c>
      <c r="N17" s="68">
        <v>1</v>
      </c>
      <c r="O17" s="253"/>
      <c r="P17" s="49"/>
      <c r="Q17" s="50"/>
    </row>
    <row r="18" spans="1:17">
      <c r="A18" s="13">
        <f t="shared" si="5"/>
        <v>46127</v>
      </c>
      <c r="B18" s="1">
        <v>16581</v>
      </c>
      <c r="C18" s="1">
        <v>13337</v>
      </c>
      <c r="D18" s="257">
        <v>15620</v>
      </c>
      <c r="E18" s="257">
        <v>15300</v>
      </c>
      <c r="F18" s="21">
        <f t="shared" si="0"/>
        <v>0.14718452425582965</v>
      </c>
      <c r="G18" s="2">
        <f t="shared" si="1"/>
        <v>0.30992063492063493</v>
      </c>
      <c r="H18" s="2">
        <f t="shared" si="2"/>
        <v>0.36979166666666669</v>
      </c>
      <c r="I18" s="86">
        <v>7.27</v>
      </c>
      <c r="J18" s="185">
        <v>9</v>
      </c>
      <c r="K18" s="21">
        <f t="shared" si="3"/>
        <v>0.23796423658872085</v>
      </c>
      <c r="L18" s="22">
        <f t="shared" si="4"/>
        <v>0.82645502645502644</v>
      </c>
      <c r="M18" s="68">
        <v>1</v>
      </c>
      <c r="N18" s="68">
        <v>1</v>
      </c>
      <c r="O18" s="253"/>
      <c r="P18" s="49"/>
      <c r="Q18" s="50"/>
    </row>
    <row r="19" spans="1:17">
      <c r="A19" s="13">
        <f t="shared" si="5"/>
        <v>46128</v>
      </c>
      <c r="B19" s="1">
        <v>16581</v>
      </c>
      <c r="C19" s="1">
        <v>13337</v>
      </c>
      <c r="D19" s="257">
        <v>15760</v>
      </c>
      <c r="E19" s="257">
        <v>15450</v>
      </c>
      <c r="F19" s="21">
        <f t="shared" si="0"/>
        <v>0.15843143135637699</v>
      </c>
      <c r="G19" s="2">
        <f t="shared" si="1"/>
        <v>0.3126984126984127</v>
      </c>
      <c r="H19" s="2">
        <f t="shared" si="2"/>
        <v>0.37310606060606061</v>
      </c>
      <c r="I19" s="86">
        <v>7.27</v>
      </c>
      <c r="J19" s="185">
        <v>8.99</v>
      </c>
      <c r="K19" s="21">
        <f t="shared" si="3"/>
        <v>0.23658872077028897</v>
      </c>
      <c r="L19" s="22">
        <f t="shared" si="4"/>
        <v>0.83478997828274804</v>
      </c>
      <c r="M19" s="68">
        <v>1</v>
      </c>
      <c r="N19" s="68">
        <v>1</v>
      </c>
      <c r="O19" s="253"/>
      <c r="P19" s="49"/>
      <c r="Q19" s="50"/>
    </row>
    <row r="20" spans="1:17" ht="15">
      <c r="A20" s="13">
        <f t="shared" si="5"/>
        <v>46129</v>
      </c>
      <c r="B20" s="1">
        <v>16581</v>
      </c>
      <c r="C20" s="1">
        <v>13337</v>
      </c>
      <c r="D20" s="31">
        <v>15140</v>
      </c>
      <c r="E20" s="49">
        <v>14850</v>
      </c>
      <c r="F20" s="21">
        <f t="shared" si="0"/>
        <v>0.1134438029541876</v>
      </c>
      <c r="G20" s="2">
        <f t="shared" si="1"/>
        <v>0.30039682539682538</v>
      </c>
      <c r="H20" s="2">
        <f t="shared" si="2"/>
        <v>0.35842803030303028</v>
      </c>
      <c r="I20" s="86">
        <v>7.27</v>
      </c>
      <c r="J20" s="259">
        <v>8.56</v>
      </c>
      <c r="K20" s="21">
        <f t="shared" si="3"/>
        <v>0.17744154057771677</v>
      </c>
      <c r="L20" s="22">
        <f t="shared" si="4"/>
        <v>0.84223408989764126</v>
      </c>
      <c r="M20" s="261">
        <v>1</v>
      </c>
      <c r="N20" s="262">
        <v>1</v>
      </c>
      <c r="O20" s="253"/>
      <c r="P20" s="49"/>
      <c r="Q20" s="50"/>
    </row>
    <row r="21" spans="1:17" ht="15">
      <c r="A21" s="13">
        <f t="shared" si="5"/>
        <v>46130</v>
      </c>
      <c r="B21" s="1">
        <v>16581</v>
      </c>
      <c r="C21" s="1">
        <v>13337</v>
      </c>
      <c r="D21" s="32">
        <v>14490</v>
      </c>
      <c r="E21" s="50">
        <v>14220</v>
      </c>
      <c r="F21" s="21">
        <f t="shared" si="0"/>
        <v>6.6206793131888736E-2</v>
      </c>
      <c r="G21" s="2">
        <f t="shared" si="1"/>
        <v>0.28749999999999998</v>
      </c>
      <c r="H21" s="2">
        <f t="shared" si="2"/>
        <v>0.34303977272727271</v>
      </c>
      <c r="I21" s="86">
        <v>7.27</v>
      </c>
      <c r="J21" s="260">
        <v>8.15</v>
      </c>
      <c r="K21" s="21">
        <f t="shared" si="3"/>
        <v>0.12104539202200837</v>
      </c>
      <c r="L21" s="22">
        <f t="shared" si="4"/>
        <v>0.84662576687116564</v>
      </c>
      <c r="M21" s="263">
        <v>1</v>
      </c>
      <c r="N21" s="264">
        <v>1</v>
      </c>
      <c r="O21" s="253"/>
      <c r="P21" s="186"/>
      <c r="Q21" s="50"/>
    </row>
    <row r="22" spans="1:17" ht="15">
      <c r="A22" s="13">
        <f t="shared" si="5"/>
        <v>46131</v>
      </c>
      <c r="B22" s="1">
        <v>16581</v>
      </c>
      <c r="C22" s="1">
        <v>13337</v>
      </c>
      <c r="D22" s="32">
        <v>14140</v>
      </c>
      <c r="E22" s="50">
        <v>13860</v>
      </c>
      <c r="F22" s="21">
        <f t="shared" si="0"/>
        <v>3.9214216090575092E-2</v>
      </c>
      <c r="G22" s="2">
        <f t="shared" si="1"/>
        <v>0.28055555555555556</v>
      </c>
      <c r="H22" s="2">
        <f t="shared" ref="H22:H33" si="6">E22/($D$2*24)</f>
        <v>0.27500000000000002</v>
      </c>
      <c r="I22" s="86">
        <v>7.27</v>
      </c>
      <c r="J22" s="260">
        <v>7.88</v>
      </c>
      <c r="K22" s="21">
        <f t="shared" si="3"/>
        <v>8.3906464924346683E-2</v>
      </c>
      <c r="L22" s="22">
        <f t="shared" si="4"/>
        <v>0.85448392554991537</v>
      </c>
      <c r="M22" s="263">
        <v>1</v>
      </c>
      <c r="N22" s="264">
        <v>1</v>
      </c>
      <c r="O22" s="253"/>
      <c r="P22" s="186"/>
      <c r="Q22" s="50"/>
    </row>
    <row r="23" spans="1:17" ht="15">
      <c r="A23" s="13">
        <f t="shared" si="5"/>
        <v>46132</v>
      </c>
      <c r="B23" s="1">
        <v>16581</v>
      </c>
      <c r="C23" s="1">
        <v>13337</v>
      </c>
      <c r="D23" s="32">
        <v>14610</v>
      </c>
      <c r="E23" s="50">
        <v>14310</v>
      </c>
      <c r="F23" s="21">
        <f t="shared" si="0"/>
        <v>7.2954937392217145E-2</v>
      </c>
      <c r="G23" s="2">
        <f t="shared" si="1"/>
        <v>0.28988095238095241</v>
      </c>
      <c r="H23" s="2">
        <f t="shared" si="6"/>
        <v>0.28392857142857142</v>
      </c>
      <c r="I23" s="86">
        <v>7.27</v>
      </c>
      <c r="J23" s="260">
        <v>8.43</v>
      </c>
      <c r="K23" s="21">
        <f t="shared" si="3"/>
        <v>0.15955983493810183</v>
      </c>
      <c r="L23" s="22">
        <f t="shared" si="4"/>
        <v>0.82528385019488226</v>
      </c>
      <c r="M23" s="263">
        <v>1</v>
      </c>
      <c r="N23" s="264">
        <v>1</v>
      </c>
      <c r="O23" s="253"/>
      <c r="P23" s="186"/>
      <c r="Q23" s="50"/>
    </row>
    <row r="24" spans="1:17" ht="15">
      <c r="A24" s="13">
        <f t="shared" si="5"/>
        <v>46133</v>
      </c>
      <c r="B24" s="1">
        <v>16581</v>
      </c>
      <c r="C24" s="1">
        <v>13337</v>
      </c>
      <c r="D24" s="32">
        <v>13540</v>
      </c>
      <c r="E24" s="50">
        <v>13260</v>
      </c>
      <c r="F24" s="21">
        <f t="shared" si="0"/>
        <v>-5.7734123116143059E-3</v>
      </c>
      <c r="G24" s="2">
        <f t="shared" si="1"/>
        <v>0.26865079365079364</v>
      </c>
      <c r="H24" s="2">
        <f t="shared" si="6"/>
        <v>0.2630952380952381</v>
      </c>
      <c r="I24" s="86">
        <v>7.27</v>
      </c>
      <c r="J24" s="260">
        <v>7.7889999999999997</v>
      </c>
      <c r="K24" s="21">
        <f t="shared" si="3"/>
        <v>7.1389270976616251E-2</v>
      </c>
      <c r="L24" s="22">
        <f t="shared" si="4"/>
        <v>0.8277852160250414</v>
      </c>
      <c r="M24" s="263">
        <v>1</v>
      </c>
      <c r="N24" s="264">
        <v>1</v>
      </c>
      <c r="O24" s="253"/>
      <c r="P24" s="186"/>
      <c r="Q24" s="50"/>
    </row>
    <row r="25" spans="1:17" ht="15">
      <c r="A25" s="13">
        <f t="shared" si="5"/>
        <v>46134</v>
      </c>
      <c r="B25" s="1">
        <v>16581</v>
      </c>
      <c r="C25" s="1">
        <v>13337</v>
      </c>
      <c r="D25" s="32">
        <v>14130</v>
      </c>
      <c r="E25" s="50">
        <v>13860</v>
      </c>
      <c r="F25" s="21">
        <f t="shared" si="0"/>
        <v>3.9214216090575092E-2</v>
      </c>
      <c r="G25" s="2">
        <f t="shared" si="1"/>
        <v>0.28035714285714286</v>
      </c>
      <c r="H25" s="2">
        <f t="shared" si="6"/>
        <v>0.27500000000000002</v>
      </c>
      <c r="I25" s="86">
        <v>7.27</v>
      </c>
      <c r="J25" s="260">
        <v>8.1300000000000008</v>
      </c>
      <c r="K25" s="21">
        <f t="shared" si="3"/>
        <v>0.1182943603851446</v>
      </c>
      <c r="L25" s="22">
        <f t="shared" si="4"/>
        <v>0.82762256193990513</v>
      </c>
      <c r="M25" s="263">
        <v>1</v>
      </c>
      <c r="N25" s="264">
        <v>0.9718</v>
      </c>
      <c r="O25" s="253">
        <v>271</v>
      </c>
      <c r="P25" s="186"/>
      <c r="Q25" s="50" t="s">
        <v>667</v>
      </c>
    </row>
    <row r="26" spans="1:17" ht="15">
      <c r="A26" s="13">
        <f t="shared" si="5"/>
        <v>46135</v>
      </c>
      <c r="B26" s="1">
        <v>16581</v>
      </c>
      <c r="C26" s="1">
        <v>13337</v>
      </c>
      <c r="D26" s="259">
        <v>14510</v>
      </c>
      <c r="E26" s="259">
        <v>14220</v>
      </c>
      <c r="F26" s="21">
        <f t="shared" si="0"/>
        <v>6.6206793131888736E-2</v>
      </c>
      <c r="G26" s="2">
        <f t="shared" si="1"/>
        <v>0.28789682539682537</v>
      </c>
      <c r="H26" s="2">
        <f t="shared" si="6"/>
        <v>0.28214285714285714</v>
      </c>
      <c r="I26" s="86">
        <v>7.27</v>
      </c>
      <c r="J26" s="260">
        <v>8.4049999999999994</v>
      </c>
      <c r="K26" s="21">
        <f t="shared" si="3"/>
        <v>0.15612104539202198</v>
      </c>
      <c r="L26" s="22">
        <f t="shared" si="4"/>
        <v>0.82207302909266022</v>
      </c>
      <c r="M26" s="263">
        <v>1</v>
      </c>
      <c r="N26" s="264">
        <v>1</v>
      </c>
      <c r="O26" s="253"/>
      <c r="P26" s="49"/>
      <c r="Q26" s="50"/>
    </row>
    <row r="27" spans="1:17" ht="15">
      <c r="A27" s="13">
        <f t="shared" si="5"/>
        <v>46136</v>
      </c>
      <c r="B27" s="1">
        <v>16581</v>
      </c>
      <c r="C27" s="1">
        <v>13337</v>
      </c>
      <c r="D27" s="260">
        <v>14750</v>
      </c>
      <c r="E27" s="260">
        <v>14460</v>
      </c>
      <c r="F27" s="21">
        <f t="shared" si="0"/>
        <v>8.4201844492764494E-2</v>
      </c>
      <c r="G27" s="2">
        <f t="shared" si="1"/>
        <v>0.29265873015873017</v>
      </c>
      <c r="H27" s="2">
        <f t="shared" si="6"/>
        <v>0.28690476190476188</v>
      </c>
      <c r="I27" s="86">
        <v>7.27</v>
      </c>
      <c r="J27" s="260">
        <v>8.5340000000000007</v>
      </c>
      <c r="K27" s="21">
        <f t="shared" si="3"/>
        <v>0.17386519944979384</v>
      </c>
      <c r="L27" s="22">
        <f t="shared" si="4"/>
        <v>0.82303837869809271</v>
      </c>
      <c r="M27" s="263">
        <v>1</v>
      </c>
      <c r="N27" s="264">
        <v>1</v>
      </c>
      <c r="O27" s="253"/>
      <c r="P27" s="49"/>
      <c r="Q27" s="50"/>
    </row>
    <row r="28" spans="1:17" ht="15">
      <c r="A28" s="13">
        <f t="shared" si="5"/>
        <v>46137</v>
      </c>
      <c r="B28" s="1">
        <v>16581</v>
      </c>
      <c r="C28" s="1">
        <v>13337</v>
      </c>
      <c r="D28" s="260">
        <v>13900</v>
      </c>
      <c r="E28" s="260">
        <v>13620</v>
      </c>
      <c r="F28" s="21">
        <f t="shared" si="0"/>
        <v>2.1219164729699334E-2</v>
      </c>
      <c r="G28" s="2">
        <f t="shared" si="1"/>
        <v>0.27579365079365081</v>
      </c>
      <c r="H28" s="2">
        <f t="shared" si="6"/>
        <v>0.27023809523809522</v>
      </c>
      <c r="I28" s="86">
        <v>7.27</v>
      </c>
      <c r="J28" s="260">
        <v>8.0559999999999992</v>
      </c>
      <c r="K28" s="21">
        <f t="shared" si="3"/>
        <v>0.10811554332874823</v>
      </c>
      <c r="L28" s="22">
        <f t="shared" si="4"/>
        <v>0.82162954556201828</v>
      </c>
      <c r="M28" s="263">
        <v>1</v>
      </c>
      <c r="N28" s="264">
        <v>0.98</v>
      </c>
      <c r="O28" s="253">
        <v>402</v>
      </c>
      <c r="P28" s="186"/>
      <c r="Q28" s="49" t="s">
        <v>666</v>
      </c>
    </row>
    <row r="29" spans="1:17" ht="15">
      <c r="A29" s="13">
        <f t="shared" si="5"/>
        <v>46138</v>
      </c>
      <c r="B29" s="1">
        <v>16581</v>
      </c>
      <c r="C29" s="1">
        <v>13337</v>
      </c>
      <c r="D29" s="260">
        <v>13960</v>
      </c>
      <c r="E29" s="260">
        <v>13680</v>
      </c>
      <c r="F29" s="21">
        <f t="shared" si="0"/>
        <v>2.5717927569918274E-2</v>
      </c>
      <c r="G29" s="2">
        <f t="shared" si="1"/>
        <v>0.276984126984127</v>
      </c>
      <c r="H29" s="2">
        <f t="shared" si="6"/>
        <v>0.27142857142857141</v>
      </c>
      <c r="I29" s="86">
        <v>7.27</v>
      </c>
      <c r="J29" s="260">
        <v>8.0039999999999996</v>
      </c>
      <c r="K29" s="21">
        <f t="shared" si="3"/>
        <v>0.10096286107290234</v>
      </c>
      <c r="L29" s="22">
        <f t="shared" si="4"/>
        <v>0.830537112396183</v>
      </c>
      <c r="M29" s="263">
        <v>1</v>
      </c>
      <c r="N29" s="264">
        <v>1</v>
      </c>
      <c r="O29" s="253"/>
      <c r="P29" s="49"/>
      <c r="Q29" s="50"/>
    </row>
    <row r="30" spans="1:17" ht="15">
      <c r="A30" s="13">
        <f t="shared" si="5"/>
        <v>46139</v>
      </c>
      <c r="B30" s="1">
        <v>16581</v>
      </c>
      <c r="C30" s="1">
        <v>13337</v>
      </c>
      <c r="D30" s="260">
        <v>14000</v>
      </c>
      <c r="E30" s="260">
        <v>13740</v>
      </c>
      <c r="F30" s="21">
        <f t="shared" si="0"/>
        <v>3.0216690410137213E-2</v>
      </c>
      <c r="G30" s="2">
        <f t="shared" si="1"/>
        <v>0.27777777777777779</v>
      </c>
      <c r="H30" s="2">
        <f t="shared" si="6"/>
        <v>0.27261904761904759</v>
      </c>
      <c r="I30" s="86">
        <v>7.27</v>
      </c>
      <c r="J30" s="260">
        <v>8.1379999999999999</v>
      </c>
      <c r="K30" s="21">
        <f t="shared" si="3"/>
        <v>0.11939477303989002</v>
      </c>
      <c r="L30" s="22">
        <f t="shared" si="4"/>
        <v>0.8192020971573688</v>
      </c>
      <c r="M30" s="263">
        <v>1</v>
      </c>
      <c r="N30" s="264">
        <v>1</v>
      </c>
      <c r="O30" s="49"/>
      <c r="P30" s="6"/>
      <c r="Q30" s="49"/>
    </row>
    <row r="31" spans="1:17" ht="15">
      <c r="A31" s="13">
        <f t="shared" si="5"/>
        <v>46140</v>
      </c>
      <c r="B31" s="1">
        <v>16581</v>
      </c>
      <c r="C31" s="1">
        <v>13337</v>
      </c>
      <c r="D31" s="246">
        <v>14050</v>
      </c>
      <c r="E31" s="246">
        <v>13740</v>
      </c>
      <c r="F31" s="21">
        <f t="shared" si="0"/>
        <v>3.0216690410137213E-2</v>
      </c>
      <c r="G31" s="2">
        <f t="shared" si="1"/>
        <v>0.27876984126984128</v>
      </c>
      <c r="H31" s="2">
        <f t="shared" si="6"/>
        <v>0.27261904761904759</v>
      </c>
      <c r="I31" s="86">
        <v>7.27</v>
      </c>
      <c r="J31" s="246">
        <v>7.9770000000000003</v>
      </c>
      <c r="K31" s="21">
        <f t="shared" si="3"/>
        <v>9.724896836313629E-2</v>
      </c>
      <c r="L31" s="22">
        <f t="shared" si="4"/>
        <v>0.8387208462424709</v>
      </c>
      <c r="M31" s="263">
        <v>1</v>
      </c>
      <c r="N31" s="264">
        <v>1</v>
      </c>
      <c r="O31" s="49"/>
      <c r="P31" s="6"/>
      <c r="Q31" s="49"/>
    </row>
    <row r="32" spans="1:17" ht="15">
      <c r="A32" s="13">
        <f t="shared" si="5"/>
        <v>46141</v>
      </c>
      <c r="B32" s="1">
        <v>16581</v>
      </c>
      <c r="C32" s="1">
        <v>13337</v>
      </c>
      <c r="D32" s="246">
        <v>15820</v>
      </c>
      <c r="E32" s="246">
        <v>15840</v>
      </c>
      <c r="F32" s="21">
        <f t="shared" si="0"/>
        <v>0.1876733898178001</v>
      </c>
      <c r="G32" s="2">
        <f t="shared" si="1"/>
        <v>0.31388888888888888</v>
      </c>
      <c r="H32" s="2">
        <f t="shared" si="6"/>
        <v>0.31428571428571428</v>
      </c>
      <c r="I32" s="86">
        <v>7.27</v>
      </c>
      <c r="J32" s="246">
        <v>8.952</v>
      </c>
      <c r="K32" s="21">
        <f t="shared" si="3"/>
        <v>0.23136176066024766</v>
      </c>
      <c r="L32" s="22">
        <f t="shared" si="4"/>
        <v>0.84152517128388438</v>
      </c>
      <c r="M32" s="263">
        <v>1</v>
      </c>
      <c r="N32" s="264">
        <v>1</v>
      </c>
      <c r="O32" s="49"/>
      <c r="P32" s="6"/>
      <c r="Q32" s="49"/>
    </row>
    <row r="33" spans="1:17" ht="15">
      <c r="A33" s="13">
        <f t="shared" si="5"/>
        <v>46142</v>
      </c>
      <c r="B33" s="1">
        <v>16581</v>
      </c>
      <c r="C33" s="1">
        <v>13337</v>
      </c>
      <c r="D33" s="6">
        <v>14750</v>
      </c>
      <c r="E33" s="6">
        <v>14430</v>
      </c>
      <c r="F33" s="21">
        <f t="shared" si="0"/>
        <v>8.1952463072655024E-2</v>
      </c>
      <c r="G33" s="2">
        <f t="shared" si="1"/>
        <v>0.29265873015873017</v>
      </c>
      <c r="H33" s="2">
        <f t="shared" si="6"/>
        <v>0.28630952380952379</v>
      </c>
      <c r="I33" s="86">
        <v>7.27</v>
      </c>
      <c r="J33" s="6">
        <v>8.3049999999999997</v>
      </c>
      <c r="K33" s="21">
        <f t="shared" si="3"/>
        <v>0.14236588720770291</v>
      </c>
      <c r="L33" s="22">
        <f t="shared" si="4"/>
        <v>0.84573263381210406</v>
      </c>
      <c r="M33" s="263">
        <v>1</v>
      </c>
      <c r="N33" s="264">
        <v>1</v>
      </c>
      <c r="O33" s="49"/>
      <c r="P33" s="6"/>
      <c r="Q33" s="49"/>
    </row>
    <row r="34" spans="1:17">
      <c r="A34" s="349">
        <v>46113</v>
      </c>
      <c r="B34" s="89">
        <f>SUM(B4:B33)</f>
        <v>497430</v>
      </c>
      <c r="C34" s="89">
        <f>SUM(C4:C33)</f>
        <v>400110</v>
      </c>
      <c r="D34" s="89">
        <f>SUM(D4:D33)</f>
        <v>429910</v>
      </c>
      <c r="E34" s="89">
        <f>SUM(E4:E33)</f>
        <v>421590</v>
      </c>
      <c r="F34" s="160">
        <f t="shared" si="0"/>
        <v>5.3685236559946017E-2</v>
      </c>
      <c r="G34" s="90">
        <f>AVERAGE(G4:G33)</f>
        <v>0.28433201058201057</v>
      </c>
      <c r="H34" s="90">
        <f>AVERAGE(H4:H33)</f>
        <v>0.31518691378066388</v>
      </c>
      <c r="I34" s="89">
        <f>SUM(I4:I33)</f>
        <v>218.10000000000008</v>
      </c>
      <c r="J34" s="89">
        <f>SUM(J4:J33)</f>
        <v>245.434</v>
      </c>
      <c r="K34" s="160">
        <f t="shared" si="3"/>
        <v>0.12532783127005917</v>
      </c>
      <c r="L34" s="161">
        <f t="shared" si="4"/>
        <v>0.83411038250221081</v>
      </c>
      <c r="M34" s="90">
        <f>AVERAGE(M4:M33)</f>
        <v>1</v>
      </c>
      <c r="N34" s="90">
        <f>AVERAGE(N4:N33)</f>
        <v>0.9970566666666667</v>
      </c>
      <c r="O34" s="89">
        <f>SUM(O4:O33)</f>
        <v>1272</v>
      </c>
      <c r="P34" s="89">
        <f>SUM(P4:P33)</f>
        <v>0</v>
      </c>
      <c r="Q34" s="19"/>
    </row>
    <row r="35" spans="1:17" ht="15">
      <c r="A35" s="13">
        <v>46143</v>
      </c>
      <c r="B35" s="127">
        <f>509144/31</f>
        <v>16424</v>
      </c>
      <c r="C35" s="127">
        <f>409523/31</f>
        <v>13210.41935483871</v>
      </c>
      <c r="D35" s="33">
        <v>14740</v>
      </c>
      <c r="E35" s="33">
        <v>14660</v>
      </c>
      <c r="F35" s="20">
        <f t="shared" si="0"/>
        <v>0.10973010062926865</v>
      </c>
      <c r="G35" s="2">
        <f t="shared" ref="G35:G57" si="7">D35/($D$2*24)</f>
        <v>0.29246031746031748</v>
      </c>
      <c r="H35" s="2">
        <f t="shared" ref="H35:H61" si="8">D35/($H$2*24)</f>
        <v>0.34895833333333331</v>
      </c>
      <c r="I35" s="350">
        <f>223/31</f>
        <v>7.193548387096774</v>
      </c>
      <c r="J35" s="33">
        <v>8.3209999999999997</v>
      </c>
      <c r="K35" s="20">
        <f t="shared" si="3"/>
        <v>0.15673094170403587</v>
      </c>
      <c r="L35" s="4">
        <f t="shared" si="4"/>
        <v>0.84353414482004807</v>
      </c>
      <c r="M35" s="263">
        <v>1</v>
      </c>
      <c r="N35" s="263">
        <v>1</v>
      </c>
      <c r="O35" s="33"/>
      <c r="P35" s="6"/>
      <c r="Q35" s="6"/>
    </row>
    <row r="36" spans="1:17" ht="15">
      <c r="A36" s="13">
        <f>A35+1</f>
        <v>46144</v>
      </c>
      <c r="B36" s="127">
        <f t="shared" ref="B36:B65" si="9">509144/31</f>
        <v>16424</v>
      </c>
      <c r="C36" s="127">
        <f t="shared" ref="C36:C65" si="10">409523/31</f>
        <v>13210.41935483871</v>
      </c>
      <c r="D36" s="34">
        <v>15050</v>
      </c>
      <c r="E36" s="34">
        <v>14730</v>
      </c>
      <c r="F36" s="20">
        <f t="shared" ref="F36:F54" si="11">(IF(ISBLANK(E36),0,E36-C36))/C36</f>
        <v>0.11502894831303732</v>
      </c>
      <c r="G36" s="2">
        <f t="shared" si="7"/>
        <v>0.2986111111111111</v>
      </c>
      <c r="H36" s="2">
        <f t="shared" si="8"/>
        <v>0.35629734848484851</v>
      </c>
      <c r="I36" s="350">
        <f t="shared" ref="I36:I65" si="12">223/31</f>
        <v>7.193548387096774</v>
      </c>
      <c r="J36" s="34">
        <v>8.5549999999999997</v>
      </c>
      <c r="K36" s="20">
        <f t="shared" ref="K36:K54" si="13">(IF(ISBLANK(J36),0,J36-I36))/I36</f>
        <v>0.18926008968609864</v>
      </c>
      <c r="L36" s="4">
        <f t="shared" ref="L36:L66" si="14">D36/($D$2*J36)</f>
        <v>0.83771673485291254</v>
      </c>
      <c r="M36" s="263">
        <v>1</v>
      </c>
      <c r="N36" s="263">
        <v>1</v>
      </c>
      <c r="O36" s="34"/>
      <c r="P36" s="6"/>
      <c r="Q36" s="6"/>
    </row>
    <row r="37" spans="1:17" ht="15">
      <c r="A37" s="13">
        <f t="shared" ref="A37:A65" si="15">A36+1</f>
        <v>46145</v>
      </c>
      <c r="B37" s="127">
        <f t="shared" si="9"/>
        <v>16424</v>
      </c>
      <c r="C37" s="127">
        <f t="shared" si="10"/>
        <v>13210.41935483871</v>
      </c>
      <c r="D37" s="34">
        <v>15170</v>
      </c>
      <c r="E37" s="34">
        <v>14910</v>
      </c>
      <c r="F37" s="20">
        <f t="shared" si="11"/>
        <v>0.12865455664272821</v>
      </c>
      <c r="G37" s="2">
        <f t="shared" si="7"/>
        <v>0.30099206349206348</v>
      </c>
      <c r="H37" s="2">
        <f t="shared" si="8"/>
        <v>0.35913825757575757</v>
      </c>
      <c r="I37" s="350">
        <f t="shared" si="12"/>
        <v>7.193548387096774</v>
      </c>
      <c r="J37" s="34">
        <v>8.7970000000000006</v>
      </c>
      <c r="K37" s="20">
        <f t="shared" si="13"/>
        <v>0.22290134529147992</v>
      </c>
      <c r="L37" s="4">
        <f t="shared" si="14"/>
        <v>0.82116738931562161</v>
      </c>
      <c r="M37" s="263">
        <v>1</v>
      </c>
      <c r="N37" s="263">
        <v>1</v>
      </c>
      <c r="O37" s="34"/>
      <c r="P37" s="6"/>
      <c r="Q37" s="6"/>
    </row>
    <row r="38" spans="1:17" ht="15">
      <c r="A38" s="13">
        <f t="shared" si="15"/>
        <v>46146</v>
      </c>
      <c r="B38" s="127">
        <f t="shared" si="9"/>
        <v>16424</v>
      </c>
      <c r="C38" s="127">
        <f t="shared" si="10"/>
        <v>13210.41935483871</v>
      </c>
      <c r="D38" s="34">
        <v>12540</v>
      </c>
      <c r="E38" s="34">
        <v>12210</v>
      </c>
      <c r="F38" s="20">
        <f t="shared" si="11"/>
        <v>-7.5729568302635053E-2</v>
      </c>
      <c r="G38" s="2">
        <f t="shared" si="7"/>
        <v>0.24880952380952381</v>
      </c>
      <c r="H38" s="2">
        <f t="shared" si="8"/>
        <v>0.296875</v>
      </c>
      <c r="I38" s="350">
        <f t="shared" si="12"/>
        <v>7.193548387096774</v>
      </c>
      <c r="J38" s="34">
        <v>6.96</v>
      </c>
      <c r="K38" s="20">
        <f t="shared" si="13"/>
        <v>-3.2466367713004464E-2</v>
      </c>
      <c r="L38" s="4">
        <f t="shared" si="14"/>
        <v>0.85796387520525452</v>
      </c>
      <c r="M38" s="263">
        <v>1</v>
      </c>
      <c r="N38" s="263">
        <v>1</v>
      </c>
      <c r="O38" s="34"/>
      <c r="P38" s="6"/>
      <c r="Q38" s="14"/>
    </row>
    <row r="39" spans="1:17" ht="15">
      <c r="A39" s="13">
        <f t="shared" si="15"/>
        <v>46147</v>
      </c>
      <c r="B39" s="127">
        <f t="shared" si="9"/>
        <v>16424</v>
      </c>
      <c r="C39" s="127">
        <f t="shared" si="10"/>
        <v>13210.41935483871</v>
      </c>
      <c r="D39" s="34">
        <v>12400</v>
      </c>
      <c r="E39" s="34">
        <v>11550</v>
      </c>
      <c r="F39" s="20">
        <f t="shared" si="11"/>
        <v>-0.1256901321781683</v>
      </c>
      <c r="G39" s="2">
        <f t="shared" si="7"/>
        <v>0.24603174603174602</v>
      </c>
      <c r="H39" s="2">
        <f t="shared" si="8"/>
        <v>0.29356060606060608</v>
      </c>
      <c r="I39" s="350">
        <f t="shared" si="12"/>
        <v>7.193548387096774</v>
      </c>
      <c r="J39" s="34">
        <v>6.6879999999999997</v>
      </c>
      <c r="K39" s="20">
        <f t="shared" si="13"/>
        <v>-7.0278026905829613E-2</v>
      </c>
      <c r="L39" s="4">
        <f t="shared" si="14"/>
        <v>0.88288904078377772</v>
      </c>
      <c r="M39" s="263">
        <v>1</v>
      </c>
      <c r="N39" s="104">
        <v>0.96</v>
      </c>
      <c r="O39" s="34">
        <v>519</v>
      </c>
      <c r="P39" s="6"/>
      <c r="Q39" s="49" t="s">
        <v>666</v>
      </c>
    </row>
    <row r="40" spans="1:17">
      <c r="A40" s="13">
        <f t="shared" si="15"/>
        <v>46148</v>
      </c>
      <c r="B40" s="127">
        <f t="shared" si="9"/>
        <v>16424</v>
      </c>
      <c r="C40" s="127">
        <f t="shared" si="10"/>
        <v>13210.41935483871</v>
      </c>
      <c r="D40" s="34"/>
      <c r="E40" s="34"/>
      <c r="F40" s="20">
        <f t="shared" si="11"/>
        <v>0</v>
      </c>
      <c r="G40" s="2">
        <f t="shared" si="7"/>
        <v>0</v>
      </c>
      <c r="H40" s="2">
        <f t="shared" si="8"/>
        <v>0</v>
      </c>
      <c r="I40" s="350">
        <f t="shared" si="12"/>
        <v>7.193548387096774</v>
      </c>
      <c r="J40" s="34"/>
      <c r="K40" s="20">
        <f t="shared" si="13"/>
        <v>0</v>
      </c>
      <c r="L40" s="4" t="e">
        <f t="shared" si="14"/>
        <v>#DIV/0!</v>
      </c>
      <c r="M40" s="103"/>
      <c r="N40" s="103"/>
      <c r="O40" s="34"/>
      <c r="P40" s="6"/>
      <c r="Q40" s="14"/>
    </row>
    <row r="41" spans="1:17">
      <c r="A41" s="13">
        <f t="shared" si="15"/>
        <v>46149</v>
      </c>
      <c r="B41" s="127">
        <f t="shared" si="9"/>
        <v>16424</v>
      </c>
      <c r="C41" s="127">
        <f t="shared" si="10"/>
        <v>13210.41935483871</v>
      </c>
      <c r="D41" s="34"/>
      <c r="E41" s="34"/>
      <c r="F41" s="20">
        <f t="shared" si="11"/>
        <v>0</v>
      </c>
      <c r="G41" s="2">
        <f t="shared" si="7"/>
        <v>0</v>
      </c>
      <c r="H41" s="2">
        <f t="shared" si="8"/>
        <v>0</v>
      </c>
      <c r="I41" s="350">
        <f t="shared" si="12"/>
        <v>7.193548387096774</v>
      </c>
      <c r="J41" s="34"/>
      <c r="K41" s="20">
        <f t="shared" si="13"/>
        <v>0</v>
      </c>
      <c r="L41" s="4" t="e">
        <f t="shared" si="14"/>
        <v>#DIV/0!</v>
      </c>
      <c r="M41" s="103"/>
      <c r="N41" s="103"/>
      <c r="O41" s="34"/>
      <c r="P41" s="6"/>
      <c r="Q41" s="202"/>
    </row>
    <row r="42" spans="1:17">
      <c r="A42" s="13">
        <f t="shared" si="15"/>
        <v>46150</v>
      </c>
      <c r="B42" s="127">
        <f t="shared" si="9"/>
        <v>16424</v>
      </c>
      <c r="C42" s="127">
        <f t="shared" si="10"/>
        <v>13210.41935483871</v>
      </c>
      <c r="D42" s="34"/>
      <c r="E42" s="34"/>
      <c r="F42" s="20">
        <f t="shared" si="11"/>
        <v>0</v>
      </c>
      <c r="G42" s="2">
        <f t="shared" si="7"/>
        <v>0</v>
      </c>
      <c r="H42" s="2">
        <f t="shared" si="8"/>
        <v>0</v>
      </c>
      <c r="I42" s="350">
        <f t="shared" si="12"/>
        <v>7.193548387096774</v>
      </c>
      <c r="J42" s="34"/>
      <c r="K42" s="20">
        <f t="shared" si="13"/>
        <v>0</v>
      </c>
      <c r="L42" s="4" t="e">
        <f t="shared" si="14"/>
        <v>#DIV/0!</v>
      </c>
      <c r="M42" s="103"/>
      <c r="N42" s="103"/>
      <c r="O42" s="34"/>
      <c r="P42" s="6"/>
      <c r="Q42" s="14"/>
    </row>
    <row r="43" spans="1:17">
      <c r="A43" s="13">
        <f t="shared" si="15"/>
        <v>46151</v>
      </c>
      <c r="B43" s="127">
        <f t="shared" si="9"/>
        <v>16424</v>
      </c>
      <c r="C43" s="127">
        <f t="shared" si="10"/>
        <v>13210.41935483871</v>
      </c>
      <c r="D43" s="34"/>
      <c r="E43" s="34"/>
      <c r="F43" s="20">
        <f t="shared" si="11"/>
        <v>0</v>
      </c>
      <c r="G43" s="2">
        <f t="shared" si="7"/>
        <v>0</v>
      </c>
      <c r="H43" s="2">
        <f t="shared" si="8"/>
        <v>0</v>
      </c>
      <c r="I43" s="350">
        <f t="shared" si="12"/>
        <v>7.193548387096774</v>
      </c>
      <c r="J43" s="34"/>
      <c r="K43" s="20">
        <f t="shared" si="13"/>
        <v>0</v>
      </c>
      <c r="L43" s="4" t="e">
        <f t="shared" si="14"/>
        <v>#DIV/0!</v>
      </c>
      <c r="M43" s="103"/>
      <c r="N43" s="103"/>
      <c r="O43" s="34"/>
      <c r="P43" s="6"/>
      <c r="Q43" s="6"/>
    </row>
    <row r="44" spans="1:17">
      <c r="A44" s="13">
        <f t="shared" si="15"/>
        <v>46152</v>
      </c>
      <c r="B44" s="127">
        <f t="shared" si="9"/>
        <v>16424</v>
      </c>
      <c r="C44" s="127">
        <f t="shared" si="10"/>
        <v>13210.41935483871</v>
      </c>
      <c r="D44" s="34"/>
      <c r="E44" s="34"/>
      <c r="F44" s="20">
        <f t="shared" si="11"/>
        <v>0</v>
      </c>
      <c r="G44" s="2">
        <f t="shared" si="7"/>
        <v>0</v>
      </c>
      <c r="H44" s="2">
        <f t="shared" si="8"/>
        <v>0</v>
      </c>
      <c r="I44" s="350">
        <f t="shared" si="12"/>
        <v>7.193548387096774</v>
      </c>
      <c r="J44" s="34"/>
      <c r="K44" s="20">
        <f t="shared" si="13"/>
        <v>0</v>
      </c>
      <c r="L44" s="4" t="e">
        <f t="shared" si="14"/>
        <v>#DIV/0!</v>
      </c>
      <c r="M44" s="103"/>
      <c r="N44" s="103"/>
      <c r="O44" s="34"/>
      <c r="P44" s="6"/>
      <c r="Q44" s="16"/>
    </row>
    <row r="45" spans="1:17">
      <c r="A45" s="13">
        <f t="shared" si="15"/>
        <v>46153</v>
      </c>
      <c r="B45" s="127">
        <f t="shared" si="9"/>
        <v>16424</v>
      </c>
      <c r="C45" s="127">
        <f t="shared" si="10"/>
        <v>13210.41935483871</v>
      </c>
      <c r="D45" s="34"/>
      <c r="E45" s="34"/>
      <c r="F45" s="20">
        <f t="shared" si="11"/>
        <v>0</v>
      </c>
      <c r="G45" s="2">
        <f t="shared" si="7"/>
        <v>0</v>
      </c>
      <c r="H45" s="2">
        <f t="shared" si="8"/>
        <v>0</v>
      </c>
      <c r="I45" s="350">
        <f t="shared" si="12"/>
        <v>7.193548387096774</v>
      </c>
      <c r="J45" s="34"/>
      <c r="K45" s="20">
        <f t="shared" si="13"/>
        <v>0</v>
      </c>
      <c r="L45" s="4" t="e">
        <f t="shared" si="14"/>
        <v>#DIV/0!</v>
      </c>
      <c r="M45" s="103"/>
      <c r="N45" s="103"/>
      <c r="O45" s="34"/>
      <c r="P45" s="6"/>
      <c r="Q45" s="6"/>
    </row>
    <row r="46" spans="1:17">
      <c r="A46" s="13">
        <f t="shared" si="15"/>
        <v>46154</v>
      </c>
      <c r="B46" s="127">
        <f t="shared" si="9"/>
        <v>16424</v>
      </c>
      <c r="C46" s="127">
        <f t="shared" si="10"/>
        <v>13210.41935483871</v>
      </c>
      <c r="D46" s="34"/>
      <c r="E46" s="34"/>
      <c r="F46" s="20">
        <f t="shared" si="11"/>
        <v>0</v>
      </c>
      <c r="G46" s="2">
        <f t="shared" si="7"/>
        <v>0</v>
      </c>
      <c r="H46" s="2">
        <f t="shared" si="8"/>
        <v>0</v>
      </c>
      <c r="I46" s="350">
        <f t="shared" si="12"/>
        <v>7.193548387096774</v>
      </c>
      <c r="J46" s="34"/>
      <c r="K46" s="20">
        <f t="shared" si="13"/>
        <v>0</v>
      </c>
      <c r="L46" s="4" t="e">
        <f t="shared" si="14"/>
        <v>#DIV/0!</v>
      </c>
      <c r="M46" s="104"/>
      <c r="N46" s="103"/>
      <c r="O46" s="34"/>
      <c r="P46" s="6"/>
      <c r="Q46" s="6"/>
    </row>
    <row r="47" spans="1:17">
      <c r="A47" s="13">
        <f t="shared" si="15"/>
        <v>46155</v>
      </c>
      <c r="B47" s="127">
        <f t="shared" si="9"/>
        <v>16424</v>
      </c>
      <c r="C47" s="127">
        <f t="shared" si="10"/>
        <v>13210.41935483871</v>
      </c>
      <c r="D47" s="34"/>
      <c r="E47" s="34"/>
      <c r="F47" s="20">
        <f t="shared" si="11"/>
        <v>0</v>
      </c>
      <c r="G47" s="2">
        <f t="shared" si="7"/>
        <v>0</v>
      </c>
      <c r="H47" s="2">
        <f t="shared" si="8"/>
        <v>0</v>
      </c>
      <c r="I47" s="350">
        <f t="shared" si="12"/>
        <v>7.193548387096774</v>
      </c>
      <c r="J47" s="34"/>
      <c r="K47" s="20">
        <f t="shared" si="13"/>
        <v>0</v>
      </c>
      <c r="L47" s="4" t="e">
        <f t="shared" si="14"/>
        <v>#DIV/0!</v>
      </c>
      <c r="M47" s="104"/>
      <c r="N47" s="103"/>
      <c r="O47" s="34"/>
      <c r="P47" s="6"/>
      <c r="Q47" s="31"/>
    </row>
    <row r="48" spans="1:17">
      <c r="A48" s="13">
        <f t="shared" si="15"/>
        <v>46156</v>
      </c>
      <c r="B48" s="127">
        <f t="shared" si="9"/>
        <v>16424</v>
      </c>
      <c r="C48" s="127">
        <f t="shared" si="10"/>
        <v>13210.41935483871</v>
      </c>
      <c r="D48" s="34"/>
      <c r="E48" s="34"/>
      <c r="F48" s="20">
        <f t="shared" si="11"/>
        <v>0</v>
      </c>
      <c r="G48" s="2">
        <f t="shared" si="7"/>
        <v>0</v>
      </c>
      <c r="H48" s="2">
        <f t="shared" si="8"/>
        <v>0</v>
      </c>
      <c r="I48" s="350">
        <f t="shared" si="12"/>
        <v>7.193548387096774</v>
      </c>
      <c r="J48" s="34"/>
      <c r="K48" s="20">
        <f t="shared" si="13"/>
        <v>0</v>
      </c>
      <c r="L48" s="4" t="e">
        <f t="shared" si="14"/>
        <v>#DIV/0!</v>
      </c>
      <c r="M48" s="104"/>
      <c r="N48" s="103"/>
      <c r="O48" s="34"/>
      <c r="P48" s="6"/>
      <c r="Q48" s="32"/>
    </row>
    <row r="49" spans="1:17">
      <c r="A49" s="13">
        <f t="shared" si="15"/>
        <v>46157</v>
      </c>
      <c r="B49" s="127">
        <f t="shared" si="9"/>
        <v>16424</v>
      </c>
      <c r="C49" s="127">
        <f t="shared" si="10"/>
        <v>13210.41935483871</v>
      </c>
      <c r="D49" s="34"/>
      <c r="E49" s="34"/>
      <c r="F49" s="20">
        <f t="shared" si="11"/>
        <v>0</v>
      </c>
      <c r="G49" s="2">
        <f t="shared" si="7"/>
        <v>0</v>
      </c>
      <c r="H49" s="2">
        <f t="shared" si="8"/>
        <v>0</v>
      </c>
      <c r="I49" s="350">
        <f t="shared" si="12"/>
        <v>7.193548387096774</v>
      </c>
      <c r="J49" s="34"/>
      <c r="K49" s="20">
        <f t="shared" si="13"/>
        <v>0</v>
      </c>
      <c r="L49" s="4" t="e">
        <f t="shared" si="14"/>
        <v>#DIV/0!</v>
      </c>
      <c r="M49" s="104"/>
      <c r="N49" s="103"/>
      <c r="O49" s="34"/>
      <c r="P49" s="6"/>
      <c r="Q49" s="32"/>
    </row>
    <row r="50" spans="1:17">
      <c r="A50" s="13">
        <f t="shared" si="15"/>
        <v>46158</v>
      </c>
      <c r="B50" s="127">
        <f t="shared" si="9"/>
        <v>16424</v>
      </c>
      <c r="C50" s="127">
        <f t="shared" si="10"/>
        <v>13210.41935483871</v>
      </c>
      <c r="D50" s="34"/>
      <c r="E50" s="34"/>
      <c r="F50" s="20">
        <f t="shared" si="11"/>
        <v>0</v>
      </c>
      <c r="G50" s="2">
        <f t="shared" si="7"/>
        <v>0</v>
      </c>
      <c r="H50" s="2">
        <f t="shared" si="8"/>
        <v>0</v>
      </c>
      <c r="I50" s="350">
        <f t="shared" si="12"/>
        <v>7.193548387096774</v>
      </c>
      <c r="J50" s="34"/>
      <c r="K50" s="20">
        <f t="shared" si="13"/>
        <v>0</v>
      </c>
      <c r="L50" s="4" t="e">
        <f t="shared" si="14"/>
        <v>#DIV/0!</v>
      </c>
      <c r="M50" s="104"/>
      <c r="N50" s="103"/>
      <c r="O50" s="34"/>
      <c r="P50" s="6"/>
      <c r="Q50" s="32"/>
    </row>
    <row r="51" spans="1:17">
      <c r="A51" s="13">
        <f t="shared" si="15"/>
        <v>46159</v>
      </c>
      <c r="B51" s="127">
        <f t="shared" si="9"/>
        <v>16424</v>
      </c>
      <c r="C51" s="127">
        <f t="shared" si="10"/>
        <v>13210.41935483871</v>
      </c>
      <c r="D51" s="34"/>
      <c r="E51" s="34"/>
      <c r="F51" s="20">
        <f t="shared" si="11"/>
        <v>0</v>
      </c>
      <c r="G51" s="2">
        <f t="shared" si="7"/>
        <v>0</v>
      </c>
      <c r="H51" s="2">
        <f t="shared" si="8"/>
        <v>0</v>
      </c>
      <c r="I51" s="350">
        <f t="shared" si="12"/>
        <v>7.193548387096774</v>
      </c>
      <c r="J51" s="34"/>
      <c r="K51" s="20">
        <f t="shared" si="13"/>
        <v>0</v>
      </c>
      <c r="L51" s="4" t="e">
        <f t="shared" si="14"/>
        <v>#DIV/0!</v>
      </c>
      <c r="M51" s="103"/>
      <c r="N51" s="103"/>
      <c r="O51" s="34"/>
      <c r="P51" s="6"/>
      <c r="Q51" s="6"/>
    </row>
    <row r="52" spans="1:17">
      <c r="A52" s="13">
        <f t="shared" si="15"/>
        <v>46160</v>
      </c>
      <c r="B52" s="127">
        <f t="shared" si="9"/>
        <v>16424</v>
      </c>
      <c r="C52" s="127">
        <f t="shared" si="10"/>
        <v>13210.41935483871</v>
      </c>
      <c r="D52" s="34"/>
      <c r="E52" s="34"/>
      <c r="F52" s="20">
        <f t="shared" si="11"/>
        <v>0</v>
      </c>
      <c r="G52" s="2">
        <f t="shared" si="7"/>
        <v>0</v>
      </c>
      <c r="H52" s="2">
        <f t="shared" si="8"/>
        <v>0</v>
      </c>
      <c r="I52" s="350">
        <f t="shared" si="12"/>
        <v>7.193548387096774</v>
      </c>
      <c r="J52" s="34"/>
      <c r="K52" s="20">
        <f t="shared" si="13"/>
        <v>0</v>
      </c>
      <c r="L52" s="4" t="e">
        <f t="shared" si="14"/>
        <v>#DIV/0!</v>
      </c>
      <c r="M52" s="103"/>
      <c r="N52" s="103"/>
      <c r="O52" s="34"/>
      <c r="P52" s="6"/>
      <c r="Q52" s="14"/>
    </row>
    <row r="53" spans="1:17">
      <c r="A53" s="13">
        <f t="shared" si="15"/>
        <v>46161</v>
      </c>
      <c r="B53" s="127">
        <f t="shared" si="9"/>
        <v>16424</v>
      </c>
      <c r="C53" s="127">
        <f t="shared" si="10"/>
        <v>13210.41935483871</v>
      </c>
      <c r="D53" s="34"/>
      <c r="E53" s="34"/>
      <c r="F53" s="20">
        <f t="shared" si="11"/>
        <v>0</v>
      </c>
      <c r="G53" s="2">
        <f t="shared" si="7"/>
        <v>0</v>
      </c>
      <c r="H53" s="2">
        <f t="shared" si="8"/>
        <v>0</v>
      </c>
      <c r="I53" s="350">
        <f t="shared" si="12"/>
        <v>7.193548387096774</v>
      </c>
      <c r="J53" s="34"/>
      <c r="K53" s="20">
        <f t="shared" si="13"/>
        <v>0</v>
      </c>
      <c r="L53" s="4" t="e">
        <f t="shared" si="14"/>
        <v>#DIV/0!</v>
      </c>
      <c r="M53" s="103"/>
      <c r="N53" s="103"/>
      <c r="O53" s="34"/>
      <c r="P53" s="6"/>
      <c r="Q53" s="14"/>
    </row>
    <row r="54" spans="1:17">
      <c r="A54" s="13">
        <f t="shared" si="15"/>
        <v>46162</v>
      </c>
      <c r="B54" s="127">
        <f t="shared" si="9"/>
        <v>16424</v>
      </c>
      <c r="C54" s="127">
        <f t="shared" si="10"/>
        <v>13210.41935483871</v>
      </c>
      <c r="D54" s="34"/>
      <c r="E54" s="34"/>
      <c r="F54" s="20">
        <f t="shared" si="11"/>
        <v>0</v>
      </c>
      <c r="G54" s="2">
        <f t="shared" si="7"/>
        <v>0</v>
      </c>
      <c r="H54" s="2">
        <f t="shared" si="8"/>
        <v>0</v>
      </c>
      <c r="I54" s="350">
        <f t="shared" si="12"/>
        <v>7.193548387096774</v>
      </c>
      <c r="J54" s="34"/>
      <c r="K54" s="20">
        <f t="shared" si="13"/>
        <v>0</v>
      </c>
      <c r="L54" s="4" t="e">
        <f t="shared" si="14"/>
        <v>#DIV/0!</v>
      </c>
      <c r="M54" s="103"/>
      <c r="N54" s="103"/>
      <c r="O54" s="34"/>
      <c r="P54" s="6"/>
      <c r="Q54" s="14"/>
    </row>
    <row r="55" spans="1:17">
      <c r="A55" s="13">
        <f t="shared" si="15"/>
        <v>46163</v>
      </c>
      <c r="B55" s="127">
        <f t="shared" si="9"/>
        <v>16424</v>
      </c>
      <c r="C55" s="127">
        <f t="shared" si="10"/>
        <v>13210.41935483871</v>
      </c>
      <c r="D55" s="34"/>
      <c r="E55" s="34"/>
      <c r="F55" s="20">
        <f>(IF(ISBLANK(E55),0,E55-C55))/C55</f>
        <v>0</v>
      </c>
      <c r="G55" s="2">
        <f t="shared" si="7"/>
        <v>0</v>
      </c>
      <c r="H55" s="2">
        <f t="shared" si="8"/>
        <v>0</v>
      </c>
      <c r="I55" s="350">
        <f t="shared" si="12"/>
        <v>7.193548387096774</v>
      </c>
      <c r="J55" s="34"/>
      <c r="K55" s="20">
        <f>(IF(ISBLANK(J55),0,J55-I55))/I55</f>
        <v>0</v>
      </c>
      <c r="L55" s="4" t="e">
        <f t="shared" si="14"/>
        <v>#DIV/0!</v>
      </c>
      <c r="M55" s="103"/>
      <c r="N55" s="103"/>
      <c r="O55" s="34"/>
      <c r="P55" s="6"/>
      <c r="Q55" s="6"/>
    </row>
    <row r="56" spans="1:17">
      <c r="A56" s="13">
        <f t="shared" si="15"/>
        <v>46164</v>
      </c>
      <c r="B56" s="127">
        <f t="shared" si="9"/>
        <v>16424</v>
      </c>
      <c r="C56" s="127">
        <f t="shared" si="10"/>
        <v>13210.41935483871</v>
      </c>
      <c r="D56" s="34"/>
      <c r="E56" s="34"/>
      <c r="F56" s="20">
        <f t="shared" ref="F56:F65" si="16">(IF(ISBLANK(E56),0,E56-C56))/C56</f>
        <v>0</v>
      </c>
      <c r="G56" s="2">
        <f t="shared" si="7"/>
        <v>0</v>
      </c>
      <c r="H56" s="2">
        <f t="shared" si="8"/>
        <v>0</v>
      </c>
      <c r="I56" s="350">
        <f t="shared" si="12"/>
        <v>7.193548387096774</v>
      </c>
      <c r="J56" s="34"/>
      <c r="K56" s="20">
        <f t="shared" ref="K56:K65" si="17">(IF(ISBLANK(J56),0,J56-I56))/I56</f>
        <v>0</v>
      </c>
      <c r="L56" s="4" t="e">
        <f t="shared" si="14"/>
        <v>#DIV/0!</v>
      </c>
      <c r="M56" s="103"/>
      <c r="N56" s="103"/>
      <c r="O56" s="34"/>
      <c r="P56" s="6"/>
      <c r="Q56" s="6"/>
    </row>
    <row r="57" spans="1:17">
      <c r="A57" s="13">
        <f t="shared" si="15"/>
        <v>46165</v>
      </c>
      <c r="B57" s="127">
        <f t="shared" si="9"/>
        <v>16424</v>
      </c>
      <c r="C57" s="127">
        <f t="shared" si="10"/>
        <v>13210.41935483871</v>
      </c>
      <c r="D57" s="14"/>
      <c r="E57" s="14"/>
      <c r="F57" s="20">
        <f t="shared" si="16"/>
        <v>0</v>
      </c>
      <c r="G57" s="2">
        <f t="shared" si="7"/>
        <v>0</v>
      </c>
      <c r="H57" s="2">
        <f t="shared" si="8"/>
        <v>0</v>
      </c>
      <c r="I57" s="350">
        <f t="shared" si="12"/>
        <v>7.193548387096774</v>
      </c>
      <c r="J57" s="14"/>
      <c r="K57" s="20">
        <f t="shared" si="17"/>
        <v>0</v>
      </c>
      <c r="L57" s="4" t="e">
        <f t="shared" si="14"/>
        <v>#DIV/0!</v>
      </c>
      <c r="M57" s="103"/>
      <c r="N57" s="103"/>
      <c r="O57" s="34"/>
      <c r="P57" s="6"/>
      <c r="Q57" s="6"/>
    </row>
    <row r="58" spans="1:17">
      <c r="A58" s="13">
        <f t="shared" si="15"/>
        <v>46166</v>
      </c>
      <c r="B58" s="127">
        <f t="shared" si="9"/>
        <v>16424</v>
      </c>
      <c r="C58" s="127">
        <f t="shared" si="10"/>
        <v>13210.41935483871</v>
      </c>
      <c r="D58" s="14"/>
      <c r="E58" s="14"/>
      <c r="F58" s="20">
        <f t="shared" si="16"/>
        <v>0</v>
      </c>
      <c r="G58" s="2">
        <f t="shared" ref="G58:G65" si="18">D58/($D$2*24)</f>
        <v>0</v>
      </c>
      <c r="H58" s="2">
        <f t="shared" si="8"/>
        <v>0</v>
      </c>
      <c r="I58" s="350">
        <f t="shared" si="12"/>
        <v>7.193548387096774</v>
      </c>
      <c r="J58" s="14"/>
      <c r="K58" s="20">
        <f t="shared" si="17"/>
        <v>0</v>
      </c>
      <c r="L58" s="4" t="e">
        <f t="shared" si="14"/>
        <v>#DIV/0!</v>
      </c>
      <c r="M58" s="103"/>
      <c r="N58" s="103"/>
      <c r="O58" s="34"/>
      <c r="P58" s="6"/>
      <c r="Q58" s="288"/>
    </row>
    <row r="59" spans="1:17">
      <c r="A59" s="13">
        <f t="shared" si="15"/>
        <v>46167</v>
      </c>
      <c r="B59" s="127">
        <f t="shared" si="9"/>
        <v>16424</v>
      </c>
      <c r="C59" s="127">
        <f t="shared" si="10"/>
        <v>13210.41935483871</v>
      </c>
      <c r="D59" s="14"/>
      <c r="E59" s="14"/>
      <c r="F59" s="20">
        <f t="shared" si="16"/>
        <v>0</v>
      </c>
      <c r="G59" s="2">
        <f t="shared" si="18"/>
        <v>0</v>
      </c>
      <c r="H59" s="2">
        <f t="shared" si="8"/>
        <v>0</v>
      </c>
      <c r="I59" s="350">
        <f t="shared" si="12"/>
        <v>7.193548387096774</v>
      </c>
      <c r="J59" s="14"/>
      <c r="K59" s="20">
        <f t="shared" si="17"/>
        <v>0</v>
      </c>
      <c r="L59" s="4" t="e">
        <f t="shared" si="14"/>
        <v>#DIV/0!</v>
      </c>
      <c r="M59" s="103"/>
      <c r="N59" s="103"/>
      <c r="O59" s="34"/>
      <c r="P59" s="155"/>
      <c r="Q59" s="6"/>
    </row>
    <row r="60" spans="1:17">
      <c r="A60" s="13">
        <f t="shared" si="15"/>
        <v>46168</v>
      </c>
      <c r="B60" s="127">
        <f t="shared" si="9"/>
        <v>16424</v>
      </c>
      <c r="C60" s="127">
        <f t="shared" si="10"/>
        <v>13210.41935483871</v>
      </c>
      <c r="D60" s="14"/>
      <c r="E60" s="14"/>
      <c r="F60" s="20">
        <f t="shared" si="16"/>
        <v>0</v>
      </c>
      <c r="G60" s="2">
        <f t="shared" si="18"/>
        <v>0</v>
      </c>
      <c r="H60" s="2">
        <f t="shared" si="8"/>
        <v>0</v>
      </c>
      <c r="I60" s="350">
        <f t="shared" si="12"/>
        <v>7.193548387096774</v>
      </c>
      <c r="J60" s="14"/>
      <c r="K60" s="20">
        <f t="shared" si="17"/>
        <v>0</v>
      </c>
      <c r="L60" s="4" t="e">
        <f t="shared" si="14"/>
        <v>#DIV/0!</v>
      </c>
      <c r="M60" s="103"/>
      <c r="N60" s="103"/>
      <c r="O60" s="34"/>
      <c r="P60" s="6"/>
      <c r="Q60" s="123"/>
    </row>
    <row r="61" spans="1:17">
      <c r="A61" s="13">
        <f t="shared" si="15"/>
        <v>46169</v>
      </c>
      <c r="B61" s="127">
        <f t="shared" si="9"/>
        <v>16424</v>
      </c>
      <c r="C61" s="127">
        <f t="shared" si="10"/>
        <v>13210.41935483871</v>
      </c>
      <c r="D61" s="14"/>
      <c r="E61" s="14"/>
      <c r="F61" s="20">
        <f t="shared" si="16"/>
        <v>0</v>
      </c>
      <c r="G61" s="2">
        <f t="shared" si="18"/>
        <v>0</v>
      </c>
      <c r="H61" s="2">
        <f t="shared" si="8"/>
        <v>0</v>
      </c>
      <c r="I61" s="350">
        <f t="shared" si="12"/>
        <v>7.193548387096774</v>
      </c>
      <c r="J61" s="14"/>
      <c r="K61" s="20">
        <f t="shared" si="17"/>
        <v>0</v>
      </c>
      <c r="L61" s="4" t="e">
        <f t="shared" si="14"/>
        <v>#DIV/0!</v>
      </c>
      <c r="M61" s="103"/>
      <c r="N61" s="103"/>
      <c r="O61" s="34"/>
      <c r="P61" s="6"/>
      <c r="Q61" s="6"/>
    </row>
    <row r="62" spans="1:17">
      <c r="A62" s="13">
        <f t="shared" si="15"/>
        <v>46170</v>
      </c>
      <c r="B62" s="127">
        <f t="shared" si="9"/>
        <v>16424</v>
      </c>
      <c r="C62" s="127">
        <f t="shared" si="10"/>
        <v>13210.41935483871</v>
      </c>
      <c r="D62" s="14"/>
      <c r="E62" s="14"/>
      <c r="F62" s="20">
        <f t="shared" si="16"/>
        <v>0</v>
      </c>
      <c r="G62" s="2">
        <f t="shared" si="18"/>
        <v>0</v>
      </c>
      <c r="H62" s="2">
        <f t="shared" ref="H62:H65" si="19">D62/($H$2*24)</f>
        <v>0</v>
      </c>
      <c r="I62" s="350">
        <f t="shared" si="12"/>
        <v>7.193548387096774</v>
      </c>
      <c r="J62" s="14"/>
      <c r="K62" s="20">
        <f t="shared" si="17"/>
        <v>0</v>
      </c>
      <c r="L62" s="4" t="e">
        <f t="shared" si="14"/>
        <v>#DIV/0!</v>
      </c>
      <c r="M62" s="103"/>
      <c r="N62" s="103"/>
      <c r="O62" s="34"/>
      <c r="P62" s="6"/>
      <c r="Q62" s="6"/>
    </row>
    <row r="63" spans="1:17">
      <c r="A63" s="13">
        <f t="shared" si="15"/>
        <v>46171</v>
      </c>
      <c r="B63" s="127">
        <f t="shared" si="9"/>
        <v>16424</v>
      </c>
      <c r="C63" s="127">
        <f t="shared" si="10"/>
        <v>13210.41935483871</v>
      </c>
      <c r="D63" s="14"/>
      <c r="E63" s="14"/>
      <c r="F63" s="20">
        <f t="shared" si="16"/>
        <v>0</v>
      </c>
      <c r="G63" s="2">
        <f t="shared" si="18"/>
        <v>0</v>
      </c>
      <c r="H63" s="2">
        <f t="shared" si="19"/>
        <v>0</v>
      </c>
      <c r="I63" s="350">
        <f t="shared" si="12"/>
        <v>7.193548387096774</v>
      </c>
      <c r="J63" s="14"/>
      <c r="K63" s="20">
        <f t="shared" si="17"/>
        <v>0</v>
      </c>
      <c r="L63" s="4" t="e">
        <f t="shared" si="14"/>
        <v>#DIV/0!</v>
      </c>
      <c r="M63" s="103"/>
      <c r="N63" s="103"/>
      <c r="O63" s="34"/>
      <c r="P63" s="6"/>
      <c r="Q63" s="6"/>
    </row>
    <row r="64" spans="1:17">
      <c r="A64" s="13">
        <f t="shared" si="15"/>
        <v>46172</v>
      </c>
      <c r="B64" s="127">
        <f t="shared" si="9"/>
        <v>16424</v>
      </c>
      <c r="C64" s="127">
        <f t="shared" si="10"/>
        <v>13210.41935483871</v>
      </c>
      <c r="D64" s="14"/>
      <c r="E64" s="14"/>
      <c r="F64" s="20">
        <f t="shared" si="16"/>
        <v>0</v>
      </c>
      <c r="G64" s="2">
        <f t="shared" si="18"/>
        <v>0</v>
      </c>
      <c r="H64" s="2">
        <f t="shared" si="19"/>
        <v>0</v>
      </c>
      <c r="I64" s="350">
        <f t="shared" si="12"/>
        <v>7.193548387096774</v>
      </c>
      <c r="J64" s="14"/>
      <c r="K64" s="20">
        <f t="shared" si="17"/>
        <v>0</v>
      </c>
      <c r="L64" s="4" t="e">
        <f t="shared" si="14"/>
        <v>#DIV/0!</v>
      </c>
      <c r="M64" s="103"/>
      <c r="N64" s="103"/>
      <c r="O64" s="34"/>
      <c r="P64" s="6"/>
      <c r="Q64" s="6"/>
    </row>
    <row r="65" spans="1:17">
      <c r="A65" s="13">
        <f t="shared" si="15"/>
        <v>46173</v>
      </c>
      <c r="B65" s="127">
        <f t="shared" si="9"/>
        <v>16424</v>
      </c>
      <c r="C65" s="127">
        <f t="shared" si="10"/>
        <v>13210.41935483871</v>
      </c>
      <c r="D65" s="14"/>
      <c r="E65" s="14"/>
      <c r="F65" s="20">
        <f t="shared" si="16"/>
        <v>0</v>
      </c>
      <c r="G65" s="2">
        <f t="shared" si="18"/>
        <v>0</v>
      </c>
      <c r="H65" s="2">
        <f t="shared" si="19"/>
        <v>0</v>
      </c>
      <c r="I65" s="350">
        <f t="shared" si="12"/>
        <v>7.193548387096774</v>
      </c>
      <c r="J65" s="14"/>
      <c r="K65" s="20">
        <f t="shared" si="17"/>
        <v>0</v>
      </c>
      <c r="L65" s="4" t="e">
        <f t="shared" si="14"/>
        <v>#DIV/0!</v>
      </c>
      <c r="M65" s="103"/>
      <c r="N65" s="103"/>
      <c r="O65" s="34"/>
      <c r="P65" s="6"/>
      <c r="Q65" s="6"/>
    </row>
    <row r="66" spans="1:17">
      <c r="A66" s="349">
        <v>46143</v>
      </c>
      <c r="B66" s="89">
        <f>SUM(B35:B65)</f>
        <v>509144</v>
      </c>
      <c r="C66" s="89">
        <f>SUM(C35:C65)</f>
        <v>409523.00000000006</v>
      </c>
      <c r="D66" s="89">
        <f>SUM(D35:D65)</f>
        <v>69900</v>
      </c>
      <c r="E66" s="89">
        <f>SUM(E35:E65)</f>
        <v>68060</v>
      </c>
      <c r="F66" s="160">
        <f>(IF(ISBLANK(E66),0,E66-C66))/C66</f>
        <v>-0.83380664822244421</v>
      </c>
      <c r="G66" s="90">
        <f>AVERAGE(G35:G65)</f>
        <v>4.473886328725038E-2</v>
      </c>
      <c r="H66" s="90">
        <f>AVERAGE(H35:H65)</f>
        <v>5.3381598240469209E-2</v>
      </c>
      <c r="I66" s="89">
        <f>SUM(I35:I65)</f>
        <v>222.99999999999989</v>
      </c>
      <c r="J66" s="89">
        <f>SUM(J35:J65)</f>
        <v>39.320999999999998</v>
      </c>
      <c r="K66" s="160">
        <f>(IF(ISBLANK(J66),0,J66-I66))/I66</f>
        <v>-0.82367264573991028</v>
      </c>
      <c r="L66" s="161">
        <f t="shared" si="14"/>
        <v>0.84651240522149207</v>
      </c>
      <c r="M66" s="90">
        <f>AVERAGE(M35:M65)</f>
        <v>1</v>
      </c>
      <c r="N66" s="90">
        <f>AVERAGE(N35:N65)</f>
        <v>0.99199999999999999</v>
      </c>
      <c r="O66" s="89">
        <f>SUM(O35:O65)</f>
        <v>519</v>
      </c>
      <c r="P66" s="89">
        <f>SUM(P35:P65)</f>
        <v>0</v>
      </c>
      <c r="Q66" s="19"/>
    </row>
  </sheetData>
  <mergeCells count="4">
    <mergeCell ref="A1:Q1"/>
    <mergeCell ref="B2:C2"/>
    <mergeCell ref="E2:G2"/>
    <mergeCell ref="I2:J2"/>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B1830-59A1-43DB-9C35-F3BB2B0438E5}">
  <dimension ref="A1:Q66"/>
  <sheetViews>
    <sheetView topLeftCell="A31"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668</v>
      </c>
      <c r="B1" s="406"/>
      <c r="C1" s="406"/>
      <c r="D1" s="406"/>
      <c r="E1" s="406"/>
      <c r="F1" s="406"/>
      <c r="G1" s="406"/>
      <c r="H1" s="406"/>
      <c r="I1" s="406"/>
      <c r="J1" s="406"/>
      <c r="K1" s="406"/>
      <c r="L1" s="406"/>
      <c r="M1" s="406"/>
      <c r="N1" s="406"/>
      <c r="O1" s="406"/>
      <c r="P1" s="406"/>
      <c r="Q1" s="406"/>
    </row>
    <row r="2" spans="1:17" ht="18.5">
      <c r="A2" s="7">
        <v>46113</v>
      </c>
      <c r="B2" s="407" t="s">
        <v>172</v>
      </c>
      <c r="C2" s="408"/>
      <c r="D2" s="8">
        <v>4800</v>
      </c>
      <c r="E2" s="407" t="s">
        <v>173</v>
      </c>
      <c r="F2" s="407"/>
      <c r="G2" s="408"/>
      <c r="H2" s="8">
        <v>3600</v>
      </c>
      <c r="I2" s="409" t="s">
        <v>174</v>
      </c>
      <c r="J2" s="410"/>
      <c r="K2" s="9">
        <v>44652</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27530</v>
      </c>
      <c r="C4" s="1">
        <v>22684</v>
      </c>
      <c r="D4" s="221">
        <v>5380</v>
      </c>
      <c r="E4" s="257">
        <v>5350</v>
      </c>
      <c r="F4" s="21">
        <f t="shared" ref="F4:F35" si="0">(IF(ISBLANK(E4),0,E4-C4))/C4</f>
        <v>-0.76415094339622647</v>
      </c>
      <c r="G4" s="2">
        <f t="shared" ref="G4:G33" si="1">D4/($D$2*24)</f>
        <v>4.670138888888889E-2</v>
      </c>
      <c r="H4" s="2">
        <f t="shared" ref="H4:H21" si="2">D4/($H$2*24)</f>
        <v>6.2268518518518522E-2</v>
      </c>
      <c r="I4" s="86">
        <v>7.17</v>
      </c>
      <c r="J4" s="185">
        <v>1.379</v>
      </c>
      <c r="K4" s="21">
        <f t="shared" ref="K4:K35" si="3">(IF(ISBLANK(J4),0,J4-I4))/I4</f>
        <v>-0.80767085076708511</v>
      </c>
      <c r="L4" s="22">
        <f t="shared" ref="L4:L35" si="4">D4/($D$2*J4)</f>
        <v>0.81278704375151078</v>
      </c>
      <c r="M4" s="68">
        <v>1</v>
      </c>
      <c r="N4" s="68">
        <v>0.47260000000000002</v>
      </c>
      <c r="O4" s="253">
        <v>16407</v>
      </c>
      <c r="P4" s="49"/>
      <c r="Q4" s="50" t="s">
        <v>669</v>
      </c>
    </row>
    <row r="5" spans="1:17">
      <c r="A5" s="13">
        <f t="shared" ref="A5:A33" si="5">A4+1</f>
        <v>46114</v>
      </c>
      <c r="B5" s="1">
        <v>27530</v>
      </c>
      <c r="C5" s="1">
        <v>22684</v>
      </c>
      <c r="D5" s="221">
        <v>27726</v>
      </c>
      <c r="E5" s="257">
        <v>27250</v>
      </c>
      <c r="F5" s="21">
        <f t="shared" si="0"/>
        <v>0.20128725092576266</v>
      </c>
      <c r="G5" s="2">
        <f t="shared" si="1"/>
        <v>0.24067708333333335</v>
      </c>
      <c r="H5" s="2">
        <f t="shared" si="2"/>
        <v>0.32090277777777776</v>
      </c>
      <c r="I5" s="86">
        <v>7.17</v>
      </c>
      <c r="J5" s="185">
        <v>6.7889999999999997</v>
      </c>
      <c r="K5" s="21">
        <f t="shared" si="3"/>
        <v>-5.3138075313807563E-2</v>
      </c>
      <c r="L5" s="22">
        <f t="shared" si="4"/>
        <v>0.85082486375018418</v>
      </c>
      <c r="M5" s="68">
        <v>1</v>
      </c>
      <c r="N5" s="68">
        <v>1</v>
      </c>
      <c r="O5" s="253"/>
      <c r="P5" s="49"/>
      <c r="Q5" s="50"/>
    </row>
    <row r="6" spans="1:17">
      <c r="A6" s="13">
        <f t="shared" si="5"/>
        <v>46115</v>
      </c>
      <c r="B6" s="1">
        <v>27530</v>
      </c>
      <c r="C6" s="1">
        <v>22684</v>
      </c>
      <c r="D6" s="221">
        <v>25548</v>
      </c>
      <c r="E6" s="257">
        <v>25100</v>
      </c>
      <c r="F6" s="21">
        <f t="shared" si="0"/>
        <v>0.10650678892611533</v>
      </c>
      <c r="G6" s="2">
        <f t="shared" si="1"/>
        <v>0.22177083333333333</v>
      </c>
      <c r="H6" s="2">
        <f t="shared" si="2"/>
        <v>0.29569444444444443</v>
      </c>
      <c r="I6" s="86">
        <v>7.17</v>
      </c>
      <c r="J6" s="185">
        <v>6.3150000000000004</v>
      </c>
      <c r="K6" s="21">
        <f t="shared" si="3"/>
        <v>-0.11924686192468613</v>
      </c>
      <c r="L6" s="22">
        <f t="shared" si="4"/>
        <v>0.84283452098178924</v>
      </c>
      <c r="M6" s="68">
        <v>1</v>
      </c>
      <c r="N6" s="68">
        <v>1</v>
      </c>
      <c r="O6" s="253"/>
      <c r="P6" s="49"/>
      <c r="Q6" s="50"/>
    </row>
    <row r="7" spans="1:17">
      <c r="A7" s="13">
        <f t="shared" si="5"/>
        <v>46116</v>
      </c>
      <c r="B7" s="1">
        <v>27530</v>
      </c>
      <c r="C7" s="1">
        <v>22684</v>
      </c>
      <c r="D7" s="221">
        <v>21691</v>
      </c>
      <c r="E7" s="257">
        <v>21400</v>
      </c>
      <c r="F7" s="21">
        <f t="shared" si="0"/>
        <v>-5.6603773584905662E-2</v>
      </c>
      <c r="G7" s="2">
        <f t="shared" si="1"/>
        <v>0.18828993055555557</v>
      </c>
      <c r="H7" s="2">
        <f t="shared" si="2"/>
        <v>0.25105324074074076</v>
      </c>
      <c r="I7" s="86">
        <v>7.17</v>
      </c>
      <c r="J7" s="185">
        <v>5.3330000000000002</v>
      </c>
      <c r="K7" s="21">
        <f t="shared" si="3"/>
        <v>-0.2562064156206415</v>
      </c>
      <c r="L7" s="22">
        <f t="shared" si="4"/>
        <v>0.84735764735295949</v>
      </c>
      <c r="M7" s="68">
        <v>1</v>
      </c>
      <c r="N7" s="68">
        <v>1</v>
      </c>
      <c r="O7" s="253"/>
      <c r="P7" s="49"/>
      <c r="Q7" s="50"/>
    </row>
    <row r="8" spans="1:17">
      <c r="A8" s="13">
        <f t="shared" si="5"/>
        <v>46117</v>
      </c>
      <c r="B8" s="1">
        <v>27530</v>
      </c>
      <c r="C8" s="1">
        <v>22684</v>
      </c>
      <c r="D8" s="221">
        <v>26578</v>
      </c>
      <c r="E8" s="257">
        <v>26200</v>
      </c>
      <c r="F8" s="21">
        <f t="shared" si="0"/>
        <v>0.15499911832128371</v>
      </c>
      <c r="G8" s="2">
        <f t="shared" si="1"/>
        <v>0.23071180555555557</v>
      </c>
      <c r="H8" s="2">
        <f t="shared" si="2"/>
        <v>0.30761574074074072</v>
      </c>
      <c r="I8" s="86">
        <v>7.17</v>
      </c>
      <c r="J8" s="185">
        <v>6.569</v>
      </c>
      <c r="K8" s="21">
        <f t="shared" si="3"/>
        <v>-8.3821478382147832E-2</v>
      </c>
      <c r="L8" s="22">
        <f t="shared" si="4"/>
        <v>0.8429111483229309</v>
      </c>
      <c r="M8" s="68">
        <v>1</v>
      </c>
      <c r="N8" s="68">
        <v>1</v>
      </c>
      <c r="O8" s="253"/>
      <c r="P8" s="49"/>
      <c r="Q8" s="50"/>
    </row>
    <row r="9" spans="1:17">
      <c r="A9" s="13">
        <f t="shared" si="5"/>
        <v>46118</v>
      </c>
      <c r="B9" s="1">
        <v>27530</v>
      </c>
      <c r="C9" s="1">
        <v>22684</v>
      </c>
      <c r="D9" s="221">
        <v>27240</v>
      </c>
      <c r="E9" s="257">
        <v>26750</v>
      </c>
      <c r="F9" s="21">
        <f t="shared" si="0"/>
        <v>0.17924528301886791</v>
      </c>
      <c r="G9" s="2">
        <f t="shared" si="1"/>
        <v>0.23645833333333333</v>
      </c>
      <c r="H9" s="2">
        <f t="shared" si="2"/>
        <v>0.31527777777777777</v>
      </c>
      <c r="I9" s="86">
        <v>7.17</v>
      </c>
      <c r="J9" s="185">
        <v>6.7119999999999997</v>
      </c>
      <c r="K9" s="21">
        <f t="shared" si="3"/>
        <v>-6.3877266387726658E-2</v>
      </c>
      <c r="L9" s="22">
        <f t="shared" si="4"/>
        <v>0.84550059594755667</v>
      </c>
      <c r="M9" s="68">
        <v>1</v>
      </c>
      <c r="N9" s="68">
        <v>1</v>
      </c>
      <c r="O9" s="253"/>
      <c r="P9" s="49"/>
      <c r="Q9" s="50"/>
    </row>
    <row r="10" spans="1:17">
      <c r="A10" s="13">
        <f t="shared" si="5"/>
        <v>46119</v>
      </c>
      <c r="B10" s="1">
        <v>27530</v>
      </c>
      <c r="C10" s="1">
        <v>22684</v>
      </c>
      <c r="D10" s="221">
        <v>24056</v>
      </c>
      <c r="E10" s="257">
        <v>23700</v>
      </c>
      <c r="F10" s="21">
        <f t="shared" si="0"/>
        <v>4.4789278786810084E-2</v>
      </c>
      <c r="G10" s="2">
        <f t="shared" si="1"/>
        <v>0.20881944444444445</v>
      </c>
      <c r="H10" s="2">
        <f t="shared" si="2"/>
        <v>0.27842592592592591</v>
      </c>
      <c r="I10" s="86">
        <v>7.17</v>
      </c>
      <c r="J10" s="185">
        <v>5.8419999999999996</v>
      </c>
      <c r="K10" s="21">
        <f t="shared" si="3"/>
        <v>-0.1852161785216179</v>
      </c>
      <c r="L10" s="22">
        <f t="shared" si="4"/>
        <v>0.85786830993951846</v>
      </c>
      <c r="M10" s="68">
        <v>1</v>
      </c>
      <c r="N10" s="68">
        <v>1</v>
      </c>
      <c r="O10" s="253"/>
      <c r="P10" s="219"/>
      <c r="Q10" s="50"/>
    </row>
    <row r="11" spans="1:17">
      <c r="A11" s="13">
        <f t="shared" si="5"/>
        <v>46120</v>
      </c>
      <c r="B11" s="1">
        <v>27530</v>
      </c>
      <c r="C11" s="1">
        <v>22684</v>
      </c>
      <c r="D11" s="221">
        <v>23660</v>
      </c>
      <c r="E11" s="257">
        <v>23350</v>
      </c>
      <c r="F11" s="21">
        <f t="shared" si="0"/>
        <v>2.9359901251983778E-2</v>
      </c>
      <c r="G11" s="2">
        <f t="shared" si="1"/>
        <v>0.20538194444444444</v>
      </c>
      <c r="H11" s="2">
        <f t="shared" si="2"/>
        <v>0.27384259259259258</v>
      </c>
      <c r="I11" s="86">
        <v>7.17</v>
      </c>
      <c r="J11" s="185">
        <v>5.915</v>
      </c>
      <c r="K11" s="21">
        <f t="shared" si="3"/>
        <v>-0.17503486750348674</v>
      </c>
      <c r="L11" s="22">
        <f t="shared" si="4"/>
        <v>0.83333333333333337</v>
      </c>
      <c r="M11" s="68">
        <v>1</v>
      </c>
      <c r="N11" s="68">
        <v>1</v>
      </c>
      <c r="O11" s="253"/>
      <c r="P11" s="49"/>
      <c r="Q11" s="50"/>
    </row>
    <row r="12" spans="1:17">
      <c r="A12" s="13">
        <f t="shared" si="5"/>
        <v>46121</v>
      </c>
      <c r="B12" s="1">
        <v>27530</v>
      </c>
      <c r="C12" s="1">
        <v>22684</v>
      </c>
      <c r="D12" s="221">
        <v>27295</v>
      </c>
      <c r="E12" s="257">
        <v>26850</v>
      </c>
      <c r="F12" s="21">
        <f t="shared" si="0"/>
        <v>0.18365367660024687</v>
      </c>
      <c r="G12" s="2">
        <f t="shared" si="1"/>
        <v>0.2369357638888889</v>
      </c>
      <c r="H12" s="2">
        <f t="shared" si="2"/>
        <v>0.31591435185185185</v>
      </c>
      <c r="I12" s="86">
        <v>7.17</v>
      </c>
      <c r="J12" s="185">
        <v>6.7149999999999999</v>
      </c>
      <c r="K12" s="21">
        <f t="shared" si="3"/>
        <v>-6.3458856345885647E-2</v>
      </c>
      <c r="L12" s="22">
        <f t="shared" si="4"/>
        <v>0.84682923802432364</v>
      </c>
      <c r="M12" s="68">
        <v>1</v>
      </c>
      <c r="N12" s="68">
        <v>1</v>
      </c>
      <c r="O12" s="253"/>
      <c r="P12" s="49"/>
      <c r="Q12" s="50"/>
    </row>
    <row r="13" spans="1:17">
      <c r="A13" s="13">
        <f t="shared" si="5"/>
        <v>46122</v>
      </c>
      <c r="B13" s="1">
        <v>27530</v>
      </c>
      <c r="C13" s="1">
        <v>22684</v>
      </c>
      <c r="D13" s="221">
        <v>27658</v>
      </c>
      <c r="E13" s="257">
        <v>27250</v>
      </c>
      <c r="F13" s="21">
        <f t="shared" si="0"/>
        <v>0.20128725092576266</v>
      </c>
      <c r="G13" s="2">
        <f t="shared" si="1"/>
        <v>0.24008680555555556</v>
      </c>
      <c r="H13" s="2">
        <f t="shared" si="2"/>
        <v>0.32011574074074073</v>
      </c>
      <c r="I13" s="86">
        <v>7.17</v>
      </c>
      <c r="J13" s="185">
        <v>6.8</v>
      </c>
      <c r="K13" s="21">
        <f t="shared" si="3"/>
        <v>-5.1603905160390533E-2</v>
      </c>
      <c r="L13" s="22">
        <f t="shared" si="4"/>
        <v>0.84736519607843142</v>
      </c>
      <c r="M13" s="68">
        <v>1</v>
      </c>
      <c r="N13" s="68">
        <v>1</v>
      </c>
      <c r="O13" s="253"/>
      <c r="P13" s="49"/>
      <c r="Q13" s="50"/>
    </row>
    <row r="14" spans="1:17">
      <c r="A14" s="13">
        <f t="shared" si="5"/>
        <v>46123</v>
      </c>
      <c r="B14" s="1">
        <v>27530</v>
      </c>
      <c r="C14" s="1">
        <v>22684</v>
      </c>
      <c r="D14" s="221">
        <v>25847</v>
      </c>
      <c r="E14" s="257">
        <v>25450</v>
      </c>
      <c r="F14" s="21">
        <f t="shared" si="0"/>
        <v>0.12193616646094163</v>
      </c>
      <c r="G14" s="2">
        <f t="shared" si="1"/>
        <v>0.22436631944444443</v>
      </c>
      <c r="H14" s="2">
        <f t="shared" si="2"/>
        <v>0.2991550925925926</v>
      </c>
      <c r="I14" s="86">
        <v>7.17</v>
      </c>
      <c r="J14" s="185">
        <v>6.5709999999999997</v>
      </c>
      <c r="K14" s="21">
        <f t="shared" si="3"/>
        <v>-8.3542538354253862E-2</v>
      </c>
      <c r="L14" s="22">
        <f t="shared" si="4"/>
        <v>0.81947826307512805</v>
      </c>
      <c r="M14" s="68">
        <v>1</v>
      </c>
      <c r="N14" s="68">
        <v>1</v>
      </c>
      <c r="O14" s="253"/>
      <c r="P14" s="49"/>
      <c r="Q14" s="50"/>
    </row>
    <row r="15" spans="1:17">
      <c r="A15" s="13">
        <f t="shared" si="5"/>
        <v>46124</v>
      </c>
      <c r="B15" s="1">
        <v>27530</v>
      </c>
      <c r="C15" s="1">
        <v>22684</v>
      </c>
      <c r="D15" s="221">
        <v>26554</v>
      </c>
      <c r="E15" s="257">
        <v>26200</v>
      </c>
      <c r="F15" s="21">
        <f t="shared" si="0"/>
        <v>0.15499911832128371</v>
      </c>
      <c r="G15" s="2">
        <f t="shared" si="1"/>
        <v>0.23050347222222223</v>
      </c>
      <c r="H15" s="2">
        <f t="shared" si="2"/>
        <v>0.30733796296296295</v>
      </c>
      <c r="I15" s="86">
        <v>7.17</v>
      </c>
      <c r="J15" s="185">
        <v>6.7469999999999999</v>
      </c>
      <c r="K15" s="21">
        <f t="shared" si="3"/>
        <v>-5.8995815899581597E-2</v>
      </c>
      <c r="L15" s="22">
        <f t="shared" si="4"/>
        <v>0.81993231559705548</v>
      </c>
      <c r="M15" s="68">
        <v>1</v>
      </c>
      <c r="N15" s="68">
        <v>1</v>
      </c>
      <c r="O15" s="253"/>
      <c r="P15" s="49"/>
      <c r="Q15" s="50"/>
    </row>
    <row r="16" spans="1:17">
      <c r="A16" s="13">
        <f t="shared" si="5"/>
        <v>46125</v>
      </c>
      <c r="B16" s="1">
        <v>27530</v>
      </c>
      <c r="C16" s="1">
        <v>22684</v>
      </c>
      <c r="D16" s="221">
        <v>26835</v>
      </c>
      <c r="E16" s="257">
        <v>26400</v>
      </c>
      <c r="F16" s="21">
        <f t="shared" si="0"/>
        <v>0.16381590548404162</v>
      </c>
      <c r="G16" s="2">
        <f t="shared" si="1"/>
        <v>0.23294270833333333</v>
      </c>
      <c r="H16" s="2">
        <f t="shared" si="2"/>
        <v>0.31059027777777776</v>
      </c>
      <c r="I16" s="86">
        <v>7.17</v>
      </c>
      <c r="J16" s="185">
        <v>6.8550000000000004</v>
      </c>
      <c r="K16" s="21">
        <f t="shared" si="3"/>
        <v>-4.3933054393305374E-2</v>
      </c>
      <c r="L16" s="22">
        <f t="shared" si="4"/>
        <v>0.81555433989788473</v>
      </c>
      <c r="M16" s="68">
        <v>1</v>
      </c>
      <c r="N16" s="68">
        <v>1</v>
      </c>
      <c r="O16" s="253"/>
      <c r="P16" s="49"/>
      <c r="Q16" s="50"/>
    </row>
    <row r="17" spans="1:17">
      <c r="A17" s="13">
        <f t="shared" si="5"/>
        <v>46126</v>
      </c>
      <c r="B17" s="1">
        <v>27530</v>
      </c>
      <c r="C17" s="1">
        <v>22684</v>
      </c>
      <c r="D17" s="221">
        <v>27598</v>
      </c>
      <c r="E17" s="257">
        <v>27150</v>
      </c>
      <c r="F17" s="21">
        <f t="shared" si="0"/>
        <v>0.19687885734438371</v>
      </c>
      <c r="G17" s="2">
        <f t="shared" si="1"/>
        <v>0.23956597222222223</v>
      </c>
      <c r="H17" s="2">
        <f t="shared" si="2"/>
        <v>0.31942129629629629</v>
      </c>
      <c r="I17" s="86">
        <v>7.17</v>
      </c>
      <c r="J17" s="185">
        <v>6.984</v>
      </c>
      <c r="K17" s="21">
        <f t="shared" si="3"/>
        <v>-2.5941422594142251E-2</v>
      </c>
      <c r="L17" s="22">
        <f t="shared" si="4"/>
        <v>0.8232507636502483</v>
      </c>
      <c r="M17" s="68">
        <v>1</v>
      </c>
      <c r="N17" s="68">
        <v>1</v>
      </c>
      <c r="O17" s="253"/>
      <c r="P17" s="49"/>
      <c r="Q17" s="50"/>
    </row>
    <row r="18" spans="1:17">
      <c r="A18" s="13">
        <f t="shared" si="5"/>
        <v>46127</v>
      </c>
      <c r="B18" s="1">
        <v>27530</v>
      </c>
      <c r="C18" s="1">
        <v>22684</v>
      </c>
      <c r="D18" s="221">
        <v>27069</v>
      </c>
      <c r="E18" s="257">
        <v>26650</v>
      </c>
      <c r="F18" s="21">
        <f t="shared" si="0"/>
        <v>0.17483688943748898</v>
      </c>
      <c r="G18" s="2">
        <f t="shared" si="1"/>
        <v>0.23497395833333334</v>
      </c>
      <c r="H18" s="2">
        <f t="shared" si="2"/>
        <v>0.31329861111111112</v>
      </c>
      <c r="I18" s="86">
        <v>7.17</v>
      </c>
      <c r="J18" s="185">
        <v>6.8209999999999997</v>
      </c>
      <c r="K18" s="21">
        <f t="shared" si="3"/>
        <v>-4.8675034867503512E-2</v>
      </c>
      <c r="L18" s="22">
        <f t="shared" si="4"/>
        <v>0.82676660313736994</v>
      </c>
      <c r="M18" s="68">
        <v>1</v>
      </c>
      <c r="N18" s="68">
        <v>1</v>
      </c>
      <c r="O18" s="253"/>
      <c r="P18" s="49"/>
      <c r="Q18" s="50"/>
    </row>
    <row r="19" spans="1:17">
      <c r="A19" s="13">
        <f t="shared" si="5"/>
        <v>46128</v>
      </c>
      <c r="B19" s="1">
        <v>27530</v>
      </c>
      <c r="C19" s="1">
        <v>22684</v>
      </c>
      <c r="D19" s="221">
        <v>27180</v>
      </c>
      <c r="E19" s="257">
        <v>26700</v>
      </c>
      <c r="F19" s="21">
        <f t="shared" si="0"/>
        <v>0.17704108622817846</v>
      </c>
      <c r="G19" s="2">
        <f t="shared" si="1"/>
        <v>0.23593749999999999</v>
      </c>
      <c r="H19" s="2">
        <f t="shared" si="2"/>
        <v>0.31458333333333333</v>
      </c>
      <c r="I19" s="86">
        <v>7.17</v>
      </c>
      <c r="J19" s="185">
        <v>6.8550000000000004</v>
      </c>
      <c r="K19" s="21">
        <f t="shared" si="3"/>
        <v>-4.3933054393305374E-2</v>
      </c>
      <c r="L19" s="22">
        <f t="shared" si="4"/>
        <v>0.82603938730853388</v>
      </c>
      <c r="M19" s="68">
        <v>1</v>
      </c>
      <c r="N19" s="68">
        <v>1</v>
      </c>
      <c r="O19" s="253"/>
      <c r="P19" s="49"/>
      <c r="Q19" s="50"/>
    </row>
    <row r="20" spans="1:17">
      <c r="A20" s="13">
        <f t="shared" si="5"/>
        <v>46129</v>
      </c>
      <c r="B20" s="1">
        <v>27530</v>
      </c>
      <c r="C20" s="1">
        <v>22684</v>
      </c>
      <c r="D20" s="221">
        <v>27328</v>
      </c>
      <c r="E20" s="257">
        <v>26900</v>
      </c>
      <c r="F20" s="21">
        <f t="shared" si="0"/>
        <v>0.18585787339093635</v>
      </c>
      <c r="G20" s="2">
        <f t="shared" si="1"/>
        <v>0.23722222222222222</v>
      </c>
      <c r="H20" s="2">
        <f t="shared" si="2"/>
        <v>0.3162962962962963</v>
      </c>
      <c r="I20" s="86">
        <v>7.17</v>
      </c>
      <c r="J20" s="185">
        <v>6.915</v>
      </c>
      <c r="K20" s="21">
        <f t="shared" si="3"/>
        <v>-3.5564853556485344E-2</v>
      </c>
      <c r="L20" s="22">
        <f t="shared" si="4"/>
        <v>0.82333092311400335</v>
      </c>
      <c r="M20" s="68">
        <v>1</v>
      </c>
      <c r="N20" s="68">
        <v>1</v>
      </c>
      <c r="O20" s="253"/>
      <c r="P20" s="49"/>
      <c r="Q20" s="50"/>
    </row>
    <row r="21" spans="1:17">
      <c r="A21" s="13">
        <f t="shared" si="5"/>
        <v>46130</v>
      </c>
      <c r="B21" s="1">
        <v>27530</v>
      </c>
      <c r="C21" s="1">
        <v>22684</v>
      </c>
      <c r="D21" s="221">
        <v>27326</v>
      </c>
      <c r="E21" s="257">
        <v>26900</v>
      </c>
      <c r="F21" s="21">
        <f t="shared" si="0"/>
        <v>0.18585787339093635</v>
      </c>
      <c r="G21" s="2">
        <f t="shared" si="1"/>
        <v>0.23720486111111111</v>
      </c>
      <c r="H21" s="2">
        <f t="shared" si="2"/>
        <v>0.31627314814814816</v>
      </c>
      <c r="I21" s="86">
        <v>7.17</v>
      </c>
      <c r="J21" s="185">
        <v>6.86</v>
      </c>
      <c r="K21" s="21">
        <f t="shared" si="3"/>
        <v>-4.3235704323570379E-2</v>
      </c>
      <c r="L21" s="22">
        <f t="shared" si="4"/>
        <v>0.82987123420796893</v>
      </c>
      <c r="M21" s="68">
        <v>1</v>
      </c>
      <c r="N21" s="68">
        <v>1</v>
      </c>
      <c r="O21" s="253"/>
      <c r="P21" s="186"/>
      <c r="Q21" s="50"/>
    </row>
    <row r="22" spans="1:17">
      <c r="A22" s="13">
        <f t="shared" si="5"/>
        <v>46131</v>
      </c>
      <c r="B22" s="1">
        <v>27530</v>
      </c>
      <c r="C22" s="1">
        <v>22684</v>
      </c>
      <c r="D22" s="221">
        <v>25642</v>
      </c>
      <c r="E22" s="257">
        <v>25250</v>
      </c>
      <c r="F22" s="21">
        <f t="shared" si="0"/>
        <v>0.11311937929818375</v>
      </c>
      <c r="G22" s="2">
        <f t="shared" si="1"/>
        <v>0.22258680555555554</v>
      </c>
      <c r="H22" s="2">
        <f t="shared" ref="H22:H33" si="6">E22/($D$2*24)</f>
        <v>0.21918402777777779</v>
      </c>
      <c r="I22" s="86">
        <v>7.17</v>
      </c>
      <c r="J22" s="185">
        <v>6.4370000000000003</v>
      </c>
      <c r="K22" s="21">
        <f t="shared" si="3"/>
        <v>-0.10223152022315198</v>
      </c>
      <c r="L22" s="22">
        <f t="shared" si="4"/>
        <v>0.82990264616021947</v>
      </c>
      <c r="M22" s="68">
        <v>1</v>
      </c>
      <c r="N22" s="68">
        <v>1</v>
      </c>
      <c r="O22" s="253"/>
      <c r="P22" s="186"/>
      <c r="Q22" s="50"/>
    </row>
    <row r="23" spans="1:17">
      <c r="A23" s="13">
        <f t="shared" si="5"/>
        <v>46132</v>
      </c>
      <c r="B23" s="1">
        <v>27530</v>
      </c>
      <c r="C23" s="1">
        <v>22684</v>
      </c>
      <c r="D23" s="221">
        <v>25306</v>
      </c>
      <c r="E23" s="257">
        <v>24950</v>
      </c>
      <c r="F23" s="21">
        <f t="shared" si="0"/>
        <v>9.9894198554046909E-2</v>
      </c>
      <c r="G23" s="2">
        <f t="shared" si="1"/>
        <v>0.21967013888888889</v>
      </c>
      <c r="H23" s="2">
        <f t="shared" si="6"/>
        <v>0.2165798611111111</v>
      </c>
      <c r="I23" s="86">
        <v>7.17</v>
      </c>
      <c r="J23" s="185">
        <v>6.4180000000000001</v>
      </c>
      <c r="K23" s="21">
        <f t="shared" si="3"/>
        <v>-0.10488145048814503</v>
      </c>
      <c r="L23" s="22">
        <f t="shared" si="4"/>
        <v>0.82145268515633107</v>
      </c>
      <c r="M23" s="68">
        <v>1</v>
      </c>
      <c r="N23" s="68">
        <v>1</v>
      </c>
      <c r="O23" s="253"/>
      <c r="P23" s="186"/>
      <c r="Q23" s="50"/>
    </row>
    <row r="24" spans="1:17">
      <c r="A24" s="13">
        <f t="shared" si="5"/>
        <v>46133</v>
      </c>
      <c r="B24" s="1">
        <v>27530</v>
      </c>
      <c r="C24" s="1">
        <v>22684</v>
      </c>
      <c r="D24" s="221">
        <v>23909</v>
      </c>
      <c r="E24" s="257">
        <v>23550</v>
      </c>
      <c r="F24" s="21">
        <f t="shared" si="0"/>
        <v>3.8176688414741665E-2</v>
      </c>
      <c r="G24" s="2">
        <f t="shared" si="1"/>
        <v>0.20754340277777777</v>
      </c>
      <c r="H24" s="2">
        <f t="shared" si="6"/>
        <v>0.20442708333333334</v>
      </c>
      <c r="I24" s="86">
        <v>7.17</v>
      </c>
      <c r="J24" s="185">
        <v>6.1120000000000001</v>
      </c>
      <c r="K24" s="21">
        <f t="shared" si="3"/>
        <v>-0.14755927475592745</v>
      </c>
      <c r="L24" s="22">
        <f t="shared" si="4"/>
        <v>0.81496100567190222</v>
      </c>
      <c r="M24" s="68">
        <v>1</v>
      </c>
      <c r="N24" s="68">
        <v>0.98740000000000006</v>
      </c>
      <c r="O24" s="253">
        <v>939</v>
      </c>
      <c r="P24" s="186"/>
      <c r="Q24" s="50" t="s">
        <v>670</v>
      </c>
    </row>
    <row r="25" spans="1:17">
      <c r="A25" s="13">
        <f t="shared" si="5"/>
        <v>46134</v>
      </c>
      <c r="B25" s="1">
        <v>27530</v>
      </c>
      <c r="C25" s="1">
        <v>22684</v>
      </c>
      <c r="D25" s="221">
        <v>26096</v>
      </c>
      <c r="E25" s="257">
        <v>25700</v>
      </c>
      <c r="F25" s="21">
        <f t="shared" si="0"/>
        <v>0.13295715041438899</v>
      </c>
      <c r="G25" s="2">
        <f t="shared" si="1"/>
        <v>0.22652777777777777</v>
      </c>
      <c r="H25" s="2">
        <f t="shared" si="6"/>
        <v>0.22309027777777779</v>
      </c>
      <c r="I25" s="86">
        <v>7.17</v>
      </c>
      <c r="J25" s="185">
        <v>6.6340000000000003</v>
      </c>
      <c r="K25" s="21">
        <f t="shared" si="3"/>
        <v>-7.475592747559269E-2</v>
      </c>
      <c r="L25" s="22">
        <f t="shared" si="4"/>
        <v>0.81951562657019394</v>
      </c>
      <c r="M25" s="68">
        <v>1</v>
      </c>
      <c r="N25" s="68">
        <v>1</v>
      </c>
      <c r="O25" s="253"/>
      <c r="P25" s="186"/>
      <c r="Q25" s="50"/>
    </row>
    <row r="26" spans="1:17">
      <c r="A26" s="13">
        <f t="shared" si="5"/>
        <v>46135</v>
      </c>
      <c r="B26" s="1">
        <v>27530</v>
      </c>
      <c r="C26" s="1">
        <v>22684</v>
      </c>
      <c r="D26" s="221">
        <v>26594</v>
      </c>
      <c r="E26" s="257">
        <v>26200</v>
      </c>
      <c r="F26" s="21">
        <f t="shared" si="0"/>
        <v>0.15499911832128371</v>
      </c>
      <c r="G26" s="2">
        <f t="shared" si="1"/>
        <v>0.23085069444444445</v>
      </c>
      <c r="H26" s="2">
        <f t="shared" si="6"/>
        <v>0.22743055555555555</v>
      </c>
      <c r="I26" s="86">
        <v>7.17</v>
      </c>
      <c r="J26" s="185">
        <v>6.7149999999999999</v>
      </c>
      <c r="K26" s="21">
        <f t="shared" si="3"/>
        <v>-6.3458856345885647E-2</v>
      </c>
      <c r="L26" s="22">
        <f t="shared" si="4"/>
        <v>0.82508066517746337</v>
      </c>
      <c r="M26" s="68">
        <v>1</v>
      </c>
      <c r="N26" s="68">
        <v>1</v>
      </c>
      <c r="O26" s="253"/>
      <c r="P26" s="49"/>
      <c r="Q26" s="50"/>
    </row>
    <row r="27" spans="1:17">
      <c r="A27" s="13">
        <f t="shared" si="5"/>
        <v>46136</v>
      </c>
      <c r="B27" s="1">
        <v>27530</v>
      </c>
      <c r="C27" s="1">
        <v>22684</v>
      </c>
      <c r="D27" s="221">
        <v>26865</v>
      </c>
      <c r="E27" s="257">
        <v>26450</v>
      </c>
      <c r="F27" s="21">
        <f t="shared" si="0"/>
        <v>0.1660201022747311</v>
      </c>
      <c r="G27" s="2">
        <f t="shared" si="1"/>
        <v>0.23320312500000001</v>
      </c>
      <c r="H27" s="2">
        <f t="shared" si="6"/>
        <v>0.22960069444444445</v>
      </c>
      <c r="I27" s="86">
        <v>7.17</v>
      </c>
      <c r="J27" s="185">
        <v>6.8179999999999996</v>
      </c>
      <c r="K27" s="21">
        <f t="shared" si="3"/>
        <v>-4.9093444909344537E-2</v>
      </c>
      <c r="L27" s="22">
        <f t="shared" si="4"/>
        <v>0.82089689058374893</v>
      </c>
      <c r="M27" s="68">
        <v>1</v>
      </c>
      <c r="N27" s="68">
        <v>1</v>
      </c>
      <c r="O27" s="253"/>
      <c r="P27" s="49"/>
      <c r="Q27" s="50"/>
    </row>
    <row r="28" spans="1:17">
      <c r="A28" s="13">
        <f t="shared" si="5"/>
        <v>46137</v>
      </c>
      <c r="B28" s="1">
        <v>27530</v>
      </c>
      <c r="C28" s="1">
        <v>22684</v>
      </c>
      <c r="D28" s="221">
        <v>26400</v>
      </c>
      <c r="E28" s="257">
        <v>26050</v>
      </c>
      <c r="F28" s="21">
        <f t="shared" si="0"/>
        <v>0.14838652794921531</v>
      </c>
      <c r="G28" s="2">
        <f t="shared" si="1"/>
        <v>0.22916666666666666</v>
      </c>
      <c r="H28" s="2">
        <f t="shared" si="6"/>
        <v>0.22612847222222221</v>
      </c>
      <c r="I28" s="86">
        <v>7.17</v>
      </c>
      <c r="J28" s="185">
        <v>6.7229999999999999</v>
      </c>
      <c r="K28" s="21">
        <f t="shared" si="3"/>
        <v>-6.2343096234309635E-2</v>
      </c>
      <c r="L28" s="22">
        <f t="shared" si="4"/>
        <v>0.81808716346868959</v>
      </c>
      <c r="M28" s="68">
        <v>1</v>
      </c>
      <c r="N28" s="68">
        <v>1</v>
      </c>
      <c r="O28" s="253"/>
      <c r="P28" s="186"/>
      <c r="Q28" s="49"/>
    </row>
    <row r="29" spans="1:17">
      <c r="A29" s="13">
        <f t="shared" si="5"/>
        <v>46138</v>
      </c>
      <c r="B29" s="1">
        <v>27530</v>
      </c>
      <c r="C29" s="1">
        <v>22684</v>
      </c>
      <c r="D29" s="221">
        <v>25044</v>
      </c>
      <c r="E29" s="257">
        <v>24700</v>
      </c>
      <c r="F29" s="21">
        <f t="shared" si="0"/>
        <v>8.8873214600599548E-2</v>
      </c>
      <c r="G29" s="2">
        <f t="shared" si="1"/>
        <v>0.21739583333333334</v>
      </c>
      <c r="H29" s="2">
        <f t="shared" si="6"/>
        <v>0.21440972222222221</v>
      </c>
      <c r="I29" s="86">
        <v>7.17</v>
      </c>
      <c r="J29" s="185">
        <v>6.423</v>
      </c>
      <c r="K29" s="21">
        <f t="shared" si="3"/>
        <v>-0.10418410041841003</v>
      </c>
      <c r="L29" s="22">
        <f t="shared" si="4"/>
        <v>0.81231511754631791</v>
      </c>
      <c r="M29" s="68">
        <v>1</v>
      </c>
      <c r="N29" s="68">
        <v>1</v>
      </c>
      <c r="O29" s="253"/>
      <c r="P29" s="49"/>
      <c r="Q29" s="50"/>
    </row>
    <row r="30" spans="1:17">
      <c r="A30" s="13">
        <f t="shared" si="5"/>
        <v>46139</v>
      </c>
      <c r="B30" s="1">
        <v>27530</v>
      </c>
      <c r="C30" s="1">
        <v>22684</v>
      </c>
      <c r="D30" s="6">
        <v>25563</v>
      </c>
      <c r="E30" s="6">
        <v>25200</v>
      </c>
      <c r="F30" s="21">
        <f t="shared" si="0"/>
        <v>0.11091518250749427</v>
      </c>
      <c r="G30" s="2">
        <f t="shared" si="1"/>
        <v>0.22190104166666666</v>
      </c>
      <c r="H30" s="2">
        <f t="shared" si="6"/>
        <v>0.21875</v>
      </c>
      <c r="I30" s="86">
        <v>7.17</v>
      </c>
      <c r="J30" s="6">
        <v>6.49</v>
      </c>
      <c r="K30" s="21">
        <f t="shared" si="3"/>
        <v>-9.4839609483960904E-2</v>
      </c>
      <c r="L30" s="22">
        <f t="shared" si="4"/>
        <v>0.82058936825885975</v>
      </c>
      <c r="M30" s="68">
        <v>1</v>
      </c>
      <c r="N30" s="68">
        <v>1</v>
      </c>
      <c r="O30" s="49"/>
      <c r="P30" s="6"/>
      <c r="Q30" s="49"/>
    </row>
    <row r="31" spans="1:17">
      <c r="A31" s="13">
        <f t="shared" si="5"/>
        <v>46140</v>
      </c>
      <c r="B31" s="1">
        <v>27530</v>
      </c>
      <c r="C31" s="1">
        <v>22684</v>
      </c>
      <c r="D31" s="289">
        <v>25729</v>
      </c>
      <c r="E31" s="290">
        <v>25350</v>
      </c>
      <c r="F31" s="21">
        <f t="shared" si="0"/>
        <v>0.11752777287956269</v>
      </c>
      <c r="G31" s="2">
        <f t="shared" si="1"/>
        <v>0.22334201388888889</v>
      </c>
      <c r="H31" s="2">
        <f t="shared" si="6"/>
        <v>0.22005208333333334</v>
      </c>
      <c r="I31" s="86">
        <v>7.17</v>
      </c>
      <c r="J31" s="289">
        <v>6.54</v>
      </c>
      <c r="K31" s="21">
        <f t="shared" si="3"/>
        <v>-8.7866108786610858E-2</v>
      </c>
      <c r="L31" s="22">
        <f t="shared" si="4"/>
        <v>0.81960372069317022</v>
      </c>
      <c r="M31" s="293">
        <v>1</v>
      </c>
      <c r="N31" s="294">
        <v>1</v>
      </c>
      <c r="O31" s="49"/>
      <c r="P31" s="6"/>
      <c r="Q31" s="49"/>
    </row>
    <row r="32" spans="1:17">
      <c r="A32" s="13">
        <f t="shared" si="5"/>
        <v>46141</v>
      </c>
      <c r="B32" s="1">
        <v>27530</v>
      </c>
      <c r="C32" s="1">
        <v>22684</v>
      </c>
      <c r="D32" s="291">
        <v>26840</v>
      </c>
      <c r="E32" s="292">
        <v>26400</v>
      </c>
      <c r="F32" s="21">
        <f t="shared" si="0"/>
        <v>0.16381590548404162</v>
      </c>
      <c r="G32" s="2">
        <f t="shared" si="1"/>
        <v>0.23298611111111112</v>
      </c>
      <c r="H32" s="2">
        <f t="shared" si="6"/>
        <v>0.22916666666666666</v>
      </c>
      <c r="I32" s="86">
        <v>7.17</v>
      </c>
      <c r="J32" s="291">
        <v>6.71</v>
      </c>
      <c r="K32" s="21">
        <f t="shared" si="3"/>
        <v>-6.4156206415620642E-2</v>
      </c>
      <c r="L32" s="22">
        <f t="shared" si="4"/>
        <v>0.83333333333333337</v>
      </c>
      <c r="M32" s="295">
        <v>1</v>
      </c>
      <c r="N32" s="296">
        <v>1</v>
      </c>
      <c r="O32" s="49"/>
      <c r="P32" s="6"/>
      <c r="Q32" s="49"/>
    </row>
    <row r="33" spans="1:17">
      <c r="A33" s="13">
        <f t="shared" si="5"/>
        <v>46142</v>
      </c>
      <c r="B33" s="314">
        <v>27530</v>
      </c>
      <c r="C33" s="315">
        <v>22685</v>
      </c>
      <c r="D33" s="282">
        <v>26288</v>
      </c>
      <c r="E33" s="282">
        <v>25900</v>
      </c>
      <c r="F33" s="21">
        <f t="shared" si="0"/>
        <v>0.14172360590698699</v>
      </c>
      <c r="G33" s="2">
        <f t="shared" si="1"/>
        <v>0.22819444444444445</v>
      </c>
      <c r="H33" s="2">
        <f t="shared" si="6"/>
        <v>0.2248263888888889</v>
      </c>
      <c r="I33" s="314">
        <v>7.17</v>
      </c>
      <c r="J33" s="282">
        <v>6.51</v>
      </c>
      <c r="K33" s="21">
        <f t="shared" si="3"/>
        <v>-9.2050209205020939E-2</v>
      </c>
      <c r="L33" s="22">
        <f t="shared" si="4"/>
        <v>0.84126984126984128</v>
      </c>
      <c r="M33" s="316">
        <v>1</v>
      </c>
      <c r="N33" s="317">
        <v>1</v>
      </c>
      <c r="O33" s="49"/>
      <c r="P33" s="6"/>
      <c r="Q33" s="49"/>
    </row>
    <row r="34" spans="1:17">
      <c r="A34" s="349">
        <v>46113</v>
      </c>
      <c r="B34" s="89">
        <f>SUM(B4:B33)</f>
        <v>825900</v>
      </c>
      <c r="C34" s="89">
        <f>SUM(C4:C33)</f>
        <v>680521</v>
      </c>
      <c r="D34" s="89">
        <f>SUM(D4:D33)</f>
        <v>762845</v>
      </c>
      <c r="E34" s="89">
        <f>SUM(E4:E33)</f>
        <v>751250</v>
      </c>
      <c r="F34" s="160">
        <f t="shared" si="0"/>
        <v>0.10393360381237317</v>
      </c>
      <c r="G34" s="90">
        <f>AVERAGE(G4:G33)</f>
        <v>0.2207306134259259</v>
      </c>
      <c r="H34" s="90">
        <f>AVERAGE(H4:H33)</f>
        <v>0.26305709876543204</v>
      </c>
      <c r="I34" s="89">
        <f>SUM(I4:I33)</f>
        <v>215.09999999999985</v>
      </c>
      <c r="J34" s="89">
        <f>SUM(J4:J33)</f>
        <v>191.50700000000006</v>
      </c>
      <c r="K34" s="160">
        <f t="shared" si="3"/>
        <v>-0.1096838679683859</v>
      </c>
      <c r="L34" s="161">
        <f t="shared" si="4"/>
        <v>0.82987066617234151</v>
      </c>
      <c r="M34" s="90">
        <f>AVERAGE(M4:M33)</f>
        <v>1</v>
      </c>
      <c r="N34" s="90">
        <f>AVERAGE(N4:N33)</f>
        <v>0.98199999999999998</v>
      </c>
      <c r="O34" s="89">
        <f>SUM(O4:O33)</f>
        <v>17346</v>
      </c>
      <c r="P34" s="89">
        <f>SUM(P4:P33)</f>
        <v>0</v>
      </c>
      <c r="Q34" s="19"/>
    </row>
    <row r="35" spans="1:17">
      <c r="A35" s="13">
        <v>46143</v>
      </c>
      <c r="B35" s="337">
        <v>26459</v>
      </c>
      <c r="C35" s="322">
        <v>21802</v>
      </c>
      <c r="D35" s="282">
        <v>25688</v>
      </c>
      <c r="E35" s="282">
        <v>25300</v>
      </c>
      <c r="F35" s="20">
        <f t="shared" si="0"/>
        <v>0.16044399596367306</v>
      </c>
      <c r="G35" s="2">
        <f t="shared" ref="G35:G57" si="7">D35/($D$2*24)</f>
        <v>0.22298611111111111</v>
      </c>
      <c r="H35" s="2">
        <f t="shared" ref="H35:H61" si="8">D35/($H$2*24)</f>
        <v>0.29731481481481481</v>
      </c>
      <c r="I35" s="337">
        <v>6.88</v>
      </c>
      <c r="J35" s="282">
        <v>6.35</v>
      </c>
      <c r="K35" s="20">
        <f t="shared" si="3"/>
        <v>-7.7034883720930272E-2</v>
      </c>
      <c r="L35" s="4">
        <f t="shared" si="4"/>
        <v>0.84278215223097108</v>
      </c>
      <c r="M35" s="316">
        <v>1</v>
      </c>
      <c r="N35" s="317">
        <v>1</v>
      </c>
      <c r="O35" s="33"/>
      <c r="P35" s="6"/>
      <c r="Q35" s="6"/>
    </row>
    <row r="36" spans="1:17">
      <c r="A36" s="13">
        <f>A35+1</f>
        <v>46144</v>
      </c>
      <c r="B36" s="338">
        <v>26459</v>
      </c>
      <c r="C36" s="325">
        <v>21802</v>
      </c>
      <c r="D36" s="354">
        <v>26329</v>
      </c>
      <c r="E36" s="354">
        <v>25950</v>
      </c>
      <c r="F36" s="20">
        <f t="shared" ref="F36:F54" si="9">(IF(ISBLANK(E36),0,E36-C36))/C36</f>
        <v>0.19025777451609943</v>
      </c>
      <c r="G36" s="2">
        <f t="shared" si="7"/>
        <v>0.22855034722222223</v>
      </c>
      <c r="H36" s="2">
        <f t="shared" si="8"/>
        <v>0.30473379629629632</v>
      </c>
      <c r="I36" s="338">
        <v>6.88</v>
      </c>
      <c r="J36" s="354">
        <v>6.52</v>
      </c>
      <c r="K36" s="20">
        <f t="shared" ref="K36:K54" si="10">(IF(ISBLANK(J36),0,J36-I36))/I36</f>
        <v>-5.2325581395348882E-2</v>
      </c>
      <c r="L36" s="4">
        <f t="shared" ref="L36:L66" si="11">D36/($D$2*J36)</f>
        <v>0.8412896216768917</v>
      </c>
      <c r="M36" s="355">
        <v>1</v>
      </c>
      <c r="N36" s="356">
        <v>1</v>
      </c>
      <c r="O36" s="34"/>
      <c r="P36" s="6"/>
      <c r="Q36" s="6"/>
    </row>
    <row r="37" spans="1:17">
      <c r="A37" s="13">
        <f t="shared" ref="A37:A65" si="12">A36+1</f>
        <v>46145</v>
      </c>
      <c r="B37" s="338">
        <v>26459</v>
      </c>
      <c r="C37" s="325">
        <v>21802</v>
      </c>
      <c r="D37" s="354">
        <v>26369</v>
      </c>
      <c r="E37" s="354">
        <v>26000</v>
      </c>
      <c r="F37" s="20">
        <f t="shared" si="9"/>
        <v>0.19255114209705532</v>
      </c>
      <c r="G37" s="2">
        <f t="shared" si="7"/>
        <v>0.22889756944444445</v>
      </c>
      <c r="H37" s="2">
        <f t="shared" si="8"/>
        <v>0.30519675925925926</v>
      </c>
      <c r="I37" s="338">
        <v>6.88</v>
      </c>
      <c r="J37" s="354">
        <v>6.48</v>
      </c>
      <c r="K37" s="20">
        <f t="shared" si="10"/>
        <v>-5.8139534883720853E-2</v>
      </c>
      <c r="L37" s="4">
        <f t="shared" si="11"/>
        <v>0.84776877572016451</v>
      </c>
      <c r="M37" s="355">
        <v>1</v>
      </c>
      <c r="N37" s="356">
        <v>1</v>
      </c>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79377</v>
      </c>
      <c r="C66" s="89">
        <f>SUM(C35:C65)</f>
        <v>65406</v>
      </c>
      <c r="D66" s="89">
        <f>SUM(D35:D65)</f>
        <v>78386</v>
      </c>
      <c r="E66" s="89">
        <f>SUM(E35:E65)</f>
        <v>77250</v>
      </c>
      <c r="F66" s="160">
        <f>(IF(ISBLANK(E66),0,E66-C66))/C66</f>
        <v>0.18108430419227595</v>
      </c>
      <c r="G66" s="90">
        <f>AVERAGE(G35:G65)</f>
        <v>2.1949484767025091E-2</v>
      </c>
      <c r="H66" s="90">
        <f>AVERAGE(H35:H65)</f>
        <v>2.926597968936679E-2</v>
      </c>
      <c r="I66" s="89">
        <f>SUM(I35:I65)</f>
        <v>20.64</v>
      </c>
      <c r="J66" s="89">
        <f>SUM(J35:J65)</f>
        <v>19.350000000000001</v>
      </c>
      <c r="K66" s="160">
        <f>(IF(ISBLANK(J66),0,J66-I66))/I66</f>
        <v>-6.2499999999999958E-2</v>
      </c>
      <c r="L66" s="161">
        <f t="shared" si="11"/>
        <v>0.84394918173987943</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23F5-E78C-4C8E-B2EB-5E3C0FE0A360}">
  <dimension ref="A1:Q66"/>
  <sheetViews>
    <sheetView topLeftCell="A23"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671</v>
      </c>
      <c r="B1" s="406"/>
      <c r="C1" s="406"/>
      <c r="D1" s="406"/>
      <c r="E1" s="406"/>
      <c r="F1" s="406"/>
      <c r="G1" s="406"/>
      <c r="H1" s="406"/>
      <c r="I1" s="406"/>
      <c r="J1" s="406"/>
      <c r="K1" s="406"/>
      <c r="L1" s="406"/>
      <c r="M1" s="406"/>
      <c r="N1" s="406"/>
      <c r="O1" s="406"/>
      <c r="P1" s="406"/>
      <c r="Q1" s="406"/>
    </row>
    <row r="2" spans="1:17" ht="18.5">
      <c r="A2" s="7">
        <v>46113</v>
      </c>
      <c r="B2" s="407" t="s">
        <v>172</v>
      </c>
      <c r="C2" s="408"/>
      <c r="D2" s="8">
        <v>3000</v>
      </c>
      <c r="E2" s="407" t="s">
        <v>173</v>
      </c>
      <c r="F2" s="407"/>
      <c r="G2" s="408"/>
      <c r="H2" s="8">
        <v>2400</v>
      </c>
      <c r="I2" s="409" t="s">
        <v>174</v>
      </c>
      <c r="J2" s="410"/>
      <c r="K2" s="9">
        <v>45013</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15973</v>
      </c>
      <c r="C4" s="1">
        <v>15549</v>
      </c>
      <c r="D4" s="221">
        <v>16151</v>
      </c>
      <c r="E4" s="6">
        <v>15960</v>
      </c>
      <c r="F4" s="21">
        <f t="shared" ref="F4:F35" si="0">(IF(ISBLANK(E4),0,E4-C4))/C4</f>
        <v>2.6432568010804552E-2</v>
      </c>
      <c r="G4" s="2">
        <f t="shared" ref="G4:G33" si="1">D4/($D$2*24)</f>
        <v>0.22431944444444443</v>
      </c>
      <c r="H4" s="2">
        <f t="shared" ref="H4:H21" si="2">D4/($H$2*24)</f>
        <v>0.28039930555555553</v>
      </c>
      <c r="I4" s="86">
        <v>6.67</v>
      </c>
      <c r="J4" s="185">
        <v>6.8230000000000004</v>
      </c>
      <c r="K4" s="21">
        <f t="shared" ref="K4:K35" si="3">(IF(ISBLANK(J4),0,J4-I4))/I4</f>
        <v>2.2938530734632753E-2</v>
      </c>
      <c r="L4" s="22">
        <f t="shared" ref="L4:L35" si="4">D4/($D$2*J4)</f>
        <v>0.78904685133616692</v>
      </c>
      <c r="M4" s="25">
        <v>1</v>
      </c>
      <c r="N4" s="25">
        <v>1</v>
      </c>
      <c r="O4" s="49"/>
      <c r="P4" s="303"/>
      <c r="Q4" s="191"/>
    </row>
    <row r="5" spans="1:17">
      <c r="A5" s="13">
        <f t="shared" ref="A5:A33" si="5">A4+1</f>
        <v>46114</v>
      </c>
      <c r="B5" s="1">
        <v>15973</v>
      </c>
      <c r="C5" s="1">
        <v>15549</v>
      </c>
      <c r="D5" s="221">
        <v>16741</v>
      </c>
      <c r="E5" s="6">
        <v>16530</v>
      </c>
      <c r="F5" s="21">
        <f t="shared" si="0"/>
        <v>6.3090874011190429E-2</v>
      </c>
      <c r="G5" s="2">
        <f t="shared" si="1"/>
        <v>0.23251388888888888</v>
      </c>
      <c r="H5" s="2">
        <f t="shared" si="2"/>
        <v>0.29064236111111114</v>
      </c>
      <c r="I5" s="86">
        <v>6.67</v>
      </c>
      <c r="J5" s="185">
        <v>7.1980000000000004</v>
      </c>
      <c r="K5" s="21">
        <f t="shared" si="3"/>
        <v>7.9160419790105019E-2</v>
      </c>
      <c r="L5" s="22">
        <f t="shared" si="4"/>
        <v>0.77526164675372788</v>
      </c>
      <c r="M5" s="25">
        <v>1</v>
      </c>
      <c r="N5" s="25">
        <v>1</v>
      </c>
      <c r="O5" s="49"/>
      <c r="P5" s="304"/>
      <c r="Q5" s="49"/>
    </row>
    <row r="6" spans="1:17">
      <c r="A6" s="13">
        <f t="shared" si="5"/>
        <v>46115</v>
      </c>
      <c r="B6" s="1">
        <v>15973</v>
      </c>
      <c r="C6" s="1">
        <v>15549</v>
      </c>
      <c r="D6" s="221">
        <v>14032</v>
      </c>
      <c r="E6" s="6">
        <v>13830</v>
      </c>
      <c r="F6" s="21">
        <f t="shared" si="0"/>
        <v>-0.11055373335905846</v>
      </c>
      <c r="G6" s="2">
        <f t="shared" si="1"/>
        <v>0.19488888888888889</v>
      </c>
      <c r="H6" s="2">
        <f t="shared" si="2"/>
        <v>0.24361111111111111</v>
      </c>
      <c r="I6" s="86">
        <v>6.67</v>
      </c>
      <c r="J6" s="185">
        <v>6.2370000000000001</v>
      </c>
      <c r="K6" s="21">
        <f t="shared" si="3"/>
        <v>-6.4917541229385284E-2</v>
      </c>
      <c r="L6" s="22">
        <f t="shared" si="4"/>
        <v>0.74993319437763883</v>
      </c>
      <c r="M6" s="25">
        <v>0.9395</v>
      </c>
      <c r="N6" s="25">
        <v>1</v>
      </c>
      <c r="O6" s="49"/>
      <c r="P6" s="304">
        <v>1154</v>
      </c>
      <c r="Q6" s="49" t="s">
        <v>672</v>
      </c>
    </row>
    <row r="7" spans="1:17">
      <c r="A7" s="13">
        <f t="shared" si="5"/>
        <v>46116</v>
      </c>
      <c r="B7" s="1">
        <v>15973</v>
      </c>
      <c r="C7" s="1">
        <v>15549</v>
      </c>
      <c r="D7" s="221">
        <v>13872</v>
      </c>
      <c r="E7" s="6">
        <v>13710</v>
      </c>
      <c r="F7" s="21">
        <f t="shared" si="0"/>
        <v>-0.11827127146440286</v>
      </c>
      <c r="G7" s="2">
        <f t="shared" si="1"/>
        <v>0.19266666666666668</v>
      </c>
      <c r="H7" s="2">
        <f t="shared" si="2"/>
        <v>0.24083333333333334</v>
      </c>
      <c r="I7" s="86">
        <v>6.67</v>
      </c>
      <c r="J7" s="185">
        <v>5.476</v>
      </c>
      <c r="K7" s="21">
        <f t="shared" si="3"/>
        <v>-0.17901049475262368</v>
      </c>
      <c r="L7" s="22">
        <f t="shared" si="4"/>
        <v>0.84441197954711467</v>
      </c>
      <c r="M7" s="25">
        <v>1</v>
      </c>
      <c r="N7" s="25">
        <v>1</v>
      </c>
      <c r="O7" s="49"/>
      <c r="P7" s="304"/>
      <c r="Q7" s="49"/>
    </row>
    <row r="8" spans="1:17">
      <c r="A8" s="13">
        <f t="shared" si="5"/>
        <v>46117</v>
      </c>
      <c r="B8" s="1">
        <v>15973</v>
      </c>
      <c r="C8" s="1">
        <v>15549</v>
      </c>
      <c r="D8" s="221">
        <v>16097</v>
      </c>
      <c r="E8" s="6">
        <v>15900</v>
      </c>
      <c r="F8" s="21">
        <f t="shared" si="0"/>
        <v>2.2573798958132357E-2</v>
      </c>
      <c r="G8" s="2">
        <f t="shared" si="1"/>
        <v>0.22356944444444443</v>
      </c>
      <c r="H8" s="2">
        <f t="shared" si="2"/>
        <v>0.27946180555555555</v>
      </c>
      <c r="I8" s="86">
        <v>6.67</v>
      </c>
      <c r="J8" s="185">
        <v>6.508</v>
      </c>
      <c r="K8" s="21">
        <f t="shared" si="3"/>
        <v>-2.4287856071964008E-2</v>
      </c>
      <c r="L8" s="22">
        <f t="shared" si="4"/>
        <v>0.82447244417127641</v>
      </c>
      <c r="M8" s="25">
        <v>1</v>
      </c>
      <c r="N8" s="25">
        <v>1</v>
      </c>
      <c r="O8" s="49"/>
      <c r="P8" s="304"/>
      <c r="Q8" s="49"/>
    </row>
    <row r="9" spans="1:17">
      <c r="A9" s="13">
        <f t="shared" si="5"/>
        <v>46118</v>
      </c>
      <c r="B9" s="1">
        <v>15973</v>
      </c>
      <c r="C9" s="1">
        <v>15549</v>
      </c>
      <c r="D9" s="221">
        <v>16724</v>
      </c>
      <c r="E9" s="6">
        <v>16470</v>
      </c>
      <c r="F9" s="21">
        <f t="shared" si="0"/>
        <v>5.9232104958518231E-2</v>
      </c>
      <c r="G9" s="2">
        <f t="shared" si="1"/>
        <v>0.23227777777777778</v>
      </c>
      <c r="H9" s="2">
        <f t="shared" si="2"/>
        <v>0.2903472222222222</v>
      </c>
      <c r="I9" s="86">
        <v>6.67</v>
      </c>
      <c r="J9" s="185">
        <v>6.867</v>
      </c>
      <c r="K9" s="21">
        <f t="shared" si="3"/>
        <v>2.9535232383808105E-2</v>
      </c>
      <c r="L9" s="22">
        <f t="shared" si="4"/>
        <v>0.81180525217222466</v>
      </c>
      <c r="M9" s="25">
        <v>1</v>
      </c>
      <c r="N9" s="25">
        <v>1</v>
      </c>
      <c r="O9" s="49"/>
      <c r="P9" s="304"/>
      <c r="Q9" s="49"/>
    </row>
    <row r="10" spans="1:17">
      <c r="A10" s="13">
        <f t="shared" si="5"/>
        <v>46119</v>
      </c>
      <c r="B10" s="1">
        <v>15973</v>
      </c>
      <c r="C10" s="1">
        <v>15549</v>
      </c>
      <c r="D10" s="221">
        <v>15137</v>
      </c>
      <c r="E10" s="6">
        <v>14940</v>
      </c>
      <c r="F10" s="21">
        <f t="shared" si="0"/>
        <v>-3.9166505884622803E-2</v>
      </c>
      <c r="G10" s="2">
        <f t="shared" si="1"/>
        <v>0.21023611111111112</v>
      </c>
      <c r="H10" s="2">
        <f t="shared" si="2"/>
        <v>0.26279513888888889</v>
      </c>
      <c r="I10" s="86">
        <v>6.67</v>
      </c>
      <c r="J10" s="185">
        <v>6.1680000000000001</v>
      </c>
      <c r="K10" s="21">
        <f t="shared" si="3"/>
        <v>-7.5262368815592173E-2</v>
      </c>
      <c r="L10" s="22">
        <f t="shared" si="4"/>
        <v>0.8180393428447903</v>
      </c>
      <c r="M10" s="25">
        <v>1</v>
      </c>
      <c r="N10" s="25">
        <v>1</v>
      </c>
      <c r="O10" s="49"/>
      <c r="P10" s="304"/>
      <c r="Q10" s="49"/>
    </row>
    <row r="11" spans="1:17">
      <c r="A11" s="13">
        <f t="shared" si="5"/>
        <v>46120</v>
      </c>
      <c r="B11" s="1">
        <v>15973</v>
      </c>
      <c r="C11" s="1">
        <v>15549</v>
      </c>
      <c r="D11" s="221">
        <v>12734</v>
      </c>
      <c r="E11" s="6">
        <v>12630</v>
      </c>
      <c r="F11" s="21">
        <f t="shared" si="0"/>
        <v>-0.18772911441250242</v>
      </c>
      <c r="G11" s="2">
        <f t="shared" si="1"/>
        <v>0.17686111111111111</v>
      </c>
      <c r="H11" s="2">
        <f t="shared" si="2"/>
        <v>0.22107638888888889</v>
      </c>
      <c r="I11" s="86">
        <v>6.67</v>
      </c>
      <c r="J11" s="185">
        <v>5.1779999999999999</v>
      </c>
      <c r="K11" s="21">
        <f t="shared" si="3"/>
        <v>-0.22368815592203897</v>
      </c>
      <c r="L11" s="22">
        <f t="shared" si="4"/>
        <v>0.81975022531221831</v>
      </c>
      <c r="M11" s="25">
        <v>1</v>
      </c>
      <c r="N11" s="25">
        <v>1</v>
      </c>
      <c r="O11" s="49"/>
      <c r="P11" s="305"/>
      <c r="Q11" s="49"/>
    </row>
    <row r="12" spans="1:17">
      <c r="A12" s="13">
        <f t="shared" si="5"/>
        <v>46121</v>
      </c>
      <c r="B12" s="1">
        <v>15973</v>
      </c>
      <c r="C12" s="1">
        <v>15549</v>
      </c>
      <c r="D12" s="221">
        <v>13915</v>
      </c>
      <c r="E12" s="6">
        <v>13740</v>
      </c>
      <c r="F12" s="21">
        <f t="shared" si="0"/>
        <v>-0.11634188693806675</v>
      </c>
      <c r="G12" s="2">
        <f t="shared" si="1"/>
        <v>0.1932638888888889</v>
      </c>
      <c r="H12" s="2">
        <f t="shared" si="2"/>
        <v>0.2415798611111111</v>
      </c>
      <c r="I12" s="86">
        <v>6.67</v>
      </c>
      <c r="J12" s="185">
        <v>5.7060000000000004</v>
      </c>
      <c r="K12" s="21">
        <f t="shared" si="3"/>
        <v>-0.14452773613193395</v>
      </c>
      <c r="L12" s="22">
        <f t="shared" si="4"/>
        <v>0.81288701951162523</v>
      </c>
      <c r="M12" s="25">
        <v>1</v>
      </c>
      <c r="N12" s="25">
        <v>1</v>
      </c>
      <c r="O12" s="49"/>
      <c r="P12" s="289"/>
      <c r="Q12" s="49"/>
    </row>
    <row r="13" spans="1:17">
      <c r="A13" s="13">
        <f t="shared" si="5"/>
        <v>46122</v>
      </c>
      <c r="B13" s="1">
        <v>15973</v>
      </c>
      <c r="C13" s="1">
        <v>15549</v>
      </c>
      <c r="D13" s="221">
        <v>17216</v>
      </c>
      <c r="E13" s="6">
        <v>16980</v>
      </c>
      <c r="F13" s="21">
        <f t="shared" si="0"/>
        <v>9.2031641906231906E-2</v>
      </c>
      <c r="G13" s="2">
        <f t="shared" si="1"/>
        <v>0.23911111111111111</v>
      </c>
      <c r="H13" s="2">
        <f t="shared" si="2"/>
        <v>0.29888888888888887</v>
      </c>
      <c r="I13" s="86">
        <v>6.67</v>
      </c>
      <c r="J13" s="185">
        <v>6.9710000000000001</v>
      </c>
      <c r="K13" s="21">
        <f t="shared" si="3"/>
        <v>4.5127436281859092E-2</v>
      </c>
      <c r="L13" s="22">
        <f t="shared" si="4"/>
        <v>0.82322000669440065</v>
      </c>
      <c r="M13" s="25">
        <v>1</v>
      </c>
      <c r="N13" s="25">
        <v>1</v>
      </c>
      <c r="O13" s="49"/>
      <c r="P13" s="291"/>
      <c r="Q13" s="49"/>
    </row>
    <row r="14" spans="1:17">
      <c r="A14" s="13">
        <f t="shared" si="5"/>
        <v>46123</v>
      </c>
      <c r="B14" s="1">
        <v>15973</v>
      </c>
      <c r="C14" s="1">
        <v>15549</v>
      </c>
      <c r="D14" s="221">
        <v>13507</v>
      </c>
      <c r="E14" s="6">
        <v>13350</v>
      </c>
      <c r="F14" s="21">
        <f t="shared" si="0"/>
        <v>-0.14142388578043605</v>
      </c>
      <c r="G14" s="2">
        <f t="shared" si="1"/>
        <v>0.18759722222222222</v>
      </c>
      <c r="H14" s="2">
        <f t="shared" si="2"/>
        <v>0.23449652777777777</v>
      </c>
      <c r="I14" s="86">
        <v>6.67</v>
      </c>
      <c r="J14" s="185">
        <v>5.4960000000000004</v>
      </c>
      <c r="K14" s="21">
        <f t="shared" si="3"/>
        <v>-0.17601199400299844</v>
      </c>
      <c r="L14" s="22">
        <f t="shared" si="4"/>
        <v>0.81920184376516259</v>
      </c>
      <c r="M14" s="25">
        <v>1</v>
      </c>
      <c r="N14" s="25">
        <v>0.92159999999999997</v>
      </c>
      <c r="O14" s="49">
        <v>3588</v>
      </c>
      <c r="P14" s="291"/>
      <c r="Q14" s="49" t="s">
        <v>673</v>
      </c>
    </row>
    <row r="15" spans="1:17">
      <c r="A15" s="13">
        <f t="shared" si="5"/>
        <v>46124</v>
      </c>
      <c r="B15" s="1">
        <v>15973</v>
      </c>
      <c r="C15" s="1">
        <v>15549</v>
      </c>
      <c r="D15" s="221">
        <v>16475</v>
      </c>
      <c r="E15" s="6">
        <v>16290</v>
      </c>
      <c r="F15" s="21">
        <f t="shared" si="0"/>
        <v>4.7655797800501637E-2</v>
      </c>
      <c r="G15" s="2">
        <f t="shared" si="1"/>
        <v>0.22881944444444444</v>
      </c>
      <c r="H15" s="2">
        <f t="shared" si="2"/>
        <v>0.28602430555555558</v>
      </c>
      <c r="I15" s="86">
        <v>6.67</v>
      </c>
      <c r="J15" s="185">
        <v>6.7750000000000004</v>
      </c>
      <c r="K15" s="21">
        <f t="shared" si="3"/>
        <v>1.5742128935532299E-2</v>
      </c>
      <c r="L15" s="22">
        <f t="shared" si="4"/>
        <v>0.81057810578105782</v>
      </c>
      <c r="M15" s="25">
        <v>1</v>
      </c>
      <c r="N15" s="25">
        <v>1</v>
      </c>
      <c r="O15" s="49"/>
      <c r="P15" s="291"/>
      <c r="Q15" s="49"/>
    </row>
    <row r="16" spans="1:17">
      <c r="A16" s="13">
        <f t="shared" si="5"/>
        <v>46125</v>
      </c>
      <c r="B16" s="1">
        <v>15973</v>
      </c>
      <c r="C16" s="1">
        <v>15549</v>
      </c>
      <c r="D16" s="221">
        <v>16620</v>
      </c>
      <c r="E16" s="6">
        <v>16410</v>
      </c>
      <c r="F16" s="21">
        <f t="shared" si="0"/>
        <v>5.5373335905846033E-2</v>
      </c>
      <c r="G16" s="2">
        <f t="shared" si="1"/>
        <v>0.23083333333333333</v>
      </c>
      <c r="H16" s="2">
        <f t="shared" si="2"/>
        <v>0.28854166666666664</v>
      </c>
      <c r="I16" s="86">
        <v>6.67</v>
      </c>
      <c r="J16" s="185">
        <v>6.7649999999999997</v>
      </c>
      <c r="K16" s="21">
        <f t="shared" si="3"/>
        <v>1.4242878560719603E-2</v>
      </c>
      <c r="L16" s="22">
        <f t="shared" si="4"/>
        <v>0.81892091648189214</v>
      </c>
      <c r="M16" s="25">
        <v>1</v>
      </c>
      <c r="N16" s="25">
        <v>1</v>
      </c>
      <c r="O16" s="49"/>
      <c r="P16" s="291"/>
      <c r="Q16" s="49"/>
    </row>
    <row r="17" spans="1:17">
      <c r="A17" s="13">
        <f t="shared" si="5"/>
        <v>46126</v>
      </c>
      <c r="B17" s="1">
        <v>15973</v>
      </c>
      <c r="C17" s="1">
        <v>15549</v>
      </c>
      <c r="D17" s="221">
        <v>17238</v>
      </c>
      <c r="E17" s="6">
        <v>17010</v>
      </c>
      <c r="F17" s="21">
        <f t="shared" si="0"/>
        <v>9.3961026432568012E-2</v>
      </c>
      <c r="G17" s="2">
        <f t="shared" si="1"/>
        <v>0.23941666666666667</v>
      </c>
      <c r="H17" s="2">
        <f t="shared" si="2"/>
        <v>0.29927083333333332</v>
      </c>
      <c r="I17" s="86">
        <v>6.67</v>
      </c>
      <c r="J17" s="185">
        <v>6.8760000000000003</v>
      </c>
      <c r="K17" s="21">
        <f t="shared" si="3"/>
        <v>3.0884557721139492E-2</v>
      </c>
      <c r="L17" s="22">
        <f t="shared" si="4"/>
        <v>0.83566026759744039</v>
      </c>
      <c r="M17" s="25">
        <v>1</v>
      </c>
      <c r="N17" s="25">
        <v>1</v>
      </c>
      <c r="O17" s="49"/>
      <c r="P17" s="291"/>
      <c r="Q17" s="49"/>
    </row>
    <row r="18" spans="1:17">
      <c r="A18" s="13">
        <f t="shared" si="5"/>
        <v>46127</v>
      </c>
      <c r="B18" s="1">
        <v>15973</v>
      </c>
      <c r="C18" s="1">
        <v>15549</v>
      </c>
      <c r="D18" s="221">
        <v>17056</v>
      </c>
      <c r="E18" s="6">
        <v>16830</v>
      </c>
      <c r="F18" s="21">
        <f t="shared" si="0"/>
        <v>8.2384719274551418E-2</v>
      </c>
      <c r="G18" s="2">
        <f t="shared" si="1"/>
        <v>0.2368888888888889</v>
      </c>
      <c r="H18" s="2">
        <f t="shared" si="2"/>
        <v>0.2961111111111111</v>
      </c>
      <c r="I18" s="86">
        <v>6.67</v>
      </c>
      <c r="J18" s="185">
        <v>6.867</v>
      </c>
      <c r="K18" s="21">
        <f t="shared" si="3"/>
        <v>2.9535232383808105E-2</v>
      </c>
      <c r="L18" s="22">
        <f t="shared" si="4"/>
        <v>0.82792097470996551</v>
      </c>
      <c r="M18" s="25">
        <v>1</v>
      </c>
      <c r="N18" s="25">
        <v>1</v>
      </c>
      <c r="O18" s="49"/>
      <c r="P18" s="291"/>
      <c r="Q18" s="49"/>
    </row>
    <row r="19" spans="1:17">
      <c r="A19" s="13">
        <f t="shared" si="5"/>
        <v>46128</v>
      </c>
      <c r="B19" s="1">
        <v>15973</v>
      </c>
      <c r="C19" s="1">
        <v>15549</v>
      </c>
      <c r="D19" s="221">
        <v>17070</v>
      </c>
      <c r="E19" s="6">
        <v>16860</v>
      </c>
      <c r="F19" s="21">
        <f t="shared" si="0"/>
        <v>8.431410380088751E-2</v>
      </c>
      <c r="G19" s="2">
        <f t="shared" si="1"/>
        <v>0.23708333333333334</v>
      </c>
      <c r="H19" s="2">
        <f t="shared" si="2"/>
        <v>0.29635416666666664</v>
      </c>
      <c r="I19" s="86">
        <v>6.67</v>
      </c>
      <c r="J19" s="185">
        <v>6.9180000000000001</v>
      </c>
      <c r="K19" s="21">
        <f t="shared" si="3"/>
        <v>3.7181409295352359E-2</v>
      </c>
      <c r="L19" s="22">
        <f t="shared" si="4"/>
        <v>0.82249204972535417</v>
      </c>
      <c r="M19" s="25">
        <v>1</v>
      </c>
      <c r="N19" s="25">
        <v>1</v>
      </c>
      <c r="O19" s="49"/>
      <c r="P19" s="291"/>
      <c r="Q19" s="49"/>
    </row>
    <row r="20" spans="1:17">
      <c r="A20" s="13">
        <f t="shared" si="5"/>
        <v>46129</v>
      </c>
      <c r="B20" s="1">
        <v>15973</v>
      </c>
      <c r="C20" s="1">
        <v>15549</v>
      </c>
      <c r="D20" s="221">
        <v>16845</v>
      </c>
      <c r="E20" s="6">
        <v>16620</v>
      </c>
      <c r="F20" s="21">
        <f t="shared" si="0"/>
        <v>6.8879027590198733E-2</v>
      </c>
      <c r="G20" s="2">
        <f t="shared" si="1"/>
        <v>0.23395833333333332</v>
      </c>
      <c r="H20" s="2">
        <f t="shared" si="2"/>
        <v>0.29244791666666664</v>
      </c>
      <c r="I20" s="86">
        <v>6.67</v>
      </c>
      <c r="J20" s="185">
        <v>6.859</v>
      </c>
      <c r="K20" s="21">
        <f t="shared" si="3"/>
        <v>2.833583208395803E-2</v>
      </c>
      <c r="L20" s="22">
        <f t="shared" si="4"/>
        <v>0.81863245371045346</v>
      </c>
      <c r="M20" s="25">
        <v>1</v>
      </c>
      <c r="N20" s="25">
        <v>1</v>
      </c>
      <c r="O20" s="49"/>
      <c r="P20" s="291"/>
      <c r="Q20" s="49"/>
    </row>
    <row r="21" spans="1:17">
      <c r="A21" s="13">
        <f t="shared" si="5"/>
        <v>46130</v>
      </c>
      <c r="B21" s="1">
        <v>15973</v>
      </c>
      <c r="C21" s="1">
        <v>15549</v>
      </c>
      <c r="D21" s="221">
        <v>16761</v>
      </c>
      <c r="E21" s="6">
        <v>16560</v>
      </c>
      <c r="F21" s="21">
        <f t="shared" si="0"/>
        <v>6.5020258537526535E-2</v>
      </c>
      <c r="G21" s="2">
        <f t="shared" si="1"/>
        <v>0.23279166666666667</v>
      </c>
      <c r="H21" s="2">
        <f t="shared" si="2"/>
        <v>0.29098958333333336</v>
      </c>
      <c r="I21" s="86">
        <v>6.67</v>
      </c>
      <c r="J21" s="185">
        <v>6.66</v>
      </c>
      <c r="K21" s="21">
        <f t="shared" si="3"/>
        <v>-1.4992503748125618E-3</v>
      </c>
      <c r="L21" s="22">
        <f t="shared" si="4"/>
        <v>0.83888888888888891</v>
      </c>
      <c r="M21" s="25">
        <v>0.81540000000000001</v>
      </c>
      <c r="N21" s="25">
        <v>1</v>
      </c>
      <c r="O21" s="49"/>
      <c r="P21" s="291">
        <v>931</v>
      </c>
      <c r="Q21" s="49" t="s">
        <v>674</v>
      </c>
    </row>
    <row r="22" spans="1:17">
      <c r="A22" s="13">
        <f t="shared" si="5"/>
        <v>46131</v>
      </c>
      <c r="B22" s="1">
        <v>15973</v>
      </c>
      <c r="C22" s="1">
        <v>15549</v>
      </c>
      <c r="D22" s="221">
        <v>6622</v>
      </c>
      <c r="E22" s="6">
        <v>6510</v>
      </c>
      <c r="F22" s="21">
        <f t="shared" si="0"/>
        <v>-0.58132355778506661</v>
      </c>
      <c r="G22" s="2">
        <f t="shared" si="1"/>
        <v>9.1972222222222219E-2</v>
      </c>
      <c r="H22" s="2">
        <f t="shared" ref="H22:H33" si="6">E22/($D$2*24)</f>
        <v>9.0416666666666673E-2</v>
      </c>
      <c r="I22" s="86">
        <v>6.67</v>
      </c>
      <c r="J22" s="185">
        <v>2.7530000000000001</v>
      </c>
      <c r="K22" s="21">
        <f t="shared" si="3"/>
        <v>-0.58725637181409296</v>
      </c>
      <c r="L22" s="22">
        <f t="shared" si="4"/>
        <v>0.80179198450175571</v>
      </c>
      <c r="M22" s="25">
        <v>0.46529999999999999</v>
      </c>
      <c r="N22" s="25">
        <v>1</v>
      </c>
      <c r="O22" s="49"/>
      <c r="P22" s="291">
        <v>10931</v>
      </c>
      <c r="Q22" s="49" t="s">
        <v>674</v>
      </c>
    </row>
    <row r="23" spans="1:17">
      <c r="A23" s="13">
        <f t="shared" si="5"/>
        <v>46132</v>
      </c>
      <c r="B23" s="1">
        <v>15973</v>
      </c>
      <c r="C23" s="1">
        <v>15549</v>
      </c>
      <c r="D23" s="221">
        <v>15926</v>
      </c>
      <c r="E23" s="6">
        <v>15750</v>
      </c>
      <c r="F23" s="21">
        <f t="shared" si="0"/>
        <v>1.2926876326451862E-2</v>
      </c>
      <c r="G23" s="2">
        <f t="shared" si="1"/>
        <v>0.22119444444444444</v>
      </c>
      <c r="H23" s="2">
        <f t="shared" si="6"/>
        <v>0.21875</v>
      </c>
      <c r="I23" s="86">
        <v>6.67</v>
      </c>
      <c r="J23" s="185">
        <v>6.4859999999999998</v>
      </c>
      <c r="K23" s="21">
        <f t="shared" si="3"/>
        <v>-2.7586206896551748E-2</v>
      </c>
      <c r="L23" s="22">
        <f t="shared" si="4"/>
        <v>0.81848083050673248</v>
      </c>
      <c r="M23" s="25">
        <v>1</v>
      </c>
      <c r="N23" s="25">
        <v>1</v>
      </c>
      <c r="O23" s="49"/>
      <c r="P23" s="291"/>
      <c r="Q23" s="49"/>
    </row>
    <row r="24" spans="1:17">
      <c r="A24" s="13">
        <f t="shared" si="5"/>
        <v>46133</v>
      </c>
      <c r="B24" s="1">
        <v>15973</v>
      </c>
      <c r="C24" s="1">
        <v>15549</v>
      </c>
      <c r="D24" s="221">
        <v>16010</v>
      </c>
      <c r="E24" s="6">
        <v>15840</v>
      </c>
      <c r="F24" s="21">
        <f t="shared" si="0"/>
        <v>1.8715029905460159E-2</v>
      </c>
      <c r="G24" s="2">
        <f t="shared" si="1"/>
        <v>0.22236111111111112</v>
      </c>
      <c r="H24" s="2">
        <f t="shared" si="6"/>
        <v>0.22</v>
      </c>
      <c r="I24" s="86">
        <v>6.67</v>
      </c>
      <c r="J24" s="185">
        <v>6.5430000000000001</v>
      </c>
      <c r="K24" s="21">
        <f t="shared" si="3"/>
        <v>-1.9040479760119907E-2</v>
      </c>
      <c r="L24" s="22">
        <f t="shared" si="4"/>
        <v>0.81562993529981154</v>
      </c>
      <c r="M24" s="25">
        <v>1</v>
      </c>
      <c r="N24" s="25">
        <v>1</v>
      </c>
      <c r="O24" s="49"/>
      <c r="P24" s="291"/>
      <c r="Q24" s="49"/>
    </row>
    <row r="25" spans="1:17">
      <c r="A25" s="13">
        <f t="shared" si="5"/>
        <v>46134</v>
      </c>
      <c r="B25" s="1">
        <v>15973</v>
      </c>
      <c r="C25" s="1">
        <v>15549</v>
      </c>
      <c r="D25" s="221">
        <v>16382</v>
      </c>
      <c r="E25" s="6">
        <v>16200</v>
      </c>
      <c r="F25" s="21">
        <f t="shared" si="0"/>
        <v>4.1867644221493347E-2</v>
      </c>
      <c r="G25" s="2">
        <f t="shared" si="1"/>
        <v>0.22752777777777777</v>
      </c>
      <c r="H25" s="2">
        <f t="shared" si="6"/>
        <v>0.22500000000000001</v>
      </c>
      <c r="I25" s="86">
        <v>6.67</v>
      </c>
      <c r="J25" s="185">
        <v>6.75</v>
      </c>
      <c r="K25" s="21">
        <f t="shared" si="3"/>
        <v>1.199400299850076E-2</v>
      </c>
      <c r="L25" s="22">
        <f t="shared" si="4"/>
        <v>0.80898765432098763</v>
      </c>
      <c r="M25" s="25">
        <v>1</v>
      </c>
      <c r="N25" s="25">
        <v>1</v>
      </c>
      <c r="O25" s="49"/>
      <c r="P25" s="291"/>
      <c r="Q25" s="49"/>
    </row>
    <row r="26" spans="1:17">
      <c r="A26" s="13">
        <f t="shared" si="5"/>
        <v>46135</v>
      </c>
      <c r="B26" s="1">
        <v>15973</v>
      </c>
      <c r="C26" s="1">
        <v>15549</v>
      </c>
      <c r="D26" s="221">
        <v>16741</v>
      </c>
      <c r="E26" s="6">
        <v>16530</v>
      </c>
      <c r="F26" s="21">
        <f t="shared" si="0"/>
        <v>6.3090874011190429E-2</v>
      </c>
      <c r="G26" s="2">
        <f t="shared" si="1"/>
        <v>0.23251388888888888</v>
      </c>
      <c r="H26" s="2">
        <f t="shared" si="6"/>
        <v>0.22958333333333333</v>
      </c>
      <c r="I26" s="86">
        <v>6.67</v>
      </c>
      <c r="J26" s="185">
        <v>6.8849999999999998</v>
      </c>
      <c r="K26" s="21">
        <f t="shared" si="3"/>
        <v>3.2233883058470747E-2</v>
      </c>
      <c r="L26" s="22">
        <f t="shared" si="4"/>
        <v>0.81050593076736865</v>
      </c>
      <c r="M26" s="25">
        <v>1</v>
      </c>
      <c r="N26" s="25">
        <v>1</v>
      </c>
      <c r="O26" s="49"/>
      <c r="P26" s="304"/>
      <c r="Q26" s="49"/>
    </row>
    <row r="27" spans="1:17">
      <c r="A27" s="13">
        <f t="shared" si="5"/>
        <v>46136</v>
      </c>
      <c r="B27" s="1">
        <v>15973</v>
      </c>
      <c r="C27" s="1">
        <v>15549</v>
      </c>
      <c r="D27" s="221">
        <v>16676</v>
      </c>
      <c r="E27" s="6">
        <v>16470</v>
      </c>
      <c r="F27" s="21">
        <f t="shared" si="0"/>
        <v>5.9232104958518231E-2</v>
      </c>
      <c r="G27" s="2">
        <f t="shared" si="1"/>
        <v>0.2316111111111111</v>
      </c>
      <c r="H27" s="2">
        <f t="shared" si="6"/>
        <v>0.22875000000000001</v>
      </c>
      <c r="I27" s="86">
        <v>6.67</v>
      </c>
      <c r="J27" s="185">
        <v>6.9489999999999998</v>
      </c>
      <c r="K27" s="21">
        <f t="shared" si="3"/>
        <v>4.1829085457271355E-2</v>
      </c>
      <c r="L27" s="22">
        <f t="shared" si="4"/>
        <v>0.7999232503477719</v>
      </c>
      <c r="M27" s="25">
        <v>1</v>
      </c>
      <c r="N27" s="25">
        <v>1</v>
      </c>
      <c r="O27" s="49"/>
      <c r="P27" s="304"/>
      <c r="Q27" s="49"/>
    </row>
    <row r="28" spans="1:17">
      <c r="A28" s="13">
        <f t="shared" si="5"/>
        <v>46137</v>
      </c>
      <c r="B28" s="1">
        <v>15973</v>
      </c>
      <c r="C28" s="1">
        <v>15549</v>
      </c>
      <c r="D28" s="221">
        <v>16398</v>
      </c>
      <c r="E28" s="6">
        <v>16230</v>
      </c>
      <c r="F28" s="21">
        <f t="shared" si="0"/>
        <v>4.3797028747829439E-2</v>
      </c>
      <c r="G28" s="2">
        <f t="shared" si="1"/>
        <v>0.22775000000000001</v>
      </c>
      <c r="H28" s="2">
        <f t="shared" si="6"/>
        <v>0.22541666666666665</v>
      </c>
      <c r="I28" s="86">
        <v>6.67</v>
      </c>
      <c r="J28" s="185">
        <v>6.9539999999999997</v>
      </c>
      <c r="K28" s="21">
        <f t="shared" si="3"/>
        <v>4.257871064467763E-2</v>
      </c>
      <c r="L28" s="22">
        <f t="shared" si="4"/>
        <v>0.78602243313201037</v>
      </c>
      <c r="M28" s="25">
        <v>1</v>
      </c>
      <c r="N28" s="25">
        <v>1</v>
      </c>
      <c r="O28" s="49"/>
      <c r="P28" s="304"/>
      <c r="Q28" s="49"/>
    </row>
    <row r="29" spans="1:17">
      <c r="A29" s="13">
        <f t="shared" si="5"/>
        <v>46138</v>
      </c>
      <c r="B29" s="1">
        <v>15973</v>
      </c>
      <c r="C29" s="1">
        <v>15549</v>
      </c>
      <c r="D29" s="221">
        <v>15795</v>
      </c>
      <c r="E29" s="6">
        <v>15630</v>
      </c>
      <c r="F29" s="21">
        <f t="shared" si="0"/>
        <v>5.2093382211074665E-3</v>
      </c>
      <c r="G29" s="2">
        <f t="shared" si="1"/>
        <v>0.21937499999999999</v>
      </c>
      <c r="H29" s="2">
        <f t="shared" si="6"/>
        <v>0.21708333333333332</v>
      </c>
      <c r="I29" s="86">
        <v>6.67</v>
      </c>
      <c r="J29" s="185">
        <v>6.65</v>
      </c>
      <c r="K29" s="21">
        <f t="shared" si="3"/>
        <v>-2.9985007496251236E-3</v>
      </c>
      <c r="L29" s="22">
        <f t="shared" si="4"/>
        <v>0.79172932330827073</v>
      </c>
      <c r="M29" s="25">
        <v>1</v>
      </c>
      <c r="N29" s="25">
        <v>1</v>
      </c>
      <c r="O29" s="49"/>
      <c r="P29" s="304"/>
      <c r="Q29" s="49"/>
    </row>
    <row r="30" spans="1:17">
      <c r="A30" s="13">
        <f t="shared" si="5"/>
        <v>46139</v>
      </c>
      <c r="B30" s="1">
        <v>15973</v>
      </c>
      <c r="C30" s="1">
        <v>15549</v>
      </c>
      <c r="D30" s="281">
        <v>15965</v>
      </c>
      <c r="E30" s="282">
        <v>15780</v>
      </c>
      <c r="F30" s="21">
        <f t="shared" si="0"/>
        <v>1.4856260852787961E-2</v>
      </c>
      <c r="G30" s="2">
        <f t="shared" si="1"/>
        <v>0.22173611111111111</v>
      </c>
      <c r="H30" s="2">
        <f t="shared" si="6"/>
        <v>0.21916666666666668</v>
      </c>
      <c r="I30" s="86">
        <v>6.67</v>
      </c>
      <c r="J30" s="281">
        <v>6.569</v>
      </c>
      <c r="K30" s="21">
        <f t="shared" si="3"/>
        <v>-1.5142428785607193E-2</v>
      </c>
      <c r="L30" s="22">
        <f t="shared" si="4"/>
        <v>0.8101182321002689</v>
      </c>
      <c r="M30" s="25">
        <v>1</v>
      </c>
      <c r="N30" s="25">
        <v>1</v>
      </c>
      <c r="O30" s="49"/>
      <c r="P30" s="304"/>
      <c r="Q30" s="49"/>
    </row>
    <row r="31" spans="1:17">
      <c r="A31" s="13">
        <f t="shared" si="5"/>
        <v>46140</v>
      </c>
      <c r="B31" s="299">
        <v>15973</v>
      </c>
      <c r="C31" s="300">
        <v>15549</v>
      </c>
      <c r="D31" s="37">
        <v>16328</v>
      </c>
      <c r="E31" s="290">
        <v>16110</v>
      </c>
      <c r="F31" s="21">
        <f t="shared" si="0"/>
        <v>3.607949064248505E-2</v>
      </c>
      <c r="G31" s="2">
        <f t="shared" si="1"/>
        <v>0.22677777777777777</v>
      </c>
      <c r="H31" s="2">
        <f t="shared" si="6"/>
        <v>0.22375</v>
      </c>
      <c r="I31" s="297">
        <v>6.67</v>
      </c>
      <c r="J31" s="37">
        <v>6.6669999999999998</v>
      </c>
      <c r="K31" s="21">
        <f t="shared" si="3"/>
        <v>-4.4977511244379518E-4</v>
      </c>
      <c r="L31" s="22">
        <f t="shared" si="4"/>
        <v>0.81635918204089797</v>
      </c>
      <c r="M31" s="293">
        <v>1</v>
      </c>
      <c r="N31" s="294">
        <v>1</v>
      </c>
      <c r="O31" s="37"/>
      <c r="P31" s="304"/>
      <c r="Q31" s="37"/>
    </row>
    <row r="32" spans="1:17">
      <c r="A32" s="13">
        <f t="shared" si="5"/>
        <v>46141</v>
      </c>
      <c r="B32" s="301">
        <v>15973</v>
      </c>
      <c r="C32" s="302">
        <v>15549</v>
      </c>
      <c r="D32" s="44">
        <v>14444</v>
      </c>
      <c r="E32" s="292">
        <v>14250</v>
      </c>
      <c r="F32" s="21">
        <f t="shared" si="0"/>
        <v>-8.3542349990353079E-2</v>
      </c>
      <c r="G32" s="2">
        <f t="shared" si="1"/>
        <v>0.2006111111111111</v>
      </c>
      <c r="H32" s="2">
        <f t="shared" si="6"/>
        <v>0.19791666666666666</v>
      </c>
      <c r="I32" s="298">
        <v>6.67</v>
      </c>
      <c r="J32" s="44">
        <v>6.02</v>
      </c>
      <c r="K32" s="21">
        <f t="shared" si="3"/>
        <v>-9.7451274362818641E-2</v>
      </c>
      <c r="L32" s="22">
        <f t="shared" si="4"/>
        <v>0.79977851605758588</v>
      </c>
      <c r="M32" s="295">
        <v>1</v>
      </c>
      <c r="N32" s="296">
        <v>0.8679</v>
      </c>
      <c r="O32" s="44">
        <v>2202</v>
      </c>
      <c r="P32" s="304"/>
      <c r="Q32" s="44" t="s">
        <v>675</v>
      </c>
    </row>
    <row r="33" spans="1:17">
      <c r="A33" s="13">
        <f t="shared" si="5"/>
        <v>46142</v>
      </c>
      <c r="B33" s="314">
        <v>15973</v>
      </c>
      <c r="C33" s="315">
        <v>15549</v>
      </c>
      <c r="D33" s="318">
        <v>16576</v>
      </c>
      <c r="E33" s="282">
        <v>16380</v>
      </c>
      <c r="F33" s="21">
        <f t="shared" si="0"/>
        <v>5.3443951379509934E-2</v>
      </c>
      <c r="G33" s="2">
        <f t="shared" si="1"/>
        <v>0.23022222222222222</v>
      </c>
      <c r="H33" s="2">
        <f t="shared" si="6"/>
        <v>0.22750000000000001</v>
      </c>
      <c r="I33" s="314">
        <v>6.67</v>
      </c>
      <c r="J33" s="318">
        <v>6.6420000000000003</v>
      </c>
      <c r="K33" s="21">
        <f t="shared" si="3"/>
        <v>-4.1979010494751995E-3</v>
      </c>
      <c r="L33" s="22">
        <f t="shared" si="4"/>
        <v>0.83187794840911367</v>
      </c>
      <c r="M33" s="316">
        <v>1</v>
      </c>
      <c r="N33" s="317">
        <v>1</v>
      </c>
      <c r="O33" s="49"/>
      <c r="P33" s="304"/>
      <c r="Q33" s="49"/>
    </row>
    <row r="34" spans="1:17">
      <c r="A34" s="349">
        <v>46113</v>
      </c>
      <c r="B34" s="89">
        <f>SUM(B4:B33)</f>
        <v>479190</v>
      </c>
      <c r="C34" s="89">
        <f>SUM(C4:C33)</f>
        <v>466470</v>
      </c>
      <c r="D34" s="89">
        <f>SUM(D4:D33)</f>
        <v>468054</v>
      </c>
      <c r="E34" s="89">
        <f>SUM(E4:E33)</f>
        <v>462300</v>
      </c>
      <c r="F34" s="160">
        <f t="shared" si="0"/>
        <v>-8.9394816386905909E-3</v>
      </c>
      <c r="G34" s="90">
        <f>AVERAGE(G4:G33)</f>
        <v>0.21669166666666667</v>
      </c>
      <c r="H34" s="90">
        <f>AVERAGE(H4:H33)</f>
        <v>0.24857349537037032</v>
      </c>
      <c r="I34" s="89">
        <f>SUM(I4:I33)</f>
        <v>200.09999999999988</v>
      </c>
      <c r="J34" s="89">
        <f>SUM(J4:J33)</f>
        <v>192.21600000000004</v>
      </c>
      <c r="K34" s="160">
        <f t="shared" si="3"/>
        <v>-3.9400299850074205E-2</v>
      </c>
      <c r="L34" s="161">
        <f t="shared" si="4"/>
        <v>0.81168060931452102</v>
      </c>
      <c r="M34" s="90">
        <f>AVERAGE(M4:M33)</f>
        <v>0.97400666666666658</v>
      </c>
      <c r="N34" s="90">
        <f>AVERAGE(N4:N33)</f>
        <v>0.99298333333333322</v>
      </c>
      <c r="O34" s="89">
        <f>SUM(O4:O33)</f>
        <v>5790</v>
      </c>
      <c r="P34" s="89">
        <f>SUM(P4:P33)</f>
        <v>13016</v>
      </c>
      <c r="Q34" s="19"/>
    </row>
    <row r="35" spans="1:17">
      <c r="A35" s="13">
        <v>46143</v>
      </c>
      <c r="B35" s="314">
        <v>15710</v>
      </c>
      <c r="C35" s="315">
        <v>15293</v>
      </c>
      <c r="D35" s="318">
        <v>16168</v>
      </c>
      <c r="E35" s="282">
        <v>15960</v>
      </c>
      <c r="F35" s="20">
        <f t="shared" si="0"/>
        <v>4.3614725691492842E-2</v>
      </c>
      <c r="G35" s="2">
        <f t="shared" ref="G35:G57" si="7">D35/($D$2*24)</f>
        <v>0.22455555555555556</v>
      </c>
      <c r="H35" s="2">
        <f t="shared" ref="H35:H61" si="8">D35/($H$2*24)</f>
        <v>0.28069444444444447</v>
      </c>
      <c r="I35" s="314">
        <v>6.61</v>
      </c>
      <c r="J35" s="318">
        <v>6.4749999999999996</v>
      </c>
      <c r="K35" s="20">
        <f t="shared" si="3"/>
        <v>-2.0423600605143824E-2</v>
      </c>
      <c r="L35" s="4">
        <f t="shared" si="4"/>
        <v>0.8323294723294723</v>
      </c>
      <c r="M35" s="316">
        <v>1</v>
      </c>
      <c r="N35" s="317">
        <v>1</v>
      </c>
      <c r="O35" s="33"/>
      <c r="P35" s="6"/>
      <c r="Q35" s="6"/>
    </row>
    <row r="36" spans="1:17">
      <c r="A36" s="13">
        <f>A35+1</f>
        <v>46144</v>
      </c>
      <c r="B36" s="357">
        <v>15710</v>
      </c>
      <c r="C36" s="358">
        <v>15293</v>
      </c>
      <c r="D36" s="321">
        <v>16135</v>
      </c>
      <c r="E36" s="354">
        <v>15960</v>
      </c>
      <c r="F36" s="20">
        <f t="shared" ref="F36:F54" si="9">(IF(ISBLANK(E36),0,E36-C36))/C36</f>
        <v>4.3614725691492842E-2</v>
      </c>
      <c r="G36" s="2">
        <f t="shared" si="7"/>
        <v>0.22409722222222223</v>
      </c>
      <c r="H36" s="2">
        <f t="shared" si="8"/>
        <v>0.28012152777777777</v>
      </c>
      <c r="I36" s="357">
        <v>6.61</v>
      </c>
      <c r="J36" s="321">
        <v>6.5919999999999996</v>
      </c>
      <c r="K36" s="20">
        <f t="shared" ref="K36:K54" si="10">(IF(ISBLANK(J36),0,J36-I36))/I36</f>
        <v>-2.7231467473525992E-3</v>
      </c>
      <c r="L36" s="4">
        <f t="shared" ref="L36:L66" si="11">D36/($D$2*J36)</f>
        <v>0.81588794498381878</v>
      </c>
      <c r="M36" s="355">
        <v>1</v>
      </c>
      <c r="N36" s="356">
        <v>1</v>
      </c>
      <c r="O36" s="34"/>
      <c r="P36" s="6"/>
      <c r="Q36" s="6"/>
    </row>
    <row r="37" spans="1:17">
      <c r="A37" s="13">
        <f t="shared" ref="A37:A65" si="12">A36+1</f>
        <v>46145</v>
      </c>
      <c r="B37" s="357">
        <v>15710</v>
      </c>
      <c r="C37" s="358">
        <v>15293</v>
      </c>
      <c r="D37" s="321">
        <v>16456</v>
      </c>
      <c r="E37" s="354">
        <v>16260</v>
      </c>
      <c r="F37" s="20">
        <f t="shared" si="9"/>
        <v>6.3231543843588575E-2</v>
      </c>
      <c r="G37" s="2">
        <f t="shared" si="7"/>
        <v>0.22855555555555557</v>
      </c>
      <c r="H37" s="2">
        <f t="shared" si="8"/>
        <v>0.28569444444444442</v>
      </c>
      <c r="I37" s="357">
        <v>6.61</v>
      </c>
      <c r="J37" s="321">
        <v>6.7690000000000001</v>
      </c>
      <c r="K37" s="20">
        <f t="shared" si="10"/>
        <v>2.4054462934947021E-2</v>
      </c>
      <c r="L37" s="4">
        <f t="shared" si="11"/>
        <v>0.81036095927512686</v>
      </c>
      <c r="M37" s="355">
        <v>1</v>
      </c>
      <c r="N37" s="356">
        <v>1</v>
      </c>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47130</v>
      </c>
      <c r="C66" s="89">
        <f>SUM(C35:C65)</f>
        <v>45879</v>
      </c>
      <c r="D66" s="89">
        <f>SUM(D35:D65)</f>
        <v>48759</v>
      </c>
      <c r="E66" s="89">
        <f>SUM(E35:E65)</f>
        <v>48180</v>
      </c>
      <c r="F66" s="160">
        <f>(IF(ISBLANK(E66),0,E66-C66))/C66</f>
        <v>5.0153665075524753E-2</v>
      </c>
      <c r="G66" s="90">
        <f>AVERAGE(G35:G65)</f>
        <v>2.1845430107526886E-2</v>
      </c>
      <c r="H66" s="90">
        <f>AVERAGE(H35:H65)</f>
        <v>2.7306787634408601E-2</v>
      </c>
      <c r="I66" s="89">
        <f>SUM(I35:I65)</f>
        <v>19.830000000000002</v>
      </c>
      <c r="J66" s="89">
        <f>SUM(J35:J65)</f>
        <v>19.835999999999999</v>
      </c>
      <c r="K66" s="160">
        <f>(IF(ISBLANK(J66),0,J66-I66))/I66</f>
        <v>3.0257186081677633E-4</v>
      </c>
      <c r="L66" s="161">
        <f t="shared" si="11"/>
        <v>0.81936882435975</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5B88C-54E9-4BDE-B4FE-EA069C673518}">
  <dimension ref="A1:Q66"/>
  <sheetViews>
    <sheetView topLeftCell="A14" workbookViewId="0">
      <selection activeCell="A34" sqref="A34"/>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676</v>
      </c>
      <c r="B1" s="406"/>
      <c r="C1" s="406"/>
      <c r="D1" s="406"/>
      <c r="E1" s="406"/>
      <c r="F1" s="406"/>
      <c r="G1" s="406"/>
      <c r="H1" s="406"/>
      <c r="I1" s="406"/>
      <c r="J1" s="406"/>
      <c r="K1" s="406"/>
      <c r="L1" s="406"/>
      <c r="M1" s="406"/>
      <c r="N1" s="406"/>
      <c r="O1" s="406"/>
      <c r="P1" s="406"/>
      <c r="Q1" s="406"/>
    </row>
    <row r="2" spans="1:17" ht="18.5">
      <c r="A2" s="7">
        <v>46113</v>
      </c>
      <c r="B2" s="407" t="s">
        <v>172</v>
      </c>
      <c r="C2" s="408"/>
      <c r="D2" s="8">
        <v>2052.84</v>
      </c>
      <c r="E2" s="407" t="s">
        <v>173</v>
      </c>
      <c r="F2" s="407"/>
      <c r="G2" s="408"/>
      <c r="H2" s="8">
        <v>1600</v>
      </c>
      <c r="I2" s="409" t="s">
        <v>174</v>
      </c>
      <c r="J2" s="410"/>
      <c r="K2" s="9">
        <v>44707</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11263</v>
      </c>
      <c r="C4" s="1">
        <v>9882</v>
      </c>
      <c r="D4" s="257">
        <v>11290</v>
      </c>
      <c r="E4" s="257">
        <v>11100</v>
      </c>
      <c r="F4" s="21">
        <f t="shared" ref="F4:F35" si="0">(IF(ISBLANK(E4),0,E4-C4))/C4</f>
        <v>0.12325440194292653</v>
      </c>
      <c r="G4" s="2">
        <f t="shared" ref="G4:G33" si="1">D4/($D$2*24)</f>
        <v>0.2291540824743607</v>
      </c>
      <c r="H4" s="2">
        <f t="shared" ref="H4:H21" si="2">D4/($H$2*24)</f>
        <v>0.29401041666666666</v>
      </c>
      <c r="I4" s="86">
        <v>6.66</v>
      </c>
      <c r="J4" s="185">
        <v>6.9109999999999996</v>
      </c>
      <c r="K4" s="21">
        <f t="shared" ref="K4:K35" si="3">(IF(ISBLANK(J4),0,J4-I4))/I4</f>
        <v>3.7687687687687606E-2</v>
      </c>
      <c r="L4" s="22">
        <f t="shared" ref="L4:L35" si="4">D4/($D$2*J4)</f>
        <v>0.79578902899503068</v>
      </c>
      <c r="M4" s="189">
        <v>1</v>
      </c>
      <c r="N4" s="189">
        <v>1</v>
      </c>
      <c r="O4" s="253"/>
      <c r="P4" s="49"/>
      <c r="Q4" s="50"/>
    </row>
    <row r="5" spans="1:17">
      <c r="A5" s="13">
        <f t="shared" ref="A5:A33" si="5">A4+1</f>
        <v>46114</v>
      </c>
      <c r="B5" s="1">
        <v>11263</v>
      </c>
      <c r="C5" s="1">
        <v>9882</v>
      </c>
      <c r="D5" s="257">
        <v>11651</v>
      </c>
      <c r="E5" s="257">
        <v>11460</v>
      </c>
      <c r="F5" s="21">
        <f t="shared" si="0"/>
        <v>0.1596842744383728</v>
      </c>
      <c r="G5" s="2">
        <f t="shared" si="1"/>
        <v>0.23648132992991822</v>
      </c>
      <c r="H5" s="2">
        <f t="shared" si="2"/>
        <v>0.30341145833333333</v>
      </c>
      <c r="I5" s="86">
        <v>6.66</v>
      </c>
      <c r="J5" s="185">
        <v>7.0730000000000004</v>
      </c>
      <c r="K5" s="21">
        <f t="shared" si="3"/>
        <v>6.2012012012012049E-2</v>
      </c>
      <c r="L5" s="22">
        <f t="shared" si="4"/>
        <v>0.80242498491701353</v>
      </c>
      <c r="M5" s="189">
        <v>1</v>
      </c>
      <c r="N5" s="189">
        <v>1</v>
      </c>
      <c r="O5" s="253"/>
      <c r="P5" s="49"/>
      <c r="Q5" s="50"/>
    </row>
    <row r="6" spans="1:17">
      <c r="A6" s="13">
        <f t="shared" si="5"/>
        <v>46115</v>
      </c>
      <c r="B6" s="1">
        <v>11263</v>
      </c>
      <c r="C6" s="1">
        <v>9882</v>
      </c>
      <c r="D6" s="257">
        <v>10432</v>
      </c>
      <c r="E6" s="257">
        <v>10260</v>
      </c>
      <c r="F6" s="21">
        <f t="shared" si="0"/>
        <v>3.825136612021858E-2</v>
      </c>
      <c r="G6" s="2">
        <f t="shared" si="1"/>
        <v>0.21173918408968387</v>
      </c>
      <c r="H6" s="2">
        <f t="shared" si="2"/>
        <v>0.27166666666666667</v>
      </c>
      <c r="I6" s="86">
        <v>6.66</v>
      </c>
      <c r="J6" s="185">
        <v>6.1779999999999999</v>
      </c>
      <c r="K6" s="21">
        <f t="shared" si="3"/>
        <v>-7.2372372372372401E-2</v>
      </c>
      <c r="L6" s="22">
        <f t="shared" si="4"/>
        <v>0.82255429235228439</v>
      </c>
      <c r="M6" s="189">
        <v>1</v>
      </c>
      <c r="N6" s="189">
        <v>1</v>
      </c>
      <c r="O6" s="253"/>
      <c r="P6" s="49"/>
      <c r="Q6" s="50"/>
    </row>
    <row r="7" spans="1:17">
      <c r="A7" s="13">
        <f t="shared" si="5"/>
        <v>46116</v>
      </c>
      <c r="B7" s="1">
        <v>11263</v>
      </c>
      <c r="C7" s="1">
        <v>9882</v>
      </c>
      <c r="D7" s="257">
        <v>9305</v>
      </c>
      <c r="E7" s="257">
        <v>9160</v>
      </c>
      <c r="F7" s="21">
        <f t="shared" si="0"/>
        <v>-7.3062133171422794E-2</v>
      </c>
      <c r="G7" s="2">
        <f t="shared" si="1"/>
        <v>0.18886437001097664</v>
      </c>
      <c r="H7" s="2">
        <f t="shared" si="2"/>
        <v>0.24231770833333333</v>
      </c>
      <c r="I7" s="86">
        <v>6.66</v>
      </c>
      <c r="J7" s="185">
        <v>5.6280000000000001</v>
      </c>
      <c r="K7" s="21">
        <f t="shared" si="3"/>
        <v>-0.15495495495495495</v>
      </c>
      <c r="L7" s="22">
        <f t="shared" si="4"/>
        <v>0.80539176976962323</v>
      </c>
      <c r="M7" s="189">
        <v>1</v>
      </c>
      <c r="N7" s="189">
        <v>1</v>
      </c>
      <c r="O7" s="253"/>
      <c r="P7" s="49"/>
      <c r="Q7" s="50"/>
    </row>
    <row r="8" spans="1:17">
      <c r="A8" s="13">
        <f t="shared" si="5"/>
        <v>46117</v>
      </c>
      <c r="B8" s="1">
        <v>11263</v>
      </c>
      <c r="C8" s="1">
        <v>9882</v>
      </c>
      <c r="D8" s="257">
        <v>11009</v>
      </c>
      <c r="E8" s="257">
        <v>10840</v>
      </c>
      <c r="F8" s="21">
        <f t="shared" si="0"/>
        <v>9.6943938473993116E-2</v>
      </c>
      <c r="G8" s="2">
        <f t="shared" si="1"/>
        <v>0.22345060176795722</v>
      </c>
      <c r="H8" s="2">
        <f t="shared" si="2"/>
        <v>0.28669270833333332</v>
      </c>
      <c r="I8" s="86">
        <v>6.66</v>
      </c>
      <c r="J8" s="185">
        <v>6.2869999999999999</v>
      </c>
      <c r="K8" s="21">
        <f t="shared" si="3"/>
        <v>-5.600600600600604E-2</v>
      </c>
      <c r="L8" s="22">
        <f t="shared" si="4"/>
        <v>0.85300054754747467</v>
      </c>
      <c r="M8" s="189">
        <v>1</v>
      </c>
      <c r="N8" s="189">
        <v>1</v>
      </c>
      <c r="O8" s="253"/>
      <c r="P8" s="253"/>
      <c r="Q8" s="50"/>
    </row>
    <row r="9" spans="1:17">
      <c r="A9" s="13">
        <f t="shared" si="5"/>
        <v>46118</v>
      </c>
      <c r="B9" s="1">
        <v>11263</v>
      </c>
      <c r="C9" s="1">
        <v>9882</v>
      </c>
      <c r="D9" s="257">
        <v>11371</v>
      </c>
      <c r="E9" s="257">
        <v>11180</v>
      </c>
      <c r="F9" s="21">
        <f t="shared" si="0"/>
        <v>0.13134992916413682</v>
      </c>
      <c r="G9" s="2">
        <f t="shared" si="1"/>
        <v>0.23079814630787915</v>
      </c>
      <c r="H9" s="2">
        <f t="shared" si="2"/>
        <v>0.29611979166666669</v>
      </c>
      <c r="I9" s="86">
        <v>6.66</v>
      </c>
      <c r="J9" s="185">
        <v>6.4660000000000002</v>
      </c>
      <c r="K9" s="21">
        <f t="shared" si="3"/>
        <v>-2.9129129129129121E-2</v>
      </c>
      <c r="L9" s="22">
        <f t="shared" si="4"/>
        <v>0.85665875524112267</v>
      </c>
      <c r="M9" s="189">
        <v>1</v>
      </c>
      <c r="N9" s="189">
        <v>1</v>
      </c>
      <c r="O9" s="253"/>
      <c r="P9" s="253"/>
      <c r="Q9" s="50"/>
    </row>
    <row r="10" spans="1:17">
      <c r="A10" s="13">
        <f t="shared" si="5"/>
        <v>46119</v>
      </c>
      <c r="B10" s="1">
        <v>11263</v>
      </c>
      <c r="C10" s="1">
        <v>9882</v>
      </c>
      <c r="D10" s="257">
        <v>10359</v>
      </c>
      <c r="E10" s="257">
        <v>10200</v>
      </c>
      <c r="F10" s="21">
        <f t="shared" si="0"/>
        <v>3.2179720704310869E-2</v>
      </c>
      <c r="G10" s="2">
        <f t="shared" si="1"/>
        <v>0.21025749693108084</v>
      </c>
      <c r="H10" s="2">
        <f t="shared" si="2"/>
        <v>0.26976562500000001</v>
      </c>
      <c r="I10" s="86">
        <v>6.66</v>
      </c>
      <c r="J10" s="185">
        <v>5.883</v>
      </c>
      <c r="K10" s="21">
        <f t="shared" si="3"/>
        <v>-0.11666666666666668</v>
      </c>
      <c r="L10" s="22">
        <f t="shared" si="4"/>
        <v>0.8577562342930376</v>
      </c>
      <c r="M10" s="189">
        <v>1</v>
      </c>
      <c r="N10" s="189">
        <v>1</v>
      </c>
      <c r="O10" s="253"/>
      <c r="P10" s="253"/>
      <c r="Q10" s="50"/>
    </row>
    <row r="11" spans="1:17">
      <c r="A11" s="13">
        <f t="shared" si="5"/>
        <v>46120</v>
      </c>
      <c r="B11" s="1">
        <v>11263</v>
      </c>
      <c r="C11" s="1">
        <v>9882</v>
      </c>
      <c r="D11" s="257">
        <v>8657</v>
      </c>
      <c r="E11" s="257">
        <v>8540</v>
      </c>
      <c r="F11" s="21">
        <f t="shared" si="0"/>
        <v>-0.13580246913580246</v>
      </c>
      <c r="G11" s="2">
        <f t="shared" si="1"/>
        <v>0.1757118593428291</v>
      </c>
      <c r="H11" s="2">
        <f t="shared" si="2"/>
        <v>0.22544270833333332</v>
      </c>
      <c r="I11" s="86">
        <v>6.66</v>
      </c>
      <c r="J11" s="185">
        <v>5.1079999999999997</v>
      </c>
      <c r="K11" s="21">
        <f t="shared" si="3"/>
        <v>-0.2330330330330331</v>
      </c>
      <c r="L11" s="22">
        <f t="shared" si="4"/>
        <v>0.8255843038817342</v>
      </c>
      <c r="M11" s="189">
        <v>1</v>
      </c>
      <c r="N11" s="189">
        <v>1</v>
      </c>
      <c r="O11" s="253"/>
      <c r="P11" s="49"/>
      <c r="Q11" s="50"/>
    </row>
    <row r="12" spans="1:17">
      <c r="A12" s="13">
        <f t="shared" si="5"/>
        <v>46121</v>
      </c>
      <c r="B12" s="1">
        <v>11263</v>
      </c>
      <c r="C12" s="1">
        <v>9882</v>
      </c>
      <c r="D12" s="257">
        <v>9518</v>
      </c>
      <c r="E12" s="257">
        <v>9380</v>
      </c>
      <c r="F12" s="21">
        <f t="shared" si="0"/>
        <v>-5.0799433313094514E-2</v>
      </c>
      <c r="G12" s="2">
        <f t="shared" si="1"/>
        <v>0.19318764898059923</v>
      </c>
      <c r="H12" s="2">
        <f t="shared" si="2"/>
        <v>0.24786458333333333</v>
      </c>
      <c r="I12" s="86">
        <v>6.66</v>
      </c>
      <c r="J12" s="185">
        <v>5.5279999999999996</v>
      </c>
      <c r="K12" s="21">
        <f t="shared" si="3"/>
        <v>-0.16996996996997005</v>
      </c>
      <c r="L12" s="22">
        <f t="shared" si="4"/>
        <v>0.83873074810679848</v>
      </c>
      <c r="M12" s="189">
        <v>1</v>
      </c>
      <c r="N12" s="189">
        <v>1</v>
      </c>
      <c r="O12" s="253"/>
      <c r="P12" s="49"/>
      <c r="Q12" s="50"/>
    </row>
    <row r="13" spans="1:17">
      <c r="A13" s="13">
        <f t="shared" si="5"/>
        <v>46122</v>
      </c>
      <c r="B13" s="1">
        <v>11263</v>
      </c>
      <c r="C13" s="1">
        <v>9882</v>
      </c>
      <c r="D13" s="257">
        <v>11752</v>
      </c>
      <c r="E13" s="257">
        <v>11560</v>
      </c>
      <c r="F13" s="21">
        <f t="shared" si="0"/>
        <v>0.16980368346488564</v>
      </c>
      <c r="G13" s="2">
        <f t="shared" si="1"/>
        <v>0.23853133545072516</v>
      </c>
      <c r="H13" s="2">
        <f t="shared" si="2"/>
        <v>0.30604166666666666</v>
      </c>
      <c r="I13" s="86">
        <v>6.66</v>
      </c>
      <c r="J13" s="185">
        <v>6.806</v>
      </c>
      <c r="K13" s="21">
        <f t="shared" si="3"/>
        <v>2.1921921921921907E-2</v>
      </c>
      <c r="L13" s="22">
        <f t="shared" si="4"/>
        <v>0.84113312530376194</v>
      </c>
      <c r="M13" s="189">
        <v>1</v>
      </c>
      <c r="N13" s="189">
        <v>1</v>
      </c>
      <c r="O13" s="253"/>
      <c r="P13" s="49"/>
      <c r="Q13" s="50"/>
    </row>
    <row r="14" spans="1:17">
      <c r="A14" s="13">
        <f t="shared" si="5"/>
        <v>46123</v>
      </c>
      <c r="B14" s="1">
        <v>11263</v>
      </c>
      <c r="C14" s="1">
        <v>9882</v>
      </c>
      <c r="D14" s="257">
        <v>9205</v>
      </c>
      <c r="E14" s="257">
        <v>9060</v>
      </c>
      <c r="F14" s="21">
        <f t="shared" si="0"/>
        <v>-8.3181542197935637E-2</v>
      </c>
      <c r="G14" s="2">
        <f t="shared" si="1"/>
        <v>0.18683466157453413</v>
      </c>
      <c r="H14" s="2">
        <f t="shared" si="2"/>
        <v>0.23971354166666667</v>
      </c>
      <c r="I14" s="86">
        <v>6.66</v>
      </c>
      <c r="J14" s="185">
        <v>5.3840000000000003</v>
      </c>
      <c r="K14" s="21">
        <f t="shared" si="3"/>
        <v>-0.19159159159159156</v>
      </c>
      <c r="L14" s="22">
        <f t="shared" si="4"/>
        <v>0.83284395947043433</v>
      </c>
      <c r="M14" s="189">
        <v>1</v>
      </c>
      <c r="N14" s="189">
        <v>0.92159999999999997</v>
      </c>
      <c r="O14" s="253">
        <v>2428</v>
      </c>
      <c r="P14" s="49"/>
      <c r="Q14" s="50" t="s">
        <v>677</v>
      </c>
    </row>
    <row r="15" spans="1:17">
      <c r="A15" s="13">
        <f t="shared" si="5"/>
        <v>46124</v>
      </c>
      <c r="B15" s="1">
        <v>11263</v>
      </c>
      <c r="C15" s="1">
        <v>9882</v>
      </c>
      <c r="D15" s="257">
        <v>11269</v>
      </c>
      <c r="E15" s="257">
        <v>11100</v>
      </c>
      <c r="F15" s="21">
        <f t="shared" si="0"/>
        <v>0.12325440194292653</v>
      </c>
      <c r="G15" s="2">
        <f t="shared" si="1"/>
        <v>0.22872784370270777</v>
      </c>
      <c r="H15" s="2">
        <f t="shared" si="2"/>
        <v>0.29346354166666666</v>
      </c>
      <c r="I15" s="86">
        <v>6.66</v>
      </c>
      <c r="J15" s="185">
        <v>6.7880000000000003</v>
      </c>
      <c r="K15" s="21">
        <f t="shared" si="3"/>
        <v>1.9219219219219236E-2</v>
      </c>
      <c r="L15" s="22">
        <f t="shared" si="4"/>
        <v>0.80870186341558425</v>
      </c>
      <c r="M15" s="189">
        <v>1</v>
      </c>
      <c r="N15" s="189">
        <v>1</v>
      </c>
      <c r="O15" s="253"/>
      <c r="P15" s="49"/>
      <c r="Q15" s="50"/>
    </row>
    <row r="16" spans="1:17">
      <c r="A16" s="13">
        <f t="shared" si="5"/>
        <v>46125</v>
      </c>
      <c r="B16" s="1">
        <v>11263</v>
      </c>
      <c r="C16" s="1">
        <v>9882</v>
      </c>
      <c r="D16" s="257">
        <v>11419</v>
      </c>
      <c r="E16" s="257">
        <v>11220</v>
      </c>
      <c r="F16" s="21">
        <f t="shared" si="0"/>
        <v>0.13539769277474195</v>
      </c>
      <c r="G16" s="2">
        <f t="shared" si="1"/>
        <v>0.23177240635737156</v>
      </c>
      <c r="H16" s="2">
        <f t="shared" si="2"/>
        <v>0.29736979166666666</v>
      </c>
      <c r="I16" s="86">
        <v>6.66</v>
      </c>
      <c r="J16" s="185">
        <v>6.8979999999999997</v>
      </c>
      <c r="K16" s="21">
        <f t="shared" si="3"/>
        <v>3.5735735735735664E-2</v>
      </c>
      <c r="L16" s="22">
        <f t="shared" si="4"/>
        <v>0.80639863041126669</v>
      </c>
      <c r="M16" s="189">
        <v>1</v>
      </c>
      <c r="N16" s="189">
        <v>1</v>
      </c>
      <c r="O16" s="253"/>
      <c r="P16" s="49"/>
      <c r="Q16" s="50"/>
    </row>
    <row r="17" spans="1:17">
      <c r="A17" s="13">
        <f t="shared" si="5"/>
        <v>46126</v>
      </c>
      <c r="B17" s="1">
        <v>11263</v>
      </c>
      <c r="C17" s="1">
        <v>9882</v>
      </c>
      <c r="D17" s="257">
        <v>11843</v>
      </c>
      <c r="E17" s="257">
        <v>11640</v>
      </c>
      <c r="F17" s="21">
        <f t="shared" si="0"/>
        <v>0.17789921068609593</v>
      </c>
      <c r="G17" s="2">
        <f t="shared" si="1"/>
        <v>0.24037837012788785</v>
      </c>
      <c r="H17" s="2">
        <f t="shared" si="2"/>
        <v>0.30841145833333333</v>
      </c>
      <c r="I17" s="86">
        <v>6.66</v>
      </c>
      <c r="J17" s="185">
        <v>7.2859999999999996</v>
      </c>
      <c r="K17" s="21">
        <f t="shared" si="3"/>
        <v>9.3993993993993913E-2</v>
      </c>
      <c r="L17" s="22">
        <f t="shared" si="4"/>
        <v>0.79180357988873307</v>
      </c>
      <c r="M17" s="189">
        <v>1</v>
      </c>
      <c r="N17" s="189">
        <v>1</v>
      </c>
      <c r="O17" s="253"/>
      <c r="P17" s="49"/>
      <c r="Q17" s="50"/>
    </row>
    <row r="18" spans="1:17">
      <c r="A18" s="13">
        <f t="shared" si="5"/>
        <v>46127</v>
      </c>
      <c r="B18" s="1">
        <v>11263</v>
      </c>
      <c r="C18" s="1">
        <v>9882</v>
      </c>
      <c r="D18" s="257">
        <v>11719</v>
      </c>
      <c r="E18" s="257">
        <v>11520</v>
      </c>
      <c r="F18" s="21">
        <f t="shared" si="0"/>
        <v>0.16575591985428051</v>
      </c>
      <c r="G18" s="2">
        <f t="shared" si="1"/>
        <v>0.23786153166669913</v>
      </c>
      <c r="H18" s="2">
        <f t="shared" si="2"/>
        <v>0.30518229166666666</v>
      </c>
      <c r="I18" s="86">
        <v>6.66</v>
      </c>
      <c r="J18" s="185">
        <v>6.9340000000000002</v>
      </c>
      <c r="K18" s="21">
        <f t="shared" si="3"/>
        <v>4.1141141141141147E-2</v>
      </c>
      <c r="L18" s="22">
        <f t="shared" si="4"/>
        <v>0.82328767810798653</v>
      </c>
      <c r="M18" s="189">
        <v>1</v>
      </c>
      <c r="N18" s="189">
        <v>1</v>
      </c>
      <c r="O18" s="253"/>
      <c r="P18" s="49"/>
      <c r="Q18" s="50"/>
    </row>
    <row r="19" spans="1:17">
      <c r="A19" s="13">
        <f t="shared" si="5"/>
        <v>46128</v>
      </c>
      <c r="B19" s="1">
        <v>11263</v>
      </c>
      <c r="C19" s="1">
        <v>9882</v>
      </c>
      <c r="D19" s="257">
        <v>11764</v>
      </c>
      <c r="E19" s="257">
        <v>11580</v>
      </c>
      <c r="F19" s="21">
        <f t="shared" si="0"/>
        <v>0.17182756527018822</v>
      </c>
      <c r="G19" s="2">
        <f t="shared" si="1"/>
        <v>0.23877490046309827</v>
      </c>
      <c r="H19" s="2">
        <f t="shared" si="2"/>
        <v>0.30635416666666665</v>
      </c>
      <c r="I19" s="86">
        <v>6.66</v>
      </c>
      <c r="J19" s="185">
        <v>7.18</v>
      </c>
      <c r="K19" s="21">
        <f t="shared" si="3"/>
        <v>7.8078078078078011E-2</v>
      </c>
      <c r="L19" s="22">
        <f t="shared" si="4"/>
        <v>0.79813337202149837</v>
      </c>
      <c r="M19" s="189">
        <v>1</v>
      </c>
      <c r="N19" s="189">
        <v>1</v>
      </c>
      <c r="O19" s="253"/>
      <c r="P19" s="49"/>
      <c r="Q19" s="50"/>
    </row>
    <row r="20" spans="1:17">
      <c r="A20" s="13">
        <f t="shared" si="5"/>
        <v>46129</v>
      </c>
      <c r="B20" s="1">
        <v>11263</v>
      </c>
      <c r="C20" s="1">
        <v>9882</v>
      </c>
      <c r="D20" s="257">
        <v>11423</v>
      </c>
      <c r="E20" s="257">
        <v>11240</v>
      </c>
      <c r="F20" s="21">
        <f t="shared" si="0"/>
        <v>0.13742157458004453</v>
      </c>
      <c r="G20" s="2">
        <f t="shared" si="1"/>
        <v>0.23185359469482927</v>
      </c>
      <c r="H20" s="2">
        <f t="shared" si="2"/>
        <v>0.29747395833333334</v>
      </c>
      <c r="I20" s="86">
        <v>6.66</v>
      </c>
      <c r="J20" s="185">
        <v>7.1260000000000003</v>
      </c>
      <c r="K20" s="21">
        <f t="shared" si="3"/>
        <v>6.996996996997E-2</v>
      </c>
      <c r="L20" s="22">
        <f t="shared" si="4"/>
        <v>0.78087093357787007</v>
      </c>
      <c r="M20" s="189">
        <v>0.98180000000000001</v>
      </c>
      <c r="N20" s="189">
        <v>1</v>
      </c>
      <c r="O20" s="253"/>
      <c r="P20" s="49">
        <v>226</v>
      </c>
      <c r="Q20" s="50" t="s">
        <v>678</v>
      </c>
    </row>
    <row r="21" spans="1:17">
      <c r="A21" s="13">
        <f t="shared" si="5"/>
        <v>46130</v>
      </c>
      <c r="B21" s="1">
        <v>11263</v>
      </c>
      <c r="C21" s="1">
        <v>9882</v>
      </c>
      <c r="D21" s="257">
        <v>11821</v>
      </c>
      <c r="E21" s="257">
        <v>11620</v>
      </c>
      <c r="F21" s="21">
        <f t="shared" si="0"/>
        <v>0.17587532888079335</v>
      </c>
      <c r="G21" s="2">
        <f t="shared" si="1"/>
        <v>0.23993183427187051</v>
      </c>
      <c r="H21" s="2">
        <f t="shared" si="2"/>
        <v>0.30783854166666669</v>
      </c>
      <c r="I21" s="86">
        <v>6.66</v>
      </c>
      <c r="J21" s="185">
        <v>7.1559999999999997</v>
      </c>
      <c r="K21" s="21">
        <f t="shared" si="3"/>
        <v>7.4474474474474403E-2</v>
      </c>
      <c r="L21" s="22">
        <f t="shared" si="4"/>
        <v>0.80469033294087366</v>
      </c>
      <c r="M21" s="189">
        <v>1</v>
      </c>
      <c r="N21" s="189">
        <v>1</v>
      </c>
      <c r="O21" s="253"/>
      <c r="P21" s="186"/>
      <c r="Q21" s="50"/>
    </row>
    <row r="22" spans="1:17">
      <c r="A22" s="13">
        <f t="shared" si="5"/>
        <v>46131</v>
      </c>
      <c r="B22" s="1">
        <v>11263</v>
      </c>
      <c r="C22" s="1">
        <v>9882</v>
      </c>
      <c r="D22" s="257">
        <v>11111</v>
      </c>
      <c r="E22" s="257">
        <v>10940</v>
      </c>
      <c r="F22" s="21">
        <f t="shared" si="0"/>
        <v>0.10706334750050597</v>
      </c>
      <c r="G22" s="2">
        <f t="shared" si="1"/>
        <v>0.22552090437312861</v>
      </c>
      <c r="H22" s="2">
        <f t="shared" ref="H22:H33" si="6">E22/($D$2*24)</f>
        <v>0.22205010294681188</v>
      </c>
      <c r="I22" s="86">
        <v>6.66</v>
      </c>
      <c r="J22" s="185">
        <v>6.5620000000000003</v>
      </c>
      <c r="K22" s="21">
        <f t="shared" si="3"/>
        <v>-1.4714714714714694E-2</v>
      </c>
      <c r="L22" s="22">
        <f t="shared" si="4"/>
        <v>0.82482500837474637</v>
      </c>
      <c r="M22" s="189">
        <v>1</v>
      </c>
      <c r="N22" s="189">
        <v>1</v>
      </c>
      <c r="O22" s="253"/>
      <c r="P22" s="186"/>
      <c r="Q22" s="50"/>
    </row>
    <row r="23" spans="1:17">
      <c r="A23" s="13">
        <f t="shared" si="5"/>
        <v>46132</v>
      </c>
      <c r="B23" s="1">
        <v>11263</v>
      </c>
      <c r="C23" s="1">
        <v>9882</v>
      </c>
      <c r="D23" s="257">
        <v>11028</v>
      </c>
      <c r="E23" s="257">
        <v>10860</v>
      </c>
      <c r="F23" s="21">
        <f t="shared" si="0"/>
        <v>9.8967820279295696E-2</v>
      </c>
      <c r="G23" s="2">
        <f t="shared" si="1"/>
        <v>0.22383624637088129</v>
      </c>
      <c r="H23" s="2">
        <f t="shared" si="6"/>
        <v>0.22042633619765786</v>
      </c>
      <c r="I23" s="86">
        <v>6.66</v>
      </c>
      <c r="J23" s="185">
        <v>6.2140000000000004</v>
      </c>
      <c r="K23" s="21">
        <f t="shared" si="3"/>
        <v>-6.6966966966966926E-2</v>
      </c>
      <c r="L23" s="22">
        <f t="shared" si="4"/>
        <v>0.86451076808837313</v>
      </c>
      <c r="M23" s="189">
        <v>1</v>
      </c>
      <c r="N23" s="189">
        <v>1</v>
      </c>
      <c r="O23" s="253"/>
      <c r="P23" s="186"/>
      <c r="Q23" s="50"/>
    </row>
    <row r="24" spans="1:17">
      <c r="A24" s="13">
        <f t="shared" si="5"/>
        <v>46133</v>
      </c>
      <c r="B24" s="1">
        <v>11263</v>
      </c>
      <c r="C24" s="1">
        <v>9882</v>
      </c>
      <c r="D24" s="257">
        <v>11040</v>
      </c>
      <c r="E24" s="257">
        <v>10860</v>
      </c>
      <c r="F24" s="21">
        <f t="shared" si="0"/>
        <v>9.8967820279295696E-2</v>
      </c>
      <c r="G24" s="2">
        <f t="shared" si="1"/>
        <v>0.22407981138325439</v>
      </c>
      <c r="H24" s="2">
        <f t="shared" si="6"/>
        <v>0.22042633619765786</v>
      </c>
      <c r="I24" s="86">
        <v>6.66</v>
      </c>
      <c r="J24" s="185">
        <v>6.5119999999999996</v>
      </c>
      <c r="K24" s="21">
        <f t="shared" si="3"/>
        <v>-2.222222222222231E-2</v>
      </c>
      <c r="L24" s="22">
        <f t="shared" si="4"/>
        <v>0.82584697069995483</v>
      </c>
      <c r="M24" s="189">
        <v>1</v>
      </c>
      <c r="N24" s="189">
        <v>1</v>
      </c>
      <c r="O24" s="253"/>
      <c r="P24" s="186"/>
      <c r="Q24" s="50"/>
    </row>
    <row r="25" spans="1:17">
      <c r="A25" s="13">
        <f t="shared" si="5"/>
        <v>46134</v>
      </c>
      <c r="B25" s="1">
        <v>11263</v>
      </c>
      <c r="C25" s="1">
        <v>9882</v>
      </c>
      <c r="D25" s="257">
        <v>11323</v>
      </c>
      <c r="E25" s="257">
        <v>11160</v>
      </c>
      <c r="F25" s="21">
        <f t="shared" si="0"/>
        <v>0.12932604735883424</v>
      </c>
      <c r="G25" s="2">
        <f t="shared" si="1"/>
        <v>0.22982388625838673</v>
      </c>
      <c r="H25" s="2">
        <f t="shared" si="6"/>
        <v>0.22651546150698543</v>
      </c>
      <c r="I25" s="86">
        <v>6.66</v>
      </c>
      <c r="J25" s="185">
        <v>6.7560000000000002</v>
      </c>
      <c r="K25" s="21">
        <f t="shared" si="3"/>
        <v>1.4414414414414427E-2</v>
      </c>
      <c r="L25" s="22">
        <f t="shared" si="4"/>
        <v>0.81642588368876279</v>
      </c>
      <c r="M25" s="189">
        <v>1</v>
      </c>
      <c r="N25" s="189">
        <v>1</v>
      </c>
      <c r="O25" s="253"/>
      <c r="P25" s="186"/>
      <c r="Q25" s="50"/>
    </row>
    <row r="26" spans="1:17">
      <c r="A26" s="13">
        <f t="shared" si="5"/>
        <v>46135</v>
      </c>
      <c r="B26" s="1">
        <v>11263</v>
      </c>
      <c r="C26" s="1">
        <v>9882</v>
      </c>
      <c r="D26" s="257">
        <v>11617</v>
      </c>
      <c r="E26" s="257">
        <v>11420</v>
      </c>
      <c r="F26" s="21">
        <f t="shared" si="0"/>
        <v>0.15563651082776767</v>
      </c>
      <c r="G26" s="2">
        <f t="shared" si="1"/>
        <v>0.23579122906152775</v>
      </c>
      <c r="H26" s="2">
        <f t="shared" si="6"/>
        <v>0.231792703441736</v>
      </c>
      <c r="I26" s="86">
        <v>6.66</v>
      </c>
      <c r="J26" s="185">
        <v>6.5039999999999996</v>
      </c>
      <c r="K26" s="21">
        <f t="shared" si="3"/>
        <v>-2.342342342342351E-2</v>
      </c>
      <c r="L26" s="22">
        <f t="shared" si="4"/>
        <v>0.87007833602039764</v>
      </c>
      <c r="M26" s="189">
        <v>1</v>
      </c>
      <c r="N26" s="189">
        <v>1</v>
      </c>
      <c r="O26" s="253"/>
      <c r="P26" s="49"/>
      <c r="Q26" s="50"/>
    </row>
    <row r="27" spans="1:17">
      <c r="A27" s="13">
        <f t="shared" si="5"/>
        <v>46136</v>
      </c>
      <c r="B27" s="1">
        <v>11263</v>
      </c>
      <c r="C27" s="1">
        <v>9882</v>
      </c>
      <c r="D27" s="257">
        <v>11749</v>
      </c>
      <c r="E27" s="257">
        <v>11560</v>
      </c>
      <c r="F27" s="21">
        <f t="shared" si="0"/>
        <v>0.16980368346488564</v>
      </c>
      <c r="G27" s="2">
        <f t="shared" si="1"/>
        <v>0.23847044419763189</v>
      </c>
      <c r="H27" s="2">
        <f t="shared" si="6"/>
        <v>0.2346342952527555</v>
      </c>
      <c r="I27" s="86">
        <v>6.66</v>
      </c>
      <c r="J27" s="185">
        <v>6.8170000000000002</v>
      </c>
      <c r="K27" s="21">
        <f t="shared" si="3"/>
        <v>2.3573573573573578E-2</v>
      </c>
      <c r="L27" s="22">
        <f t="shared" si="4"/>
        <v>0.83956148756684246</v>
      </c>
      <c r="M27" s="189">
        <v>1</v>
      </c>
      <c r="N27" s="189">
        <v>1</v>
      </c>
      <c r="O27" s="253"/>
      <c r="P27" s="49"/>
      <c r="Q27" s="50"/>
    </row>
    <row r="28" spans="1:17">
      <c r="A28" s="13">
        <f t="shared" si="5"/>
        <v>46137</v>
      </c>
      <c r="B28" s="1">
        <v>11263</v>
      </c>
      <c r="C28" s="1">
        <v>9882</v>
      </c>
      <c r="D28" s="257">
        <v>11559</v>
      </c>
      <c r="E28" s="257">
        <v>11360</v>
      </c>
      <c r="F28" s="21">
        <f t="shared" si="0"/>
        <v>0.14956486541185995</v>
      </c>
      <c r="G28" s="2">
        <f t="shared" si="1"/>
        <v>0.2346139981683911</v>
      </c>
      <c r="H28" s="2">
        <f t="shared" si="6"/>
        <v>0.23057487837987048</v>
      </c>
      <c r="I28" s="86">
        <v>6.66</v>
      </c>
      <c r="J28" s="185">
        <v>6.6909999999999998</v>
      </c>
      <c r="K28" s="21">
        <f t="shared" si="3"/>
        <v>4.6546546546546086E-3</v>
      </c>
      <c r="L28" s="22">
        <f t="shared" si="4"/>
        <v>0.84153877687063006</v>
      </c>
      <c r="M28" s="189">
        <v>1</v>
      </c>
      <c r="N28" s="189">
        <v>1</v>
      </c>
      <c r="O28" s="253"/>
      <c r="P28" s="186"/>
      <c r="Q28" s="49"/>
    </row>
    <row r="29" spans="1:17">
      <c r="A29" s="13">
        <f t="shared" si="5"/>
        <v>46138</v>
      </c>
      <c r="B29" s="1">
        <v>11263</v>
      </c>
      <c r="C29" s="1">
        <v>9882</v>
      </c>
      <c r="D29" s="257">
        <v>11088</v>
      </c>
      <c r="E29" s="257">
        <v>10920</v>
      </c>
      <c r="F29" s="21">
        <f t="shared" si="0"/>
        <v>0.10503946569520339</v>
      </c>
      <c r="G29" s="2">
        <f t="shared" si="1"/>
        <v>0.22505407143274681</v>
      </c>
      <c r="H29" s="2">
        <f t="shared" si="6"/>
        <v>0.22164416125952338</v>
      </c>
      <c r="I29" s="86">
        <v>6.66</v>
      </c>
      <c r="J29" s="185">
        <v>6.452</v>
      </c>
      <c r="K29" s="21">
        <f t="shared" si="3"/>
        <v>-3.1231231231231258E-2</v>
      </c>
      <c r="L29" s="22">
        <f t="shared" si="4"/>
        <v>0.83715091667481756</v>
      </c>
      <c r="M29" s="189">
        <v>1</v>
      </c>
      <c r="N29" s="189">
        <v>1</v>
      </c>
      <c r="O29" s="253"/>
      <c r="P29" s="49"/>
      <c r="Q29" s="50"/>
    </row>
    <row r="30" spans="1:17">
      <c r="A30" s="13">
        <f t="shared" si="5"/>
        <v>46139</v>
      </c>
      <c r="B30" s="1">
        <v>11263</v>
      </c>
      <c r="C30" s="1">
        <v>9882</v>
      </c>
      <c r="D30" s="31">
        <v>11218</v>
      </c>
      <c r="E30" s="49">
        <v>11040</v>
      </c>
      <c r="F30" s="21">
        <f t="shared" si="0"/>
        <v>0.11718275652701882</v>
      </c>
      <c r="G30" s="2">
        <f t="shared" si="1"/>
        <v>0.2276926924001221</v>
      </c>
      <c r="H30" s="2">
        <f t="shared" si="6"/>
        <v>0.22407981138325439</v>
      </c>
      <c r="I30" s="86">
        <v>6.66</v>
      </c>
      <c r="J30" s="31">
        <v>6.5069999999999997</v>
      </c>
      <c r="K30" s="21">
        <f t="shared" si="3"/>
        <v>-2.2972972972973044E-2</v>
      </c>
      <c r="L30" s="22">
        <f t="shared" si="4"/>
        <v>0.83980707201520366</v>
      </c>
      <c r="M30" s="189">
        <v>1</v>
      </c>
      <c r="N30" s="189">
        <v>1</v>
      </c>
      <c r="O30" s="49"/>
      <c r="P30" s="6"/>
      <c r="Q30" s="49"/>
    </row>
    <row r="31" spans="1:17">
      <c r="A31" s="13">
        <f t="shared" si="5"/>
        <v>46140</v>
      </c>
      <c r="B31" s="128">
        <v>11263</v>
      </c>
      <c r="C31" s="306">
        <v>9882</v>
      </c>
      <c r="D31" s="49">
        <v>11461</v>
      </c>
      <c r="E31" s="49">
        <v>11260</v>
      </c>
      <c r="F31" s="21">
        <f t="shared" si="0"/>
        <v>0.13944545638534708</v>
      </c>
      <c r="G31" s="2">
        <f t="shared" si="1"/>
        <v>0.23262488390067743</v>
      </c>
      <c r="H31" s="2">
        <f t="shared" si="6"/>
        <v>0.22854516994342794</v>
      </c>
      <c r="I31" s="26">
        <v>6.45</v>
      </c>
      <c r="J31" s="49">
        <v>6.6130000000000004</v>
      </c>
      <c r="K31" s="21">
        <f t="shared" si="3"/>
        <v>2.5271317829457404E-2</v>
      </c>
      <c r="L31" s="22">
        <f t="shared" si="4"/>
        <v>0.84424576041376942</v>
      </c>
      <c r="M31" s="67">
        <v>1</v>
      </c>
      <c r="N31" s="68">
        <v>1</v>
      </c>
      <c r="O31" s="49"/>
      <c r="P31" s="49"/>
      <c r="Q31" s="49"/>
    </row>
    <row r="32" spans="1:17">
      <c r="A32" s="13">
        <f t="shared" si="5"/>
        <v>46141</v>
      </c>
      <c r="B32" s="307">
        <v>11263</v>
      </c>
      <c r="C32" s="308">
        <v>9882</v>
      </c>
      <c r="D32" s="50">
        <v>10180</v>
      </c>
      <c r="E32" s="50">
        <v>10000</v>
      </c>
      <c r="F32" s="21">
        <f t="shared" si="0"/>
        <v>1.1940902651285164E-2</v>
      </c>
      <c r="G32" s="2">
        <f t="shared" si="1"/>
        <v>0.20662431882984872</v>
      </c>
      <c r="H32" s="2">
        <f t="shared" si="6"/>
        <v>0.20297084364425216</v>
      </c>
      <c r="I32" s="27">
        <v>6.45</v>
      </c>
      <c r="J32" s="50">
        <v>6.06</v>
      </c>
      <c r="K32" s="21">
        <f t="shared" si="3"/>
        <v>-6.0465116279069857E-2</v>
      </c>
      <c r="L32" s="22">
        <f t="shared" si="4"/>
        <v>0.81831413397959896</v>
      </c>
      <c r="M32" s="63">
        <v>1</v>
      </c>
      <c r="N32" s="66">
        <v>0.86180000000000001</v>
      </c>
      <c r="O32" s="50">
        <v>1542</v>
      </c>
      <c r="P32" s="50"/>
      <c r="Q32" s="50" t="s">
        <v>675</v>
      </c>
    </row>
    <row r="33" spans="1:17">
      <c r="A33" s="13">
        <f t="shared" si="5"/>
        <v>46142</v>
      </c>
      <c r="B33" s="26">
        <v>11263</v>
      </c>
      <c r="C33" s="39">
        <v>9882</v>
      </c>
      <c r="D33" s="49">
        <v>11589</v>
      </c>
      <c r="E33" s="49">
        <v>11400</v>
      </c>
      <c r="F33" s="21">
        <f t="shared" si="0"/>
        <v>0.15361262902246509</v>
      </c>
      <c r="G33" s="2">
        <f t="shared" si="1"/>
        <v>0.23522291069932386</v>
      </c>
      <c r="H33" s="2">
        <f t="shared" si="6"/>
        <v>0.23138676175444747</v>
      </c>
      <c r="I33" s="26">
        <v>6.45</v>
      </c>
      <c r="J33" s="49">
        <v>6.4809999999999999</v>
      </c>
      <c r="K33" s="21">
        <f t="shared" si="3"/>
        <v>4.8062015503875493E-3</v>
      </c>
      <c r="L33" s="22">
        <f t="shared" si="4"/>
        <v>0.87106154247550882</v>
      </c>
      <c r="M33" s="67">
        <v>1</v>
      </c>
      <c r="N33" s="68">
        <v>1</v>
      </c>
      <c r="O33" s="49"/>
      <c r="P33" s="6"/>
      <c r="Q33" s="49"/>
    </row>
    <row r="34" spans="1:17">
      <c r="A34" s="349">
        <v>46113</v>
      </c>
      <c r="B34" s="89">
        <f>SUM(B4:B33)</f>
        <v>337890</v>
      </c>
      <c r="C34" s="89">
        <f>SUM(C4:C33)</f>
        <v>296460</v>
      </c>
      <c r="D34" s="89">
        <f>SUM(D4:D33)</f>
        <v>330770</v>
      </c>
      <c r="E34" s="89">
        <f>SUM(E4:E33)</f>
        <v>325440</v>
      </c>
      <c r="F34" s="160">
        <f t="shared" si="0"/>
        <v>9.7753491196114151E-2</v>
      </c>
      <c r="G34" s="90">
        <f>AVERAGE(G4:G33)</f>
        <v>0.22378888650736431</v>
      </c>
      <c r="H34" s="90">
        <f>AVERAGE(H4:H33)</f>
        <v>0.25980624956361276</v>
      </c>
      <c r="I34" s="89">
        <f>SUM(I4:I33)</f>
        <v>199.1699999999999</v>
      </c>
      <c r="J34" s="89">
        <f>SUM(J4:J33)</f>
        <v>194.78900000000002</v>
      </c>
      <c r="K34" s="160">
        <f t="shared" si="3"/>
        <v>-2.1996284581010637E-2</v>
      </c>
      <c r="L34" s="161">
        <f t="shared" si="4"/>
        <v>0.82719249180037013</v>
      </c>
      <c r="M34" s="90">
        <f>AVERAGE(M4:M33)</f>
        <v>0.99939333333333336</v>
      </c>
      <c r="N34" s="90">
        <f>AVERAGE(N4:N33)</f>
        <v>0.99277999999999988</v>
      </c>
      <c r="O34" s="89">
        <f>SUM(O4:O33)</f>
        <v>3970</v>
      </c>
      <c r="P34" s="89">
        <f>SUM(P4:P33)</f>
        <v>226</v>
      </c>
      <c r="Q34" s="19"/>
    </row>
    <row r="35" spans="1:17">
      <c r="A35" s="13">
        <v>46143</v>
      </c>
      <c r="B35" s="337">
        <v>11221</v>
      </c>
      <c r="C35" s="322">
        <v>9845</v>
      </c>
      <c r="D35" s="318">
        <v>11274</v>
      </c>
      <c r="E35" s="318">
        <v>11100</v>
      </c>
      <c r="F35" s="20">
        <f t="shared" si="0"/>
        <v>0.12747587607922803</v>
      </c>
      <c r="G35" s="2">
        <f t="shared" ref="G35:G57" si="7">D35/($D$2*24)</f>
        <v>0.22882932912452991</v>
      </c>
      <c r="H35" s="2">
        <f t="shared" ref="H35:H61" si="8">D35/($H$2*24)</f>
        <v>0.29359374999999999</v>
      </c>
      <c r="I35" s="337">
        <v>6.66</v>
      </c>
      <c r="J35" s="318">
        <v>6.4029999999999996</v>
      </c>
      <c r="K35" s="20">
        <f t="shared" si="3"/>
        <v>-3.8588588588588671E-2</v>
      </c>
      <c r="L35" s="4">
        <f t="shared" si="4"/>
        <v>0.85770793362310138</v>
      </c>
      <c r="M35" s="359">
        <v>1</v>
      </c>
      <c r="N35" s="324">
        <v>1</v>
      </c>
      <c r="O35" s="33"/>
      <c r="P35" s="6"/>
      <c r="Q35" s="6"/>
    </row>
    <row r="36" spans="1:17">
      <c r="A36" s="13">
        <f>A35+1</f>
        <v>46144</v>
      </c>
      <c r="B36" s="338">
        <v>11221</v>
      </c>
      <c r="C36" s="325">
        <v>9845</v>
      </c>
      <c r="D36" s="321">
        <v>11335</v>
      </c>
      <c r="E36" s="321">
        <v>11140</v>
      </c>
      <c r="F36" s="20">
        <f t="shared" ref="F36:F54" si="9">(IF(ISBLANK(E36),0,E36-C36))/C36</f>
        <v>0.13153885220924327</v>
      </c>
      <c r="G36" s="2">
        <f t="shared" si="7"/>
        <v>0.23006745127075984</v>
      </c>
      <c r="H36" s="2">
        <f t="shared" si="8"/>
        <v>0.29518229166666665</v>
      </c>
      <c r="I36" s="338">
        <v>6.66</v>
      </c>
      <c r="J36" s="321">
        <v>6.3949999999999996</v>
      </c>
      <c r="K36" s="20">
        <f t="shared" ref="K36:K54" si="10">(IF(ISBLANK(J36),0,J36-I36))/I36</f>
        <v>-3.9789789789789871E-2</v>
      </c>
      <c r="L36" s="4">
        <f t="shared" ref="L36:L66" si="11">D36/($D$2*J36)</f>
        <v>0.86342749499581495</v>
      </c>
      <c r="M36" s="360">
        <v>1</v>
      </c>
      <c r="N36" s="327">
        <v>1</v>
      </c>
      <c r="O36" s="34"/>
      <c r="P36" s="6"/>
      <c r="Q36" s="6"/>
    </row>
    <row r="37" spans="1:17">
      <c r="A37" s="13">
        <f t="shared" ref="A37:A65" si="12">A36+1</f>
        <v>46145</v>
      </c>
      <c r="B37" s="338">
        <v>11221</v>
      </c>
      <c r="C37" s="325">
        <v>9845</v>
      </c>
      <c r="D37" s="321">
        <v>11594</v>
      </c>
      <c r="E37" s="321">
        <v>11400</v>
      </c>
      <c r="F37" s="20">
        <f t="shared" si="9"/>
        <v>0.15794819705434229</v>
      </c>
      <c r="G37" s="2">
        <f t="shared" si="7"/>
        <v>0.23532439612114597</v>
      </c>
      <c r="H37" s="2">
        <f t="shared" si="8"/>
        <v>0.30192708333333335</v>
      </c>
      <c r="I37" s="338">
        <v>6.66</v>
      </c>
      <c r="J37" s="321">
        <v>6.6289999999999996</v>
      </c>
      <c r="K37" s="20">
        <f t="shared" si="10"/>
        <v>-4.6546546546547421E-3</v>
      </c>
      <c r="L37" s="4">
        <f t="shared" si="11"/>
        <v>0.85198152163335406</v>
      </c>
      <c r="M37" s="360">
        <v>1</v>
      </c>
      <c r="N37" s="327">
        <v>1</v>
      </c>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33663</v>
      </c>
      <c r="C66" s="89">
        <f>SUM(C35:C65)</f>
        <v>29535</v>
      </c>
      <c r="D66" s="89">
        <f>SUM(D35:D65)</f>
        <v>34203</v>
      </c>
      <c r="E66" s="89">
        <f>SUM(E35:E65)</f>
        <v>33640</v>
      </c>
      <c r="F66" s="160">
        <f>(IF(ISBLANK(E66),0,E66-C66))/C66</f>
        <v>0.13898764178093787</v>
      </c>
      <c r="G66" s="90">
        <f>AVERAGE(G35:G65)</f>
        <v>2.2394231500530184E-2</v>
      </c>
      <c r="H66" s="90">
        <f>AVERAGE(H35:H65)</f>
        <v>2.8732358870967738E-2</v>
      </c>
      <c r="I66" s="89">
        <f>SUM(I35:I65)</f>
        <v>19.98</v>
      </c>
      <c r="J66" s="89">
        <f>SUM(J35:J65)</f>
        <v>19.427</v>
      </c>
      <c r="K66" s="160">
        <f>(IF(ISBLANK(J66),0,J66-I66))/I66</f>
        <v>-2.7677677677677717E-2</v>
      </c>
      <c r="L66" s="161">
        <f t="shared" si="11"/>
        <v>0.85763670337131093</v>
      </c>
      <c r="M66" s="90">
        <f>AVERAGE(M35:M65)</f>
        <v>1</v>
      </c>
      <c r="N66" s="90">
        <f>AVERAGE(N35:N65)</f>
        <v>1</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78F0-215D-445B-AC6A-C90298B535EF}">
  <dimension ref="A1:Q66"/>
  <sheetViews>
    <sheetView topLeftCell="A34" workbookViewId="0">
      <selection activeCell="P67" sqref="P67"/>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679</v>
      </c>
      <c r="B1" s="406"/>
      <c r="C1" s="406"/>
      <c r="D1" s="406"/>
      <c r="E1" s="406"/>
      <c r="F1" s="406"/>
      <c r="G1" s="406"/>
      <c r="H1" s="406"/>
      <c r="I1" s="406"/>
      <c r="J1" s="406"/>
      <c r="K1" s="406"/>
      <c r="L1" s="406"/>
      <c r="M1" s="406"/>
      <c r="N1" s="406"/>
      <c r="O1" s="406"/>
      <c r="P1" s="406"/>
      <c r="Q1" s="406"/>
    </row>
    <row r="2" spans="1:17" ht="18.5">
      <c r="A2" s="7">
        <v>46113</v>
      </c>
      <c r="B2" s="407" t="s">
        <v>172</v>
      </c>
      <c r="C2" s="408"/>
      <c r="D2" s="8">
        <v>8750</v>
      </c>
      <c r="E2" s="407" t="s">
        <v>173</v>
      </c>
      <c r="F2" s="407"/>
      <c r="G2" s="408"/>
      <c r="H2" s="8">
        <v>6325</v>
      </c>
      <c r="I2" s="409" t="s">
        <v>174</v>
      </c>
      <c r="J2" s="410"/>
      <c r="K2" s="9">
        <v>46079</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49733</v>
      </c>
      <c r="C4" s="1">
        <v>49733</v>
      </c>
      <c r="D4" s="257">
        <v>47511</v>
      </c>
      <c r="E4" s="257">
        <v>46875</v>
      </c>
      <c r="F4" s="21">
        <f t="shared" ref="F4:F35" si="0">(IF(ISBLANK(E4),0,E4-C4))/C4</f>
        <v>-5.7466873102366638E-2</v>
      </c>
      <c r="G4" s="2">
        <f t="shared" ref="G4:G33" si="1">D4/($D$2*24)</f>
        <v>0.22624285714285713</v>
      </c>
      <c r="H4" s="2">
        <f t="shared" ref="H4:H21" si="2">D4/($H$2*24)</f>
        <v>0.31298418972332015</v>
      </c>
      <c r="I4" s="86">
        <v>7.03</v>
      </c>
      <c r="J4" s="185">
        <v>6.4</v>
      </c>
      <c r="K4" s="21">
        <f t="shared" ref="K4:K35" si="3">(IF(ISBLANK(J4),0,J4-I4))/I4</f>
        <v>-8.9615931721194864E-2</v>
      </c>
      <c r="L4" s="22">
        <f t="shared" ref="L4:L35" si="4">D4/($D$2*J4)</f>
        <v>0.84841071428571424</v>
      </c>
      <c r="M4" s="189">
        <v>1</v>
      </c>
      <c r="N4" s="189">
        <v>1</v>
      </c>
      <c r="O4" s="253"/>
      <c r="P4" s="49"/>
      <c r="Q4" s="50"/>
    </row>
    <row r="5" spans="1:17">
      <c r="A5" s="13">
        <f t="shared" ref="A5:A33" si="5">A4+1</f>
        <v>46114</v>
      </c>
      <c r="B5" s="1">
        <v>49733</v>
      </c>
      <c r="C5" s="1">
        <v>49733</v>
      </c>
      <c r="D5" s="257">
        <v>49520</v>
      </c>
      <c r="E5" s="257">
        <v>48750</v>
      </c>
      <c r="F5" s="21">
        <f t="shared" si="0"/>
        <v>-1.9765548026461303E-2</v>
      </c>
      <c r="G5" s="2">
        <f t="shared" si="1"/>
        <v>0.2358095238095238</v>
      </c>
      <c r="H5" s="2">
        <f t="shared" si="2"/>
        <v>0.3262187088274045</v>
      </c>
      <c r="I5" s="86">
        <v>7.03</v>
      </c>
      <c r="J5" s="185">
        <v>6.6619999999999999</v>
      </c>
      <c r="K5" s="21">
        <f t="shared" si="3"/>
        <v>-5.2347083926031338E-2</v>
      </c>
      <c r="L5" s="22">
        <f t="shared" si="4"/>
        <v>0.84950894197366733</v>
      </c>
      <c r="M5" s="189">
        <v>1</v>
      </c>
      <c r="N5" s="189">
        <v>1</v>
      </c>
      <c r="O5" s="253"/>
      <c r="P5" s="49"/>
      <c r="Q5" s="50"/>
    </row>
    <row r="6" spans="1:17">
      <c r="A6" s="13">
        <f t="shared" si="5"/>
        <v>46115</v>
      </c>
      <c r="B6" s="1">
        <v>49733</v>
      </c>
      <c r="C6" s="1">
        <v>49733</v>
      </c>
      <c r="D6" s="257">
        <v>52505</v>
      </c>
      <c r="E6" s="257">
        <v>51825</v>
      </c>
      <c r="F6" s="21">
        <f t="shared" si="0"/>
        <v>4.2064625098023445E-2</v>
      </c>
      <c r="G6" s="2">
        <f t="shared" si="1"/>
        <v>0.25002380952380954</v>
      </c>
      <c r="H6" s="2">
        <f t="shared" si="2"/>
        <v>0.34588274044795786</v>
      </c>
      <c r="I6" s="86">
        <v>7.03</v>
      </c>
      <c r="J6" s="185">
        <v>6.899</v>
      </c>
      <c r="K6" s="21">
        <f t="shared" si="3"/>
        <v>-1.8634423897581825E-2</v>
      </c>
      <c r="L6" s="22">
        <f t="shared" si="4"/>
        <v>0.8697740873418508</v>
      </c>
      <c r="M6" s="189">
        <v>1</v>
      </c>
      <c r="N6" s="189">
        <v>1</v>
      </c>
      <c r="O6" s="253"/>
      <c r="P6" s="49"/>
      <c r="Q6" s="50"/>
    </row>
    <row r="7" spans="1:17">
      <c r="A7" s="13">
        <f t="shared" si="5"/>
        <v>46116</v>
      </c>
      <c r="B7" s="1">
        <v>49733</v>
      </c>
      <c r="C7" s="1">
        <v>49733</v>
      </c>
      <c r="D7" s="257">
        <v>41339</v>
      </c>
      <c r="E7" s="257">
        <v>40800</v>
      </c>
      <c r="F7" s="21">
        <f t="shared" si="0"/>
        <v>-0.17961916634829991</v>
      </c>
      <c r="G7" s="2">
        <f t="shared" si="1"/>
        <v>0.19685238095238095</v>
      </c>
      <c r="H7" s="2">
        <f t="shared" si="2"/>
        <v>0.27232542819499339</v>
      </c>
      <c r="I7" s="86">
        <v>7.03</v>
      </c>
      <c r="J7" s="185">
        <v>5.23</v>
      </c>
      <c r="K7" s="21">
        <f t="shared" si="3"/>
        <v>-0.2560455192034139</v>
      </c>
      <c r="L7" s="22">
        <f t="shared" si="4"/>
        <v>0.90333788582354535</v>
      </c>
      <c r="M7" s="189">
        <v>1</v>
      </c>
      <c r="N7" s="189">
        <v>1</v>
      </c>
      <c r="O7" s="253"/>
      <c r="P7" s="49"/>
      <c r="Q7" s="50"/>
    </row>
    <row r="8" spans="1:17">
      <c r="A8" s="13">
        <f t="shared" si="5"/>
        <v>46117</v>
      </c>
      <c r="B8" s="1">
        <v>49733</v>
      </c>
      <c r="C8" s="1">
        <v>49733</v>
      </c>
      <c r="D8" s="257">
        <v>52961</v>
      </c>
      <c r="E8" s="257">
        <v>52125</v>
      </c>
      <c r="F8" s="21">
        <f t="shared" si="0"/>
        <v>4.8096837110168301E-2</v>
      </c>
      <c r="G8" s="2">
        <f t="shared" si="1"/>
        <v>0.25219523809523808</v>
      </c>
      <c r="H8" s="2">
        <f t="shared" si="2"/>
        <v>0.34888669301712782</v>
      </c>
      <c r="I8" s="86">
        <v>7.03</v>
      </c>
      <c r="J8" s="185">
        <v>6.83</v>
      </c>
      <c r="K8" s="21">
        <f t="shared" si="3"/>
        <v>-2.8449502133712685E-2</v>
      </c>
      <c r="L8" s="22">
        <f t="shared" si="4"/>
        <v>0.88619117339468734</v>
      </c>
      <c r="M8" s="189">
        <v>1</v>
      </c>
      <c r="N8" s="189">
        <v>1</v>
      </c>
      <c r="O8" s="253"/>
      <c r="P8" s="253"/>
      <c r="Q8" s="50"/>
    </row>
    <row r="9" spans="1:17">
      <c r="A9" s="13">
        <f t="shared" si="5"/>
        <v>46118</v>
      </c>
      <c r="B9" s="1">
        <v>49733</v>
      </c>
      <c r="C9" s="1">
        <v>49733</v>
      </c>
      <c r="D9" s="257">
        <v>55311</v>
      </c>
      <c r="E9" s="257">
        <v>54450</v>
      </c>
      <c r="F9" s="21">
        <f t="shared" si="0"/>
        <v>9.4846480204290914E-2</v>
      </c>
      <c r="G9" s="2">
        <f t="shared" si="1"/>
        <v>0.26338571428571428</v>
      </c>
      <c r="H9" s="2">
        <f t="shared" si="2"/>
        <v>0.3643675889328063</v>
      </c>
      <c r="I9" s="86">
        <v>7.03</v>
      </c>
      <c r="J9" s="185">
        <v>7.23</v>
      </c>
      <c r="K9" s="21">
        <f t="shared" si="3"/>
        <v>2.8449502133712685E-2</v>
      </c>
      <c r="L9" s="22">
        <f t="shared" si="4"/>
        <v>0.87430942501481912</v>
      </c>
      <c r="M9" s="189">
        <v>1</v>
      </c>
      <c r="N9" s="189">
        <v>1</v>
      </c>
      <c r="O9" s="253"/>
      <c r="P9" s="253"/>
      <c r="Q9" s="50"/>
    </row>
    <row r="10" spans="1:17">
      <c r="A10" s="13">
        <f t="shared" si="5"/>
        <v>46119</v>
      </c>
      <c r="B10" s="1">
        <v>49733</v>
      </c>
      <c r="C10" s="1">
        <v>49733</v>
      </c>
      <c r="D10" s="257">
        <v>56087</v>
      </c>
      <c r="E10" s="257">
        <v>55200</v>
      </c>
      <c r="F10" s="21">
        <f t="shared" si="0"/>
        <v>0.10992701023465305</v>
      </c>
      <c r="G10" s="2">
        <f t="shared" si="1"/>
        <v>0.26708095238095236</v>
      </c>
      <c r="H10" s="2">
        <f t="shared" si="2"/>
        <v>0.36947957839262185</v>
      </c>
      <c r="I10" s="86">
        <v>7.03</v>
      </c>
      <c r="J10" s="185">
        <v>7.27</v>
      </c>
      <c r="K10" s="21">
        <f t="shared" si="3"/>
        <v>3.4139402560455098E-2</v>
      </c>
      <c r="L10" s="22">
        <f t="shared" si="4"/>
        <v>0.8816977795244646</v>
      </c>
      <c r="M10" s="189">
        <v>1</v>
      </c>
      <c r="N10" s="189">
        <v>1</v>
      </c>
      <c r="O10" s="253"/>
      <c r="P10" s="253"/>
      <c r="Q10" s="50"/>
    </row>
    <row r="11" spans="1:17">
      <c r="A11" s="13">
        <f t="shared" si="5"/>
        <v>46120</v>
      </c>
      <c r="B11" s="1">
        <v>49733</v>
      </c>
      <c r="C11" s="1">
        <v>49733</v>
      </c>
      <c r="D11" s="257">
        <v>49604</v>
      </c>
      <c r="E11" s="257">
        <v>48900</v>
      </c>
      <c r="F11" s="21">
        <f t="shared" si="0"/>
        <v>-1.6749442020388878E-2</v>
      </c>
      <c r="G11" s="2">
        <f t="shared" si="1"/>
        <v>0.23620952380952381</v>
      </c>
      <c r="H11" s="2">
        <f t="shared" si="2"/>
        <v>0.32677206851119894</v>
      </c>
      <c r="I11" s="86">
        <v>7.03</v>
      </c>
      <c r="J11" s="185">
        <v>6.56</v>
      </c>
      <c r="K11" s="21">
        <f t="shared" si="3"/>
        <v>-6.6856330014224835E-2</v>
      </c>
      <c r="L11" s="22">
        <f t="shared" si="4"/>
        <v>0.86418118466898952</v>
      </c>
      <c r="M11" s="189">
        <v>1</v>
      </c>
      <c r="N11" s="189">
        <v>1</v>
      </c>
      <c r="O11" s="253"/>
      <c r="P11" s="49"/>
      <c r="Q11" s="50"/>
    </row>
    <row r="12" spans="1:17">
      <c r="A12" s="13">
        <f t="shared" si="5"/>
        <v>46121</v>
      </c>
      <c r="B12" s="1">
        <v>49733</v>
      </c>
      <c r="C12" s="1">
        <v>49733</v>
      </c>
      <c r="D12" s="257">
        <v>52004</v>
      </c>
      <c r="E12" s="257">
        <v>51225</v>
      </c>
      <c r="F12" s="21">
        <f t="shared" si="0"/>
        <v>3.0000201073733739E-2</v>
      </c>
      <c r="G12" s="2">
        <f t="shared" si="1"/>
        <v>0.24763809523809524</v>
      </c>
      <c r="H12" s="2">
        <f t="shared" si="2"/>
        <v>0.34258234519104086</v>
      </c>
      <c r="I12" s="86">
        <v>7.03</v>
      </c>
      <c r="J12" s="185">
        <v>6.88</v>
      </c>
      <c r="K12" s="21">
        <f t="shared" si="3"/>
        <v>-2.1337126600284546E-2</v>
      </c>
      <c r="L12" s="22">
        <f t="shared" si="4"/>
        <v>0.86385382059800664</v>
      </c>
      <c r="M12" s="189">
        <v>1</v>
      </c>
      <c r="N12" s="189">
        <v>1</v>
      </c>
      <c r="O12" s="253"/>
      <c r="P12" s="49"/>
      <c r="Q12" s="50"/>
    </row>
    <row r="13" spans="1:17">
      <c r="A13" s="13">
        <f t="shared" si="5"/>
        <v>46122</v>
      </c>
      <c r="B13" s="1">
        <v>49733</v>
      </c>
      <c r="C13" s="1">
        <v>49733</v>
      </c>
      <c r="D13" s="257">
        <v>52790</v>
      </c>
      <c r="E13" s="257">
        <v>52125</v>
      </c>
      <c r="F13" s="21">
        <f t="shared" si="0"/>
        <v>4.8096837110168301E-2</v>
      </c>
      <c r="G13" s="2">
        <f t="shared" si="1"/>
        <v>0.25138095238095237</v>
      </c>
      <c r="H13" s="2">
        <f t="shared" si="2"/>
        <v>0.34776021080368907</v>
      </c>
      <c r="I13" s="86">
        <v>7.03</v>
      </c>
      <c r="J13" s="185">
        <v>7.0140000000000002</v>
      </c>
      <c r="K13" s="21">
        <f t="shared" si="3"/>
        <v>-2.2759601706970147E-3</v>
      </c>
      <c r="L13" s="22">
        <f t="shared" si="4"/>
        <v>0.86015723654731358</v>
      </c>
      <c r="M13" s="189">
        <v>1</v>
      </c>
      <c r="N13" s="189">
        <v>1</v>
      </c>
      <c r="O13" s="253"/>
      <c r="P13" s="49"/>
      <c r="Q13" s="50"/>
    </row>
    <row r="14" spans="1:17">
      <c r="A14" s="13">
        <f t="shared" si="5"/>
        <v>46123</v>
      </c>
      <c r="B14" s="1">
        <v>49733</v>
      </c>
      <c r="C14" s="1">
        <v>49733</v>
      </c>
      <c r="D14" s="257">
        <v>52706</v>
      </c>
      <c r="E14" s="257">
        <v>51975</v>
      </c>
      <c r="F14" s="21">
        <f t="shared" si="0"/>
        <v>4.508073110409587E-2</v>
      </c>
      <c r="G14" s="2">
        <f t="shared" si="1"/>
        <v>0.25098095238095236</v>
      </c>
      <c r="H14" s="2">
        <f t="shared" si="2"/>
        <v>0.34720685111989458</v>
      </c>
      <c r="I14" s="86">
        <v>7.03</v>
      </c>
      <c r="J14" s="185">
        <v>7.0720000000000001</v>
      </c>
      <c r="K14" s="21">
        <f t="shared" si="3"/>
        <v>5.974395448079632E-3</v>
      </c>
      <c r="L14" s="22">
        <f t="shared" si="4"/>
        <v>0.85174531351001936</v>
      </c>
      <c r="M14" s="189">
        <v>1</v>
      </c>
      <c r="N14" s="189">
        <v>1</v>
      </c>
      <c r="O14" s="253"/>
      <c r="P14" s="49"/>
      <c r="Q14" s="50"/>
    </row>
    <row r="15" spans="1:17">
      <c r="A15" s="13">
        <f t="shared" si="5"/>
        <v>46124</v>
      </c>
      <c r="B15" s="1">
        <v>49733</v>
      </c>
      <c r="C15" s="1">
        <v>49733</v>
      </c>
      <c r="D15" s="257">
        <v>51154</v>
      </c>
      <c r="E15" s="257">
        <v>50550</v>
      </c>
      <c r="F15" s="21">
        <f t="shared" si="0"/>
        <v>1.6427724046407816E-2</v>
      </c>
      <c r="G15" s="2">
        <f t="shared" si="1"/>
        <v>0.24359047619047619</v>
      </c>
      <c r="H15" s="2">
        <f t="shared" si="2"/>
        <v>0.33698287220026352</v>
      </c>
      <c r="I15" s="86">
        <v>7.03</v>
      </c>
      <c r="J15" s="185">
        <v>6.944</v>
      </c>
      <c r="K15" s="21">
        <f t="shared" si="3"/>
        <v>-1.2233285917496485E-2</v>
      </c>
      <c r="L15" s="22">
        <f t="shared" si="4"/>
        <v>0.84190256747860437</v>
      </c>
      <c r="M15" s="189">
        <v>1</v>
      </c>
      <c r="N15" s="189">
        <v>1</v>
      </c>
      <c r="O15" s="253"/>
      <c r="P15" s="49"/>
      <c r="Q15" s="50"/>
    </row>
    <row r="16" spans="1:17">
      <c r="A16" s="13">
        <f t="shared" si="5"/>
        <v>46125</v>
      </c>
      <c r="B16" s="1">
        <v>49733</v>
      </c>
      <c r="C16" s="1">
        <v>49733</v>
      </c>
      <c r="D16" s="257">
        <v>50175</v>
      </c>
      <c r="E16" s="257">
        <v>49500</v>
      </c>
      <c r="F16" s="21">
        <f t="shared" si="0"/>
        <v>-4.6850179960991698E-3</v>
      </c>
      <c r="G16" s="2">
        <f t="shared" si="1"/>
        <v>0.23892857142857143</v>
      </c>
      <c r="H16" s="2">
        <f t="shared" si="2"/>
        <v>0.33053359683794464</v>
      </c>
      <c r="I16" s="86">
        <v>7.03</v>
      </c>
      <c r="J16" s="185">
        <v>6.9180000000000001</v>
      </c>
      <c r="K16" s="21">
        <f t="shared" si="3"/>
        <v>-1.5931721194879102E-2</v>
      </c>
      <c r="L16" s="22">
        <f t="shared" si="4"/>
        <v>0.82889356957006566</v>
      </c>
      <c r="M16" s="189">
        <v>1</v>
      </c>
      <c r="N16" s="189">
        <v>1</v>
      </c>
      <c r="O16" s="253"/>
      <c r="P16" s="49"/>
      <c r="Q16" s="50"/>
    </row>
    <row r="17" spans="1:17">
      <c r="A17" s="13">
        <f t="shared" si="5"/>
        <v>46126</v>
      </c>
      <c r="B17" s="1">
        <v>49733</v>
      </c>
      <c r="C17" s="1">
        <v>49733</v>
      </c>
      <c r="D17" s="257">
        <v>52745</v>
      </c>
      <c r="E17" s="257">
        <v>51975</v>
      </c>
      <c r="F17" s="21">
        <f t="shared" si="0"/>
        <v>4.508073110409587E-2</v>
      </c>
      <c r="G17" s="2">
        <f t="shared" si="1"/>
        <v>0.25116666666666665</v>
      </c>
      <c r="H17" s="2">
        <f t="shared" si="2"/>
        <v>0.34746376811594204</v>
      </c>
      <c r="I17" s="86">
        <v>7.03</v>
      </c>
      <c r="J17" s="185">
        <v>7.16</v>
      </c>
      <c r="K17" s="21">
        <f t="shared" si="3"/>
        <v>1.8492176386913212E-2</v>
      </c>
      <c r="L17" s="22">
        <f t="shared" si="4"/>
        <v>0.8418994413407821</v>
      </c>
      <c r="M17" s="189">
        <v>0.99880000000000002</v>
      </c>
      <c r="N17" s="189">
        <v>1</v>
      </c>
      <c r="O17" s="253"/>
      <c r="P17" s="49"/>
      <c r="Q17" s="50"/>
    </row>
    <row r="18" spans="1:17">
      <c r="A18" s="13">
        <f t="shared" si="5"/>
        <v>46127</v>
      </c>
      <c r="B18" s="1">
        <v>49733</v>
      </c>
      <c r="C18" s="1">
        <v>49733</v>
      </c>
      <c r="D18" s="257">
        <v>54326</v>
      </c>
      <c r="E18" s="257">
        <v>53625</v>
      </c>
      <c r="F18" s="21">
        <f t="shared" si="0"/>
        <v>7.8257897170892571E-2</v>
      </c>
      <c r="G18" s="2">
        <f t="shared" si="1"/>
        <v>0.25869523809523809</v>
      </c>
      <c r="H18" s="2">
        <f t="shared" si="2"/>
        <v>0.35787878787878785</v>
      </c>
      <c r="I18" s="86">
        <v>7.03</v>
      </c>
      <c r="J18" s="185">
        <v>7.58</v>
      </c>
      <c r="K18" s="21">
        <f t="shared" si="3"/>
        <v>7.8236130867709794E-2</v>
      </c>
      <c r="L18" s="22">
        <f t="shared" si="4"/>
        <v>0.81908782510365619</v>
      </c>
      <c r="M18" s="189">
        <v>1</v>
      </c>
      <c r="N18" s="189">
        <v>1</v>
      </c>
      <c r="O18" s="253"/>
      <c r="P18" s="49"/>
      <c r="Q18" s="50"/>
    </row>
    <row r="19" spans="1:17">
      <c r="A19" s="13">
        <f t="shared" si="5"/>
        <v>46128</v>
      </c>
      <c r="B19" s="1">
        <v>49733</v>
      </c>
      <c r="C19" s="1">
        <v>49733</v>
      </c>
      <c r="D19" s="257">
        <v>55965</v>
      </c>
      <c r="E19" s="257">
        <v>54825</v>
      </c>
      <c r="F19" s="21">
        <f t="shared" si="0"/>
        <v>0.10238674521947198</v>
      </c>
      <c r="G19" s="2">
        <f t="shared" si="1"/>
        <v>0.26650000000000001</v>
      </c>
      <c r="H19" s="2">
        <f t="shared" si="2"/>
        <v>0.36867588932806322</v>
      </c>
      <c r="I19" s="86">
        <v>7.03</v>
      </c>
      <c r="J19" s="185">
        <v>7.64</v>
      </c>
      <c r="K19" s="21">
        <f t="shared" si="3"/>
        <v>8.677098150782353E-2</v>
      </c>
      <c r="L19" s="22">
        <f t="shared" si="4"/>
        <v>0.8371727748691099</v>
      </c>
      <c r="M19" s="189">
        <v>1</v>
      </c>
      <c r="N19" s="189">
        <v>1</v>
      </c>
      <c r="O19" s="253"/>
      <c r="P19" s="49"/>
      <c r="Q19" s="50"/>
    </row>
    <row r="20" spans="1:17">
      <c r="A20" s="13">
        <f t="shared" si="5"/>
        <v>46129</v>
      </c>
      <c r="B20" s="1">
        <v>49733</v>
      </c>
      <c r="C20" s="1">
        <v>49733</v>
      </c>
      <c r="D20" s="257">
        <v>48288</v>
      </c>
      <c r="E20" s="257">
        <v>47700</v>
      </c>
      <c r="F20" s="21">
        <f t="shared" si="0"/>
        <v>-4.0878290068968294E-2</v>
      </c>
      <c r="G20" s="2">
        <f t="shared" si="1"/>
        <v>0.22994285714285714</v>
      </c>
      <c r="H20" s="2">
        <f t="shared" si="2"/>
        <v>0.31810276679841898</v>
      </c>
      <c r="I20" s="86">
        <v>7.03</v>
      </c>
      <c r="J20" s="185">
        <v>6.5919999999999996</v>
      </c>
      <c r="K20" s="21">
        <f t="shared" si="3"/>
        <v>-6.230440967283081E-2</v>
      </c>
      <c r="L20" s="22">
        <f t="shared" si="4"/>
        <v>0.83717059639389735</v>
      </c>
      <c r="M20" s="189">
        <v>1</v>
      </c>
      <c r="N20" s="189">
        <v>1</v>
      </c>
      <c r="O20" s="253"/>
      <c r="P20" s="49"/>
      <c r="Q20" s="50"/>
    </row>
    <row r="21" spans="1:17">
      <c r="A21" s="13">
        <f t="shared" si="5"/>
        <v>46130</v>
      </c>
      <c r="B21" s="1">
        <v>49733</v>
      </c>
      <c r="C21" s="1">
        <v>49733</v>
      </c>
      <c r="D21" s="257">
        <v>44811</v>
      </c>
      <c r="E21" s="257">
        <v>44400</v>
      </c>
      <c r="F21" s="21">
        <f t="shared" si="0"/>
        <v>-0.10723262220256168</v>
      </c>
      <c r="G21" s="2">
        <f t="shared" si="1"/>
        <v>0.21338571428571429</v>
      </c>
      <c r="H21" s="2">
        <f t="shared" si="2"/>
        <v>0.29519762845849801</v>
      </c>
      <c r="I21" s="86">
        <v>7.03</v>
      </c>
      <c r="J21" s="185">
        <v>6.016</v>
      </c>
      <c r="K21" s="21">
        <f t="shared" si="3"/>
        <v>-0.14423897581792322</v>
      </c>
      <c r="L21" s="22">
        <f t="shared" si="4"/>
        <v>0.85127279635258357</v>
      </c>
      <c r="M21" s="189">
        <v>1</v>
      </c>
      <c r="N21" s="189">
        <v>1</v>
      </c>
      <c r="O21" s="253"/>
      <c r="P21" s="186"/>
      <c r="Q21" s="50"/>
    </row>
    <row r="22" spans="1:17">
      <c r="A22" s="13">
        <f t="shared" si="5"/>
        <v>46131</v>
      </c>
      <c r="B22" s="1">
        <v>49733</v>
      </c>
      <c r="C22" s="1">
        <v>49733</v>
      </c>
      <c r="D22" s="257">
        <v>48704</v>
      </c>
      <c r="E22" s="257">
        <v>48075</v>
      </c>
      <c r="F22" s="21">
        <f t="shared" si="0"/>
        <v>-3.3338025053787225E-2</v>
      </c>
      <c r="G22" s="2">
        <f t="shared" si="1"/>
        <v>0.23192380952380953</v>
      </c>
      <c r="H22" s="2">
        <f t="shared" ref="H22:H33" si="6">E22/($D$2*24)</f>
        <v>0.22892857142857143</v>
      </c>
      <c r="I22" s="86">
        <v>7.03</v>
      </c>
      <c r="J22" s="185">
        <v>6.6239999999999997</v>
      </c>
      <c r="K22" s="21">
        <f t="shared" si="3"/>
        <v>-5.7752489331436778E-2</v>
      </c>
      <c r="L22" s="22">
        <f t="shared" si="4"/>
        <v>0.84030365769496207</v>
      </c>
      <c r="M22" s="189">
        <v>1</v>
      </c>
      <c r="N22" s="189">
        <v>1</v>
      </c>
      <c r="O22" s="253"/>
      <c r="P22" s="186"/>
      <c r="Q22" s="50"/>
    </row>
    <row r="23" spans="1:17">
      <c r="A23" s="13">
        <f t="shared" si="5"/>
        <v>46132</v>
      </c>
      <c r="B23" s="1">
        <v>49733</v>
      </c>
      <c r="C23" s="1">
        <v>49733</v>
      </c>
      <c r="D23" s="257">
        <v>47272</v>
      </c>
      <c r="E23" s="257">
        <v>46650</v>
      </c>
      <c r="F23" s="21">
        <f t="shared" si="0"/>
        <v>-6.1991032111475275E-2</v>
      </c>
      <c r="G23" s="2">
        <f t="shared" si="1"/>
        <v>0.22510476190476192</v>
      </c>
      <c r="H23" s="2">
        <f t="shared" si="6"/>
        <v>0.22214285714285714</v>
      </c>
      <c r="I23" s="86">
        <v>7.03</v>
      </c>
      <c r="J23" s="185">
        <v>6.3680000000000003</v>
      </c>
      <c r="K23" s="21">
        <f t="shared" si="3"/>
        <v>-9.4167852062588889E-2</v>
      </c>
      <c r="L23" s="22">
        <f t="shared" si="4"/>
        <v>0.84838478104809767</v>
      </c>
      <c r="M23" s="189">
        <v>1</v>
      </c>
      <c r="N23" s="189">
        <v>1</v>
      </c>
      <c r="O23" s="253"/>
      <c r="P23" s="186"/>
      <c r="Q23" s="50"/>
    </row>
    <row r="24" spans="1:17">
      <c r="A24" s="13">
        <f t="shared" si="5"/>
        <v>46133</v>
      </c>
      <c r="B24" s="1">
        <v>49733</v>
      </c>
      <c r="C24" s="1">
        <v>49733</v>
      </c>
      <c r="D24" s="257">
        <v>48776</v>
      </c>
      <c r="E24" s="257">
        <v>48150</v>
      </c>
      <c r="F24" s="21">
        <f t="shared" si="0"/>
        <v>-3.1829972050751013E-2</v>
      </c>
      <c r="G24" s="2">
        <f t="shared" si="1"/>
        <v>0.23226666666666668</v>
      </c>
      <c r="H24" s="2">
        <f t="shared" si="6"/>
        <v>0.22928571428571429</v>
      </c>
      <c r="I24" s="86">
        <v>7.03</v>
      </c>
      <c r="J24" s="185">
        <v>6.72</v>
      </c>
      <c r="K24" s="21">
        <f t="shared" si="3"/>
        <v>-4.4096728307254696E-2</v>
      </c>
      <c r="L24" s="22">
        <f t="shared" si="4"/>
        <v>0.82952380952380955</v>
      </c>
      <c r="M24" s="189">
        <v>1</v>
      </c>
      <c r="N24" s="189">
        <v>1</v>
      </c>
      <c r="O24" s="253"/>
      <c r="P24" s="186"/>
      <c r="Q24" s="50"/>
    </row>
    <row r="25" spans="1:17">
      <c r="A25" s="13">
        <f t="shared" si="5"/>
        <v>46134</v>
      </c>
      <c r="B25" s="1">
        <v>49733</v>
      </c>
      <c r="C25" s="1">
        <v>49733</v>
      </c>
      <c r="D25" s="257">
        <v>49440</v>
      </c>
      <c r="E25" s="257">
        <v>48900</v>
      </c>
      <c r="F25" s="21">
        <f t="shared" si="0"/>
        <v>-1.6749442020388878E-2</v>
      </c>
      <c r="G25" s="2">
        <f t="shared" si="1"/>
        <v>0.23542857142857143</v>
      </c>
      <c r="H25" s="2">
        <f t="shared" si="6"/>
        <v>0.23285714285714285</v>
      </c>
      <c r="I25" s="86">
        <v>7.03</v>
      </c>
      <c r="J25" s="185">
        <v>6.6239999999999997</v>
      </c>
      <c r="K25" s="21">
        <f t="shared" si="3"/>
        <v>-5.7752489331436778E-2</v>
      </c>
      <c r="L25" s="22">
        <f t="shared" si="4"/>
        <v>0.85300207039337472</v>
      </c>
      <c r="M25" s="189">
        <v>1</v>
      </c>
      <c r="N25" s="189">
        <v>1</v>
      </c>
      <c r="O25" s="253"/>
      <c r="P25" s="186"/>
      <c r="Q25" s="50"/>
    </row>
    <row r="26" spans="1:17">
      <c r="A26" s="13">
        <f t="shared" si="5"/>
        <v>46135</v>
      </c>
      <c r="B26" s="1">
        <v>49733</v>
      </c>
      <c r="C26" s="1">
        <v>49733</v>
      </c>
      <c r="D26" s="257">
        <v>48855</v>
      </c>
      <c r="E26" s="257">
        <v>48225</v>
      </c>
      <c r="F26" s="21">
        <f t="shared" si="0"/>
        <v>-3.0321919047714797E-2</v>
      </c>
      <c r="G26" s="2">
        <f t="shared" si="1"/>
        <v>0.23264285714285715</v>
      </c>
      <c r="H26" s="2">
        <f t="shared" si="6"/>
        <v>0.22964285714285715</v>
      </c>
      <c r="I26" s="86">
        <v>7.03</v>
      </c>
      <c r="J26" s="185">
        <v>6.56</v>
      </c>
      <c r="K26" s="21">
        <f t="shared" si="3"/>
        <v>-6.6856330014224835E-2</v>
      </c>
      <c r="L26" s="22">
        <f t="shared" si="4"/>
        <v>0.85113240418118463</v>
      </c>
      <c r="M26" s="189">
        <v>1</v>
      </c>
      <c r="N26" s="189">
        <v>1</v>
      </c>
      <c r="O26" s="253"/>
      <c r="P26" s="49"/>
      <c r="Q26" s="50"/>
    </row>
    <row r="27" spans="1:17">
      <c r="A27" s="13">
        <f t="shared" si="5"/>
        <v>46136</v>
      </c>
      <c r="B27" s="1">
        <v>49733</v>
      </c>
      <c r="C27" s="1">
        <v>49733</v>
      </c>
      <c r="D27" s="257">
        <v>49158</v>
      </c>
      <c r="E27" s="257">
        <v>48600</v>
      </c>
      <c r="F27" s="21">
        <f t="shared" si="0"/>
        <v>-2.2781654032533731E-2</v>
      </c>
      <c r="G27" s="2">
        <f t="shared" si="1"/>
        <v>0.23408571428571429</v>
      </c>
      <c r="H27" s="2">
        <f t="shared" si="6"/>
        <v>0.23142857142857143</v>
      </c>
      <c r="I27" s="86">
        <v>7.03</v>
      </c>
      <c r="J27" s="185">
        <v>6.5919999999999996</v>
      </c>
      <c r="K27" s="21">
        <f t="shared" si="3"/>
        <v>-6.230440967283081E-2</v>
      </c>
      <c r="L27" s="22">
        <f t="shared" si="4"/>
        <v>0.85225381414701806</v>
      </c>
      <c r="M27" s="189">
        <v>1</v>
      </c>
      <c r="N27" s="189">
        <v>1</v>
      </c>
      <c r="O27" s="253"/>
      <c r="P27" s="49"/>
      <c r="Q27" s="50"/>
    </row>
    <row r="28" spans="1:17">
      <c r="A28" s="13">
        <f t="shared" si="5"/>
        <v>46137</v>
      </c>
      <c r="B28" s="1">
        <v>49733</v>
      </c>
      <c r="C28" s="1">
        <v>49733</v>
      </c>
      <c r="D28" s="257">
        <v>48674</v>
      </c>
      <c r="E28" s="257">
        <v>48075</v>
      </c>
      <c r="F28" s="21">
        <f t="shared" si="0"/>
        <v>-3.3338025053787225E-2</v>
      </c>
      <c r="G28" s="2">
        <f t="shared" si="1"/>
        <v>0.23178095238095239</v>
      </c>
      <c r="H28" s="2">
        <f t="shared" si="6"/>
        <v>0.22892857142857143</v>
      </c>
      <c r="I28" s="86">
        <v>7.03</v>
      </c>
      <c r="J28" s="185">
        <v>6.56</v>
      </c>
      <c r="K28" s="21">
        <f t="shared" si="3"/>
        <v>-6.6856330014224835E-2</v>
      </c>
      <c r="L28" s="22">
        <f t="shared" si="4"/>
        <v>0.84797909407665506</v>
      </c>
      <c r="M28" s="189">
        <v>1</v>
      </c>
      <c r="N28" s="189">
        <v>1</v>
      </c>
      <c r="O28" s="253"/>
      <c r="P28" s="186"/>
      <c r="Q28" s="49"/>
    </row>
    <row r="29" spans="1:17">
      <c r="A29" s="13">
        <f t="shared" si="5"/>
        <v>46138</v>
      </c>
      <c r="B29" s="1">
        <v>49733</v>
      </c>
      <c r="C29" s="1">
        <v>49733</v>
      </c>
      <c r="D29" s="257">
        <v>47423</v>
      </c>
      <c r="E29" s="257">
        <v>46875</v>
      </c>
      <c r="F29" s="21">
        <f t="shared" si="0"/>
        <v>-5.7466873102366638E-2</v>
      </c>
      <c r="G29" s="2">
        <f t="shared" si="1"/>
        <v>0.22582380952380951</v>
      </c>
      <c r="H29" s="2">
        <f t="shared" si="6"/>
        <v>0.22321428571428573</v>
      </c>
      <c r="I29" s="86">
        <v>7.03</v>
      </c>
      <c r="J29" s="185">
        <v>6.4</v>
      </c>
      <c r="K29" s="21">
        <f t="shared" si="3"/>
        <v>-8.9615931721194864E-2</v>
      </c>
      <c r="L29" s="22">
        <f t="shared" si="4"/>
        <v>0.84683928571428568</v>
      </c>
      <c r="M29" s="189">
        <v>1</v>
      </c>
      <c r="N29" s="189">
        <v>1</v>
      </c>
      <c r="O29" s="253"/>
      <c r="P29" s="49"/>
      <c r="Q29" s="50"/>
    </row>
    <row r="30" spans="1:17">
      <c r="A30" s="13">
        <f t="shared" si="5"/>
        <v>46139</v>
      </c>
      <c r="B30" s="1"/>
      <c r="C30" s="1"/>
      <c r="D30" s="6"/>
      <c r="E30" s="6"/>
      <c r="F30" s="21" t="e">
        <f t="shared" si="0"/>
        <v>#DIV/0!</v>
      </c>
      <c r="G30" s="2">
        <f t="shared" si="1"/>
        <v>0</v>
      </c>
      <c r="H30" s="2">
        <f t="shared" si="6"/>
        <v>0</v>
      </c>
      <c r="I30" s="86">
        <v>7.03</v>
      </c>
      <c r="J30" s="6"/>
      <c r="K30" s="21">
        <f t="shared" si="3"/>
        <v>0</v>
      </c>
      <c r="L30" s="22" t="e">
        <f t="shared" si="4"/>
        <v>#DIV/0!</v>
      </c>
      <c r="M30" s="6"/>
      <c r="N30" s="6"/>
      <c r="O30" s="49"/>
      <c r="P30" s="6"/>
      <c r="Q30" s="49"/>
    </row>
    <row r="31" spans="1:17">
      <c r="A31" s="13">
        <f t="shared" si="5"/>
        <v>46140</v>
      </c>
      <c r="B31" s="1"/>
      <c r="C31" s="1"/>
      <c r="D31" s="6"/>
      <c r="E31" s="6"/>
      <c r="F31" s="21" t="e">
        <f t="shared" si="0"/>
        <v>#DIV/0!</v>
      </c>
      <c r="G31" s="2">
        <f t="shared" si="1"/>
        <v>0</v>
      </c>
      <c r="H31" s="2">
        <f t="shared" si="6"/>
        <v>0</v>
      </c>
      <c r="I31" s="86">
        <v>7.03</v>
      </c>
      <c r="J31" s="6"/>
      <c r="K31" s="21">
        <f t="shared" si="3"/>
        <v>0</v>
      </c>
      <c r="L31" s="22" t="e">
        <f t="shared" si="4"/>
        <v>#DIV/0!</v>
      </c>
      <c r="M31" s="6"/>
      <c r="N31" s="6"/>
      <c r="O31" s="49"/>
      <c r="P31" s="6"/>
      <c r="Q31" s="49"/>
    </row>
    <row r="32" spans="1:17">
      <c r="A32" s="13">
        <f t="shared" si="5"/>
        <v>46141</v>
      </c>
      <c r="B32" s="1"/>
      <c r="C32" s="1"/>
      <c r="D32" s="6"/>
      <c r="E32" s="6"/>
      <c r="F32" s="21" t="e">
        <f t="shared" si="0"/>
        <v>#DIV/0!</v>
      </c>
      <c r="G32" s="2">
        <f t="shared" si="1"/>
        <v>0</v>
      </c>
      <c r="H32" s="2">
        <f t="shared" si="6"/>
        <v>0</v>
      </c>
      <c r="I32" s="86">
        <v>7.03</v>
      </c>
      <c r="J32" s="6"/>
      <c r="K32" s="21">
        <f t="shared" si="3"/>
        <v>0</v>
      </c>
      <c r="L32" s="22" t="e">
        <f t="shared" si="4"/>
        <v>#DIV/0!</v>
      </c>
      <c r="M32" s="6"/>
      <c r="N32" s="6"/>
      <c r="O32" s="49"/>
      <c r="P32" s="6"/>
      <c r="Q32" s="49"/>
    </row>
    <row r="33" spans="1:17">
      <c r="A33" s="13">
        <f t="shared" si="5"/>
        <v>46142</v>
      </c>
      <c r="B33" s="1"/>
      <c r="C33" s="1"/>
      <c r="D33" s="6"/>
      <c r="E33" s="6"/>
      <c r="F33" s="21" t="e">
        <f t="shared" si="0"/>
        <v>#DIV/0!</v>
      </c>
      <c r="G33" s="2">
        <f t="shared" si="1"/>
        <v>0</v>
      </c>
      <c r="H33" s="2">
        <f t="shared" si="6"/>
        <v>0</v>
      </c>
      <c r="I33" s="86">
        <v>7.03</v>
      </c>
      <c r="J33" s="6"/>
      <c r="K33" s="21">
        <f t="shared" si="3"/>
        <v>0</v>
      </c>
      <c r="L33" s="22" t="e">
        <f t="shared" si="4"/>
        <v>#DIV/0!</v>
      </c>
      <c r="M33" s="6"/>
      <c r="N33" s="6"/>
      <c r="O33" s="49"/>
      <c r="P33" s="6"/>
      <c r="Q33" s="49"/>
    </row>
    <row r="34" spans="1:17">
      <c r="A34" s="349">
        <v>46113</v>
      </c>
      <c r="B34" s="89">
        <f>SUM(B4:B33)</f>
        <v>1293058</v>
      </c>
      <c r="C34" s="89">
        <f>SUM(C4:C33)</f>
        <v>1293058</v>
      </c>
      <c r="D34" s="89">
        <f>SUM(D4:D33)</f>
        <v>1308104</v>
      </c>
      <c r="E34" s="89">
        <f>SUM(E4:E33)</f>
        <v>1290375</v>
      </c>
      <c r="F34" s="160">
        <f t="shared" si="0"/>
        <v>-2.0749262600749541E-3</v>
      </c>
      <c r="G34" s="90">
        <f>AVERAGE(G4:G33)</f>
        <v>0.20763555555555563</v>
      </c>
      <c r="H34" s="90">
        <f>AVERAGE(H4:H33)</f>
        <v>0.26285767614028482</v>
      </c>
      <c r="I34" s="89">
        <f>SUM(I4:I33)</f>
        <v>210.9</v>
      </c>
      <c r="J34" s="89">
        <f>SUM(J4:J33)</f>
        <v>175.34500000000003</v>
      </c>
      <c r="K34" s="160">
        <f t="shared" si="3"/>
        <v>-0.16858700806069216</v>
      </c>
      <c r="L34" s="161">
        <f t="shared" si="4"/>
        <v>0.85259117739313917</v>
      </c>
      <c r="M34" s="90">
        <f>AVERAGE(M4:M33)</f>
        <v>0.99995384615384608</v>
      </c>
      <c r="N34" s="90">
        <f>AVERAGE(N4:N33)</f>
        <v>1</v>
      </c>
      <c r="O34" s="89">
        <f>SUM(O4:O33)</f>
        <v>0</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2E09-2A4C-4513-A943-FC76C6C42AFA}">
  <dimension ref="A1:Q66"/>
  <sheetViews>
    <sheetView topLeftCell="A31" workbookViewId="0">
      <selection activeCell="D40" sqref="D40"/>
    </sheetView>
  </sheetViews>
  <sheetFormatPr defaultRowHeight="14.5"/>
  <cols>
    <col min="1" max="1" width="10.81640625" bestFit="1" customWidth="1"/>
    <col min="2" max="2" width="9.7265625" bestFit="1" customWidth="1"/>
    <col min="3" max="3" width="10.1796875" bestFit="1" customWidth="1"/>
    <col min="4" max="6" width="9.7265625" bestFit="1" customWidth="1"/>
    <col min="7" max="7" width="6.7265625" bestFit="1" customWidth="1"/>
    <col min="8" max="8" width="7.7265625" bestFit="1" customWidth="1"/>
    <col min="9" max="10" width="9.7265625" bestFit="1" customWidth="1"/>
    <col min="11" max="11" width="10.54296875" bestFit="1" customWidth="1"/>
    <col min="12" max="12" width="7" bestFit="1" customWidth="1"/>
    <col min="13" max="14" width="9.26953125" bestFit="1" customWidth="1"/>
    <col min="15" max="15" width="11.453125" bestFit="1" customWidth="1"/>
    <col min="16" max="16" width="10.26953125" bestFit="1" customWidth="1"/>
    <col min="17" max="17" width="62.453125" bestFit="1" customWidth="1"/>
    <col min="18" max="18" width="10" customWidth="1"/>
  </cols>
  <sheetData>
    <row r="1" spans="1:17" ht="17.25" customHeight="1">
      <c r="A1" s="405" t="s">
        <v>680</v>
      </c>
      <c r="B1" s="406"/>
      <c r="C1" s="406"/>
      <c r="D1" s="406"/>
      <c r="E1" s="406"/>
      <c r="F1" s="406"/>
      <c r="G1" s="406"/>
      <c r="H1" s="406"/>
      <c r="I1" s="406"/>
      <c r="J1" s="406"/>
      <c r="K1" s="406"/>
      <c r="L1" s="406"/>
      <c r="M1" s="406"/>
      <c r="N1" s="406"/>
      <c r="O1" s="406"/>
      <c r="P1" s="406"/>
      <c r="Q1" s="406"/>
    </row>
    <row r="2" spans="1:17" ht="18.5">
      <c r="A2" s="7">
        <v>46113</v>
      </c>
      <c r="B2" s="407" t="s">
        <v>172</v>
      </c>
      <c r="C2" s="408"/>
      <c r="D2" s="8">
        <v>4000</v>
      </c>
      <c r="E2" s="407" t="s">
        <v>173</v>
      </c>
      <c r="F2" s="407"/>
      <c r="G2" s="408"/>
      <c r="H2" s="8">
        <v>3025</v>
      </c>
      <c r="I2" s="409" t="s">
        <v>174</v>
      </c>
      <c r="J2" s="410"/>
      <c r="K2" s="9">
        <v>46079</v>
      </c>
      <c r="L2" s="10" t="s">
        <v>175</v>
      </c>
      <c r="M2" s="10" t="s">
        <v>175</v>
      </c>
      <c r="N2" s="10" t="s">
        <v>175</v>
      </c>
      <c r="O2" s="10" t="s">
        <v>175</v>
      </c>
      <c r="P2" s="10" t="s">
        <v>175</v>
      </c>
      <c r="Q2" s="11" t="s">
        <v>175</v>
      </c>
    </row>
    <row r="3" spans="1:17" ht="52">
      <c r="A3" s="12" t="s">
        <v>2</v>
      </c>
      <c r="B3" s="12" t="s">
        <v>3</v>
      </c>
      <c r="C3" s="12" t="s">
        <v>4</v>
      </c>
      <c r="D3" s="12" t="s">
        <v>5</v>
      </c>
      <c r="E3" s="12" t="s">
        <v>6</v>
      </c>
      <c r="F3" s="193" t="s">
        <v>7</v>
      </c>
      <c r="G3" s="12" t="s">
        <v>8</v>
      </c>
      <c r="H3" s="12" t="s">
        <v>9</v>
      </c>
      <c r="I3" s="12" t="s">
        <v>10</v>
      </c>
      <c r="J3" s="12" t="s">
        <v>11</v>
      </c>
      <c r="K3" s="193" t="s">
        <v>12</v>
      </c>
      <c r="L3" s="12" t="s">
        <v>13</v>
      </c>
      <c r="M3" s="12" t="s">
        <v>14</v>
      </c>
      <c r="N3" s="12" t="s">
        <v>15</v>
      </c>
      <c r="O3" s="12" t="s">
        <v>16</v>
      </c>
      <c r="P3" s="12" t="s">
        <v>17</v>
      </c>
      <c r="Q3" s="194" t="s">
        <v>156</v>
      </c>
    </row>
    <row r="4" spans="1:17">
      <c r="A4" s="13">
        <f>A2</f>
        <v>46113</v>
      </c>
      <c r="B4" s="1">
        <v>23140</v>
      </c>
      <c r="C4" s="1">
        <v>23140</v>
      </c>
      <c r="D4" s="257">
        <v>21977</v>
      </c>
      <c r="E4" s="257">
        <v>21780</v>
      </c>
      <c r="F4" s="21">
        <f t="shared" ref="F4:F35" si="0">(IF(ISBLANK(E4),0,E4-C4))/C4</f>
        <v>-5.8772687986171135E-2</v>
      </c>
      <c r="G4" s="2">
        <f t="shared" ref="G4:G33" si="1">D4/($D$2*24)</f>
        <v>0.22892708333333334</v>
      </c>
      <c r="H4" s="2">
        <f t="shared" ref="H4:H21" si="2">D4/($H$2*24)</f>
        <v>0.30271349862258951</v>
      </c>
      <c r="I4" s="86">
        <v>7.03</v>
      </c>
      <c r="J4" s="185">
        <v>6.4</v>
      </c>
      <c r="K4" s="21">
        <f t="shared" ref="K4:K35" si="3">(IF(ISBLANK(J4),0,J4-I4))/I4</f>
        <v>-8.9615931721194864E-2</v>
      </c>
      <c r="L4" s="22">
        <f t="shared" ref="L4:L35" si="4">D4/($D$2*J4)</f>
        <v>0.85847656250000004</v>
      </c>
      <c r="M4" s="189">
        <v>1</v>
      </c>
      <c r="N4" s="189">
        <v>1</v>
      </c>
      <c r="O4" s="253"/>
      <c r="P4" s="49"/>
      <c r="Q4" s="50"/>
    </row>
    <row r="5" spans="1:17">
      <c r="A5" s="13">
        <f t="shared" ref="A5:A33" si="5">A4+1</f>
        <v>46114</v>
      </c>
      <c r="B5" s="1">
        <v>23140</v>
      </c>
      <c r="C5" s="1">
        <v>23140</v>
      </c>
      <c r="D5" s="257">
        <v>23650</v>
      </c>
      <c r="E5" s="257">
        <v>23430</v>
      </c>
      <c r="F5" s="21">
        <f t="shared" si="0"/>
        <v>1.2532411408815903E-2</v>
      </c>
      <c r="G5" s="2">
        <f t="shared" si="1"/>
        <v>0.24635416666666668</v>
      </c>
      <c r="H5" s="2">
        <f t="shared" si="2"/>
        <v>0.32575757575757575</v>
      </c>
      <c r="I5" s="86">
        <v>7.03</v>
      </c>
      <c r="J5" s="185">
        <v>6.6619999999999999</v>
      </c>
      <c r="K5" s="21">
        <f t="shared" si="3"/>
        <v>-5.2347083926031338E-2</v>
      </c>
      <c r="L5" s="22">
        <f t="shared" si="4"/>
        <v>0.88749624737316124</v>
      </c>
      <c r="M5" s="189">
        <v>1</v>
      </c>
      <c r="N5" s="189">
        <v>1</v>
      </c>
      <c r="O5" s="253"/>
      <c r="P5" s="49"/>
      <c r="Q5" s="50"/>
    </row>
    <row r="6" spans="1:17">
      <c r="A6" s="13">
        <f t="shared" si="5"/>
        <v>46115</v>
      </c>
      <c r="B6" s="1">
        <v>23140</v>
      </c>
      <c r="C6" s="1">
        <v>23140</v>
      </c>
      <c r="D6" s="257">
        <v>24026</v>
      </c>
      <c r="E6" s="257">
        <v>23790</v>
      </c>
      <c r="F6" s="21">
        <f t="shared" si="0"/>
        <v>2.8089887640449437E-2</v>
      </c>
      <c r="G6" s="2">
        <f t="shared" si="1"/>
        <v>0.25027083333333333</v>
      </c>
      <c r="H6" s="2">
        <f t="shared" si="2"/>
        <v>0.33093663911845728</v>
      </c>
      <c r="I6" s="86">
        <v>7.03</v>
      </c>
      <c r="J6" s="185">
        <v>6.77</v>
      </c>
      <c r="K6" s="21">
        <f t="shared" si="3"/>
        <v>-3.698435277382655E-2</v>
      </c>
      <c r="L6" s="22">
        <f t="shared" si="4"/>
        <v>0.88722304283604136</v>
      </c>
      <c r="M6" s="189">
        <v>1</v>
      </c>
      <c r="N6" s="189">
        <v>1</v>
      </c>
      <c r="O6" s="253"/>
      <c r="P6" s="49"/>
      <c r="Q6" s="50"/>
    </row>
    <row r="7" spans="1:17">
      <c r="A7" s="13">
        <f t="shared" si="5"/>
        <v>46116</v>
      </c>
      <c r="B7" s="1">
        <v>23140</v>
      </c>
      <c r="C7" s="1">
        <v>23140</v>
      </c>
      <c r="D7" s="257">
        <v>19057</v>
      </c>
      <c r="E7" s="257">
        <v>18870</v>
      </c>
      <c r="F7" s="21">
        <f t="shared" si="0"/>
        <v>-0.18452895419187554</v>
      </c>
      <c r="G7" s="2">
        <f t="shared" si="1"/>
        <v>0.19851041666666666</v>
      </c>
      <c r="H7" s="2">
        <f t="shared" si="2"/>
        <v>0.26249311294765842</v>
      </c>
      <c r="I7" s="86">
        <v>7.03</v>
      </c>
      <c r="J7" s="185">
        <v>5.2160000000000002</v>
      </c>
      <c r="K7" s="21">
        <f t="shared" si="3"/>
        <v>-0.25803698435277383</v>
      </c>
      <c r="L7" s="22">
        <f t="shared" si="4"/>
        <v>0.9133914877300614</v>
      </c>
      <c r="M7" s="189">
        <v>1</v>
      </c>
      <c r="N7" s="189">
        <v>1</v>
      </c>
      <c r="O7" s="253"/>
      <c r="P7" s="49"/>
      <c r="Q7" s="50"/>
    </row>
    <row r="8" spans="1:17">
      <c r="A8" s="13">
        <f t="shared" si="5"/>
        <v>46117</v>
      </c>
      <c r="B8" s="1">
        <v>23140</v>
      </c>
      <c r="C8" s="1">
        <v>23140</v>
      </c>
      <c r="D8" s="257">
        <v>24357</v>
      </c>
      <c r="E8" s="257">
        <v>24120</v>
      </c>
      <c r="F8" s="21">
        <f t="shared" si="0"/>
        <v>4.2350907519446847E-2</v>
      </c>
      <c r="G8" s="2">
        <f t="shared" si="1"/>
        <v>0.25371874999999999</v>
      </c>
      <c r="H8" s="2">
        <f t="shared" si="2"/>
        <v>0.33549586776859502</v>
      </c>
      <c r="I8" s="86">
        <v>7.03</v>
      </c>
      <c r="J8" s="185">
        <v>6.85</v>
      </c>
      <c r="K8" s="21">
        <f t="shared" si="3"/>
        <v>-2.560455192034148E-2</v>
      </c>
      <c r="L8" s="22">
        <f t="shared" si="4"/>
        <v>0.88894160583941606</v>
      </c>
      <c r="M8" s="189">
        <v>1</v>
      </c>
      <c r="N8" s="189">
        <v>1</v>
      </c>
      <c r="O8" s="253"/>
      <c r="P8" s="253"/>
      <c r="Q8" s="50"/>
    </row>
    <row r="9" spans="1:17">
      <c r="A9" s="13">
        <f t="shared" si="5"/>
        <v>46118</v>
      </c>
      <c r="B9" s="1">
        <v>23140</v>
      </c>
      <c r="C9" s="1">
        <v>23140</v>
      </c>
      <c r="D9" s="257">
        <v>25521</v>
      </c>
      <c r="E9" s="257">
        <v>25260</v>
      </c>
      <c r="F9" s="21">
        <f t="shared" si="0"/>
        <v>9.1616248919619711E-2</v>
      </c>
      <c r="G9" s="2">
        <f t="shared" si="1"/>
        <v>0.26584374999999999</v>
      </c>
      <c r="H9" s="2">
        <f t="shared" si="2"/>
        <v>0.35152892561983473</v>
      </c>
      <c r="I9" s="86">
        <v>7.03</v>
      </c>
      <c r="J9" s="185">
        <v>7.17</v>
      </c>
      <c r="K9" s="21">
        <f t="shared" si="3"/>
        <v>1.9914651493598817E-2</v>
      </c>
      <c r="L9" s="22">
        <f t="shared" si="4"/>
        <v>0.88985355648535569</v>
      </c>
      <c r="M9" s="189">
        <v>1</v>
      </c>
      <c r="N9" s="189">
        <v>1</v>
      </c>
      <c r="O9" s="253"/>
      <c r="P9" s="253"/>
      <c r="Q9" s="50"/>
    </row>
    <row r="10" spans="1:17">
      <c r="A10" s="13">
        <f t="shared" si="5"/>
        <v>46119</v>
      </c>
      <c r="B10" s="1">
        <v>23140</v>
      </c>
      <c r="C10" s="1">
        <v>23140</v>
      </c>
      <c r="D10" s="257">
        <v>25966</v>
      </c>
      <c r="E10" s="257">
        <v>25680</v>
      </c>
      <c r="F10" s="21">
        <f t="shared" si="0"/>
        <v>0.1097666378565255</v>
      </c>
      <c r="G10" s="2">
        <f t="shared" si="1"/>
        <v>0.27047916666666666</v>
      </c>
      <c r="H10" s="2">
        <f t="shared" si="2"/>
        <v>0.35765840220385675</v>
      </c>
      <c r="I10" s="86">
        <v>7.03</v>
      </c>
      <c r="J10" s="185">
        <v>7.36</v>
      </c>
      <c r="K10" s="21">
        <f t="shared" si="3"/>
        <v>4.6941678520625897E-2</v>
      </c>
      <c r="L10" s="22">
        <f t="shared" si="4"/>
        <v>0.8819972826086957</v>
      </c>
      <c r="M10" s="189">
        <v>1</v>
      </c>
      <c r="N10" s="189">
        <v>1</v>
      </c>
      <c r="O10" s="253"/>
      <c r="P10" s="253"/>
      <c r="Q10" s="50"/>
    </row>
    <row r="11" spans="1:17">
      <c r="A11" s="13">
        <f t="shared" si="5"/>
        <v>46120</v>
      </c>
      <c r="B11" s="1">
        <v>23140</v>
      </c>
      <c r="C11" s="1">
        <v>23140</v>
      </c>
      <c r="D11" s="257">
        <v>23066</v>
      </c>
      <c r="E11" s="257">
        <v>22830</v>
      </c>
      <c r="F11" s="21">
        <f t="shared" si="0"/>
        <v>-1.3396715643906655E-2</v>
      </c>
      <c r="G11" s="2">
        <f t="shared" si="1"/>
        <v>0.24027083333333332</v>
      </c>
      <c r="H11" s="2">
        <f t="shared" si="2"/>
        <v>0.31771349862258952</v>
      </c>
      <c r="I11" s="86">
        <v>7.03</v>
      </c>
      <c r="J11" s="185">
        <v>6.5339999999999998</v>
      </c>
      <c r="K11" s="21">
        <f t="shared" si="3"/>
        <v>-7.0554765291607452E-2</v>
      </c>
      <c r="L11" s="22">
        <f t="shared" si="4"/>
        <v>0.88253749617385979</v>
      </c>
      <c r="M11" s="189">
        <v>1</v>
      </c>
      <c r="N11" s="189">
        <v>1</v>
      </c>
      <c r="O11" s="253"/>
      <c r="P11" s="49"/>
      <c r="Q11" s="50"/>
    </row>
    <row r="12" spans="1:17">
      <c r="A12" s="13">
        <f t="shared" si="5"/>
        <v>46121</v>
      </c>
      <c r="B12" s="1">
        <v>23140</v>
      </c>
      <c r="C12" s="1">
        <v>23140</v>
      </c>
      <c r="D12" s="257">
        <v>24200</v>
      </c>
      <c r="E12" s="257">
        <v>23970</v>
      </c>
      <c r="F12" s="21">
        <f t="shared" si="0"/>
        <v>3.5868625756266204E-2</v>
      </c>
      <c r="G12" s="2">
        <f t="shared" si="1"/>
        <v>0.25208333333333333</v>
      </c>
      <c r="H12" s="2">
        <f t="shared" si="2"/>
        <v>0.33333333333333331</v>
      </c>
      <c r="I12" s="86">
        <v>7.03</v>
      </c>
      <c r="J12" s="185">
        <v>6.8220000000000001</v>
      </c>
      <c r="K12" s="21">
        <f t="shared" si="3"/>
        <v>-2.9587482219061191E-2</v>
      </c>
      <c r="L12" s="22">
        <f t="shared" si="4"/>
        <v>0.88683670477865728</v>
      </c>
      <c r="M12" s="189">
        <v>1</v>
      </c>
      <c r="N12" s="189">
        <v>1</v>
      </c>
      <c r="O12" s="253"/>
      <c r="P12" s="49"/>
      <c r="Q12" s="50"/>
    </row>
    <row r="13" spans="1:17">
      <c r="A13" s="13">
        <f t="shared" si="5"/>
        <v>46122</v>
      </c>
      <c r="B13" s="1">
        <v>23140</v>
      </c>
      <c r="C13" s="1">
        <v>23140</v>
      </c>
      <c r="D13" s="257">
        <v>24354</v>
      </c>
      <c r="E13" s="257">
        <v>24120</v>
      </c>
      <c r="F13" s="21">
        <f t="shared" si="0"/>
        <v>4.2350907519446847E-2</v>
      </c>
      <c r="G13" s="2">
        <f t="shared" si="1"/>
        <v>0.25368750000000001</v>
      </c>
      <c r="H13" s="2">
        <f t="shared" si="2"/>
        <v>0.33545454545454545</v>
      </c>
      <c r="I13" s="86">
        <v>7.03</v>
      </c>
      <c r="J13" s="185">
        <v>7.0720000000000001</v>
      </c>
      <c r="K13" s="21">
        <f t="shared" si="3"/>
        <v>5.974395448079632E-3</v>
      </c>
      <c r="L13" s="22">
        <f t="shared" si="4"/>
        <v>0.86093042986425339</v>
      </c>
      <c r="M13" s="189">
        <v>1</v>
      </c>
      <c r="N13" s="189">
        <v>1</v>
      </c>
      <c r="O13" s="253"/>
      <c r="P13" s="49"/>
      <c r="Q13" s="50"/>
    </row>
    <row r="14" spans="1:17">
      <c r="A14" s="13">
        <f t="shared" si="5"/>
        <v>46123</v>
      </c>
      <c r="B14" s="1">
        <v>23140</v>
      </c>
      <c r="C14" s="1">
        <v>23140</v>
      </c>
      <c r="D14" s="257">
        <v>24350</v>
      </c>
      <c r="E14" s="257">
        <v>24150</v>
      </c>
      <c r="F14" s="21">
        <f t="shared" si="0"/>
        <v>4.364736387208297E-2</v>
      </c>
      <c r="G14" s="2">
        <f t="shared" si="1"/>
        <v>0.25364583333333335</v>
      </c>
      <c r="H14" s="2">
        <f t="shared" si="2"/>
        <v>0.33539944903581265</v>
      </c>
      <c r="I14" s="86">
        <v>7.03</v>
      </c>
      <c r="J14" s="185">
        <v>7.0460000000000003</v>
      </c>
      <c r="K14" s="21">
        <f t="shared" si="3"/>
        <v>2.2759601706970147E-3</v>
      </c>
      <c r="L14" s="22">
        <f t="shared" si="4"/>
        <v>0.86396537042293498</v>
      </c>
      <c r="M14" s="189">
        <v>1</v>
      </c>
      <c r="N14" s="189">
        <v>1</v>
      </c>
      <c r="O14" s="253"/>
      <c r="P14" s="49"/>
      <c r="Q14" s="50"/>
    </row>
    <row r="15" spans="1:17">
      <c r="A15" s="13">
        <f t="shared" si="5"/>
        <v>46124</v>
      </c>
      <c r="B15" s="1">
        <v>23140</v>
      </c>
      <c r="C15" s="1">
        <v>23140</v>
      </c>
      <c r="D15" s="257">
        <v>23829</v>
      </c>
      <c r="E15" s="257">
        <v>23610</v>
      </c>
      <c r="F15" s="21">
        <f t="shared" si="0"/>
        <v>2.0311149524632671E-2</v>
      </c>
      <c r="G15" s="2">
        <f t="shared" si="1"/>
        <v>0.24821874999999999</v>
      </c>
      <c r="H15" s="2">
        <f t="shared" si="2"/>
        <v>0.32822314049586776</v>
      </c>
      <c r="I15" s="86">
        <v>7.03</v>
      </c>
      <c r="J15" s="185">
        <v>6.9180000000000001</v>
      </c>
      <c r="K15" s="21">
        <f t="shared" si="3"/>
        <v>-1.5931721194879102E-2</v>
      </c>
      <c r="L15" s="22">
        <f t="shared" si="4"/>
        <v>0.86112315698178665</v>
      </c>
      <c r="M15" s="189">
        <v>1</v>
      </c>
      <c r="N15" s="189">
        <v>1</v>
      </c>
      <c r="O15" s="253"/>
      <c r="P15" s="49"/>
      <c r="Q15" s="50"/>
    </row>
    <row r="16" spans="1:17">
      <c r="A16" s="13">
        <f t="shared" si="5"/>
        <v>46125</v>
      </c>
      <c r="B16" s="1">
        <v>23140</v>
      </c>
      <c r="C16" s="1">
        <v>23140</v>
      </c>
      <c r="D16" s="257">
        <v>23123</v>
      </c>
      <c r="E16" s="257">
        <v>22920</v>
      </c>
      <c r="F16" s="21">
        <f t="shared" si="0"/>
        <v>-9.5073465859982706E-3</v>
      </c>
      <c r="G16" s="2">
        <f t="shared" si="1"/>
        <v>0.24086458333333333</v>
      </c>
      <c r="H16" s="2">
        <f t="shared" si="2"/>
        <v>0.31849862258953165</v>
      </c>
      <c r="I16" s="86">
        <v>7.03</v>
      </c>
      <c r="J16" s="185">
        <v>6.9180000000000001</v>
      </c>
      <c r="K16" s="21">
        <f t="shared" si="3"/>
        <v>-1.5931721194879102E-2</v>
      </c>
      <c r="L16" s="22">
        <f t="shared" si="4"/>
        <v>0.83561000289100895</v>
      </c>
      <c r="M16" s="189">
        <v>1</v>
      </c>
      <c r="N16" s="189">
        <v>1</v>
      </c>
      <c r="O16" s="253"/>
      <c r="P16" s="49"/>
      <c r="Q16" s="50"/>
    </row>
    <row r="17" spans="1:17">
      <c r="A17" s="13">
        <f t="shared" si="5"/>
        <v>46126</v>
      </c>
      <c r="B17" s="1">
        <v>23140</v>
      </c>
      <c r="C17" s="1">
        <v>23140</v>
      </c>
      <c r="D17" s="257">
        <v>24392</v>
      </c>
      <c r="E17" s="257">
        <v>24210</v>
      </c>
      <c r="F17" s="21">
        <f t="shared" si="0"/>
        <v>4.624027657735523E-2</v>
      </c>
      <c r="G17" s="2">
        <f t="shared" si="1"/>
        <v>0.25408333333333333</v>
      </c>
      <c r="H17" s="2">
        <f t="shared" si="2"/>
        <v>0.33597796143250691</v>
      </c>
      <c r="I17" s="86">
        <v>7.03</v>
      </c>
      <c r="J17" s="185">
        <v>7.16</v>
      </c>
      <c r="K17" s="21">
        <f t="shared" si="3"/>
        <v>1.8492176386913212E-2</v>
      </c>
      <c r="L17" s="22">
        <f t="shared" si="4"/>
        <v>0.85167597765363123</v>
      </c>
      <c r="M17" s="189">
        <v>1</v>
      </c>
      <c r="N17" s="189">
        <v>1</v>
      </c>
      <c r="O17" s="253"/>
      <c r="P17" s="49"/>
      <c r="Q17" s="50"/>
    </row>
    <row r="18" spans="1:17">
      <c r="A18" s="13">
        <f t="shared" si="5"/>
        <v>46127</v>
      </c>
      <c r="B18" s="1">
        <v>23140</v>
      </c>
      <c r="C18" s="1">
        <v>23140</v>
      </c>
      <c r="D18" s="257">
        <v>25464</v>
      </c>
      <c r="E18" s="257">
        <v>25200</v>
      </c>
      <c r="F18" s="21">
        <f t="shared" si="0"/>
        <v>8.9023336214347451E-2</v>
      </c>
      <c r="G18" s="2">
        <f t="shared" si="1"/>
        <v>0.26524999999999999</v>
      </c>
      <c r="H18" s="2">
        <f t="shared" si="2"/>
        <v>0.35074380165289254</v>
      </c>
      <c r="I18" s="86">
        <v>7.03</v>
      </c>
      <c r="J18" s="185">
        <v>7.52</v>
      </c>
      <c r="K18" s="21">
        <f t="shared" si="3"/>
        <v>6.9701280227595919E-2</v>
      </c>
      <c r="L18" s="22">
        <f t="shared" si="4"/>
        <v>0.84654255319148941</v>
      </c>
      <c r="M18" s="189">
        <v>1</v>
      </c>
      <c r="N18" s="189">
        <v>1</v>
      </c>
      <c r="O18" s="253"/>
      <c r="P18" s="49"/>
      <c r="Q18" s="50"/>
    </row>
    <row r="19" spans="1:17">
      <c r="A19" s="13">
        <f t="shared" si="5"/>
        <v>46128</v>
      </c>
      <c r="B19" s="1">
        <v>23140</v>
      </c>
      <c r="C19" s="1">
        <v>23140</v>
      </c>
      <c r="D19" s="257">
        <v>25800</v>
      </c>
      <c r="E19" s="257">
        <v>25560</v>
      </c>
      <c r="F19" s="21">
        <f t="shared" si="0"/>
        <v>0.10458081244598098</v>
      </c>
      <c r="G19" s="2">
        <f t="shared" si="1"/>
        <v>0.26874999999999999</v>
      </c>
      <c r="H19" s="2">
        <f t="shared" si="2"/>
        <v>0.35537190082644626</v>
      </c>
      <c r="I19" s="86">
        <v>7.03</v>
      </c>
      <c r="J19" s="185">
        <v>7.64</v>
      </c>
      <c r="K19" s="21">
        <f t="shared" si="3"/>
        <v>8.677098150782353E-2</v>
      </c>
      <c r="L19" s="22">
        <f t="shared" si="4"/>
        <v>0.84424083769633507</v>
      </c>
      <c r="M19" s="189">
        <v>1</v>
      </c>
      <c r="N19" s="189">
        <v>1</v>
      </c>
      <c r="O19" s="253"/>
      <c r="P19" s="49"/>
      <c r="Q19" s="50"/>
    </row>
    <row r="20" spans="1:17">
      <c r="A20" s="13">
        <f t="shared" si="5"/>
        <v>46129</v>
      </c>
      <c r="B20" s="1">
        <v>23140</v>
      </c>
      <c r="C20" s="1">
        <v>23140</v>
      </c>
      <c r="D20" s="257">
        <v>22332</v>
      </c>
      <c r="E20" s="257">
        <v>22140</v>
      </c>
      <c r="F20" s="21">
        <f t="shared" si="0"/>
        <v>-4.3215211754537596E-2</v>
      </c>
      <c r="G20" s="2">
        <f t="shared" si="1"/>
        <v>0.232625</v>
      </c>
      <c r="H20" s="2">
        <f t="shared" si="2"/>
        <v>0.30760330578512396</v>
      </c>
      <c r="I20" s="86">
        <v>7.03</v>
      </c>
      <c r="J20" s="185">
        <v>6.28</v>
      </c>
      <c r="K20" s="21">
        <f t="shared" si="3"/>
        <v>-0.10668563300142248</v>
      </c>
      <c r="L20" s="22">
        <f t="shared" si="4"/>
        <v>0.88901273885350318</v>
      </c>
      <c r="M20" s="189">
        <v>1</v>
      </c>
      <c r="N20" s="189">
        <v>1</v>
      </c>
      <c r="O20" s="253"/>
      <c r="P20" s="49"/>
      <c r="Q20" s="50"/>
    </row>
    <row r="21" spans="1:17">
      <c r="A21" s="13">
        <f t="shared" si="5"/>
        <v>46130</v>
      </c>
      <c r="B21" s="1">
        <v>23140</v>
      </c>
      <c r="C21" s="1">
        <v>23140</v>
      </c>
      <c r="D21" s="257">
        <v>20764</v>
      </c>
      <c r="E21" s="257">
        <v>20610</v>
      </c>
      <c r="F21" s="21">
        <f t="shared" si="0"/>
        <v>-0.10933448573898012</v>
      </c>
      <c r="G21" s="2">
        <f t="shared" si="1"/>
        <v>0.21629166666666666</v>
      </c>
      <c r="H21" s="2">
        <f t="shared" si="2"/>
        <v>0.28600550964187327</v>
      </c>
      <c r="I21" s="86">
        <v>7.03</v>
      </c>
      <c r="J21" s="185">
        <v>6.0220000000000002</v>
      </c>
      <c r="K21" s="21">
        <f t="shared" si="3"/>
        <v>-0.1433854907539118</v>
      </c>
      <c r="L21" s="22">
        <f t="shared" si="4"/>
        <v>0.86200597808037194</v>
      </c>
      <c r="M21" s="189">
        <v>1</v>
      </c>
      <c r="N21" s="189">
        <v>1</v>
      </c>
      <c r="O21" s="253"/>
      <c r="P21" s="186"/>
      <c r="Q21" s="50"/>
    </row>
    <row r="22" spans="1:17">
      <c r="A22" s="13">
        <f t="shared" si="5"/>
        <v>46131</v>
      </c>
      <c r="B22" s="1">
        <v>23140</v>
      </c>
      <c r="C22" s="1">
        <v>23140</v>
      </c>
      <c r="D22" s="257">
        <v>22533</v>
      </c>
      <c r="E22" s="257">
        <v>22350</v>
      </c>
      <c r="F22" s="21">
        <f t="shared" si="0"/>
        <v>-3.4140017286084699E-2</v>
      </c>
      <c r="G22" s="2">
        <f t="shared" si="1"/>
        <v>0.23471875</v>
      </c>
      <c r="H22" s="2">
        <f t="shared" ref="H22:H33" si="6">E22/($D$2*24)</f>
        <v>0.23281250000000001</v>
      </c>
      <c r="I22" s="86">
        <v>7.03</v>
      </c>
      <c r="J22" s="185">
        <v>6.63</v>
      </c>
      <c r="K22" s="21">
        <f t="shared" si="3"/>
        <v>-5.689900426742537E-2</v>
      </c>
      <c r="L22" s="22">
        <f t="shared" si="4"/>
        <v>0.84966063348416287</v>
      </c>
      <c r="M22" s="189">
        <v>1</v>
      </c>
      <c r="N22" s="189">
        <v>1</v>
      </c>
      <c r="O22" s="253"/>
      <c r="P22" s="186"/>
      <c r="Q22" s="50"/>
    </row>
    <row r="23" spans="1:17">
      <c r="A23" s="13">
        <f t="shared" si="5"/>
        <v>46132</v>
      </c>
      <c r="B23" s="1">
        <v>23140</v>
      </c>
      <c r="C23" s="1">
        <v>23140</v>
      </c>
      <c r="D23" s="257">
        <v>22131</v>
      </c>
      <c r="E23" s="257">
        <v>21930</v>
      </c>
      <c r="F23" s="21">
        <f t="shared" si="0"/>
        <v>-5.2290406222990492E-2</v>
      </c>
      <c r="G23" s="2">
        <f t="shared" si="1"/>
        <v>0.23053124999999999</v>
      </c>
      <c r="H23" s="2">
        <f t="shared" si="6"/>
        <v>0.22843749999999999</v>
      </c>
      <c r="I23" s="86">
        <v>7.03</v>
      </c>
      <c r="J23" s="185">
        <v>6.3869999999999996</v>
      </c>
      <c r="K23" s="21">
        <f t="shared" si="3"/>
        <v>-9.1465149359886297E-2</v>
      </c>
      <c r="L23" s="22">
        <f t="shared" si="4"/>
        <v>0.86625176139032412</v>
      </c>
      <c r="M23" s="189">
        <v>1</v>
      </c>
      <c r="N23" s="189">
        <v>1</v>
      </c>
      <c r="O23" s="253"/>
      <c r="P23" s="186"/>
      <c r="Q23" s="50"/>
    </row>
    <row r="24" spans="1:17">
      <c r="A24" s="13">
        <f t="shared" si="5"/>
        <v>46133</v>
      </c>
      <c r="B24" s="1">
        <v>23140</v>
      </c>
      <c r="C24" s="1">
        <v>23140</v>
      </c>
      <c r="D24" s="257">
        <v>23060</v>
      </c>
      <c r="E24" s="257">
        <v>23070</v>
      </c>
      <c r="F24" s="21">
        <f t="shared" si="0"/>
        <v>-3.0250648228176318E-3</v>
      </c>
      <c r="G24" s="2">
        <f t="shared" si="1"/>
        <v>0.24020833333333333</v>
      </c>
      <c r="H24" s="2">
        <f t="shared" si="6"/>
        <v>0.24031250000000001</v>
      </c>
      <c r="I24" s="86">
        <v>7.03</v>
      </c>
      <c r="J24" s="185">
        <v>6.6749999999999998</v>
      </c>
      <c r="K24" s="21">
        <f t="shared" si="3"/>
        <v>-5.0497866287340029E-2</v>
      </c>
      <c r="L24" s="22">
        <f t="shared" si="4"/>
        <v>0.8636704119850187</v>
      </c>
      <c r="M24" s="189">
        <v>1</v>
      </c>
      <c r="N24" s="189">
        <v>1</v>
      </c>
      <c r="O24" s="253"/>
      <c r="P24" s="186"/>
      <c r="Q24" s="50"/>
    </row>
    <row r="25" spans="1:17">
      <c r="A25" s="13">
        <f t="shared" si="5"/>
        <v>46134</v>
      </c>
      <c r="B25" s="1">
        <v>23140</v>
      </c>
      <c r="C25" s="1">
        <v>23140</v>
      </c>
      <c r="D25" s="257">
        <v>22685</v>
      </c>
      <c r="E25" s="257">
        <v>22410</v>
      </c>
      <c r="F25" s="21">
        <f t="shared" si="0"/>
        <v>-3.1547104580812446E-2</v>
      </c>
      <c r="G25" s="2">
        <f t="shared" si="1"/>
        <v>0.23630208333333333</v>
      </c>
      <c r="H25" s="2">
        <f t="shared" si="6"/>
        <v>0.23343749999999999</v>
      </c>
      <c r="I25" s="86">
        <v>7.03</v>
      </c>
      <c r="J25" s="185">
        <v>6.6109999999999998</v>
      </c>
      <c r="K25" s="21">
        <f t="shared" si="3"/>
        <v>-5.9601706970128086E-2</v>
      </c>
      <c r="L25" s="22">
        <f t="shared" si="4"/>
        <v>0.85785055211011951</v>
      </c>
      <c r="M25" s="189">
        <v>1</v>
      </c>
      <c r="N25" s="189">
        <v>1</v>
      </c>
      <c r="O25" s="253"/>
      <c r="P25" s="186"/>
      <c r="Q25" s="50"/>
    </row>
    <row r="26" spans="1:17">
      <c r="A26" s="13">
        <f t="shared" si="5"/>
        <v>46135</v>
      </c>
      <c r="B26" s="1">
        <v>23140</v>
      </c>
      <c r="C26" s="1">
        <v>23140</v>
      </c>
      <c r="D26" s="257">
        <v>22297</v>
      </c>
      <c r="E26" s="257">
        <v>22140</v>
      </c>
      <c r="F26" s="21">
        <f t="shared" si="0"/>
        <v>-4.3215211754537596E-2</v>
      </c>
      <c r="G26" s="2">
        <f t="shared" si="1"/>
        <v>0.23226041666666666</v>
      </c>
      <c r="H26" s="2">
        <f t="shared" si="6"/>
        <v>0.230625</v>
      </c>
      <c r="I26" s="86">
        <v>7.03</v>
      </c>
      <c r="J26" s="185">
        <v>6.4509999999999996</v>
      </c>
      <c r="K26" s="21">
        <f t="shared" si="3"/>
        <v>-8.2361308677098233E-2</v>
      </c>
      <c r="L26" s="22">
        <f t="shared" si="4"/>
        <v>0.86409083862966984</v>
      </c>
      <c r="M26" s="189">
        <v>1</v>
      </c>
      <c r="N26" s="189">
        <v>1</v>
      </c>
      <c r="O26" s="253"/>
      <c r="P26" s="49"/>
      <c r="Q26" s="50"/>
    </row>
    <row r="27" spans="1:17">
      <c r="A27" s="13">
        <f t="shared" si="5"/>
        <v>46136</v>
      </c>
      <c r="B27" s="1">
        <v>23140</v>
      </c>
      <c r="C27" s="1">
        <v>23140</v>
      </c>
      <c r="D27" s="257">
        <v>22498</v>
      </c>
      <c r="E27" s="257">
        <v>22320</v>
      </c>
      <c r="F27" s="21">
        <f t="shared" si="0"/>
        <v>-3.5436473638720829E-2</v>
      </c>
      <c r="G27" s="2">
        <f t="shared" si="1"/>
        <v>0.23435416666666667</v>
      </c>
      <c r="H27" s="2">
        <f t="shared" si="6"/>
        <v>0.23250000000000001</v>
      </c>
      <c r="I27" s="86">
        <v>7.03</v>
      </c>
      <c r="J27" s="185">
        <v>6.4829999999999997</v>
      </c>
      <c r="K27" s="21">
        <f t="shared" si="3"/>
        <v>-7.7809388335704208E-2</v>
      </c>
      <c r="L27" s="22">
        <f t="shared" si="4"/>
        <v>0.86757673916396727</v>
      </c>
      <c r="M27" s="189">
        <v>1</v>
      </c>
      <c r="N27" s="189">
        <v>1</v>
      </c>
      <c r="O27" s="253"/>
      <c r="P27" s="49"/>
      <c r="Q27" s="50"/>
    </row>
    <row r="28" spans="1:17">
      <c r="A28" s="13">
        <f t="shared" si="5"/>
        <v>46137</v>
      </c>
      <c r="B28" s="1">
        <v>23140</v>
      </c>
      <c r="C28" s="1">
        <v>23140</v>
      </c>
      <c r="D28" s="257">
        <v>22206</v>
      </c>
      <c r="E28" s="257">
        <v>22020</v>
      </c>
      <c r="F28" s="21">
        <f t="shared" si="0"/>
        <v>-4.8401037165082109E-2</v>
      </c>
      <c r="G28" s="2">
        <f t="shared" si="1"/>
        <v>0.2313125</v>
      </c>
      <c r="H28" s="2">
        <f t="shared" si="6"/>
        <v>0.229375</v>
      </c>
      <c r="I28" s="86">
        <v>7.03</v>
      </c>
      <c r="J28" s="185">
        <v>6.4829999999999997</v>
      </c>
      <c r="K28" s="21">
        <f t="shared" si="3"/>
        <v>-7.7809388335704208E-2</v>
      </c>
      <c r="L28" s="22">
        <f t="shared" si="4"/>
        <v>0.8563165201295696</v>
      </c>
      <c r="M28" s="189">
        <v>1</v>
      </c>
      <c r="N28" s="189">
        <v>1</v>
      </c>
      <c r="O28" s="253"/>
      <c r="P28" s="186"/>
      <c r="Q28" s="49"/>
    </row>
    <row r="29" spans="1:17">
      <c r="A29" s="13">
        <f t="shared" si="5"/>
        <v>46138</v>
      </c>
      <c r="B29" s="1">
        <v>23140</v>
      </c>
      <c r="C29" s="1">
        <v>23140</v>
      </c>
      <c r="D29" s="257">
        <v>21936</v>
      </c>
      <c r="E29" s="257">
        <v>21750</v>
      </c>
      <c r="F29" s="21">
        <f t="shared" si="0"/>
        <v>-6.0069144338807258E-2</v>
      </c>
      <c r="G29" s="2">
        <f t="shared" si="1"/>
        <v>0.22850000000000001</v>
      </c>
      <c r="H29" s="2">
        <f t="shared" si="6"/>
        <v>0.2265625</v>
      </c>
      <c r="I29" s="86">
        <v>7.03</v>
      </c>
      <c r="J29" s="185">
        <v>6.3230000000000004</v>
      </c>
      <c r="K29" s="21">
        <f t="shared" si="3"/>
        <v>-0.10056899004267422</v>
      </c>
      <c r="L29" s="22">
        <f t="shared" si="4"/>
        <v>0.86730982128736356</v>
      </c>
      <c r="M29" s="189">
        <v>1</v>
      </c>
      <c r="N29" s="189">
        <v>1</v>
      </c>
      <c r="O29" s="253"/>
      <c r="P29" s="49"/>
      <c r="Q29" s="50"/>
    </row>
    <row r="30" spans="1:17">
      <c r="A30" s="13">
        <f t="shared" si="5"/>
        <v>46139</v>
      </c>
      <c r="B30" s="1"/>
      <c r="C30" s="1"/>
      <c r="D30" s="6"/>
      <c r="E30" s="6"/>
      <c r="F30" s="21" t="e">
        <f t="shared" si="0"/>
        <v>#DIV/0!</v>
      </c>
      <c r="G30" s="2">
        <f t="shared" si="1"/>
        <v>0</v>
      </c>
      <c r="H30" s="2">
        <f t="shared" si="6"/>
        <v>0</v>
      </c>
      <c r="I30" s="86"/>
      <c r="J30" s="6"/>
      <c r="K30" s="21" t="e">
        <f t="shared" si="3"/>
        <v>#DIV/0!</v>
      </c>
      <c r="L30" s="22" t="e">
        <f t="shared" si="4"/>
        <v>#DIV/0!</v>
      </c>
      <c r="M30" s="6"/>
      <c r="N30" s="6"/>
      <c r="O30" s="49"/>
      <c r="P30" s="6"/>
      <c r="Q30" s="49"/>
    </row>
    <row r="31" spans="1:17">
      <c r="A31" s="13">
        <f t="shared" si="5"/>
        <v>46140</v>
      </c>
      <c r="B31" s="1"/>
      <c r="C31" s="1"/>
      <c r="D31" s="6"/>
      <c r="E31" s="6"/>
      <c r="F31" s="21" t="e">
        <f t="shared" si="0"/>
        <v>#DIV/0!</v>
      </c>
      <c r="G31" s="2">
        <f t="shared" si="1"/>
        <v>0</v>
      </c>
      <c r="H31" s="2">
        <f t="shared" si="6"/>
        <v>0</v>
      </c>
      <c r="I31" s="86"/>
      <c r="J31" s="6"/>
      <c r="K31" s="21" t="e">
        <f t="shared" si="3"/>
        <v>#DIV/0!</v>
      </c>
      <c r="L31" s="22" t="e">
        <f t="shared" si="4"/>
        <v>#DIV/0!</v>
      </c>
      <c r="M31" s="6"/>
      <c r="N31" s="6"/>
      <c r="O31" s="49"/>
      <c r="P31" s="6"/>
      <c r="Q31" s="49"/>
    </row>
    <row r="32" spans="1:17">
      <c r="A32" s="13">
        <f t="shared" si="5"/>
        <v>46141</v>
      </c>
      <c r="B32" s="1"/>
      <c r="C32" s="1"/>
      <c r="D32" s="6"/>
      <c r="E32" s="6"/>
      <c r="F32" s="21" t="e">
        <f t="shared" si="0"/>
        <v>#DIV/0!</v>
      </c>
      <c r="G32" s="2">
        <f t="shared" si="1"/>
        <v>0</v>
      </c>
      <c r="H32" s="2">
        <f t="shared" si="6"/>
        <v>0</v>
      </c>
      <c r="I32" s="86"/>
      <c r="J32" s="6"/>
      <c r="K32" s="21" t="e">
        <f t="shared" si="3"/>
        <v>#DIV/0!</v>
      </c>
      <c r="L32" s="22" t="e">
        <f t="shared" si="4"/>
        <v>#DIV/0!</v>
      </c>
      <c r="M32" s="6"/>
      <c r="N32" s="6"/>
      <c r="O32" s="49"/>
      <c r="P32" s="6"/>
      <c r="Q32" s="49"/>
    </row>
    <row r="33" spans="1:17">
      <c r="A33" s="13">
        <f t="shared" si="5"/>
        <v>46142</v>
      </c>
      <c r="B33" s="1"/>
      <c r="C33" s="1"/>
      <c r="D33" s="6"/>
      <c r="E33" s="6"/>
      <c r="F33" s="21" t="e">
        <f t="shared" si="0"/>
        <v>#DIV/0!</v>
      </c>
      <c r="G33" s="2">
        <f t="shared" si="1"/>
        <v>0</v>
      </c>
      <c r="H33" s="2">
        <f t="shared" si="6"/>
        <v>0</v>
      </c>
      <c r="I33" s="86"/>
      <c r="J33" s="6"/>
      <c r="K33" s="21" t="e">
        <f t="shared" si="3"/>
        <v>#DIV/0!</v>
      </c>
      <c r="L33" s="22" t="e">
        <f t="shared" si="4"/>
        <v>#DIV/0!</v>
      </c>
      <c r="M33" s="6"/>
      <c r="N33" s="6"/>
      <c r="O33" s="49"/>
      <c r="P33" s="6"/>
      <c r="Q33" s="49"/>
    </row>
    <row r="34" spans="1:17">
      <c r="A34" s="349">
        <v>46113</v>
      </c>
      <c r="B34" s="89">
        <f>SUM(B4:B33)</f>
        <v>601640</v>
      </c>
      <c r="C34" s="89">
        <f>SUM(C4:C33)</f>
        <v>601640</v>
      </c>
      <c r="D34" s="89">
        <f>SUM(D4:D33)</f>
        <v>605574</v>
      </c>
      <c r="E34" s="89">
        <f>SUM(E4:E33)</f>
        <v>600240</v>
      </c>
      <c r="F34" s="160">
        <f t="shared" si="0"/>
        <v>-2.3269729406289476E-3</v>
      </c>
      <c r="G34" s="90">
        <f>AVERAGE(G4:G33)</f>
        <v>0.21026875</v>
      </c>
      <c r="H34" s="90">
        <f>AVERAGE(H4:H33)</f>
        <v>0.25749905303030296</v>
      </c>
      <c r="I34" s="89">
        <f>SUM(I4:I33)</f>
        <v>182.78</v>
      </c>
      <c r="J34" s="89">
        <f>SUM(J4:J33)</f>
        <v>174.40300000000005</v>
      </c>
      <c r="K34" s="160">
        <f t="shared" si="3"/>
        <v>-4.5831053725790306E-2</v>
      </c>
      <c r="L34" s="161">
        <f t="shared" si="4"/>
        <v>0.86806706306657544</v>
      </c>
      <c r="M34" s="90">
        <f>AVERAGE(M4:M33)</f>
        <v>1</v>
      </c>
      <c r="N34" s="90">
        <f>AVERAGE(N4:N33)</f>
        <v>1</v>
      </c>
      <c r="O34" s="89">
        <f>SUM(O4:O33)</f>
        <v>0</v>
      </c>
      <c r="P34" s="89">
        <f>SUM(P4:P33)</f>
        <v>0</v>
      </c>
      <c r="Q34" s="19"/>
    </row>
    <row r="35" spans="1:17">
      <c r="A35" s="13">
        <v>46143</v>
      </c>
      <c r="B35" s="127"/>
      <c r="C35" s="127"/>
      <c r="D35" s="33"/>
      <c r="E35" s="33"/>
      <c r="F35" s="20" t="e">
        <f t="shared" si="0"/>
        <v>#DIV/0!</v>
      </c>
      <c r="G35" s="2">
        <f t="shared" ref="G35:G57" si="7">D35/($D$2*24)</f>
        <v>0</v>
      </c>
      <c r="H35" s="2">
        <f t="shared" ref="H35:H61" si="8">D35/($H$2*24)</f>
        <v>0</v>
      </c>
      <c r="I35" s="28"/>
      <c r="J35" s="33"/>
      <c r="K35" s="20" t="e">
        <f t="shared" si="3"/>
        <v>#DIV/0!</v>
      </c>
      <c r="L35" s="4" t="e">
        <f t="shared" si="4"/>
        <v>#DIV/0!</v>
      </c>
      <c r="M35" s="103"/>
      <c r="N35" s="103"/>
      <c r="O35" s="33"/>
      <c r="P35" s="6"/>
      <c r="Q35" s="6"/>
    </row>
    <row r="36" spans="1:17">
      <c r="A36" s="13">
        <f>A35+1</f>
        <v>46144</v>
      </c>
      <c r="B36" s="127"/>
      <c r="C36" s="127"/>
      <c r="D36" s="34"/>
      <c r="E36" s="34"/>
      <c r="F36" s="20" t="e">
        <f t="shared" ref="F36:F54" si="9">(IF(ISBLANK(E36),0,E36-C36))/C36</f>
        <v>#DIV/0!</v>
      </c>
      <c r="G36" s="2">
        <f t="shared" si="7"/>
        <v>0</v>
      </c>
      <c r="H36" s="2">
        <f t="shared" si="8"/>
        <v>0</v>
      </c>
      <c r="I36" s="29"/>
      <c r="J36" s="34"/>
      <c r="K36" s="20" t="e">
        <f t="shared" ref="K36:K54" si="10">(IF(ISBLANK(J36),0,J36-I36))/I36</f>
        <v>#DIV/0!</v>
      </c>
      <c r="L36" s="4" t="e">
        <f t="shared" ref="L36:L66" si="11">D36/($D$2*J36)</f>
        <v>#DIV/0!</v>
      </c>
      <c r="M36" s="103"/>
      <c r="N36" s="103"/>
      <c r="O36" s="34"/>
      <c r="P36" s="6"/>
      <c r="Q36" s="6"/>
    </row>
    <row r="37" spans="1:17">
      <c r="A37" s="13">
        <f t="shared" ref="A37:A65" si="12">A36+1</f>
        <v>46145</v>
      </c>
      <c r="B37" s="127"/>
      <c r="C37" s="127"/>
      <c r="D37" s="34"/>
      <c r="E37" s="34"/>
      <c r="F37" s="20" t="e">
        <f t="shared" si="9"/>
        <v>#DIV/0!</v>
      </c>
      <c r="G37" s="2">
        <f t="shared" si="7"/>
        <v>0</v>
      </c>
      <c r="H37" s="2">
        <f t="shared" si="8"/>
        <v>0</v>
      </c>
      <c r="I37" s="29"/>
      <c r="J37" s="34"/>
      <c r="K37" s="20" t="e">
        <f t="shared" si="10"/>
        <v>#DIV/0!</v>
      </c>
      <c r="L37" s="4" t="e">
        <f t="shared" si="11"/>
        <v>#DIV/0!</v>
      </c>
      <c r="M37" s="103"/>
      <c r="N37" s="104"/>
      <c r="O37" s="34"/>
      <c r="P37" s="6"/>
      <c r="Q37" s="6"/>
    </row>
    <row r="38" spans="1:17">
      <c r="A38" s="13">
        <f t="shared" si="12"/>
        <v>46146</v>
      </c>
      <c r="B38" s="127"/>
      <c r="C38" s="127"/>
      <c r="D38" s="34"/>
      <c r="E38" s="34"/>
      <c r="F38" s="20" t="e">
        <f t="shared" si="9"/>
        <v>#DIV/0!</v>
      </c>
      <c r="G38" s="2">
        <f t="shared" si="7"/>
        <v>0</v>
      </c>
      <c r="H38" s="2">
        <f t="shared" si="8"/>
        <v>0</v>
      </c>
      <c r="I38" s="29"/>
      <c r="J38" s="34"/>
      <c r="K38" s="20" t="e">
        <f t="shared" si="10"/>
        <v>#DIV/0!</v>
      </c>
      <c r="L38" s="4" t="e">
        <f t="shared" si="11"/>
        <v>#DIV/0!</v>
      </c>
      <c r="M38" s="103"/>
      <c r="N38" s="103"/>
      <c r="O38" s="34"/>
      <c r="P38" s="6"/>
      <c r="Q38" s="14"/>
    </row>
    <row r="39" spans="1:17">
      <c r="A39" s="13">
        <f t="shared" si="12"/>
        <v>46147</v>
      </c>
      <c r="B39" s="127"/>
      <c r="C39" s="127"/>
      <c r="D39" s="34"/>
      <c r="E39" s="34"/>
      <c r="F39" s="20" t="e">
        <f t="shared" si="9"/>
        <v>#DIV/0!</v>
      </c>
      <c r="G39" s="2">
        <f t="shared" si="7"/>
        <v>0</v>
      </c>
      <c r="H39" s="2">
        <f t="shared" si="8"/>
        <v>0</v>
      </c>
      <c r="I39" s="29"/>
      <c r="J39" s="34"/>
      <c r="K39" s="20" t="e">
        <f t="shared" si="10"/>
        <v>#DIV/0!</v>
      </c>
      <c r="L39" s="4" t="e">
        <f t="shared" si="11"/>
        <v>#DIV/0!</v>
      </c>
      <c r="M39" s="103"/>
      <c r="N39" s="103"/>
      <c r="O39" s="34"/>
      <c r="P39" s="6"/>
      <c r="Q39" s="14"/>
    </row>
    <row r="40" spans="1:17">
      <c r="A40" s="13">
        <f t="shared" si="12"/>
        <v>46148</v>
      </c>
      <c r="B40" s="127"/>
      <c r="C40" s="127"/>
      <c r="D40" s="34"/>
      <c r="E40" s="34"/>
      <c r="F40" s="20" t="e">
        <f t="shared" si="9"/>
        <v>#DIV/0!</v>
      </c>
      <c r="G40" s="2">
        <f t="shared" si="7"/>
        <v>0</v>
      </c>
      <c r="H40" s="2">
        <f t="shared" si="8"/>
        <v>0</v>
      </c>
      <c r="I40" s="29"/>
      <c r="J40" s="34"/>
      <c r="K40" s="20" t="e">
        <f t="shared" si="10"/>
        <v>#DIV/0!</v>
      </c>
      <c r="L40" s="4" t="e">
        <f t="shared" si="11"/>
        <v>#DIV/0!</v>
      </c>
      <c r="M40" s="103"/>
      <c r="N40" s="103"/>
      <c r="O40" s="34"/>
      <c r="P40" s="6"/>
      <c r="Q40" s="14"/>
    </row>
    <row r="41" spans="1:17">
      <c r="A41" s="13">
        <f t="shared" si="12"/>
        <v>46149</v>
      </c>
      <c r="B41" s="127"/>
      <c r="C41" s="127"/>
      <c r="D41" s="34"/>
      <c r="E41" s="34"/>
      <c r="F41" s="20" t="e">
        <f t="shared" si="9"/>
        <v>#DIV/0!</v>
      </c>
      <c r="G41" s="2">
        <f t="shared" si="7"/>
        <v>0</v>
      </c>
      <c r="H41" s="2">
        <f t="shared" si="8"/>
        <v>0</v>
      </c>
      <c r="I41" s="29"/>
      <c r="J41" s="34"/>
      <c r="K41" s="20" t="e">
        <f t="shared" si="10"/>
        <v>#DIV/0!</v>
      </c>
      <c r="L41" s="4" t="e">
        <f t="shared" si="11"/>
        <v>#DIV/0!</v>
      </c>
      <c r="M41" s="103"/>
      <c r="N41" s="103"/>
      <c r="O41" s="34"/>
      <c r="P41" s="6"/>
      <c r="Q41" s="202"/>
    </row>
    <row r="42" spans="1:17">
      <c r="A42" s="13">
        <f t="shared" si="12"/>
        <v>46150</v>
      </c>
      <c r="B42" s="127"/>
      <c r="C42" s="127"/>
      <c r="D42" s="34"/>
      <c r="E42" s="34"/>
      <c r="F42" s="20" t="e">
        <f t="shared" si="9"/>
        <v>#DIV/0!</v>
      </c>
      <c r="G42" s="2">
        <f t="shared" si="7"/>
        <v>0</v>
      </c>
      <c r="H42" s="2">
        <f t="shared" si="8"/>
        <v>0</v>
      </c>
      <c r="I42" s="29"/>
      <c r="J42" s="34"/>
      <c r="K42" s="20" t="e">
        <f t="shared" si="10"/>
        <v>#DIV/0!</v>
      </c>
      <c r="L42" s="4" t="e">
        <f t="shared" si="11"/>
        <v>#DIV/0!</v>
      </c>
      <c r="M42" s="103"/>
      <c r="N42" s="103"/>
      <c r="O42" s="34"/>
      <c r="P42" s="6"/>
      <c r="Q42" s="14"/>
    </row>
    <row r="43" spans="1:17">
      <c r="A43" s="13">
        <f t="shared" si="12"/>
        <v>46151</v>
      </c>
      <c r="B43" s="127"/>
      <c r="C43" s="127"/>
      <c r="D43" s="34"/>
      <c r="E43" s="34"/>
      <c r="F43" s="20" t="e">
        <f t="shared" si="9"/>
        <v>#DIV/0!</v>
      </c>
      <c r="G43" s="2">
        <f t="shared" si="7"/>
        <v>0</v>
      </c>
      <c r="H43" s="2">
        <f t="shared" si="8"/>
        <v>0</v>
      </c>
      <c r="I43" s="29"/>
      <c r="J43" s="34"/>
      <c r="K43" s="20" t="e">
        <f t="shared" si="10"/>
        <v>#DIV/0!</v>
      </c>
      <c r="L43" s="4" t="e">
        <f t="shared" si="11"/>
        <v>#DIV/0!</v>
      </c>
      <c r="M43" s="103"/>
      <c r="N43" s="103"/>
      <c r="O43" s="34"/>
      <c r="P43" s="6"/>
      <c r="Q43" s="6"/>
    </row>
    <row r="44" spans="1:17">
      <c r="A44" s="13">
        <f t="shared" si="12"/>
        <v>46152</v>
      </c>
      <c r="B44" s="127"/>
      <c r="C44" s="127"/>
      <c r="D44" s="34"/>
      <c r="E44" s="34"/>
      <c r="F44" s="20" t="e">
        <f t="shared" si="9"/>
        <v>#DIV/0!</v>
      </c>
      <c r="G44" s="2">
        <f t="shared" si="7"/>
        <v>0</v>
      </c>
      <c r="H44" s="2">
        <f t="shared" si="8"/>
        <v>0</v>
      </c>
      <c r="I44" s="29"/>
      <c r="J44" s="34"/>
      <c r="K44" s="20" t="e">
        <f t="shared" si="10"/>
        <v>#DIV/0!</v>
      </c>
      <c r="L44" s="4" t="e">
        <f t="shared" si="11"/>
        <v>#DIV/0!</v>
      </c>
      <c r="M44" s="103"/>
      <c r="N44" s="103"/>
      <c r="O44" s="34"/>
      <c r="P44" s="6"/>
      <c r="Q44" s="16"/>
    </row>
    <row r="45" spans="1:17">
      <c r="A45" s="13">
        <f t="shared" si="12"/>
        <v>46153</v>
      </c>
      <c r="B45" s="127"/>
      <c r="C45" s="127"/>
      <c r="D45" s="34"/>
      <c r="E45" s="34"/>
      <c r="F45" s="20" t="e">
        <f t="shared" si="9"/>
        <v>#DIV/0!</v>
      </c>
      <c r="G45" s="2">
        <f t="shared" si="7"/>
        <v>0</v>
      </c>
      <c r="H45" s="2">
        <f t="shared" si="8"/>
        <v>0</v>
      </c>
      <c r="I45" s="29"/>
      <c r="J45" s="34"/>
      <c r="K45" s="20" t="e">
        <f t="shared" si="10"/>
        <v>#DIV/0!</v>
      </c>
      <c r="L45" s="4" t="e">
        <f t="shared" si="11"/>
        <v>#DIV/0!</v>
      </c>
      <c r="M45" s="103"/>
      <c r="N45" s="103"/>
      <c r="O45" s="34"/>
      <c r="P45" s="6"/>
      <c r="Q45" s="6"/>
    </row>
    <row r="46" spans="1:17">
      <c r="A46" s="13">
        <f t="shared" si="12"/>
        <v>46154</v>
      </c>
      <c r="B46" s="127"/>
      <c r="C46" s="127"/>
      <c r="D46" s="34"/>
      <c r="E46" s="34"/>
      <c r="F46" s="20" t="e">
        <f t="shared" si="9"/>
        <v>#DIV/0!</v>
      </c>
      <c r="G46" s="2">
        <f t="shared" si="7"/>
        <v>0</v>
      </c>
      <c r="H46" s="2">
        <f t="shared" si="8"/>
        <v>0</v>
      </c>
      <c r="I46" s="29"/>
      <c r="J46" s="34"/>
      <c r="K46" s="20" t="e">
        <f t="shared" si="10"/>
        <v>#DIV/0!</v>
      </c>
      <c r="L46" s="4" t="e">
        <f t="shared" si="11"/>
        <v>#DIV/0!</v>
      </c>
      <c r="M46" s="104"/>
      <c r="N46" s="103"/>
      <c r="O46" s="34"/>
      <c r="P46" s="6"/>
      <c r="Q46" s="6"/>
    </row>
    <row r="47" spans="1:17">
      <c r="A47" s="13">
        <f t="shared" si="12"/>
        <v>46155</v>
      </c>
      <c r="B47" s="127"/>
      <c r="C47" s="127"/>
      <c r="D47" s="34"/>
      <c r="E47" s="34"/>
      <c r="F47" s="20" t="e">
        <f t="shared" si="9"/>
        <v>#DIV/0!</v>
      </c>
      <c r="G47" s="2">
        <f t="shared" si="7"/>
        <v>0</v>
      </c>
      <c r="H47" s="2">
        <f t="shared" si="8"/>
        <v>0</v>
      </c>
      <c r="I47" s="29"/>
      <c r="J47" s="34"/>
      <c r="K47" s="20" t="e">
        <f t="shared" si="10"/>
        <v>#DIV/0!</v>
      </c>
      <c r="L47" s="4" t="e">
        <f t="shared" si="11"/>
        <v>#DIV/0!</v>
      </c>
      <c r="M47" s="104"/>
      <c r="N47" s="103"/>
      <c r="O47" s="34"/>
      <c r="P47" s="6"/>
      <c r="Q47" s="31"/>
    </row>
    <row r="48" spans="1:17">
      <c r="A48" s="13">
        <f t="shared" si="12"/>
        <v>46156</v>
      </c>
      <c r="B48" s="127"/>
      <c r="C48" s="127"/>
      <c r="D48" s="34"/>
      <c r="E48" s="34"/>
      <c r="F48" s="20" t="e">
        <f t="shared" si="9"/>
        <v>#DIV/0!</v>
      </c>
      <c r="G48" s="2">
        <f t="shared" si="7"/>
        <v>0</v>
      </c>
      <c r="H48" s="2">
        <f t="shared" si="8"/>
        <v>0</v>
      </c>
      <c r="I48" s="29"/>
      <c r="J48" s="34"/>
      <c r="K48" s="20" t="e">
        <f t="shared" si="10"/>
        <v>#DIV/0!</v>
      </c>
      <c r="L48" s="4" t="e">
        <f t="shared" si="11"/>
        <v>#DIV/0!</v>
      </c>
      <c r="M48" s="104"/>
      <c r="N48" s="103"/>
      <c r="O48" s="34"/>
      <c r="P48" s="6"/>
      <c r="Q48" s="32"/>
    </row>
    <row r="49" spans="1:17">
      <c r="A49" s="13">
        <f t="shared" si="12"/>
        <v>46157</v>
      </c>
      <c r="B49" s="127"/>
      <c r="C49" s="127"/>
      <c r="D49" s="34"/>
      <c r="E49" s="34"/>
      <c r="F49" s="20" t="e">
        <f t="shared" si="9"/>
        <v>#DIV/0!</v>
      </c>
      <c r="G49" s="2">
        <f t="shared" si="7"/>
        <v>0</v>
      </c>
      <c r="H49" s="2">
        <f t="shared" si="8"/>
        <v>0</v>
      </c>
      <c r="I49" s="29"/>
      <c r="J49" s="34"/>
      <c r="K49" s="20" t="e">
        <f t="shared" si="10"/>
        <v>#DIV/0!</v>
      </c>
      <c r="L49" s="4" t="e">
        <f t="shared" si="11"/>
        <v>#DIV/0!</v>
      </c>
      <c r="M49" s="104"/>
      <c r="N49" s="103"/>
      <c r="O49" s="34"/>
      <c r="P49" s="6"/>
      <c r="Q49" s="32"/>
    </row>
    <row r="50" spans="1:17">
      <c r="A50" s="13">
        <f t="shared" si="12"/>
        <v>46158</v>
      </c>
      <c r="B50" s="127"/>
      <c r="C50" s="127"/>
      <c r="D50" s="34"/>
      <c r="E50" s="34"/>
      <c r="F50" s="20" t="e">
        <f t="shared" si="9"/>
        <v>#DIV/0!</v>
      </c>
      <c r="G50" s="2">
        <f t="shared" si="7"/>
        <v>0</v>
      </c>
      <c r="H50" s="2">
        <f t="shared" si="8"/>
        <v>0</v>
      </c>
      <c r="I50" s="29"/>
      <c r="J50" s="34"/>
      <c r="K50" s="20" t="e">
        <f t="shared" si="10"/>
        <v>#DIV/0!</v>
      </c>
      <c r="L50" s="4" t="e">
        <f t="shared" si="11"/>
        <v>#DIV/0!</v>
      </c>
      <c r="M50" s="104"/>
      <c r="N50" s="103"/>
      <c r="O50" s="34"/>
      <c r="P50" s="6"/>
      <c r="Q50" s="32"/>
    </row>
    <row r="51" spans="1:17">
      <c r="A51" s="13">
        <f t="shared" si="12"/>
        <v>46159</v>
      </c>
      <c r="B51" s="127"/>
      <c r="C51" s="127"/>
      <c r="D51" s="34"/>
      <c r="E51" s="34"/>
      <c r="F51" s="20" t="e">
        <f t="shared" si="9"/>
        <v>#DIV/0!</v>
      </c>
      <c r="G51" s="2">
        <f t="shared" si="7"/>
        <v>0</v>
      </c>
      <c r="H51" s="2">
        <f t="shared" si="8"/>
        <v>0</v>
      </c>
      <c r="I51" s="29"/>
      <c r="J51" s="34"/>
      <c r="K51" s="20" t="e">
        <f t="shared" si="10"/>
        <v>#DIV/0!</v>
      </c>
      <c r="L51" s="4" t="e">
        <f t="shared" si="11"/>
        <v>#DIV/0!</v>
      </c>
      <c r="M51" s="103"/>
      <c r="N51" s="103"/>
      <c r="O51" s="34"/>
      <c r="P51" s="6"/>
      <c r="Q51" s="6"/>
    </row>
    <row r="52" spans="1:17">
      <c r="A52" s="13">
        <f t="shared" si="12"/>
        <v>46160</v>
      </c>
      <c r="B52" s="127"/>
      <c r="C52" s="127"/>
      <c r="D52" s="34"/>
      <c r="E52" s="34"/>
      <c r="F52" s="20" t="e">
        <f t="shared" si="9"/>
        <v>#DIV/0!</v>
      </c>
      <c r="G52" s="2">
        <f t="shared" si="7"/>
        <v>0</v>
      </c>
      <c r="H52" s="2">
        <f t="shared" si="8"/>
        <v>0</v>
      </c>
      <c r="I52" s="29"/>
      <c r="J52" s="34"/>
      <c r="K52" s="20" t="e">
        <f t="shared" si="10"/>
        <v>#DIV/0!</v>
      </c>
      <c r="L52" s="4" t="e">
        <f t="shared" si="11"/>
        <v>#DIV/0!</v>
      </c>
      <c r="M52" s="103"/>
      <c r="N52" s="103"/>
      <c r="O52" s="34"/>
      <c r="P52" s="6"/>
      <c r="Q52" s="14"/>
    </row>
    <row r="53" spans="1:17">
      <c r="A53" s="13">
        <f t="shared" si="12"/>
        <v>46161</v>
      </c>
      <c r="B53" s="127"/>
      <c r="C53" s="127"/>
      <c r="D53" s="34"/>
      <c r="E53" s="34"/>
      <c r="F53" s="20" t="e">
        <f t="shared" si="9"/>
        <v>#DIV/0!</v>
      </c>
      <c r="G53" s="2">
        <f t="shared" si="7"/>
        <v>0</v>
      </c>
      <c r="H53" s="2">
        <f t="shared" si="8"/>
        <v>0</v>
      </c>
      <c r="I53" s="29"/>
      <c r="J53" s="34"/>
      <c r="K53" s="20" t="e">
        <f t="shared" si="10"/>
        <v>#DIV/0!</v>
      </c>
      <c r="L53" s="4" t="e">
        <f t="shared" si="11"/>
        <v>#DIV/0!</v>
      </c>
      <c r="M53" s="103"/>
      <c r="N53" s="103"/>
      <c r="O53" s="34"/>
      <c r="P53" s="6"/>
      <c r="Q53" s="14"/>
    </row>
    <row r="54" spans="1:17">
      <c r="A54" s="13">
        <f t="shared" si="12"/>
        <v>46162</v>
      </c>
      <c r="B54" s="127"/>
      <c r="C54" s="127"/>
      <c r="D54" s="34"/>
      <c r="E54" s="34"/>
      <c r="F54" s="20" t="e">
        <f t="shared" si="9"/>
        <v>#DIV/0!</v>
      </c>
      <c r="G54" s="2">
        <f t="shared" si="7"/>
        <v>0</v>
      </c>
      <c r="H54" s="2">
        <f t="shared" si="8"/>
        <v>0</v>
      </c>
      <c r="I54" s="29"/>
      <c r="J54" s="34"/>
      <c r="K54" s="20" t="e">
        <f t="shared" si="10"/>
        <v>#DIV/0!</v>
      </c>
      <c r="L54" s="4" t="e">
        <f t="shared" si="11"/>
        <v>#DIV/0!</v>
      </c>
      <c r="M54" s="103"/>
      <c r="N54" s="103"/>
      <c r="O54" s="34"/>
      <c r="P54" s="6"/>
      <c r="Q54" s="14"/>
    </row>
    <row r="55" spans="1:17">
      <c r="A55" s="13">
        <f t="shared" si="12"/>
        <v>46163</v>
      </c>
      <c r="B55" s="127"/>
      <c r="C55" s="127"/>
      <c r="D55" s="34"/>
      <c r="E55" s="34"/>
      <c r="F55" s="20" t="e">
        <f>(IF(ISBLANK(E55),0,E55-C55))/C55</f>
        <v>#DIV/0!</v>
      </c>
      <c r="G55" s="2">
        <f t="shared" si="7"/>
        <v>0</v>
      </c>
      <c r="H55" s="2">
        <f t="shared" si="8"/>
        <v>0</v>
      </c>
      <c r="I55" s="29"/>
      <c r="J55" s="34"/>
      <c r="K55" s="20" t="e">
        <f>(IF(ISBLANK(J55),0,J55-I55))/I55</f>
        <v>#DIV/0!</v>
      </c>
      <c r="L55" s="4" t="e">
        <f t="shared" si="11"/>
        <v>#DIV/0!</v>
      </c>
      <c r="M55" s="103"/>
      <c r="N55" s="103"/>
      <c r="O55" s="34"/>
      <c r="P55" s="6"/>
      <c r="Q55" s="6"/>
    </row>
    <row r="56" spans="1:17">
      <c r="A56" s="13">
        <f t="shared" si="12"/>
        <v>46164</v>
      </c>
      <c r="B56" s="127"/>
      <c r="C56" s="127"/>
      <c r="D56" s="34"/>
      <c r="E56" s="34"/>
      <c r="F56" s="20" t="e">
        <f t="shared" ref="F56:F65" si="13">(IF(ISBLANK(E56),0,E56-C56))/C56</f>
        <v>#DIV/0!</v>
      </c>
      <c r="G56" s="2">
        <f t="shared" si="7"/>
        <v>0</v>
      </c>
      <c r="H56" s="2">
        <f t="shared" si="8"/>
        <v>0</v>
      </c>
      <c r="I56" s="29"/>
      <c r="J56" s="34"/>
      <c r="K56" s="20" t="e">
        <f t="shared" ref="K56:K65" si="14">(IF(ISBLANK(J56),0,J56-I56))/I56</f>
        <v>#DIV/0!</v>
      </c>
      <c r="L56" s="4" t="e">
        <f t="shared" si="11"/>
        <v>#DIV/0!</v>
      </c>
      <c r="M56" s="103"/>
      <c r="N56" s="103"/>
      <c r="O56" s="34"/>
      <c r="P56" s="6"/>
      <c r="Q56" s="6"/>
    </row>
    <row r="57" spans="1:17">
      <c r="A57" s="13">
        <f t="shared" si="12"/>
        <v>46165</v>
      </c>
      <c r="B57" s="127"/>
      <c r="C57" s="127"/>
      <c r="D57" s="14"/>
      <c r="E57" s="14"/>
      <c r="F57" s="20" t="e">
        <f t="shared" si="13"/>
        <v>#DIV/0!</v>
      </c>
      <c r="G57" s="2">
        <f t="shared" si="7"/>
        <v>0</v>
      </c>
      <c r="H57" s="2">
        <f t="shared" si="8"/>
        <v>0</v>
      </c>
      <c r="I57" s="29"/>
      <c r="J57" s="14"/>
      <c r="K57" s="20" t="e">
        <f t="shared" si="14"/>
        <v>#DIV/0!</v>
      </c>
      <c r="L57" s="4" t="e">
        <f t="shared" si="11"/>
        <v>#DIV/0!</v>
      </c>
      <c r="M57" s="103"/>
      <c r="N57" s="103"/>
      <c r="O57" s="34"/>
      <c r="P57" s="6"/>
      <c r="Q57" s="6"/>
    </row>
    <row r="58" spans="1:17">
      <c r="A58" s="13">
        <f t="shared" si="12"/>
        <v>46166</v>
      </c>
      <c r="B58" s="127"/>
      <c r="C58" s="127"/>
      <c r="D58" s="14"/>
      <c r="E58" s="14"/>
      <c r="F58" s="20" t="e">
        <f t="shared" si="13"/>
        <v>#DIV/0!</v>
      </c>
      <c r="G58" s="2">
        <f t="shared" ref="G58:G65" si="15">D58/($D$2*24)</f>
        <v>0</v>
      </c>
      <c r="H58" s="2">
        <f t="shared" si="8"/>
        <v>0</v>
      </c>
      <c r="I58" s="29"/>
      <c r="J58" s="14"/>
      <c r="K58" s="20" t="e">
        <f t="shared" si="14"/>
        <v>#DIV/0!</v>
      </c>
      <c r="L58" s="4" t="e">
        <f t="shared" si="11"/>
        <v>#DIV/0!</v>
      </c>
      <c r="M58" s="103"/>
      <c r="N58" s="103"/>
      <c r="O58" s="34"/>
      <c r="P58" s="6"/>
      <c r="Q58" s="288"/>
    </row>
    <row r="59" spans="1:17">
      <c r="A59" s="13">
        <f t="shared" si="12"/>
        <v>46167</v>
      </c>
      <c r="B59" s="1"/>
      <c r="C59" s="1"/>
      <c r="D59" s="14"/>
      <c r="E59" s="14"/>
      <c r="F59" s="20" t="e">
        <f t="shared" si="13"/>
        <v>#DIV/0!</v>
      </c>
      <c r="G59" s="2">
        <f t="shared" si="15"/>
        <v>0</v>
      </c>
      <c r="H59" s="2">
        <f t="shared" si="8"/>
        <v>0</v>
      </c>
      <c r="I59" s="29"/>
      <c r="J59" s="14"/>
      <c r="K59" s="20" t="e">
        <f t="shared" si="14"/>
        <v>#DIV/0!</v>
      </c>
      <c r="L59" s="4" t="e">
        <f t="shared" si="11"/>
        <v>#DIV/0!</v>
      </c>
      <c r="M59" s="103"/>
      <c r="N59" s="103"/>
      <c r="O59" s="34"/>
      <c r="P59" s="155"/>
      <c r="Q59" s="6"/>
    </row>
    <row r="60" spans="1:17">
      <c r="A60" s="13">
        <f t="shared" si="12"/>
        <v>46168</v>
      </c>
      <c r="B60" s="1"/>
      <c r="C60" s="1"/>
      <c r="D60" s="14"/>
      <c r="E60" s="14"/>
      <c r="F60" s="20" t="e">
        <f t="shared" si="13"/>
        <v>#DIV/0!</v>
      </c>
      <c r="G60" s="2">
        <f t="shared" si="15"/>
        <v>0</v>
      </c>
      <c r="H60" s="2">
        <f t="shared" si="8"/>
        <v>0</v>
      </c>
      <c r="I60" s="29"/>
      <c r="J60" s="14"/>
      <c r="K60" s="20" t="e">
        <f t="shared" si="14"/>
        <v>#DIV/0!</v>
      </c>
      <c r="L60" s="4" t="e">
        <f t="shared" si="11"/>
        <v>#DIV/0!</v>
      </c>
      <c r="M60" s="103"/>
      <c r="N60" s="103"/>
      <c r="O60" s="34"/>
      <c r="P60" s="6"/>
      <c r="Q60" s="123"/>
    </row>
    <row r="61" spans="1:17">
      <c r="A61" s="13">
        <f t="shared" si="12"/>
        <v>46169</v>
      </c>
      <c r="B61" s="1"/>
      <c r="C61" s="1"/>
      <c r="D61" s="14"/>
      <c r="E61" s="14"/>
      <c r="F61" s="20" t="e">
        <f t="shared" si="13"/>
        <v>#DIV/0!</v>
      </c>
      <c r="G61" s="2">
        <f t="shared" si="15"/>
        <v>0</v>
      </c>
      <c r="H61" s="2">
        <f t="shared" si="8"/>
        <v>0</v>
      </c>
      <c r="I61" s="29"/>
      <c r="J61" s="14"/>
      <c r="K61" s="20" t="e">
        <f t="shared" si="14"/>
        <v>#DIV/0!</v>
      </c>
      <c r="L61" s="4" t="e">
        <f t="shared" si="11"/>
        <v>#DIV/0!</v>
      </c>
      <c r="M61" s="103"/>
      <c r="N61" s="103"/>
      <c r="O61" s="34"/>
      <c r="P61" s="6"/>
      <c r="Q61" s="6"/>
    </row>
    <row r="62" spans="1:17">
      <c r="A62" s="13">
        <f t="shared" si="12"/>
        <v>46170</v>
      </c>
      <c r="B62" s="1"/>
      <c r="C62" s="1"/>
      <c r="D62" s="14"/>
      <c r="E62" s="14"/>
      <c r="F62" s="20" t="e">
        <f t="shared" si="13"/>
        <v>#DIV/0!</v>
      </c>
      <c r="G62" s="2">
        <f t="shared" si="15"/>
        <v>0</v>
      </c>
      <c r="H62" s="2">
        <f t="shared" ref="H62:H65" si="16">D62/($H$2*24)</f>
        <v>0</v>
      </c>
      <c r="I62" s="29"/>
      <c r="J62" s="14"/>
      <c r="K62" s="20" t="e">
        <f t="shared" si="14"/>
        <v>#DIV/0!</v>
      </c>
      <c r="L62" s="4" t="e">
        <f t="shared" si="11"/>
        <v>#DIV/0!</v>
      </c>
      <c r="M62" s="103"/>
      <c r="N62" s="103"/>
      <c r="O62" s="34"/>
      <c r="P62" s="6"/>
      <c r="Q62" s="6"/>
    </row>
    <row r="63" spans="1:17">
      <c r="A63" s="13">
        <f t="shared" si="12"/>
        <v>46171</v>
      </c>
      <c r="B63" s="1"/>
      <c r="C63" s="1"/>
      <c r="D63" s="14"/>
      <c r="E63" s="14"/>
      <c r="F63" s="20" t="e">
        <f t="shared" si="13"/>
        <v>#DIV/0!</v>
      </c>
      <c r="G63" s="2">
        <f t="shared" si="15"/>
        <v>0</v>
      </c>
      <c r="H63" s="2">
        <f t="shared" si="16"/>
        <v>0</v>
      </c>
      <c r="I63" s="29"/>
      <c r="J63" s="14"/>
      <c r="K63" s="20" t="e">
        <f t="shared" si="14"/>
        <v>#DIV/0!</v>
      </c>
      <c r="L63" s="4" t="e">
        <f t="shared" si="11"/>
        <v>#DIV/0!</v>
      </c>
      <c r="M63" s="103"/>
      <c r="N63" s="103"/>
      <c r="O63" s="34"/>
      <c r="P63" s="6"/>
      <c r="Q63" s="6"/>
    </row>
    <row r="64" spans="1:17">
      <c r="A64" s="13">
        <f t="shared" si="12"/>
        <v>46172</v>
      </c>
      <c r="B64" s="1"/>
      <c r="C64" s="1"/>
      <c r="D64" s="14"/>
      <c r="E64" s="14"/>
      <c r="F64" s="20" t="e">
        <f t="shared" si="13"/>
        <v>#DIV/0!</v>
      </c>
      <c r="G64" s="2">
        <f t="shared" si="15"/>
        <v>0</v>
      </c>
      <c r="H64" s="2">
        <f t="shared" si="16"/>
        <v>0</v>
      </c>
      <c r="I64" s="29"/>
      <c r="J64" s="14"/>
      <c r="K64" s="20" t="e">
        <f t="shared" si="14"/>
        <v>#DIV/0!</v>
      </c>
      <c r="L64" s="4" t="e">
        <f t="shared" si="11"/>
        <v>#DIV/0!</v>
      </c>
      <c r="M64" s="103"/>
      <c r="N64" s="103"/>
      <c r="O64" s="34"/>
      <c r="P64" s="6"/>
      <c r="Q64" s="6"/>
    </row>
    <row r="65" spans="1:17">
      <c r="A65" s="13">
        <f t="shared" si="12"/>
        <v>46173</v>
      </c>
      <c r="B65" s="1"/>
      <c r="C65" s="1"/>
      <c r="D65" s="14"/>
      <c r="E65" s="14"/>
      <c r="F65" s="20" t="e">
        <f t="shared" si="13"/>
        <v>#DIV/0!</v>
      </c>
      <c r="G65" s="2">
        <f t="shared" si="15"/>
        <v>0</v>
      </c>
      <c r="H65" s="2">
        <f t="shared" si="16"/>
        <v>0</v>
      </c>
      <c r="I65" s="29"/>
      <c r="J65" s="14"/>
      <c r="K65" s="20" t="e">
        <f t="shared" si="14"/>
        <v>#DIV/0!</v>
      </c>
      <c r="L65" s="4" t="e">
        <f t="shared" si="11"/>
        <v>#DIV/0!</v>
      </c>
      <c r="M65" s="103"/>
      <c r="N65" s="103"/>
      <c r="O65" s="34"/>
      <c r="P65" s="6"/>
      <c r="Q65" s="6"/>
    </row>
    <row r="66" spans="1:17">
      <c r="A66" s="349">
        <v>46143</v>
      </c>
      <c r="B66" s="89">
        <f>SUM(B35:B65)</f>
        <v>0</v>
      </c>
      <c r="C66" s="89">
        <f>SUM(C35:C65)</f>
        <v>0</v>
      </c>
      <c r="D66" s="89">
        <f>SUM(D35:D65)</f>
        <v>0</v>
      </c>
      <c r="E66" s="89">
        <f>SUM(E35:E65)</f>
        <v>0</v>
      </c>
      <c r="F66" s="160" t="e">
        <f>(IF(ISBLANK(E66),0,E66-C66))/C66</f>
        <v>#DIV/0!</v>
      </c>
      <c r="G66" s="90">
        <f>AVERAGE(G35:G65)</f>
        <v>0</v>
      </c>
      <c r="H66" s="90">
        <f>AVERAGE(H35:H65)</f>
        <v>0</v>
      </c>
      <c r="I66" s="89">
        <f>SUM(I35:I65)</f>
        <v>0</v>
      </c>
      <c r="J66" s="89">
        <f>SUM(J35:J65)</f>
        <v>0</v>
      </c>
      <c r="K66" s="160" t="e">
        <f>(IF(ISBLANK(J66),0,J66-I66))/I66</f>
        <v>#DIV/0!</v>
      </c>
      <c r="L66" s="161" t="e">
        <f t="shared" si="11"/>
        <v>#DIV/0!</v>
      </c>
      <c r="M66" s="90" t="e">
        <f>AVERAGE(M35:M65)</f>
        <v>#DIV/0!</v>
      </c>
      <c r="N66" s="90" t="e">
        <f>AVERAGE(N35:N65)</f>
        <v>#DIV/0!</v>
      </c>
      <c r="O66" s="89">
        <f>SUM(O35:O65)</f>
        <v>0</v>
      </c>
      <c r="P66" s="89">
        <f>SUM(P35:P65)</f>
        <v>0</v>
      </c>
      <c r="Q66" s="19"/>
    </row>
  </sheetData>
  <mergeCells count="4">
    <mergeCell ref="A1:Q1"/>
    <mergeCell ref="B2:C2"/>
    <mergeCell ref="E2:G2"/>
    <mergeCell ref="I2:J2"/>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D66E-D3F8-40CF-9B8F-1D7DCEFB3902}">
  <dimension ref="A1:Q35"/>
  <sheetViews>
    <sheetView workbookViewId="0">
      <selection activeCell="D5" sqref="D5"/>
    </sheetView>
  </sheetViews>
  <sheetFormatPr defaultRowHeight="14.5"/>
  <cols>
    <col min="1" max="1" width="11.26953125" bestFit="1" customWidth="1"/>
  </cols>
  <sheetData>
    <row r="1" spans="1:17" ht="18.5">
      <c r="A1" s="405"/>
      <c r="B1" s="406"/>
      <c r="C1" s="406"/>
      <c r="D1" s="406"/>
      <c r="E1" s="406"/>
      <c r="F1" s="406"/>
      <c r="G1" s="406"/>
      <c r="H1" s="406"/>
      <c r="I1" s="406"/>
      <c r="J1" s="406"/>
      <c r="K1" s="406"/>
      <c r="L1" s="406"/>
      <c r="M1" s="406"/>
      <c r="N1" s="406"/>
      <c r="O1" s="406"/>
      <c r="P1" s="406"/>
      <c r="Q1" s="406"/>
    </row>
    <row r="2" spans="1:17" ht="18.5">
      <c r="A2" s="7"/>
      <c r="B2" s="407" t="s">
        <v>172</v>
      </c>
      <c r="C2" s="408"/>
      <c r="D2" s="8"/>
      <c r="E2" s="407" t="s">
        <v>173</v>
      </c>
      <c r="F2" s="407"/>
      <c r="G2" s="408"/>
      <c r="H2" s="8"/>
      <c r="I2" s="409" t="s">
        <v>174</v>
      </c>
      <c r="J2" s="410"/>
      <c r="K2" s="9"/>
      <c r="L2" s="10" t="s">
        <v>175</v>
      </c>
      <c r="M2" s="10" t="s">
        <v>175</v>
      </c>
      <c r="N2" s="10" t="s">
        <v>175</v>
      </c>
      <c r="O2" s="10" t="s">
        <v>175</v>
      </c>
      <c r="P2" s="10" t="s">
        <v>175</v>
      </c>
      <c r="Q2" s="11" t="s">
        <v>175</v>
      </c>
    </row>
    <row r="3" spans="1:17" ht="65">
      <c r="A3" s="12" t="s">
        <v>2</v>
      </c>
      <c r="B3" s="12" t="s">
        <v>3</v>
      </c>
      <c r="C3" s="12" t="s">
        <v>4</v>
      </c>
      <c r="D3" s="12" t="s">
        <v>5</v>
      </c>
      <c r="E3" s="12" t="s">
        <v>6</v>
      </c>
      <c r="F3" s="195" t="s">
        <v>7</v>
      </c>
      <c r="G3" s="12" t="s">
        <v>8</v>
      </c>
      <c r="H3" s="12" t="s">
        <v>9</v>
      </c>
      <c r="I3" s="12" t="s">
        <v>10</v>
      </c>
      <c r="J3" s="12" t="s">
        <v>11</v>
      </c>
      <c r="K3" s="195" t="s">
        <v>12</v>
      </c>
      <c r="L3" s="12" t="s">
        <v>13</v>
      </c>
      <c r="M3" s="12" t="s">
        <v>14</v>
      </c>
      <c r="N3" s="12" t="s">
        <v>15</v>
      </c>
      <c r="O3" s="12" t="s">
        <v>16</v>
      </c>
      <c r="P3" s="12" t="s">
        <v>17</v>
      </c>
      <c r="Q3" s="194" t="s">
        <v>156</v>
      </c>
    </row>
    <row r="4" spans="1:17">
      <c r="A4" s="13">
        <v>46143</v>
      </c>
      <c r="B4" s="127"/>
      <c r="C4" s="127"/>
      <c r="D4" s="33"/>
      <c r="E4" s="33"/>
      <c r="F4" s="20" t="e">
        <f>(IF(ISBLANK(E4),0,E4-C4))/C4</f>
        <v>#DIV/0!</v>
      </c>
      <c r="G4" s="2" t="e">
        <f t="shared" ref="G4:G26" si="0">D4/($D$2*24)</f>
        <v>#DIV/0!</v>
      </c>
      <c r="H4" s="2" t="e">
        <f t="shared" ref="H4:H30" si="1">D4/($H$2*24)</f>
        <v>#DIV/0!</v>
      </c>
      <c r="I4" s="28"/>
      <c r="J4" s="33"/>
      <c r="K4" s="20" t="e">
        <f>(IF(ISBLANK(J4),0,J4-I4))/I4</f>
        <v>#DIV/0!</v>
      </c>
      <c r="L4" s="4" t="e">
        <f t="shared" ref="L4:L35" si="2">D4/($D$2*J4)</f>
        <v>#DIV/0!</v>
      </c>
      <c r="M4" s="103"/>
      <c r="N4" s="103"/>
      <c r="O4" s="33"/>
      <c r="P4" s="6"/>
      <c r="Q4" s="6"/>
    </row>
    <row r="5" spans="1:17">
      <c r="A5" s="13">
        <f>A4+1</f>
        <v>46144</v>
      </c>
      <c r="B5" s="127"/>
      <c r="C5" s="127"/>
      <c r="D5" s="34"/>
      <c r="E5" s="34"/>
      <c r="F5" s="20" t="e">
        <f t="shared" ref="F5:F23" si="3">(IF(ISBLANK(E5),0,E5-C5))/C5</f>
        <v>#DIV/0!</v>
      </c>
      <c r="G5" s="2" t="e">
        <f t="shared" si="0"/>
        <v>#DIV/0!</v>
      </c>
      <c r="H5" s="2" t="e">
        <f t="shared" si="1"/>
        <v>#DIV/0!</v>
      </c>
      <c r="I5" s="29"/>
      <c r="J5" s="34"/>
      <c r="K5" s="20" t="e">
        <f t="shared" ref="K5:K23" si="4">(IF(ISBLANK(J5),0,J5-I5))/I5</f>
        <v>#DIV/0!</v>
      </c>
      <c r="L5" s="4" t="e">
        <f t="shared" si="2"/>
        <v>#DIV/0!</v>
      </c>
      <c r="M5" s="103"/>
      <c r="N5" s="103"/>
      <c r="O5" s="34"/>
      <c r="P5" s="6"/>
      <c r="Q5" s="6"/>
    </row>
    <row r="6" spans="1:17">
      <c r="A6" s="13">
        <f t="shared" ref="A6:A34" si="5">A5+1</f>
        <v>46145</v>
      </c>
      <c r="B6" s="127"/>
      <c r="C6" s="127"/>
      <c r="D6" s="34"/>
      <c r="E6" s="34"/>
      <c r="F6" s="20" t="e">
        <f t="shared" si="3"/>
        <v>#DIV/0!</v>
      </c>
      <c r="G6" s="2" t="e">
        <f t="shared" si="0"/>
        <v>#DIV/0!</v>
      </c>
      <c r="H6" s="2" t="e">
        <f t="shared" si="1"/>
        <v>#DIV/0!</v>
      </c>
      <c r="I6" s="29"/>
      <c r="J6" s="34"/>
      <c r="K6" s="20" t="e">
        <f t="shared" si="4"/>
        <v>#DIV/0!</v>
      </c>
      <c r="L6" s="4" t="e">
        <f t="shared" si="2"/>
        <v>#DIV/0!</v>
      </c>
      <c r="M6" s="103"/>
      <c r="N6" s="104"/>
      <c r="O6" s="34"/>
      <c r="P6" s="6"/>
      <c r="Q6" s="6"/>
    </row>
    <row r="7" spans="1:17">
      <c r="A7" s="13">
        <f t="shared" si="5"/>
        <v>46146</v>
      </c>
      <c r="B7" s="127"/>
      <c r="C7" s="127"/>
      <c r="D7" s="34"/>
      <c r="E7" s="34"/>
      <c r="F7" s="20" t="e">
        <f t="shared" si="3"/>
        <v>#DIV/0!</v>
      </c>
      <c r="G7" s="2" t="e">
        <f t="shared" si="0"/>
        <v>#DIV/0!</v>
      </c>
      <c r="H7" s="2" t="e">
        <f t="shared" si="1"/>
        <v>#DIV/0!</v>
      </c>
      <c r="I7" s="29"/>
      <c r="J7" s="34"/>
      <c r="K7" s="20" t="e">
        <f t="shared" si="4"/>
        <v>#DIV/0!</v>
      </c>
      <c r="L7" s="4" t="e">
        <f t="shared" si="2"/>
        <v>#DIV/0!</v>
      </c>
      <c r="M7" s="103"/>
      <c r="N7" s="103"/>
      <c r="O7" s="34"/>
      <c r="P7" s="6"/>
      <c r="Q7" s="14"/>
    </row>
    <row r="8" spans="1:17">
      <c r="A8" s="13">
        <f t="shared" si="5"/>
        <v>46147</v>
      </c>
      <c r="B8" s="127"/>
      <c r="C8" s="127"/>
      <c r="D8" s="34"/>
      <c r="E8" s="34"/>
      <c r="F8" s="20" t="e">
        <f t="shared" si="3"/>
        <v>#DIV/0!</v>
      </c>
      <c r="G8" s="2" t="e">
        <f t="shared" si="0"/>
        <v>#DIV/0!</v>
      </c>
      <c r="H8" s="2" t="e">
        <f t="shared" si="1"/>
        <v>#DIV/0!</v>
      </c>
      <c r="I8" s="29"/>
      <c r="J8" s="34"/>
      <c r="K8" s="20" t="e">
        <f t="shared" si="4"/>
        <v>#DIV/0!</v>
      </c>
      <c r="L8" s="4" t="e">
        <f t="shared" si="2"/>
        <v>#DIV/0!</v>
      </c>
      <c r="M8" s="103"/>
      <c r="N8" s="103"/>
      <c r="O8" s="34"/>
      <c r="P8" s="6"/>
      <c r="Q8" s="14"/>
    </row>
    <row r="9" spans="1:17">
      <c r="A9" s="13">
        <f t="shared" si="5"/>
        <v>46148</v>
      </c>
      <c r="B9" s="127"/>
      <c r="C9" s="127"/>
      <c r="D9" s="34"/>
      <c r="E9" s="34"/>
      <c r="F9" s="20" t="e">
        <f t="shared" si="3"/>
        <v>#DIV/0!</v>
      </c>
      <c r="G9" s="2" t="e">
        <f t="shared" si="0"/>
        <v>#DIV/0!</v>
      </c>
      <c r="H9" s="2" t="e">
        <f t="shared" si="1"/>
        <v>#DIV/0!</v>
      </c>
      <c r="I9" s="29"/>
      <c r="J9" s="34"/>
      <c r="K9" s="20" t="e">
        <f t="shared" si="4"/>
        <v>#DIV/0!</v>
      </c>
      <c r="L9" s="4" t="e">
        <f t="shared" si="2"/>
        <v>#DIV/0!</v>
      </c>
      <c r="M9" s="103"/>
      <c r="N9" s="103"/>
      <c r="O9" s="34"/>
      <c r="P9" s="6"/>
      <c r="Q9" s="14"/>
    </row>
    <row r="10" spans="1:17">
      <c r="A10" s="13">
        <f t="shared" si="5"/>
        <v>46149</v>
      </c>
      <c r="B10" s="127"/>
      <c r="C10" s="127"/>
      <c r="D10" s="34"/>
      <c r="E10" s="34"/>
      <c r="F10" s="20" t="e">
        <f t="shared" si="3"/>
        <v>#DIV/0!</v>
      </c>
      <c r="G10" s="2" t="e">
        <f t="shared" si="0"/>
        <v>#DIV/0!</v>
      </c>
      <c r="H10" s="2" t="e">
        <f t="shared" si="1"/>
        <v>#DIV/0!</v>
      </c>
      <c r="I10" s="29"/>
      <c r="J10" s="34"/>
      <c r="K10" s="20" t="e">
        <f t="shared" si="4"/>
        <v>#DIV/0!</v>
      </c>
      <c r="L10" s="4" t="e">
        <f t="shared" si="2"/>
        <v>#DIV/0!</v>
      </c>
      <c r="M10" s="103"/>
      <c r="N10" s="103"/>
      <c r="O10" s="34"/>
      <c r="P10" s="6"/>
      <c r="Q10" s="202"/>
    </row>
    <row r="11" spans="1:17">
      <c r="A11" s="13">
        <f t="shared" si="5"/>
        <v>46150</v>
      </c>
      <c r="B11" s="127"/>
      <c r="C11" s="127"/>
      <c r="D11" s="34"/>
      <c r="E11" s="34"/>
      <c r="F11" s="20" t="e">
        <f t="shared" si="3"/>
        <v>#DIV/0!</v>
      </c>
      <c r="G11" s="2" t="e">
        <f t="shared" si="0"/>
        <v>#DIV/0!</v>
      </c>
      <c r="H11" s="2" t="e">
        <f t="shared" si="1"/>
        <v>#DIV/0!</v>
      </c>
      <c r="I11" s="29"/>
      <c r="J11" s="34"/>
      <c r="K11" s="20" t="e">
        <f t="shared" si="4"/>
        <v>#DIV/0!</v>
      </c>
      <c r="L11" s="4" t="e">
        <f t="shared" si="2"/>
        <v>#DIV/0!</v>
      </c>
      <c r="M11" s="103"/>
      <c r="N11" s="103"/>
      <c r="O11" s="34"/>
      <c r="P11" s="6"/>
      <c r="Q11" s="14"/>
    </row>
    <row r="12" spans="1:17">
      <c r="A12" s="13">
        <f t="shared" si="5"/>
        <v>46151</v>
      </c>
      <c r="B12" s="127"/>
      <c r="C12" s="127"/>
      <c r="D12" s="34"/>
      <c r="E12" s="34"/>
      <c r="F12" s="20" t="e">
        <f t="shared" si="3"/>
        <v>#DIV/0!</v>
      </c>
      <c r="G12" s="2" t="e">
        <f t="shared" si="0"/>
        <v>#DIV/0!</v>
      </c>
      <c r="H12" s="2" t="e">
        <f t="shared" si="1"/>
        <v>#DIV/0!</v>
      </c>
      <c r="I12" s="29"/>
      <c r="J12" s="34"/>
      <c r="K12" s="20" t="e">
        <f t="shared" si="4"/>
        <v>#DIV/0!</v>
      </c>
      <c r="L12" s="4" t="e">
        <f t="shared" si="2"/>
        <v>#DIV/0!</v>
      </c>
      <c r="M12" s="103"/>
      <c r="N12" s="103"/>
      <c r="O12" s="34"/>
      <c r="P12" s="6"/>
      <c r="Q12" s="6"/>
    </row>
    <row r="13" spans="1:17">
      <c r="A13" s="13">
        <f t="shared" si="5"/>
        <v>46152</v>
      </c>
      <c r="B13" s="127"/>
      <c r="C13" s="127"/>
      <c r="D13" s="34"/>
      <c r="E13" s="34"/>
      <c r="F13" s="20" t="e">
        <f t="shared" si="3"/>
        <v>#DIV/0!</v>
      </c>
      <c r="G13" s="2" t="e">
        <f t="shared" si="0"/>
        <v>#DIV/0!</v>
      </c>
      <c r="H13" s="2" t="e">
        <f t="shared" si="1"/>
        <v>#DIV/0!</v>
      </c>
      <c r="I13" s="29"/>
      <c r="J13" s="34"/>
      <c r="K13" s="20" t="e">
        <f t="shared" si="4"/>
        <v>#DIV/0!</v>
      </c>
      <c r="L13" s="4" t="e">
        <f t="shared" si="2"/>
        <v>#DIV/0!</v>
      </c>
      <c r="M13" s="103"/>
      <c r="N13" s="103"/>
      <c r="O13" s="34"/>
      <c r="P13" s="6"/>
      <c r="Q13" s="16"/>
    </row>
    <row r="14" spans="1:17">
      <c r="A14" s="13">
        <f t="shared" si="5"/>
        <v>46153</v>
      </c>
      <c r="B14" s="127"/>
      <c r="C14" s="127"/>
      <c r="D14" s="34"/>
      <c r="E14" s="34"/>
      <c r="F14" s="20" t="e">
        <f t="shared" si="3"/>
        <v>#DIV/0!</v>
      </c>
      <c r="G14" s="2" t="e">
        <f t="shared" si="0"/>
        <v>#DIV/0!</v>
      </c>
      <c r="H14" s="2" t="e">
        <f t="shared" si="1"/>
        <v>#DIV/0!</v>
      </c>
      <c r="I14" s="29"/>
      <c r="J14" s="34"/>
      <c r="K14" s="20" t="e">
        <f t="shared" si="4"/>
        <v>#DIV/0!</v>
      </c>
      <c r="L14" s="4" t="e">
        <f t="shared" si="2"/>
        <v>#DIV/0!</v>
      </c>
      <c r="M14" s="103"/>
      <c r="N14" s="103"/>
      <c r="O14" s="34"/>
      <c r="P14" s="6"/>
      <c r="Q14" s="6"/>
    </row>
    <row r="15" spans="1:17">
      <c r="A15" s="13">
        <f t="shared" si="5"/>
        <v>46154</v>
      </c>
      <c r="B15" s="127"/>
      <c r="C15" s="127"/>
      <c r="D15" s="34"/>
      <c r="E15" s="34"/>
      <c r="F15" s="20" t="e">
        <f t="shared" si="3"/>
        <v>#DIV/0!</v>
      </c>
      <c r="G15" s="2" t="e">
        <f t="shared" si="0"/>
        <v>#DIV/0!</v>
      </c>
      <c r="H15" s="2" t="e">
        <f t="shared" si="1"/>
        <v>#DIV/0!</v>
      </c>
      <c r="I15" s="29"/>
      <c r="J15" s="34"/>
      <c r="K15" s="20" t="e">
        <f t="shared" si="4"/>
        <v>#DIV/0!</v>
      </c>
      <c r="L15" s="4" t="e">
        <f t="shared" si="2"/>
        <v>#DIV/0!</v>
      </c>
      <c r="M15" s="104"/>
      <c r="N15" s="103"/>
      <c r="O15" s="34"/>
      <c r="P15" s="6"/>
      <c r="Q15" s="6"/>
    </row>
    <row r="16" spans="1:17">
      <c r="A16" s="13">
        <f t="shared" si="5"/>
        <v>46155</v>
      </c>
      <c r="B16" s="127"/>
      <c r="C16" s="127"/>
      <c r="D16" s="34"/>
      <c r="E16" s="34"/>
      <c r="F16" s="20" t="e">
        <f t="shared" si="3"/>
        <v>#DIV/0!</v>
      </c>
      <c r="G16" s="2" t="e">
        <f t="shared" si="0"/>
        <v>#DIV/0!</v>
      </c>
      <c r="H16" s="2" t="e">
        <f t="shared" si="1"/>
        <v>#DIV/0!</v>
      </c>
      <c r="I16" s="29"/>
      <c r="J16" s="34"/>
      <c r="K16" s="20" t="e">
        <f t="shared" si="4"/>
        <v>#DIV/0!</v>
      </c>
      <c r="L16" s="4" t="e">
        <f t="shared" si="2"/>
        <v>#DIV/0!</v>
      </c>
      <c r="M16" s="104"/>
      <c r="N16" s="103"/>
      <c r="O16" s="34"/>
      <c r="P16" s="6"/>
      <c r="Q16" s="31"/>
    </row>
    <row r="17" spans="1:17">
      <c r="A17" s="13">
        <f t="shared" si="5"/>
        <v>46156</v>
      </c>
      <c r="B17" s="127"/>
      <c r="C17" s="127"/>
      <c r="D17" s="34"/>
      <c r="E17" s="34"/>
      <c r="F17" s="20" t="e">
        <f t="shared" si="3"/>
        <v>#DIV/0!</v>
      </c>
      <c r="G17" s="2" t="e">
        <f t="shared" si="0"/>
        <v>#DIV/0!</v>
      </c>
      <c r="H17" s="2" t="e">
        <f t="shared" si="1"/>
        <v>#DIV/0!</v>
      </c>
      <c r="I17" s="29"/>
      <c r="J17" s="34"/>
      <c r="K17" s="20" t="e">
        <f t="shared" si="4"/>
        <v>#DIV/0!</v>
      </c>
      <c r="L17" s="4" t="e">
        <f t="shared" si="2"/>
        <v>#DIV/0!</v>
      </c>
      <c r="M17" s="104"/>
      <c r="N17" s="103"/>
      <c r="O17" s="34"/>
      <c r="P17" s="6"/>
      <c r="Q17" s="32"/>
    </row>
    <row r="18" spans="1:17">
      <c r="A18" s="13">
        <f t="shared" si="5"/>
        <v>46157</v>
      </c>
      <c r="B18" s="127"/>
      <c r="C18" s="127"/>
      <c r="D18" s="34"/>
      <c r="E18" s="34"/>
      <c r="F18" s="20" t="e">
        <f t="shared" si="3"/>
        <v>#DIV/0!</v>
      </c>
      <c r="G18" s="2" t="e">
        <f t="shared" si="0"/>
        <v>#DIV/0!</v>
      </c>
      <c r="H18" s="2" t="e">
        <f t="shared" si="1"/>
        <v>#DIV/0!</v>
      </c>
      <c r="I18" s="29"/>
      <c r="J18" s="34"/>
      <c r="K18" s="20" t="e">
        <f t="shared" si="4"/>
        <v>#DIV/0!</v>
      </c>
      <c r="L18" s="4" t="e">
        <f t="shared" si="2"/>
        <v>#DIV/0!</v>
      </c>
      <c r="M18" s="104"/>
      <c r="N18" s="103"/>
      <c r="O18" s="34"/>
      <c r="P18" s="6"/>
      <c r="Q18" s="32"/>
    </row>
    <row r="19" spans="1:17">
      <c r="A19" s="13">
        <f t="shared" si="5"/>
        <v>46158</v>
      </c>
      <c r="B19" s="127"/>
      <c r="C19" s="127"/>
      <c r="D19" s="34"/>
      <c r="E19" s="34"/>
      <c r="F19" s="20" t="e">
        <f t="shared" si="3"/>
        <v>#DIV/0!</v>
      </c>
      <c r="G19" s="2" t="e">
        <f t="shared" si="0"/>
        <v>#DIV/0!</v>
      </c>
      <c r="H19" s="2" t="e">
        <f t="shared" si="1"/>
        <v>#DIV/0!</v>
      </c>
      <c r="I19" s="29"/>
      <c r="J19" s="34"/>
      <c r="K19" s="20" t="e">
        <f t="shared" si="4"/>
        <v>#DIV/0!</v>
      </c>
      <c r="L19" s="4" t="e">
        <f t="shared" si="2"/>
        <v>#DIV/0!</v>
      </c>
      <c r="M19" s="104"/>
      <c r="N19" s="103"/>
      <c r="O19" s="34"/>
      <c r="P19" s="6"/>
      <c r="Q19" s="32"/>
    </row>
    <row r="20" spans="1:17">
      <c r="A20" s="13">
        <f t="shared" si="5"/>
        <v>46159</v>
      </c>
      <c r="B20" s="127"/>
      <c r="C20" s="127"/>
      <c r="D20" s="34"/>
      <c r="E20" s="34"/>
      <c r="F20" s="20" t="e">
        <f t="shared" si="3"/>
        <v>#DIV/0!</v>
      </c>
      <c r="G20" s="2" t="e">
        <f t="shared" si="0"/>
        <v>#DIV/0!</v>
      </c>
      <c r="H20" s="2" t="e">
        <f t="shared" si="1"/>
        <v>#DIV/0!</v>
      </c>
      <c r="I20" s="29"/>
      <c r="J20" s="34"/>
      <c r="K20" s="20" t="e">
        <f t="shared" si="4"/>
        <v>#DIV/0!</v>
      </c>
      <c r="L20" s="4" t="e">
        <f t="shared" si="2"/>
        <v>#DIV/0!</v>
      </c>
      <c r="M20" s="103"/>
      <c r="N20" s="103"/>
      <c r="O20" s="34"/>
      <c r="P20" s="6"/>
      <c r="Q20" s="6"/>
    </row>
    <row r="21" spans="1:17">
      <c r="A21" s="13">
        <f t="shared" si="5"/>
        <v>46160</v>
      </c>
      <c r="B21" s="127"/>
      <c r="C21" s="127"/>
      <c r="D21" s="34"/>
      <c r="E21" s="34"/>
      <c r="F21" s="20" t="e">
        <f t="shared" si="3"/>
        <v>#DIV/0!</v>
      </c>
      <c r="G21" s="2" t="e">
        <f t="shared" si="0"/>
        <v>#DIV/0!</v>
      </c>
      <c r="H21" s="2" t="e">
        <f t="shared" si="1"/>
        <v>#DIV/0!</v>
      </c>
      <c r="I21" s="29"/>
      <c r="J21" s="34"/>
      <c r="K21" s="20" t="e">
        <f t="shared" si="4"/>
        <v>#DIV/0!</v>
      </c>
      <c r="L21" s="4" t="e">
        <f t="shared" si="2"/>
        <v>#DIV/0!</v>
      </c>
      <c r="M21" s="103"/>
      <c r="N21" s="103"/>
      <c r="O21" s="34"/>
      <c r="P21" s="6"/>
      <c r="Q21" s="14"/>
    </row>
    <row r="22" spans="1:17">
      <c r="A22" s="13">
        <f t="shared" si="5"/>
        <v>46161</v>
      </c>
      <c r="B22" s="127"/>
      <c r="C22" s="127"/>
      <c r="D22" s="34"/>
      <c r="E22" s="34"/>
      <c r="F22" s="20" t="e">
        <f t="shared" si="3"/>
        <v>#DIV/0!</v>
      </c>
      <c r="G22" s="2" t="e">
        <f t="shared" si="0"/>
        <v>#DIV/0!</v>
      </c>
      <c r="H22" s="2" t="e">
        <f t="shared" si="1"/>
        <v>#DIV/0!</v>
      </c>
      <c r="I22" s="29"/>
      <c r="J22" s="34"/>
      <c r="K22" s="20" t="e">
        <f t="shared" si="4"/>
        <v>#DIV/0!</v>
      </c>
      <c r="L22" s="4" t="e">
        <f t="shared" si="2"/>
        <v>#DIV/0!</v>
      </c>
      <c r="M22" s="103"/>
      <c r="N22" s="103"/>
      <c r="O22" s="34"/>
      <c r="P22" s="6"/>
      <c r="Q22" s="14"/>
    </row>
    <row r="23" spans="1:17">
      <c r="A23" s="13">
        <f t="shared" si="5"/>
        <v>46162</v>
      </c>
      <c r="B23" s="127"/>
      <c r="C23" s="127"/>
      <c r="D23" s="34"/>
      <c r="E23" s="34"/>
      <c r="F23" s="20" t="e">
        <f t="shared" si="3"/>
        <v>#DIV/0!</v>
      </c>
      <c r="G23" s="2" t="e">
        <f t="shared" si="0"/>
        <v>#DIV/0!</v>
      </c>
      <c r="H23" s="2" t="e">
        <f t="shared" si="1"/>
        <v>#DIV/0!</v>
      </c>
      <c r="I23" s="29"/>
      <c r="J23" s="34"/>
      <c r="K23" s="20" t="e">
        <f t="shared" si="4"/>
        <v>#DIV/0!</v>
      </c>
      <c r="L23" s="4" t="e">
        <f t="shared" si="2"/>
        <v>#DIV/0!</v>
      </c>
      <c r="M23" s="103"/>
      <c r="N23" s="103"/>
      <c r="O23" s="34"/>
      <c r="P23" s="6"/>
      <c r="Q23" s="14"/>
    </row>
    <row r="24" spans="1:17">
      <c r="A24" s="13">
        <f t="shared" si="5"/>
        <v>46163</v>
      </c>
      <c r="B24" s="127"/>
      <c r="C24" s="127"/>
      <c r="D24" s="34"/>
      <c r="E24" s="34"/>
      <c r="F24" s="20" t="e">
        <f>(IF(ISBLANK(E24),0,E24-C24))/C24</f>
        <v>#DIV/0!</v>
      </c>
      <c r="G24" s="2" t="e">
        <f t="shared" si="0"/>
        <v>#DIV/0!</v>
      </c>
      <c r="H24" s="2" t="e">
        <f t="shared" si="1"/>
        <v>#DIV/0!</v>
      </c>
      <c r="I24" s="29"/>
      <c r="J24" s="34"/>
      <c r="K24" s="20" t="e">
        <f>(IF(ISBLANK(J24),0,J24-I24))/I24</f>
        <v>#DIV/0!</v>
      </c>
      <c r="L24" s="4" t="e">
        <f t="shared" si="2"/>
        <v>#DIV/0!</v>
      </c>
      <c r="M24" s="103"/>
      <c r="N24" s="103"/>
      <c r="O24" s="34"/>
      <c r="P24" s="6"/>
      <c r="Q24" s="6"/>
    </row>
    <row r="25" spans="1:17">
      <c r="A25" s="13">
        <f t="shared" si="5"/>
        <v>46164</v>
      </c>
      <c r="B25" s="127"/>
      <c r="C25" s="127"/>
      <c r="D25" s="34"/>
      <c r="E25" s="34"/>
      <c r="F25" s="20" t="e">
        <f t="shared" ref="F25:F34" si="6">(IF(ISBLANK(E25),0,E25-C25))/C25</f>
        <v>#DIV/0!</v>
      </c>
      <c r="G25" s="2" t="e">
        <f t="shared" si="0"/>
        <v>#DIV/0!</v>
      </c>
      <c r="H25" s="2" t="e">
        <f t="shared" si="1"/>
        <v>#DIV/0!</v>
      </c>
      <c r="I25" s="29"/>
      <c r="J25" s="34"/>
      <c r="K25" s="20" t="e">
        <f t="shared" ref="K25:K34" si="7">(IF(ISBLANK(J25),0,J25-I25))/I25</f>
        <v>#DIV/0!</v>
      </c>
      <c r="L25" s="4" t="e">
        <f t="shared" si="2"/>
        <v>#DIV/0!</v>
      </c>
      <c r="M25" s="103"/>
      <c r="N25" s="103"/>
      <c r="O25" s="34"/>
      <c r="P25" s="6"/>
      <c r="Q25" s="6"/>
    </row>
    <row r="26" spans="1:17">
      <c r="A26" s="13">
        <f t="shared" si="5"/>
        <v>46165</v>
      </c>
      <c r="B26" s="127"/>
      <c r="C26" s="127"/>
      <c r="D26" s="14"/>
      <c r="E26" s="14"/>
      <c r="F26" s="20" t="e">
        <f t="shared" si="6"/>
        <v>#DIV/0!</v>
      </c>
      <c r="G26" s="2" t="e">
        <f t="shared" si="0"/>
        <v>#DIV/0!</v>
      </c>
      <c r="H26" s="2" t="e">
        <f t="shared" si="1"/>
        <v>#DIV/0!</v>
      </c>
      <c r="I26" s="29"/>
      <c r="J26" s="14"/>
      <c r="K26" s="20" t="e">
        <f t="shared" si="7"/>
        <v>#DIV/0!</v>
      </c>
      <c r="L26" s="4" t="e">
        <f t="shared" si="2"/>
        <v>#DIV/0!</v>
      </c>
      <c r="M26" s="103"/>
      <c r="N26" s="103"/>
      <c r="O26" s="34"/>
      <c r="P26" s="6"/>
      <c r="Q26" s="6"/>
    </row>
    <row r="27" spans="1:17">
      <c r="A27" s="13">
        <f t="shared" si="5"/>
        <v>46166</v>
      </c>
      <c r="B27" s="127"/>
      <c r="C27" s="127"/>
      <c r="D27" s="14"/>
      <c r="E27" s="14"/>
      <c r="F27" s="20" t="e">
        <f t="shared" si="6"/>
        <v>#DIV/0!</v>
      </c>
      <c r="G27" s="2" t="e">
        <f t="shared" ref="G27:G34" si="8">D27/($D$2*24)</f>
        <v>#DIV/0!</v>
      </c>
      <c r="H27" s="2" t="e">
        <f t="shared" si="1"/>
        <v>#DIV/0!</v>
      </c>
      <c r="I27" s="29"/>
      <c r="J27" s="14"/>
      <c r="K27" s="20" t="e">
        <f t="shared" si="7"/>
        <v>#DIV/0!</v>
      </c>
      <c r="L27" s="4" t="e">
        <f t="shared" si="2"/>
        <v>#DIV/0!</v>
      </c>
      <c r="M27" s="103"/>
      <c r="N27" s="103"/>
      <c r="O27" s="34"/>
      <c r="P27" s="6"/>
      <c r="Q27" s="288"/>
    </row>
    <row r="28" spans="1:17">
      <c r="A28" s="13">
        <f t="shared" si="5"/>
        <v>46167</v>
      </c>
      <c r="B28" s="1"/>
      <c r="C28" s="1"/>
      <c r="D28" s="14"/>
      <c r="E28" s="14"/>
      <c r="F28" s="20" t="e">
        <f t="shared" si="6"/>
        <v>#DIV/0!</v>
      </c>
      <c r="G28" s="2" t="e">
        <f t="shared" si="8"/>
        <v>#DIV/0!</v>
      </c>
      <c r="H28" s="2" t="e">
        <f t="shared" si="1"/>
        <v>#DIV/0!</v>
      </c>
      <c r="I28" s="29"/>
      <c r="J28" s="14"/>
      <c r="K28" s="20" t="e">
        <f t="shared" si="7"/>
        <v>#DIV/0!</v>
      </c>
      <c r="L28" s="4" t="e">
        <f t="shared" si="2"/>
        <v>#DIV/0!</v>
      </c>
      <c r="M28" s="103"/>
      <c r="N28" s="103"/>
      <c r="O28" s="34"/>
      <c r="P28" s="155"/>
      <c r="Q28" s="6"/>
    </row>
    <row r="29" spans="1:17">
      <c r="A29" s="13">
        <f t="shared" si="5"/>
        <v>46168</v>
      </c>
      <c r="B29" s="1"/>
      <c r="C29" s="1"/>
      <c r="D29" s="14"/>
      <c r="E29" s="14"/>
      <c r="F29" s="20" t="e">
        <f t="shared" si="6"/>
        <v>#DIV/0!</v>
      </c>
      <c r="G29" s="2" t="e">
        <f t="shared" si="8"/>
        <v>#DIV/0!</v>
      </c>
      <c r="H29" s="2" t="e">
        <f t="shared" si="1"/>
        <v>#DIV/0!</v>
      </c>
      <c r="I29" s="29"/>
      <c r="J29" s="14"/>
      <c r="K29" s="20" t="e">
        <f t="shared" si="7"/>
        <v>#DIV/0!</v>
      </c>
      <c r="L29" s="4" t="e">
        <f t="shared" si="2"/>
        <v>#DIV/0!</v>
      </c>
      <c r="M29" s="103"/>
      <c r="N29" s="103"/>
      <c r="O29" s="34"/>
      <c r="P29" s="6"/>
      <c r="Q29" s="123"/>
    </row>
    <row r="30" spans="1:17">
      <c r="A30" s="13">
        <f t="shared" si="5"/>
        <v>46169</v>
      </c>
      <c r="B30" s="1"/>
      <c r="C30" s="1"/>
      <c r="D30" s="14"/>
      <c r="E30" s="14"/>
      <c r="F30" s="20" t="e">
        <f t="shared" si="6"/>
        <v>#DIV/0!</v>
      </c>
      <c r="G30" s="2" t="e">
        <f t="shared" si="8"/>
        <v>#DIV/0!</v>
      </c>
      <c r="H30" s="2" t="e">
        <f t="shared" si="1"/>
        <v>#DIV/0!</v>
      </c>
      <c r="I30" s="29"/>
      <c r="J30" s="14"/>
      <c r="K30" s="20" t="e">
        <f t="shared" si="7"/>
        <v>#DIV/0!</v>
      </c>
      <c r="L30" s="4" t="e">
        <f t="shared" si="2"/>
        <v>#DIV/0!</v>
      </c>
      <c r="M30" s="103"/>
      <c r="N30" s="103"/>
      <c r="O30" s="34"/>
      <c r="P30" s="6"/>
      <c r="Q30" s="6"/>
    </row>
    <row r="31" spans="1:17">
      <c r="A31" s="13">
        <f t="shared" si="5"/>
        <v>46170</v>
      </c>
      <c r="B31" s="1"/>
      <c r="C31" s="1"/>
      <c r="D31" s="14"/>
      <c r="E31" s="14"/>
      <c r="F31" s="20" t="e">
        <f t="shared" si="6"/>
        <v>#DIV/0!</v>
      </c>
      <c r="G31" s="2" t="e">
        <f t="shared" si="8"/>
        <v>#DIV/0!</v>
      </c>
      <c r="H31" s="2" t="e">
        <f t="shared" ref="H31:H34" si="9">D31/($H$2*24)</f>
        <v>#DIV/0!</v>
      </c>
      <c r="I31" s="29"/>
      <c r="J31" s="14"/>
      <c r="K31" s="20" t="e">
        <f t="shared" si="7"/>
        <v>#DIV/0!</v>
      </c>
      <c r="L31" s="4" t="e">
        <f t="shared" si="2"/>
        <v>#DIV/0!</v>
      </c>
      <c r="M31" s="103"/>
      <c r="N31" s="103"/>
      <c r="O31" s="34"/>
      <c r="P31" s="6"/>
      <c r="Q31" s="6"/>
    </row>
    <row r="32" spans="1:17">
      <c r="A32" s="13">
        <f t="shared" si="5"/>
        <v>46171</v>
      </c>
      <c r="B32" s="1"/>
      <c r="C32" s="1"/>
      <c r="D32" s="14"/>
      <c r="E32" s="14"/>
      <c r="F32" s="20" t="e">
        <f t="shared" si="6"/>
        <v>#DIV/0!</v>
      </c>
      <c r="G32" s="2" t="e">
        <f t="shared" si="8"/>
        <v>#DIV/0!</v>
      </c>
      <c r="H32" s="2" t="e">
        <f t="shared" si="9"/>
        <v>#DIV/0!</v>
      </c>
      <c r="I32" s="29"/>
      <c r="J32" s="14"/>
      <c r="K32" s="20" t="e">
        <f t="shared" si="7"/>
        <v>#DIV/0!</v>
      </c>
      <c r="L32" s="4" t="e">
        <f t="shared" si="2"/>
        <v>#DIV/0!</v>
      </c>
      <c r="M32" s="103"/>
      <c r="N32" s="103"/>
      <c r="O32" s="34"/>
      <c r="P32" s="6"/>
      <c r="Q32" s="6"/>
    </row>
    <row r="33" spans="1:17">
      <c r="A33" s="13">
        <f t="shared" si="5"/>
        <v>46172</v>
      </c>
      <c r="B33" s="1"/>
      <c r="C33" s="1"/>
      <c r="D33" s="14"/>
      <c r="E33" s="14"/>
      <c r="F33" s="20" t="e">
        <f t="shared" si="6"/>
        <v>#DIV/0!</v>
      </c>
      <c r="G33" s="2" t="e">
        <f t="shared" si="8"/>
        <v>#DIV/0!</v>
      </c>
      <c r="H33" s="2" t="e">
        <f t="shared" si="9"/>
        <v>#DIV/0!</v>
      </c>
      <c r="I33" s="29"/>
      <c r="J33" s="14"/>
      <c r="K33" s="20" t="e">
        <f t="shared" si="7"/>
        <v>#DIV/0!</v>
      </c>
      <c r="L33" s="4" t="e">
        <f t="shared" si="2"/>
        <v>#DIV/0!</v>
      </c>
      <c r="M33" s="103"/>
      <c r="N33" s="103"/>
      <c r="O33" s="34"/>
      <c r="P33" s="6"/>
      <c r="Q33" s="6"/>
    </row>
    <row r="34" spans="1:17">
      <c r="A34" s="13">
        <f t="shared" si="5"/>
        <v>46173</v>
      </c>
      <c r="B34" s="1"/>
      <c r="C34" s="1"/>
      <c r="D34" s="14"/>
      <c r="E34" s="14"/>
      <c r="F34" s="20" t="e">
        <f t="shared" si="6"/>
        <v>#DIV/0!</v>
      </c>
      <c r="G34" s="2" t="e">
        <f t="shared" si="8"/>
        <v>#DIV/0!</v>
      </c>
      <c r="H34" s="2" t="e">
        <f t="shared" si="9"/>
        <v>#DIV/0!</v>
      </c>
      <c r="I34" s="29"/>
      <c r="J34" s="14"/>
      <c r="K34" s="20" t="e">
        <f t="shared" si="7"/>
        <v>#DIV/0!</v>
      </c>
      <c r="L34" s="4" t="e">
        <f t="shared" si="2"/>
        <v>#DIV/0!</v>
      </c>
      <c r="M34" s="103"/>
      <c r="N34" s="103"/>
      <c r="O34" s="34"/>
      <c r="P34" s="6"/>
      <c r="Q34" s="6"/>
    </row>
    <row r="35" spans="1:17">
      <c r="A35" s="349">
        <v>46143</v>
      </c>
      <c r="B35" s="89">
        <f>SUM(B4:B34)</f>
        <v>0</v>
      </c>
      <c r="C35" s="89">
        <f>SUM(C4:C34)</f>
        <v>0</v>
      </c>
      <c r="D35" s="89">
        <f>SUM(D4:D34)</f>
        <v>0</v>
      </c>
      <c r="E35" s="89">
        <f>SUM(E4:E34)</f>
        <v>0</v>
      </c>
      <c r="F35" s="160" t="e">
        <f>(IF(ISBLANK(E35),0,E35-C35))/C35</f>
        <v>#DIV/0!</v>
      </c>
      <c r="G35" s="90" t="e">
        <f>AVERAGE(G4:G34)</f>
        <v>#DIV/0!</v>
      </c>
      <c r="H35" s="90" t="e">
        <f>AVERAGE(H4:H34)</f>
        <v>#DIV/0!</v>
      </c>
      <c r="I35" s="89">
        <f>SUM(I4:I34)</f>
        <v>0</v>
      </c>
      <c r="J35" s="89">
        <f>SUM(J4:J34)</f>
        <v>0</v>
      </c>
      <c r="K35" s="160" t="e">
        <f>(IF(ISBLANK(J35),0,J35-I35))/I35</f>
        <v>#DIV/0!</v>
      </c>
      <c r="L35" s="161" t="e">
        <f t="shared" si="2"/>
        <v>#DIV/0!</v>
      </c>
      <c r="M35" s="90" t="e">
        <f>AVERAGE(M4:M34)</f>
        <v>#DIV/0!</v>
      </c>
      <c r="N35" s="90" t="e">
        <f>AVERAGE(N4:N34)</f>
        <v>#DIV/0!</v>
      </c>
      <c r="O35" s="89">
        <f>SUM(O4:O34)</f>
        <v>0</v>
      </c>
      <c r="P35" s="89">
        <f>SUM(P4:P34)</f>
        <v>0</v>
      </c>
      <c r="Q35" s="19"/>
    </row>
  </sheetData>
  <mergeCells count="4">
    <mergeCell ref="A1:Q1"/>
    <mergeCell ref="B2:C2"/>
    <mergeCell ref="E2:G2"/>
    <mergeCell ref="I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93</vt:i4>
      </vt:variant>
    </vt:vector>
  </HeadingPairs>
  <TitlesOfParts>
    <vt:vector size="93" baseType="lpstr">
      <vt:lpstr>Daily Data</vt:lpstr>
      <vt:lpstr>Master</vt:lpstr>
      <vt:lpstr>May-26</vt:lpstr>
      <vt:lpstr>Capcity</vt:lpstr>
      <vt:lpstr>Dashboard</vt:lpstr>
      <vt:lpstr>Cuf</vt:lpstr>
      <vt:lpstr>April-26</vt:lpstr>
      <vt:lpstr>Vivekanand</vt:lpstr>
      <vt:lpstr>Prince</vt:lpstr>
      <vt:lpstr>Majethiya</vt:lpstr>
      <vt:lpstr>Kiran</vt:lpstr>
      <vt:lpstr>Centenary</vt:lpstr>
      <vt:lpstr>Sainest</vt:lpstr>
      <vt:lpstr>Orito</vt:lpstr>
      <vt:lpstr>Universal</vt:lpstr>
      <vt:lpstr>Aditya-Arka</vt:lpstr>
      <vt:lpstr>GHCL-1</vt:lpstr>
      <vt:lpstr>GHCL-2</vt:lpstr>
      <vt:lpstr>GHCL-3</vt:lpstr>
      <vt:lpstr>TMILLS</vt:lpstr>
      <vt:lpstr>VTM</vt:lpstr>
      <vt:lpstr>Pollax</vt:lpstr>
      <vt:lpstr>JOTHI</vt:lpstr>
      <vt:lpstr>SURIYA</vt:lpstr>
      <vt:lpstr>PANTECH</vt:lpstr>
      <vt:lpstr>PARVATHI</vt:lpstr>
      <vt:lpstr>GHCL MANA</vt:lpstr>
      <vt:lpstr>GHCL Para</vt:lpstr>
      <vt:lpstr>GHCL Para-2</vt:lpstr>
      <vt:lpstr>BIAL</vt:lpstr>
      <vt:lpstr>BRPL</vt:lpstr>
      <vt:lpstr>Pidilite</vt:lpstr>
      <vt:lpstr>Greenbloom</vt:lpstr>
      <vt:lpstr>Isha</vt:lpstr>
      <vt:lpstr>Enviro</vt:lpstr>
      <vt:lpstr>Vimalachal</vt:lpstr>
      <vt:lpstr>PGP5</vt:lpstr>
      <vt:lpstr>Rishi Bommalapura</vt:lpstr>
      <vt:lpstr>AAL GO-1</vt:lpstr>
      <vt:lpstr>AAL GO-2</vt:lpstr>
      <vt:lpstr>RISHI Terakanambi</vt:lpstr>
      <vt:lpstr>Kamal</vt:lpstr>
      <vt:lpstr>MBR</vt:lpstr>
      <vt:lpstr>Vasundhara</vt:lpstr>
      <vt:lpstr>Pudumjee</vt:lpstr>
      <vt:lpstr>Venus Denim-01</vt:lpstr>
      <vt:lpstr>Venus Denim-02</vt:lpstr>
      <vt:lpstr>Vishal Spintex</vt:lpstr>
      <vt:lpstr>Madura textiles</vt:lpstr>
      <vt:lpstr>Alkyl Amines</vt:lpstr>
      <vt:lpstr>Italia Ceramics</vt:lpstr>
      <vt:lpstr>Ajay cotspin </vt:lpstr>
      <vt:lpstr>Unitech cotspin</vt:lpstr>
      <vt:lpstr>Lincoln Pharma</vt:lpstr>
      <vt:lpstr>Kamdhenu Yarn</vt:lpstr>
      <vt:lpstr>Kikani Exports</vt:lpstr>
      <vt:lpstr>Linde Engineering</vt:lpstr>
      <vt:lpstr>Alembic Pharma Phase 1</vt:lpstr>
      <vt:lpstr>Alembic Pharma Phase 2</vt:lpstr>
      <vt:lpstr>Mark Alloys</vt:lpstr>
      <vt:lpstr>Ujjaval Alloys</vt:lpstr>
      <vt:lpstr>Diamond stones</vt:lpstr>
      <vt:lpstr>Airona Tiles</vt:lpstr>
      <vt:lpstr>Airolam Ltd.</vt:lpstr>
      <vt:lpstr>Advatech Cera</vt:lpstr>
      <vt:lpstr>BPCL</vt:lpstr>
      <vt:lpstr>GSECL_ Vitthalpar</vt:lpstr>
      <vt:lpstr>GSECL_Jambudiya</vt:lpstr>
      <vt:lpstr>ACG_Tuljapur</vt:lpstr>
      <vt:lpstr>Aarti_Akola</vt:lpstr>
      <vt:lpstr>ACG_PZ4</vt:lpstr>
      <vt:lpstr>ACG_PAM</vt:lpstr>
      <vt:lpstr>ACG_PGP3</vt:lpstr>
      <vt:lpstr>Asahi Songwon_ Balasinor</vt:lpstr>
      <vt:lpstr>August Energy_Akola</vt:lpstr>
      <vt:lpstr>Benzo_Chem</vt:lpstr>
      <vt:lpstr>Blue Jet</vt:lpstr>
      <vt:lpstr>EESL Narayan Doho</vt:lpstr>
      <vt:lpstr>EESL Limbala Dau</vt:lpstr>
      <vt:lpstr>EESL Potra</vt:lpstr>
      <vt:lpstr>Narayan Spinning - 1</vt:lpstr>
      <vt:lpstr>Narayan Spinning - 2</vt:lpstr>
      <vt:lpstr>Rishi FIBC, Balasinor</vt:lpstr>
      <vt:lpstr>SS Flour Mills, Akola</vt:lpstr>
      <vt:lpstr>Sumati Spintex</vt:lpstr>
      <vt:lpstr>Tulsi Industries</vt:lpstr>
      <vt:lpstr>Tulsi Udyog</vt:lpstr>
      <vt:lpstr>Saanika Industries, Bharuch</vt:lpstr>
      <vt:lpstr>IGCL, Bharuch</vt:lpstr>
      <vt:lpstr>Val Organics</vt:lpstr>
      <vt:lpstr>ZEIT - 1, Akola</vt:lpstr>
      <vt:lpstr>ZEIT - 2, Akola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Mehulkumar Oza</dc:creator>
  <cp:keywords/>
  <dc:description/>
  <cp:lastModifiedBy>Naresh Rajput</cp:lastModifiedBy>
  <cp:revision/>
  <dcterms:created xsi:type="dcterms:W3CDTF">2015-06-05T18:17:20Z</dcterms:created>
  <dcterms:modified xsi:type="dcterms:W3CDTF">2026-05-07T09:39:42Z</dcterms:modified>
  <cp:category/>
  <cp:contentStatus/>
</cp:coreProperties>
</file>